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seija\Desktop\"/>
    </mc:Choice>
  </mc:AlternateContent>
  <xr:revisionPtr revIDLastSave="0" documentId="8_{E248811B-1BDB-4A7F-A248-4FA8ECCDCB39}" xr6:coauthVersionLast="47" xr6:coauthVersionMax="47" xr10:uidLastSave="{00000000-0000-0000-0000-000000000000}"/>
  <bookViews>
    <workbookView xWindow="-120" yWindow="-120" windowWidth="29040" windowHeight="15840" tabRatio="591" firstSheet="2" activeTab="2" xr2:uid="{00000000-000D-0000-FFFF-FFFF00000000}"/>
  </bookViews>
  <sheets>
    <sheet name="UT NETA" sheetId="29" state="hidden" r:id="rId1"/>
    <sheet name="Hoja1" sheetId="35" state="hidden" r:id="rId2"/>
    <sheet name="Libro sorpresa" sheetId="36" r:id="rId3"/>
  </sheets>
  <externalReferences>
    <externalReference r:id="rId4"/>
  </externalReferences>
  <definedNames>
    <definedName name="_xlnm._FilterDatabase" localSheetId="0" hidden="1">'UT NETA'!$A$43:$AW$43</definedName>
    <definedName name="_xlnm.Print_Area" localSheetId="0">'UT NETA'!$B$1:$R$1029</definedName>
    <definedName name="_xlnm.Print_Titles" localSheetId="0">'UT NETA'!$4:$7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20" i="35" l="1"/>
  <c r="U1020" i="35"/>
  <c r="T1020" i="35"/>
  <c r="S1020" i="35"/>
  <c r="R1020" i="35"/>
  <c r="N1020" i="35"/>
  <c r="M1020" i="35"/>
  <c r="P1020" i="35" s="1"/>
  <c r="V1019" i="35"/>
  <c r="U1019" i="35"/>
  <c r="T1019" i="35"/>
  <c r="S1019" i="35"/>
  <c r="R1019" i="35"/>
  <c r="N1019" i="35"/>
  <c r="M1019" i="35"/>
  <c r="P1019" i="35" s="1"/>
  <c r="V1018" i="35"/>
  <c r="U1018" i="35"/>
  <c r="T1018" i="35"/>
  <c r="S1018" i="35"/>
  <c r="R1018" i="35"/>
  <c r="N1018" i="35"/>
  <c r="M1018" i="35"/>
  <c r="P1018" i="35" s="1"/>
  <c r="V1017" i="35"/>
  <c r="U1017" i="35"/>
  <c r="T1017" i="35"/>
  <c r="S1017" i="35"/>
  <c r="R1017" i="35"/>
  <c r="N1017" i="35"/>
  <c r="M1017" i="35"/>
  <c r="P1017" i="35" s="1"/>
  <c r="V1016" i="35"/>
  <c r="U1016" i="35"/>
  <c r="T1016" i="35"/>
  <c r="S1016" i="35"/>
  <c r="R1016" i="35"/>
  <c r="N1016" i="35"/>
  <c r="M1016" i="35"/>
  <c r="P1016" i="35" s="1"/>
  <c r="V1015" i="35"/>
  <c r="U1015" i="35"/>
  <c r="T1015" i="35"/>
  <c r="S1015" i="35"/>
  <c r="R1015" i="35"/>
  <c r="N1015" i="35"/>
  <c r="M1015" i="35"/>
  <c r="P1015" i="35" s="1"/>
  <c r="V1014" i="35"/>
  <c r="U1014" i="35"/>
  <c r="T1014" i="35"/>
  <c r="S1014" i="35"/>
  <c r="R1014" i="35"/>
  <c r="N1014" i="35"/>
  <c r="M1014" i="35"/>
  <c r="P1014" i="35" s="1"/>
  <c r="V1013" i="35"/>
  <c r="U1013" i="35"/>
  <c r="T1013" i="35"/>
  <c r="S1013" i="35"/>
  <c r="R1013" i="35"/>
  <c r="N1013" i="35"/>
  <c r="M1013" i="35"/>
  <c r="P1013" i="35" s="1"/>
  <c r="V1012" i="35"/>
  <c r="U1012" i="35"/>
  <c r="T1012" i="35"/>
  <c r="S1012" i="35"/>
  <c r="R1012" i="35"/>
  <c r="N1012" i="35"/>
  <c r="M1012" i="35"/>
  <c r="P1012" i="35" s="1"/>
  <c r="R1011" i="35"/>
  <c r="R1010" i="35"/>
  <c r="V1009" i="35"/>
  <c r="U1009" i="35"/>
  <c r="T1009" i="35"/>
  <c r="S1009" i="35"/>
  <c r="R1009" i="35"/>
  <c r="N1009" i="35"/>
  <c r="M1009" i="35"/>
  <c r="V1008" i="35"/>
  <c r="U1008" i="35"/>
  <c r="T1008" i="35"/>
  <c r="S1008" i="35"/>
  <c r="R1008" i="35"/>
  <c r="N1008" i="35"/>
  <c r="M1008" i="35"/>
  <c r="P1008" i="35" s="1"/>
  <c r="V1007" i="35"/>
  <c r="U1007" i="35"/>
  <c r="T1007" i="35"/>
  <c r="S1007" i="35"/>
  <c r="R1007" i="35"/>
  <c r="N1007" i="35"/>
  <c r="M1007" i="35"/>
  <c r="P1007" i="35" s="1"/>
  <c r="V1006" i="35"/>
  <c r="U1006" i="35"/>
  <c r="T1006" i="35"/>
  <c r="S1006" i="35"/>
  <c r="R1006" i="35"/>
  <c r="N1006" i="35"/>
  <c r="M1006" i="35"/>
  <c r="P1006" i="35" s="1"/>
  <c r="R1005" i="35"/>
  <c r="V1004" i="35"/>
  <c r="U1004" i="35"/>
  <c r="T1004" i="35"/>
  <c r="S1004" i="35"/>
  <c r="R1004" i="35"/>
  <c r="N1004" i="35"/>
  <c r="M1004" i="35"/>
  <c r="P1004" i="35" s="1"/>
  <c r="V1003" i="35"/>
  <c r="U1003" i="35"/>
  <c r="T1003" i="35"/>
  <c r="S1003" i="35"/>
  <c r="R1003" i="35"/>
  <c r="N1003" i="35"/>
  <c r="M1003" i="35"/>
  <c r="P1003" i="35" s="1"/>
  <c r="V1002" i="35"/>
  <c r="U1002" i="35"/>
  <c r="T1002" i="35"/>
  <c r="S1002" i="35"/>
  <c r="R1002" i="35"/>
  <c r="N1002" i="35"/>
  <c r="M1002" i="35"/>
  <c r="P1002" i="35" s="1"/>
  <c r="V1001" i="35"/>
  <c r="U1001" i="35"/>
  <c r="T1001" i="35"/>
  <c r="S1001" i="35"/>
  <c r="R1001" i="35"/>
  <c r="N1001" i="35"/>
  <c r="M1001" i="35"/>
  <c r="P1001" i="35" s="1"/>
  <c r="V1000" i="35"/>
  <c r="U1000" i="35"/>
  <c r="T1000" i="35"/>
  <c r="S1000" i="35"/>
  <c r="R1000" i="35"/>
  <c r="N1000" i="35"/>
  <c r="M1000" i="35"/>
  <c r="P1000" i="35" s="1"/>
  <c r="V999" i="35"/>
  <c r="U999" i="35"/>
  <c r="T999" i="35"/>
  <c r="S999" i="35"/>
  <c r="R999" i="35"/>
  <c r="N999" i="35"/>
  <c r="M999" i="35"/>
  <c r="P999" i="35" s="1"/>
  <c r="R998" i="35"/>
  <c r="V1023" i="35"/>
  <c r="U1023" i="35"/>
  <c r="T1023" i="35"/>
  <c r="S1023" i="35"/>
  <c r="R1023" i="35"/>
  <c r="N1023" i="35"/>
  <c r="M1023" i="35"/>
  <c r="P1023" i="35" s="1"/>
  <c r="V1022" i="35"/>
  <c r="U1022" i="35"/>
  <c r="T1022" i="35"/>
  <c r="S1022" i="35"/>
  <c r="R1022" i="35"/>
  <c r="N1022" i="35"/>
  <c r="M1022" i="35"/>
  <c r="P1022" i="35" s="1"/>
  <c r="V1033" i="35"/>
  <c r="U1033" i="35"/>
  <c r="T1033" i="35"/>
  <c r="S1033" i="35"/>
  <c r="R1033" i="35"/>
  <c r="N1033" i="35"/>
  <c r="M1033" i="35"/>
  <c r="P1033" i="35" s="1"/>
  <c r="V1031" i="35"/>
  <c r="U1031" i="35"/>
  <c r="T1031" i="35"/>
  <c r="S1031" i="35"/>
  <c r="R1031" i="35"/>
  <c r="N1031" i="35"/>
  <c r="M1031" i="35"/>
  <c r="P1031" i="35" s="1"/>
  <c r="V1030" i="35"/>
  <c r="U1030" i="35"/>
  <c r="T1030" i="35"/>
  <c r="S1030" i="35"/>
  <c r="R1030" i="35"/>
  <c r="M1030" i="35"/>
  <c r="V1029" i="35"/>
  <c r="U1029" i="35"/>
  <c r="T1029" i="35"/>
  <c r="S1029" i="35"/>
  <c r="R1029" i="35"/>
  <c r="M1029" i="35"/>
  <c r="V1028" i="35"/>
  <c r="U1028" i="35"/>
  <c r="T1028" i="35"/>
  <c r="S1028" i="35"/>
  <c r="R1028" i="35"/>
  <c r="N1028" i="35"/>
  <c r="M1028" i="35"/>
  <c r="P1028" i="35" s="1"/>
  <c r="V1027" i="35"/>
  <c r="U1027" i="35"/>
  <c r="T1027" i="35"/>
  <c r="S1027" i="35"/>
  <c r="R1027" i="35"/>
  <c r="N1027" i="35"/>
  <c r="M1027" i="35"/>
  <c r="P1027" i="35" s="1"/>
  <c r="V1026" i="35"/>
  <c r="U1026" i="35"/>
  <c r="T1026" i="35"/>
  <c r="S1026" i="35"/>
  <c r="R1026" i="35"/>
  <c r="N1026" i="35"/>
  <c r="M1026" i="35"/>
  <c r="P1026" i="35" s="1"/>
  <c r="V1024" i="35"/>
  <c r="U1024" i="35"/>
  <c r="T1024" i="35"/>
  <c r="S1024" i="35"/>
  <c r="R1024" i="35"/>
  <c r="N1024" i="35"/>
  <c r="M1024" i="35"/>
  <c r="P1024" i="35" s="1"/>
  <c r="R9" i="35"/>
  <c r="R10" i="35"/>
  <c r="R11" i="35"/>
  <c r="R12" i="35"/>
  <c r="R13" i="35"/>
  <c r="R14" i="35"/>
  <c r="R15" i="35"/>
  <c r="R16" i="35"/>
  <c r="R17" i="35"/>
  <c r="R18" i="35"/>
  <c r="R19" i="35"/>
  <c r="R20" i="35"/>
  <c r="R21" i="35"/>
  <c r="R22" i="35"/>
  <c r="R23" i="35"/>
  <c r="R24" i="35"/>
  <c r="R25" i="35"/>
  <c r="R26" i="35"/>
  <c r="R27" i="35"/>
  <c r="R28" i="35"/>
  <c r="R29" i="35"/>
  <c r="R30" i="35"/>
  <c r="R31" i="35"/>
  <c r="R32" i="35"/>
  <c r="R33" i="35"/>
  <c r="R34" i="35"/>
  <c r="R35" i="35"/>
  <c r="R36" i="35"/>
  <c r="R37" i="35"/>
  <c r="R38" i="35"/>
  <c r="R39" i="35"/>
  <c r="R40" i="35"/>
  <c r="R41" i="35"/>
  <c r="R42" i="35"/>
  <c r="R43" i="35"/>
  <c r="R44" i="35"/>
  <c r="R45" i="35"/>
  <c r="R46" i="35"/>
  <c r="R47" i="35"/>
  <c r="R48" i="35"/>
  <c r="R49" i="35"/>
  <c r="R50" i="35"/>
  <c r="R51" i="35"/>
  <c r="R52" i="35"/>
  <c r="R53" i="35"/>
  <c r="R54" i="35"/>
  <c r="R55" i="35"/>
  <c r="R56" i="35"/>
  <c r="R57" i="35"/>
  <c r="R58" i="35"/>
  <c r="R59" i="35"/>
  <c r="R60" i="35"/>
  <c r="R61" i="35"/>
  <c r="R62" i="35"/>
  <c r="R63" i="35"/>
  <c r="R64" i="35"/>
  <c r="R65" i="35"/>
  <c r="R66" i="35"/>
  <c r="R67" i="35"/>
  <c r="R68" i="35"/>
  <c r="R69" i="35"/>
  <c r="R70" i="35"/>
  <c r="R71" i="35"/>
  <c r="R72" i="35"/>
  <c r="R73" i="35"/>
  <c r="R74" i="35"/>
  <c r="R75" i="35"/>
  <c r="R76" i="35"/>
  <c r="R77" i="35"/>
  <c r="R78" i="35"/>
  <c r="R79" i="35"/>
  <c r="R80" i="35"/>
  <c r="R81" i="35"/>
  <c r="R82" i="35"/>
  <c r="R83" i="35"/>
  <c r="R84" i="35"/>
  <c r="R85" i="35"/>
  <c r="R86" i="35"/>
  <c r="R87" i="35"/>
  <c r="R88" i="35"/>
  <c r="R89" i="35"/>
  <c r="R90" i="35"/>
  <c r="R91" i="35"/>
  <c r="R92" i="35"/>
  <c r="R93" i="35"/>
  <c r="R94" i="35"/>
  <c r="R95" i="35"/>
  <c r="R96" i="35"/>
  <c r="R97" i="35"/>
  <c r="R98" i="35"/>
  <c r="R99" i="35"/>
  <c r="R100" i="35"/>
  <c r="R101" i="35"/>
  <c r="R102" i="35"/>
  <c r="R103" i="35"/>
  <c r="R104" i="35"/>
  <c r="R105" i="35"/>
  <c r="R106" i="35"/>
  <c r="R107" i="35"/>
  <c r="R108" i="35"/>
  <c r="R109" i="35"/>
  <c r="R110" i="35"/>
  <c r="R111" i="35"/>
  <c r="R112" i="35"/>
  <c r="R113" i="35"/>
  <c r="R114" i="35"/>
  <c r="R115" i="35"/>
  <c r="R116" i="35"/>
  <c r="R117" i="35"/>
  <c r="R118" i="35"/>
  <c r="R119" i="35"/>
  <c r="R120" i="35"/>
  <c r="R121" i="35"/>
  <c r="R122" i="35"/>
  <c r="R123" i="35"/>
  <c r="R124" i="35"/>
  <c r="R125" i="35"/>
  <c r="R126" i="35"/>
  <c r="R127" i="35"/>
  <c r="R128" i="35"/>
  <c r="R129" i="35"/>
  <c r="R130" i="35"/>
  <c r="R131" i="35"/>
  <c r="R132" i="35"/>
  <c r="R133" i="35"/>
  <c r="R134" i="35"/>
  <c r="R135" i="35"/>
  <c r="R136" i="35"/>
  <c r="R137" i="35"/>
  <c r="R138" i="35"/>
  <c r="R139" i="35"/>
  <c r="R140" i="35"/>
  <c r="R141" i="35"/>
  <c r="R142" i="35"/>
  <c r="R143" i="35"/>
  <c r="R144" i="35"/>
  <c r="R145" i="35"/>
  <c r="R146" i="35"/>
  <c r="R147" i="35"/>
  <c r="R148" i="35"/>
  <c r="R149" i="35"/>
  <c r="R150" i="35"/>
  <c r="R151" i="35"/>
  <c r="R152" i="35"/>
  <c r="R153" i="35"/>
  <c r="R154" i="35"/>
  <c r="R155" i="35"/>
  <c r="R156" i="35"/>
  <c r="R157" i="35"/>
  <c r="R158" i="35"/>
  <c r="R159" i="35"/>
  <c r="R160" i="35"/>
  <c r="R161" i="35"/>
  <c r="R162" i="35"/>
  <c r="R163" i="35"/>
  <c r="R164" i="35"/>
  <c r="R165" i="35"/>
  <c r="R166" i="35"/>
  <c r="R167" i="35"/>
  <c r="R168" i="35"/>
  <c r="R169" i="35"/>
  <c r="R170" i="35"/>
  <c r="R171" i="35"/>
  <c r="R172" i="35"/>
  <c r="R173" i="35"/>
  <c r="R174" i="35"/>
  <c r="R175" i="35"/>
  <c r="R176" i="35"/>
  <c r="R177" i="35"/>
  <c r="R178" i="35"/>
  <c r="R179" i="35"/>
  <c r="R180" i="35"/>
  <c r="R181" i="35"/>
  <c r="R182" i="35"/>
  <c r="R183" i="35"/>
  <c r="R184" i="35"/>
  <c r="R185" i="35"/>
  <c r="R186" i="35"/>
  <c r="R187" i="35"/>
  <c r="R188" i="35"/>
  <c r="R189" i="35"/>
  <c r="R190" i="35"/>
  <c r="R191" i="35"/>
  <c r="R192" i="35"/>
  <c r="R193" i="35"/>
  <c r="R194" i="35"/>
  <c r="R195" i="35"/>
  <c r="R196" i="35"/>
  <c r="R197" i="35"/>
  <c r="R198" i="35"/>
  <c r="R199" i="35"/>
  <c r="R200" i="35"/>
  <c r="R201" i="35"/>
  <c r="R202" i="35"/>
  <c r="R203" i="35"/>
  <c r="R204" i="35"/>
  <c r="R205" i="35"/>
  <c r="R206" i="35"/>
  <c r="R207" i="35"/>
  <c r="R208" i="35"/>
  <c r="R209" i="35"/>
  <c r="R210" i="35"/>
  <c r="R211" i="35"/>
  <c r="R212" i="35"/>
  <c r="R213" i="35"/>
  <c r="R214" i="35"/>
  <c r="R215" i="35"/>
  <c r="R216" i="35"/>
  <c r="R217" i="35"/>
  <c r="R218" i="35"/>
  <c r="R219" i="35"/>
  <c r="R220" i="35"/>
  <c r="R221" i="35"/>
  <c r="R222" i="35"/>
  <c r="R223" i="35"/>
  <c r="R224" i="35"/>
  <c r="R225" i="35"/>
  <c r="R226" i="35"/>
  <c r="R227" i="35"/>
  <c r="R228" i="35"/>
  <c r="R229" i="35"/>
  <c r="R230" i="35"/>
  <c r="R231" i="35"/>
  <c r="R232" i="35"/>
  <c r="R233" i="35"/>
  <c r="R234" i="35"/>
  <c r="R235" i="35"/>
  <c r="R236" i="35"/>
  <c r="R237" i="35"/>
  <c r="R238" i="35"/>
  <c r="R239" i="35"/>
  <c r="R240" i="35"/>
  <c r="R241" i="35"/>
  <c r="R242" i="35"/>
  <c r="R243" i="35"/>
  <c r="R244" i="35"/>
  <c r="R245" i="35"/>
  <c r="R246" i="35"/>
  <c r="R247" i="35"/>
  <c r="R248" i="35"/>
  <c r="R249" i="35"/>
  <c r="R250" i="35"/>
  <c r="R251" i="35"/>
  <c r="R252" i="35"/>
  <c r="R253" i="35"/>
  <c r="R254" i="35"/>
  <c r="R255" i="35"/>
  <c r="R256" i="35"/>
  <c r="R257" i="35"/>
  <c r="R258" i="35"/>
  <c r="R259" i="35"/>
  <c r="R260" i="35"/>
  <c r="R261" i="35"/>
  <c r="R262" i="35"/>
  <c r="R263" i="35"/>
  <c r="R264" i="35"/>
  <c r="R265" i="35"/>
  <c r="R266" i="35"/>
  <c r="R267" i="35"/>
  <c r="R268" i="35"/>
  <c r="R269" i="35"/>
  <c r="R270" i="35"/>
  <c r="R271" i="35"/>
  <c r="R272" i="35"/>
  <c r="R273" i="35"/>
  <c r="R274" i="35"/>
  <c r="R275" i="35"/>
  <c r="R276" i="35"/>
  <c r="R277" i="35"/>
  <c r="R278" i="35"/>
  <c r="R279" i="35"/>
  <c r="R280" i="35"/>
  <c r="R281" i="35"/>
  <c r="R282" i="35"/>
  <c r="R283" i="35"/>
  <c r="R284" i="35"/>
  <c r="R285" i="35"/>
  <c r="R286" i="35"/>
  <c r="R287" i="35"/>
  <c r="R288" i="35"/>
  <c r="R289" i="35"/>
  <c r="R290" i="35"/>
  <c r="R291" i="35"/>
  <c r="R292" i="35"/>
  <c r="R293" i="35"/>
  <c r="R294" i="35"/>
  <c r="R295" i="35"/>
  <c r="R296" i="35"/>
  <c r="R297" i="35"/>
  <c r="R298" i="35"/>
  <c r="R299" i="35"/>
  <c r="R300" i="35"/>
  <c r="R301" i="35"/>
  <c r="R302" i="35"/>
  <c r="R303" i="35"/>
  <c r="R304" i="35"/>
  <c r="R305" i="35"/>
  <c r="R306" i="35"/>
  <c r="R307" i="35"/>
  <c r="R308" i="35"/>
  <c r="R309" i="35"/>
  <c r="R310" i="35"/>
  <c r="R311" i="35"/>
  <c r="R312" i="35"/>
  <c r="R313" i="35"/>
  <c r="R314" i="35"/>
  <c r="R315" i="35"/>
  <c r="R316" i="35"/>
  <c r="R317" i="35"/>
  <c r="R318" i="35"/>
  <c r="R319" i="35"/>
  <c r="R320" i="35"/>
  <c r="R321" i="35"/>
  <c r="R322" i="35"/>
  <c r="R323" i="35"/>
  <c r="R324" i="35"/>
  <c r="R325" i="35"/>
  <c r="R326" i="35"/>
  <c r="R327" i="35"/>
  <c r="R328" i="35"/>
  <c r="R329" i="35"/>
  <c r="R330" i="35"/>
  <c r="R331" i="35"/>
  <c r="R332" i="35"/>
  <c r="R333" i="35"/>
  <c r="R334" i="35"/>
  <c r="R335" i="35"/>
  <c r="R336" i="35"/>
  <c r="R337" i="35"/>
  <c r="R338" i="35"/>
  <c r="R339" i="35"/>
  <c r="R340" i="35"/>
  <c r="R341" i="35"/>
  <c r="R342" i="35"/>
  <c r="R343" i="35"/>
  <c r="R344" i="35"/>
  <c r="R345" i="35"/>
  <c r="R346" i="35"/>
  <c r="R347" i="35"/>
  <c r="R348" i="35"/>
  <c r="R349" i="35"/>
  <c r="R350" i="35"/>
  <c r="R351" i="35"/>
  <c r="R352" i="35"/>
  <c r="R353" i="35"/>
  <c r="R354" i="35"/>
  <c r="R355" i="35"/>
  <c r="R356" i="35"/>
  <c r="R357" i="35"/>
  <c r="R358" i="35"/>
  <c r="R359" i="35"/>
  <c r="R360" i="35"/>
  <c r="R361" i="35"/>
  <c r="R362" i="35"/>
  <c r="R363" i="35"/>
  <c r="R364" i="35"/>
  <c r="R365" i="35"/>
  <c r="R366" i="35"/>
  <c r="R367" i="35"/>
  <c r="R368" i="35"/>
  <c r="R369" i="35"/>
  <c r="R370" i="35"/>
  <c r="R371" i="35"/>
  <c r="R372" i="35"/>
  <c r="R373" i="35"/>
  <c r="R374" i="35"/>
  <c r="R375" i="35"/>
  <c r="R376" i="35"/>
  <c r="R377" i="35"/>
  <c r="R378" i="35"/>
  <c r="R379" i="35"/>
  <c r="R380" i="35"/>
  <c r="R381" i="35"/>
  <c r="R382" i="35"/>
  <c r="R383" i="35"/>
  <c r="R384" i="35"/>
  <c r="R385" i="35"/>
  <c r="R386" i="35"/>
  <c r="R387" i="35"/>
  <c r="R388" i="35"/>
  <c r="R389" i="35"/>
  <c r="R390" i="35"/>
  <c r="R391" i="35"/>
  <c r="R392" i="35"/>
  <c r="R393" i="35"/>
  <c r="R394" i="35"/>
  <c r="R395" i="35"/>
  <c r="R396" i="35"/>
  <c r="R397" i="35"/>
  <c r="R398" i="35"/>
  <c r="R399" i="35"/>
  <c r="R400" i="35"/>
  <c r="R401" i="35"/>
  <c r="R402" i="35"/>
  <c r="R403" i="35"/>
  <c r="R404" i="35"/>
  <c r="R405" i="35"/>
  <c r="R406" i="35"/>
  <c r="R407" i="35"/>
  <c r="R408" i="35"/>
  <c r="R409" i="35"/>
  <c r="R410" i="35"/>
  <c r="R411" i="35"/>
  <c r="R412" i="35"/>
  <c r="R413" i="35"/>
  <c r="R414" i="35"/>
  <c r="R415" i="35"/>
  <c r="R416" i="35"/>
  <c r="R417" i="35"/>
  <c r="R418" i="35"/>
  <c r="R419" i="35"/>
  <c r="R420" i="35"/>
  <c r="R421" i="35"/>
  <c r="R422" i="35"/>
  <c r="R423" i="35"/>
  <c r="R424" i="35"/>
  <c r="R425" i="35"/>
  <c r="R426" i="35"/>
  <c r="R427" i="35"/>
  <c r="R428" i="35"/>
  <c r="R429" i="35"/>
  <c r="R430" i="35"/>
  <c r="R431" i="35"/>
  <c r="R432" i="35"/>
  <c r="R433" i="35"/>
  <c r="R434" i="35"/>
  <c r="R435" i="35"/>
  <c r="R436" i="35"/>
  <c r="R437" i="35"/>
  <c r="R438" i="35"/>
  <c r="R439" i="35"/>
  <c r="R440" i="35"/>
  <c r="R441" i="35"/>
  <c r="R442" i="35"/>
  <c r="R443" i="35"/>
  <c r="R444" i="35"/>
  <c r="R445" i="35"/>
  <c r="R446" i="35"/>
  <c r="R447" i="35"/>
  <c r="R448" i="35"/>
  <c r="R449" i="35"/>
  <c r="R450" i="35"/>
  <c r="R451" i="35"/>
  <c r="R452" i="35"/>
  <c r="R453" i="35"/>
  <c r="R454" i="35"/>
  <c r="R455" i="35"/>
  <c r="R456" i="35"/>
  <c r="R457" i="35"/>
  <c r="R458" i="35"/>
  <c r="R459" i="35"/>
  <c r="R460" i="35"/>
  <c r="R461" i="35"/>
  <c r="R462" i="35"/>
  <c r="R463" i="35"/>
  <c r="R464" i="35"/>
  <c r="R465" i="35"/>
  <c r="R466" i="35"/>
  <c r="R467" i="35"/>
  <c r="R468" i="35"/>
  <c r="R469" i="35"/>
  <c r="R470" i="35"/>
  <c r="R471" i="35"/>
  <c r="R472" i="35"/>
  <c r="R473" i="35"/>
  <c r="R474" i="35"/>
  <c r="R475" i="35"/>
  <c r="R476" i="35"/>
  <c r="R477" i="35"/>
  <c r="R478" i="35"/>
  <c r="R479" i="35"/>
  <c r="R480" i="35"/>
  <c r="R481" i="35"/>
  <c r="R482" i="35"/>
  <c r="R483" i="35"/>
  <c r="R484" i="35"/>
  <c r="R485" i="35"/>
  <c r="R486" i="35"/>
  <c r="R487" i="35"/>
  <c r="R488" i="35"/>
  <c r="R489" i="35"/>
  <c r="R490" i="35"/>
  <c r="R491" i="35"/>
  <c r="R492" i="35"/>
  <c r="R493" i="35"/>
  <c r="R494" i="35"/>
  <c r="R495" i="35"/>
  <c r="R496" i="35"/>
  <c r="R497" i="35"/>
  <c r="R498" i="35"/>
  <c r="R499" i="35"/>
  <c r="R500" i="35"/>
  <c r="R501" i="35"/>
  <c r="R502" i="35"/>
  <c r="R503" i="35"/>
  <c r="R504" i="35"/>
  <c r="R505" i="35"/>
  <c r="R506" i="35"/>
  <c r="R507" i="35"/>
  <c r="R508" i="35"/>
  <c r="R509" i="35"/>
  <c r="R510" i="35"/>
  <c r="R511" i="35"/>
  <c r="R512" i="35"/>
  <c r="R513" i="35"/>
  <c r="R514" i="35"/>
  <c r="R515" i="35"/>
  <c r="R516" i="35"/>
  <c r="R517" i="35"/>
  <c r="R518" i="35"/>
  <c r="R519" i="35"/>
  <c r="R520" i="35"/>
  <c r="R521" i="35"/>
  <c r="R522" i="35"/>
  <c r="R523" i="35"/>
  <c r="R524" i="35"/>
  <c r="R525" i="35"/>
  <c r="R526" i="35"/>
  <c r="R527" i="35"/>
  <c r="R528" i="35"/>
  <c r="R529" i="35"/>
  <c r="R530" i="35"/>
  <c r="R531" i="35"/>
  <c r="R532" i="35"/>
  <c r="R533" i="35"/>
  <c r="R534" i="35"/>
  <c r="R535" i="35"/>
  <c r="R536" i="35"/>
  <c r="R537" i="35"/>
  <c r="R538" i="35"/>
  <c r="R539" i="35"/>
  <c r="R540" i="35"/>
  <c r="R541" i="35"/>
  <c r="R542" i="35"/>
  <c r="R543" i="35"/>
  <c r="R544" i="35"/>
  <c r="R545" i="35"/>
  <c r="R546" i="35"/>
  <c r="R547" i="35"/>
  <c r="R548" i="35"/>
  <c r="R549" i="35"/>
  <c r="R550" i="35"/>
  <c r="R551" i="35"/>
  <c r="R552" i="35"/>
  <c r="R553" i="35"/>
  <c r="R554" i="35"/>
  <c r="R555" i="35"/>
  <c r="R556" i="35"/>
  <c r="R557" i="35"/>
  <c r="R558" i="35"/>
  <c r="R559" i="35"/>
  <c r="R560" i="35"/>
  <c r="R561" i="35"/>
  <c r="R562" i="35"/>
  <c r="R563" i="35"/>
  <c r="R564" i="35"/>
  <c r="R565" i="35"/>
  <c r="R566" i="35"/>
  <c r="R567" i="35"/>
  <c r="R568" i="35"/>
  <c r="R569" i="35"/>
  <c r="R570" i="35"/>
  <c r="R571" i="35"/>
  <c r="R572" i="35"/>
  <c r="R573" i="35"/>
  <c r="R574" i="35"/>
  <c r="R575" i="35"/>
  <c r="R576" i="35"/>
  <c r="R577" i="35"/>
  <c r="R578" i="35"/>
  <c r="R579" i="35"/>
  <c r="R580" i="35"/>
  <c r="R581" i="35"/>
  <c r="R582" i="35"/>
  <c r="R583" i="35"/>
  <c r="R584" i="35"/>
  <c r="R585" i="35"/>
  <c r="R586" i="35"/>
  <c r="R587" i="35"/>
  <c r="R588" i="35"/>
  <c r="R589" i="35"/>
  <c r="R590" i="35"/>
  <c r="R591" i="35"/>
  <c r="R592" i="35"/>
  <c r="R593" i="35"/>
  <c r="R594" i="35"/>
  <c r="R595" i="35"/>
  <c r="R596" i="35"/>
  <c r="R597" i="35"/>
  <c r="R598" i="35"/>
  <c r="R599" i="35"/>
  <c r="R600" i="35"/>
  <c r="R601" i="35"/>
  <c r="R602" i="35"/>
  <c r="R603" i="35"/>
  <c r="R604" i="35"/>
  <c r="R605" i="35"/>
  <c r="R606" i="35"/>
  <c r="R607" i="35"/>
  <c r="R608" i="35"/>
  <c r="R609" i="35"/>
  <c r="R610" i="35"/>
  <c r="R611" i="35"/>
  <c r="R612" i="35"/>
  <c r="R613" i="35"/>
  <c r="R614" i="35"/>
  <c r="R615" i="35"/>
  <c r="R616" i="35"/>
  <c r="R617" i="35"/>
  <c r="R618" i="35"/>
  <c r="R619" i="35"/>
  <c r="R620" i="35"/>
  <c r="R621" i="35"/>
  <c r="R622" i="35"/>
  <c r="R623" i="35"/>
  <c r="R624" i="35"/>
  <c r="R625" i="35"/>
  <c r="R626" i="35"/>
  <c r="R627" i="35"/>
  <c r="R628" i="35"/>
  <c r="R629" i="35"/>
  <c r="R630" i="35"/>
  <c r="R631" i="35"/>
  <c r="R632" i="35"/>
  <c r="R633" i="35"/>
  <c r="R634" i="35"/>
  <c r="R635" i="35"/>
  <c r="R636" i="35"/>
  <c r="R637" i="35"/>
  <c r="R638" i="35"/>
  <c r="R639" i="35"/>
  <c r="R640" i="35"/>
  <c r="R641" i="35"/>
  <c r="R642" i="35"/>
  <c r="R643" i="35"/>
  <c r="R644" i="35"/>
  <c r="R645" i="35"/>
  <c r="R646" i="35"/>
  <c r="R647" i="35"/>
  <c r="R648" i="35"/>
  <c r="R649" i="35"/>
  <c r="R650" i="35"/>
  <c r="R651" i="35"/>
  <c r="R652" i="35"/>
  <c r="R653" i="35"/>
  <c r="R654" i="35"/>
  <c r="R655" i="35"/>
  <c r="R656" i="35"/>
  <c r="R657" i="35"/>
  <c r="R658" i="35"/>
  <c r="R659" i="35"/>
  <c r="R660" i="35"/>
  <c r="R661" i="35"/>
  <c r="R662" i="35"/>
  <c r="R663" i="35"/>
  <c r="R664" i="35"/>
  <c r="R665" i="35"/>
  <c r="R666" i="35"/>
  <c r="R667" i="35"/>
  <c r="R668" i="35"/>
  <c r="R669" i="35"/>
  <c r="R670" i="35"/>
  <c r="R671" i="35"/>
  <c r="R672" i="35"/>
  <c r="R673" i="35"/>
  <c r="R674" i="35"/>
  <c r="R675" i="35"/>
  <c r="R676" i="35"/>
  <c r="R677" i="35"/>
  <c r="R678" i="35"/>
  <c r="R679" i="35"/>
  <c r="R680" i="35"/>
  <c r="R681" i="35"/>
  <c r="R682" i="35"/>
  <c r="R683" i="35"/>
  <c r="R684" i="35"/>
  <c r="R685" i="35"/>
  <c r="R686" i="35"/>
  <c r="R687" i="35"/>
  <c r="R688" i="35"/>
  <c r="R689" i="35"/>
  <c r="R690" i="35"/>
  <c r="R691" i="35"/>
  <c r="R692" i="35"/>
  <c r="R693" i="35"/>
  <c r="R694" i="35"/>
  <c r="R695" i="35"/>
  <c r="R696" i="35"/>
  <c r="R697" i="35"/>
  <c r="R698" i="35"/>
  <c r="R699" i="35"/>
  <c r="R700" i="35"/>
  <c r="R701" i="35"/>
  <c r="R702" i="35"/>
  <c r="R703" i="35"/>
  <c r="R704" i="35"/>
  <c r="R705" i="35"/>
  <c r="R706" i="35"/>
  <c r="R707" i="35"/>
  <c r="R708" i="35"/>
  <c r="R709" i="35"/>
  <c r="R710" i="35"/>
  <c r="R711" i="35"/>
  <c r="R712" i="35"/>
  <c r="R713" i="35"/>
  <c r="R714" i="35"/>
  <c r="R715" i="35"/>
  <c r="R716" i="35"/>
  <c r="R717" i="35"/>
  <c r="R718" i="35"/>
  <c r="R719" i="35"/>
  <c r="R720" i="35"/>
  <c r="R721" i="35"/>
  <c r="R722" i="35"/>
  <c r="R723" i="35"/>
  <c r="R724" i="35"/>
  <c r="R725" i="35"/>
  <c r="R726" i="35"/>
  <c r="R727" i="35"/>
  <c r="R728" i="35"/>
  <c r="R729" i="35"/>
  <c r="R730" i="35"/>
  <c r="R731" i="35"/>
  <c r="R732" i="35"/>
  <c r="R733" i="35"/>
  <c r="R734" i="35"/>
  <c r="R735" i="35"/>
  <c r="R736" i="35"/>
  <c r="R737" i="35"/>
  <c r="R738" i="35"/>
  <c r="R739" i="35"/>
  <c r="R740" i="35"/>
  <c r="R741" i="35"/>
  <c r="R742" i="35"/>
  <c r="R743" i="35"/>
  <c r="R744" i="35"/>
  <c r="R745" i="35"/>
  <c r="R746" i="35"/>
  <c r="R747" i="35"/>
  <c r="R748" i="35"/>
  <c r="R749" i="35"/>
  <c r="R750" i="35"/>
  <c r="R751" i="35"/>
  <c r="R752" i="35"/>
  <c r="R753" i="35"/>
  <c r="R754" i="35"/>
  <c r="R755" i="35"/>
  <c r="R756" i="35"/>
  <c r="R757" i="35"/>
  <c r="R758" i="35"/>
  <c r="R759" i="35"/>
  <c r="R760" i="35"/>
  <c r="R761" i="35"/>
  <c r="R762" i="35"/>
  <c r="R763" i="35"/>
  <c r="R764" i="35"/>
  <c r="R765" i="35"/>
  <c r="R766" i="35"/>
  <c r="R767" i="35"/>
  <c r="R768" i="35"/>
  <c r="R769" i="35"/>
  <c r="R770" i="35"/>
  <c r="R771" i="35"/>
  <c r="R772" i="35"/>
  <c r="R773" i="35"/>
  <c r="R774" i="35"/>
  <c r="R775" i="35"/>
  <c r="R776" i="35"/>
  <c r="R777" i="35"/>
  <c r="R778" i="35"/>
  <c r="R779" i="35"/>
  <c r="R780" i="35"/>
  <c r="R781" i="35"/>
  <c r="R782" i="35"/>
  <c r="R783" i="35"/>
  <c r="R784" i="35"/>
  <c r="R785" i="35"/>
  <c r="R786" i="35"/>
  <c r="R787" i="35"/>
  <c r="R788" i="35"/>
  <c r="R789" i="35"/>
  <c r="R790" i="35"/>
  <c r="R791" i="35"/>
  <c r="R792" i="35"/>
  <c r="R793" i="35"/>
  <c r="R794" i="35"/>
  <c r="R795" i="35"/>
  <c r="R796" i="35"/>
  <c r="R797" i="35"/>
  <c r="R798" i="35"/>
  <c r="R799" i="35"/>
  <c r="R800" i="35"/>
  <c r="R801" i="35"/>
  <c r="R802" i="35"/>
  <c r="R803" i="35"/>
  <c r="R804" i="35"/>
  <c r="R805" i="35"/>
  <c r="R806" i="35"/>
  <c r="R807" i="35"/>
  <c r="R808" i="35"/>
  <c r="R809" i="35"/>
  <c r="R810" i="35"/>
  <c r="R811" i="35"/>
  <c r="R812" i="35"/>
  <c r="R813" i="35"/>
  <c r="R814" i="35"/>
  <c r="R815" i="35"/>
  <c r="R816" i="35"/>
  <c r="R817" i="35"/>
  <c r="R818" i="35"/>
  <c r="R819" i="35"/>
  <c r="R820" i="35"/>
  <c r="R821" i="35"/>
  <c r="R822" i="35"/>
  <c r="R823" i="35"/>
  <c r="R824" i="35"/>
  <c r="R825" i="35"/>
  <c r="R826" i="35"/>
  <c r="R827" i="35"/>
  <c r="R828" i="35"/>
  <c r="R829" i="35"/>
  <c r="R830" i="35"/>
  <c r="R831" i="35"/>
  <c r="R832" i="35"/>
  <c r="R833" i="35"/>
  <c r="R834" i="35"/>
  <c r="R835" i="35"/>
  <c r="R836" i="35"/>
  <c r="R837" i="35"/>
  <c r="R838" i="35"/>
  <c r="R839" i="35"/>
  <c r="R840" i="35"/>
  <c r="R841" i="35"/>
  <c r="R842" i="35"/>
  <c r="R843" i="35"/>
  <c r="R844" i="35"/>
  <c r="R845" i="35"/>
  <c r="R846" i="35"/>
  <c r="R847" i="35"/>
  <c r="R848" i="35"/>
  <c r="R849" i="35"/>
  <c r="R850" i="35"/>
  <c r="R851" i="35"/>
  <c r="R852" i="35"/>
  <c r="R853" i="35"/>
  <c r="R854" i="35"/>
  <c r="R855" i="35"/>
  <c r="R856" i="35"/>
  <c r="R857" i="35"/>
  <c r="R858" i="35"/>
  <c r="R859" i="35"/>
  <c r="R860" i="35"/>
  <c r="R861" i="35"/>
  <c r="R862" i="35"/>
  <c r="R863" i="35"/>
  <c r="R864" i="35"/>
  <c r="R865" i="35"/>
  <c r="R866" i="35"/>
  <c r="R867" i="35"/>
  <c r="R868" i="35"/>
  <c r="R869" i="35"/>
  <c r="R870" i="35"/>
  <c r="R871" i="35"/>
  <c r="R872" i="35"/>
  <c r="R873" i="35"/>
  <c r="R874" i="35"/>
  <c r="R875" i="35"/>
  <c r="R876" i="35"/>
  <c r="R877" i="35"/>
  <c r="R878" i="35"/>
  <c r="R879" i="35"/>
  <c r="R880" i="35"/>
  <c r="R881" i="35"/>
  <c r="R882" i="35"/>
  <c r="R883" i="35"/>
  <c r="R884" i="35"/>
  <c r="R885" i="35"/>
  <c r="R886" i="35"/>
  <c r="R887" i="35"/>
  <c r="R888" i="35"/>
  <c r="R889" i="35"/>
  <c r="R890" i="35"/>
  <c r="R891" i="35"/>
  <c r="R892" i="35"/>
  <c r="R893" i="35"/>
  <c r="R894" i="35"/>
  <c r="R895" i="35"/>
  <c r="R896" i="35"/>
  <c r="R897" i="35"/>
  <c r="R898" i="35"/>
  <c r="R899" i="35"/>
  <c r="R900" i="35"/>
  <c r="R901" i="35"/>
  <c r="R902" i="35"/>
  <c r="R903" i="35"/>
  <c r="R904" i="35"/>
  <c r="R905" i="35"/>
  <c r="R906" i="35"/>
  <c r="R907" i="35"/>
  <c r="R908" i="35"/>
  <c r="R909" i="35"/>
  <c r="R910" i="35"/>
  <c r="R911" i="35"/>
  <c r="R912" i="35"/>
  <c r="R913" i="35"/>
  <c r="R914" i="35"/>
  <c r="R915" i="35"/>
  <c r="R916" i="35"/>
  <c r="R917" i="35"/>
  <c r="R918" i="35"/>
  <c r="R919" i="35"/>
  <c r="R920" i="35"/>
  <c r="R921" i="35"/>
  <c r="R922" i="35"/>
  <c r="R923" i="35"/>
  <c r="R924" i="35"/>
  <c r="R925" i="35"/>
  <c r="R926" i="35"/>
  <c r="R927" i="35"/>
  <c r="R928" i="35"/>
  <c r="R929" i="35"/>
  <c r="R930" i="35"/>
  <c r="R931" i="35"/>
  <c r="R932" i="35"/>
  <c r="R933" i="35"/>
  <c r="R934" i="35"/>
  <c r="R935" i="35"/>
  <c r="R936" i="35"/>
  <c r="R937" i="35"/>
  <c r="R938" i="35"/>
  <c r="R939" i="35"/>
  <c r="R940" i="35"/>
  <c r="R941" i="35"/>
  <c r="R942" i="35"/>
  <c r="R943" i="35"/>
  <c r="R944" i="35"/>
  <c r="R945" i="35"/>
  <c r="R946" i="35"/>
  <c r="R947" i="35"/>
  <c r="R948" i="35"/>
  <c r="R949" i="35"/>
  <c r="R950" i="35"/>
  <c r="R951" i="35"/>
  <c r="R952" i="35"/>
  <c r="R953" i="35"/>
  <c r="R954" i="35"/>
  <c r="R955" i="35"/>
  <c r="R956" i="35"/>
  <c r="R957" i="35"/>
  <c r="R958" i="35"/>
  <c r="R959" i="35"/>
  <c r="R960" i="35"/>
  <c r="R961" i="35"/>
  <c r="R962" i="35"/>
  <c r="R963" i="35"/>
  <c r="R964" i="35"/>
  <c r="R965" i="35"/>
  <c r="R966" i="35"/>
  <c r="R967" i="35"/>
  <c r="R968" i="35"/>
  <c r="R969" i="35"/>
  <c r="R970" i="35"/>
  <c r="R971" i="35"/>
  <c r="R972" i="35"/>
  <c r="R973" i="35"/>
  <c r="R974" i="35"/>
  <c r="R975" i="35"/>
  <c r="R976" i="35"/>
  <c r="R977" i="35"/>
  <c r="R978" i="35"/>
  <c r="R979" i="35"/>
  <c r="R980" i="35"/>
  <c r="R981" i="35"/>
  <c r="R982" i="35"/>
  <c r="R983" i="35"/>
  <c r="R984" i="35"/>
  <c r="R985" i="35"/>
  <c r="R986" i="35"/>
  <c r="R987" i="35"/>
  <c r="R988" i="35"/>
  <c r="R989" i="35"/>
  <c r="R990" i="35"/>
  <c r="R991" i="35"/>
  <c r="R992" i="35"/>
  <c r="R993" i="35"/>
  <c r="R994" i="35"/>
  <c r="R995" i="35"/>
  <c r="R996" i="35"/>
  <c r="R8" i="35"/>
  <c r="V996" i="35"/>
  <c r="U996" i="35"/>
  <c r="T996" i="35"/>
  <c r="S996" i="35"/>
  <c r="P996" i="35"/>
  <c r="N996" i="35"/>
  <c r="O996" i="35" s="1"/>
  <c r="Q996" i="35" s="1"/>
  <c r="V995" i="35"/>
  <c r="U995" i="35"/>
  <c r="T995" i="35"/>
  <c r="S995" i="35"/>
  <c r="P995" i="35"/>
  <c r="N995" i="35"/>
  <c r="O995" i="35" s="1"/>
  <c r="Q995" i="35" s="1"/>
  <c r="V994" i="35"/>
  <c r="U994" i="35"/>
  <c r="T994" i="35"/>
  <c r="S994" i="35"/>
  <c r="P994" i="35"/>
  <c r="N994" i="35"/>
  <c r="O994" i="35" s="1"/>
  <c r="Q994" i="35" s="1"/>
  <c r="V993" i="35"/>
  <c r="U993" i="35"/>
  <c r="T993" i="35"/>
  <c r="S993" i="35"/>
  <c r="P993" i="35"/>
  <c r="N993" i="35"/>
  <c r="O993" i="35" s="1"/>
  <c r="Q993" i="35" s="1"/>
  <c r="V990" i="35"/>
  <c r="U990" i="35"/>
  <c r="T990" i="35"/>
  <c r="S990" i="35"/>
  <c r="N990" i="35"/>
  <c r="M990" i="35"/>
  <c r="V989" i="35"/>
  <c r="U989" i="35"/>
  <c r="T989" i="35"/>
  <c r="S989" i="35"/>
  <c r="N989" i="35"/>
  <c r="M989" i="35"/>
  <c r="V988" i="35"/>
  <c r="U988" i="35"/>
  <c r="T988" i="35"/>
  <c r="S988" i="35"/>
  <c r="N988" i="35"/>
  <c r="M988" i="35"/>
  <c r="P988" i="35" s="1"/>
  <c r="V987" i="35"/>
  <c r="U987" i="35"/>
  <c r="T987" i="35"/>
  <c r="S987" i="35"/>
  <c r="N987" i="35"/>
  <c r="M987" i="35"/>
  <c r="V986" i="35"/>
  <c r="U986" i="35"/>
  <c r="T986" i="35"/>
  <c r="S986" i="35"/>
  <c r="N986" i="35"/>
  <c r="M986" i="35"/>
  <c r="V985" i="35"/>
  <c r="U985" i="35"/>
  <c r="T985" i="35"/>
  <c r="S985" i="35"/>
  <c r="N985" i="35"/>
  <c r="M985" i="35"/>
  <c r="V984" i="35"/>
  <c r="U984" i="35"/>
  <c r="T984" i="35"/>
  <c r="S984" i="35"/>
  <c r="N984" i="35"/>
  <c r="M984" i="35"/>
  <c r="P984" i="35" s="1"/>
  <c r="V983" i="35"/>
  <c r="U983" i="35"/>
  <c r="T983" i="35"/>
  <c r="S983" i="35"/>
  <c r="N983" i="35"/>
  <c r="M983" i="35"/>
  <c r="P983" i="35" s="1"/>
  <c r="V982" i="35"/>
  <c r="U982" i="35"/>
  <c r="T982" i="35"/>
  <c r="S982" i="35"/>
  <c r="N982" i="35"/>
  <c r="M982" i="35"/>
  <c r="V981" i="35"/>
  <c r="U981" i="35"/>
  <c r="T981" i="35"/>
  <c r="S981" i="35"/>
  <c r="N981" i="35"/>
  <c r="M981" i="35"/>
  <c r="V980" i="35"/>
  <c r="U980" i="35"/>
  <c r="T980" i="35"/>
  <c r="S980" i="35"/>
  <c r="N980" i="35"/>
  <c r="M980" i="35"/>
  <c r="P980" i="35" s="1"/>
  <c r="V979" i="35"/>
  <c r="U979" i="35"/>
  <c r="T979" i="35"/>
  <c r="S979" i="35"/>
  <c r="N979" i="35"/>
  <c r="M979" i="35"/>
  <c r="V975" i="35"/>
  <c r="U975" i="35"/>
  <c r="T975" i="35"/>
  <c r="S975" i="35"/>
  <c r="P975" i="35"/>
  <c r="N975" i="35"/>
  <c r="O975" i="35" s="1"/>
  <c r="Q975" i="35" s="1"/>
  <c r="V972" i="35"/>
  <c r="U972" i="35"/>
  <c r="T972" i="35"/>
  <c r="S972" i="35"/>
  <c r="P972" i="35"/>
  <c r="N972" i="35"/>
  <c r="O972" i="35" s="1"/>
  <c r="Q972" i="35" s="1"/>
  <c r="V971" i="35"/>
  <c r="U971" i="35"/>
  <c r="T971" i="35"/>
  <c r="S971" i="35"/>
  <c r="P971" i="35"/>
  <c r="N971" i="35"/>
  <c r="O971" i="35" s="1"/>
  <c r="Q971" i="35" s="1"/>
  <c r="V970" i="35"/>
  <c r="U970" i="35"/>
  <c r="T970" i="35"/>
  <c r="S970" i="35"/>
  <c r="P970" i="35"/>
  <c r="N970" i="35"/>
  <c r="O970" i="35" s="1"/>
  <c r="Q970" i="35" s="1"/>
  <c r="V969" i="35"/>
  <c r="U969" i="35"/>
  <c r="T969" i="35"/>
  <c r="S969" i="35"/>
  <c r="P969" i="35"/>
  <c r="N969" i="35"/>
  <c r="O969" i="35" s="1"/>
  <c r="Q969" i="35" s="1"/>
  <c r="V966" i="35"/>
  <c r="U966" i="35"/>
  <c r="T966" i="35"/>
  <c r="S966" i="35"/>
  <c r="P966" i="35"/>
  <c r="N966" i="35"/>
  <c r="O966" i="35" s="1"/>
  <c r="Q966" i="35" s="1"/>
  <c r="V965" i="35"/>
  <c r="U965" i="35"/>
  <c r="T965" i="35"/>
  <c r="S965" i="35"/>
  <c r="P965" i="35"/>
  <c r="N965" i="35"/>
  <c r="O965" i="35" s="1"/>
  <c r="Q965" i="35" s="1"/>
  <c r="V964" i="35"/>
  <c r="U964" i="35"/>
  <c r="T964" i="35"/>
  <c r="S964" i="35"/>
  <c r="P964" i="35"/>
  <c r="N964" i="35"/>
  <c r="O964" i="35" s="1"/>
  <c r="Q964" i="35" s="1"/>
  <c r="V963" i="35"/>
  <c r="U963" i="35"/>
  <c r="T963" i="35"/>
  <c r="S963" i="35"/>
  <c r="P963" i="35"/>
  <c r="N963" i="35"/>
  <c r="O963" i="35" s="1"/>
  <c r="Q963" i="35" s="1"/>
  <c r="V960" i="35"/>
  <c r="U960" i="35"/>
  <c r="T960" i="35"/>
  <c r="S960" i="35"/>
  <c r="P960" i="35"/>
  <c r="N960" i="35"/>
  <c r="O960" i="35" s="1"/>
  <c r="Q960" i="35" s="1"/>
  <c r="V959" i="35"/>
  <c r="U959" i="35"/>
  <c r="T959" i="35"/>
  <c r="S959" i="35"/>
  <c r="P959" i="35"/>
  <c r="N959" i="35"/>
  <c r="O959" i="35" s="1"/>
  <c r="Q959" i="35" s="1"/>
  <c r="V958" i="35"/>
  <c r="U958" i="35"/>
  <c r="T958" i="35"/>
  <c r="S958" i="35"/>
  <c r="P958" i="35"/>
  <c r="N958" i="35"/>
  <c r="O958" i="35" s="1"/>
  <c r="Q958" i="35" s="1"/>
  <c r="V957" i="35"/>
  <c r="U957" i="35"/>
  <c r="T957" i="35"/>
  <c r="S957" i="35"/>
  <c r="P957" i="35"/>
  <c r="N957" i="35"/>
  <c r="O957" i="35" s="1"/>
  <c r="Q957" i="35" s="1"/>
  <c r="V954" i="35"/>
  <c r="U954" i="35"/>
  <c r="T954" i="35"/>
  <c r="S954" i="35"/>
  <c r="P954" i="35"/>
  <c r="N954" i="35"/>
  <c r="O954" i="35" s="1"/>
  <c r="Q954" i="35" s="1"/>
  <c r="V953" i="35"/>
  <c r="U953" i="35"/>
  <c r="T953" i="35"/>
  <c r="S953" i="35"/>
  <c r="P953" i="35"/>
  <c r="N953" i="35"/>
  <c r="O953" i="35" s="1"/>
  <c r="Q953" i="35" s="1"/>
  <c r="V952" i="35"/>
  <c r="U952" i="35"/>
  <c r="T952" i="35"/>
  <c r="S952" i="35"/>
  <c r="P952" i="35"/>
  <c r="N952" i="35"/>
  <c r="O952" i="35" s="1"/>
  <c r="Q952" i="35" s="1"/>
  <c r="V949" i="35"/>
  <c r="U949" i="35"/>
  <c r="T949" i="35"/>
  <c r="S949" i="35"/>
  <c r="P949" i="35"/>
  <c r="N949" i="35"/>
  <c r="O949" i="35" s="1"/>
  <c r="Q949" i="35" s="1"/>
  <c r="V946" i="35"/>
  <c r="U946" i="35"/>
  <c r="T946" i="35"/>
  <c r="S946" i="35"/>
  <c r="P946" i="35"/>
  <c r="N946" i="35"/>
  <c r="O946" i="35" s="1"/>
  <c r="Q946" i="35" s="1"/>
  <c r="V945" i="35"/>
  <c r="U945" i="35"/>
  <c r="T945" i="35"/>
  <c r="S945" i="35"/>
  <c r="P945" i="35"/>
  <c r="N945" i="35"/>
  <c r="O945" i="35" s="1"/>
  <c r="Q945" i="35" s="1"/>
  <c r="V944" i="35"/>
  <c r="U944" i="35"/>
  <c r="T944" i="35"/>
  <c r="S944" i="35"/>
  <c r="P944" i="35"/>
  <c r="N944" i="35"/>
  <c r="O944" i="35" s="1"/>
  <c r="Q944" i="35" s="1"/>
  <c r="V941" i="35"/>
  <c r="U941" i="35"/>
  <c r="T941" i="35"/>
  <c r="S941" i="35"/>
  <c r="P941" i="35"/>
  <c r="N941" i="35"/>
  <c r="O941" i="35" s="1"/>
  <c r="Q941" i="35" s="1"/>
  <c r="V940" i="35"/>
  <c r="U940" i="35"/>
  <c r="T940" i="35"/>
  <c r="S940" i="35"/>
  <c r="P940" i="35"/>
  <c r="N940" i="35"/>
  <c r="O940" i="35" s="1"/>
  <c r="Q940" i="35" s="1"/>
  <c r="V939" i="35"/>
  <c r="U939" i="35"/>
  <c r="T939" i="35"/>
  <c r="S939" i="35"/>
  <c r="P939" i="35"/>
  <c r="N939" i="35"/>
  <c r="O939" i="35" s="1"/>
  <c r="Q939" i="35" s="1"/>
  <c r="V936" i="35"/>
  <c r="U936" i="35"/>
  <c r="T936" i="35"/>
  <c r="S936" i="35"/>
  <c r="P936" i="35"/>
  <c r="N936" i="35"/>
  <c r="O936" i="35" s="1"/>
  <c r="Q936" i="35" s="1"/>
  <c r="V935" i="35"/>
  <c r="U935" i="35"/>
  <c r="T935" i="35"/>
  <c r="S935" i="35"/>
  <c r="P935" i="35"/>
  <c r="N935" i="35"/>
  <c r="O935" i="35" s="1"/>
  <c r="Q935" i="35" s="1"/>
  <c r="V932" i="35"/>
  <c r="U932" i="35"/>
  <c r="T932" i="35"/>
  <c r="S932" i="35"/>
  <c r="P932" i="35"/>
  <c r="N932" i="35"/>
  <c r="O932" i="35" s="1"/>
  <c r="Q932" i="35" s="1"/>
  <c r="V929" i="35"/>
  <c r="U929" i="35"/>
  <c r="T929" i="35"/>
  <c r="S929" i="35"/>
  <c r="P929" i="35"/>
  <c r="N929" i="35"/>
  <c r="O929" i="35" s="1"/>
  <c r="Q929" i="35" s="1"/>
  <c r="V928" i="35"/>
  <c r="U928" i="35"/>
  <c r="T928" i="35"/>
  <c r="S928" i="35"/>
  <c r="P928" i="35"/>
  <c r="N928" i="35"/>
  <c r="O928" i="35" s="1"/>
  <c r="Q928" i="35" s="1"/>
  <c r="V925" i="35"/>
  <c r="U925" i="35"/>
  <c r="T925" i="35"/>
  <c r="S925" i="35"/>
  <c r="P925" i="35"/>
  <c r="N925" i="35"/>
  <c r="O925" i="35" s="1"/>
  <c r="Q925" i="35" s="1"/>
  <c r="V924" i="35"/>
  <c r="U924" i="35"/>
  <c r="T924" i="35"/>
  <c r="S924" i="35"/>
  <c r="P924" i="35"/>
  <c r="N924" i="35"/>
  <c r="O924" i="35" s="1"/>
  <c r="Q924" i="35" s="1"/>
  <c r="V921" i="35"/>
  <c r="U921" i="35"/>
  <c r="T921" i="35"/>
  <c r="S921" i="35"/>
  <c r="P921" i="35"/>
  <c r="N921" i="35"/>
  <c r="O921" i="35" s="1"/>
  <c r="Q921" i="35" s="1"/>
  <c r="V920" i="35"/>
  <c r="U920" i="35"/>
  <c r="T920" i="35"/>
  <c r="S920" i="35"/>
  <c r="P920" i="35"/>
  <c r="N920" i="35"/>
  <c r="O920" i="35" s="1"/>
  <c r="Q920" i="35" s="1"/>
  <c r="V917" i="35"/>
  <c r="U917" i="35"/>
  <c r="T917" i="35"/>
  <c r="S917" i="35"/>
  <c r="P917" i="35"/>
  <c r="N917" i="35"/>
  <c r="O917" i="35" s="1"/>
  <c r="Q917" i="35" s="1"/>
  <c r="V916" i="35"/>
  <c r="U916" i="35"/>
  <c r="T916" i="35"/>
  <c r="S916" i="35"/>
  <c r="P916" i="35"/>
  <c r="N916" i="35"/>
  <c r="O916" i="35" s="1"/>
  <c r="Q916" i="35" s="1"/>
  <c r="V913" i="35"/>
  <c r="U913" i="35"/>
  <c r="T913" i="35"/>
  <c r="S913" i="35"/>
  <c r="P913" i="35"/>
  <c r="N913" i="35"/>
  <c r="O913" i="35" s="1"/>
  <c r="Q913" i="35" s="1"/>
  <c r="V912" i="35"/>
  <c r="U912" i="35"/>
  <c r="T912" i="35"/>
  <c r="S912" i="35"/>
  <c r="P912" i="35"/>
  <c r="N912" i="35"/>
  <c r="O912" i="35" s="1"/>
  <c r="Q912" i="35" s="1"/>
  <c r="V909" i="35"/>
  <c r="U909" i="35"/>
  <c r="T909" i="35"/>
  <c r="S909" i="35"/>
  <c r="P909" i="35"/>
  <c r="N909" i="35"/>
  <c r="O909" i="35" s="1"/>
  <c r="Q909" i="35" s="1"/>
  <c r="V908" i="35"/>
  <c r="U908" i="35"/>
  <c r="T908" i="35"/>
  <c r="S908" i="35"/>
  <c r="P908" i="35"/>
  <c r="N908" i="35"/>
  <c r="O908" i="35" s="1"/>
  <c r="Q908" i="35" s="1"/>
  <c r="V905" i="35"/>
  <c r="U905" i="35"/>
  <c r="T905" i="35"/>
  <c r="S905" i="35"/>
  <c r="P905" i="35"/>
  <c r="N905" i="35"/>
  <c r="O905" i="35" s="1"/>
  <c r="Q905" i="35" s="1"/>
  <c r="V904" i="35"/>
  <c r="U904" i="35"/>
  <c r="T904" i="35"/>
  <c r="S904" i="35"/>
  <c r="P904" i="35"/>
  <c r="N904" i="35"/>
  <c r="O904" i="35" s="1"/>
  <c r="Q904" i="35" s="1"/>
  <c r="V901" i="35"/>
  <c r="U901" i="35"/>
  <c r="T901" i="35"/>
  <c r="S901" i="35"/>
  <c r="P901" i="35"/>
  <c r="N901" i="35"/>
  <c r="O901" i="35" s="1"/>
  <c r="Q901" i="35" s="1"/>
  <c r="V900" i="35"/>
  <c r="U900" i="35"/>
  <c r="T900" i="35"/>
  <c r="S900" i="35"/>
  <c r="P900" i="35"/>
  <c r="N900" i="35"/>
  <c r="O900" i="35" s="1"/>
  <c r="Q900" i="35" s="1"/>
  <c r="V897" i="35"/>
  <c r="U897" i="35"/>
  <c r="T897" i="35"/>
  <c r="S897" i="35"/>
  <c r="N897" i="35"/>
  <c r="M897" i="35"/>
  <c r="V896" i="35"/>
  <c r="U896" i="35"/>
  <c r="T896" i="35"/>
  <c r="S896" i="35"/>
  <c r="P896" i="35"/>
  <c r="N896" i="35"/>
  <c r="O896" i="35" s="1"/>
  <c r="Q896" i="35" s="1"/>
  <c r="V895" i="35"/>
  <c r="U895" i="35"/>
  <c r="T895" i="35"/>
  <c r="S895" i="35"/>
  <c r="P895" i="35"/>
  <c r="N895" i="35"/>
  <c r="O895" i="35" s="1"/>
  <c r="Q895" i="35" s="1"/>
  <c r="V894" i="35"/>
  <c r="U894" i="35"/>
  <c r="T894" i="35"/>
  <c r="S894" i="35"/>
  <c r="P894" i="35"/>
  <c r="N894" i="35"/>
  <c r="O894" i="35" s="1"/>
  <c r="Q894" i="35" s="1"/>
  <c r="V893" i="35"/>
  <c r="U893" i="35"/>
  <c r="T893" i="35"/>
  <c r="S893" i="35"/>
  <c r="P893" i="35"/>
  <c r="N893" i="35"/>
  <c r="O893" i="35" s="1"/>
  <c r="Q893" i="35" s="1"/>
  <c r="V892" i="35"/>
  <c r="U892" i="35"/>
  <c r="T892" i="35"/>
  <c r="S892" i="35"/>
  <c r="P892" i="35"/>
  <c r="N892" i="35"/>
  <c r="O892" i="35" s="1"/>
  <c r="Q892" i="35" s="1"/>
  <c r="V891" i="35"/>
  <c r="U891" i="35"/>
  <c r="T891" i="35"/>
  <c r="S891" i="35"/>
  <c r="P891" i="35"/>
  <c r="N891" i="35"/>
  <c r="O891" i="35" s="1"/>
  <c r="Q891" i="35" s="1"/>
  <c r="V890" i="35"/>
  <c r="U890" i="35"/>
  <c r="T890" i="35"/>
  <c r="S890" i="35"/>
  <c r="P890" i="35"/>
  <c r="N890" i="35"/>
  <c r="O890" i="35" s="1"/>
  <c r="Q890" i="35" s="1"/>
  <c r="V889" i="35"/>
  <c r="U889" i="35"/>
  <c r="T889" i="35"/>
  <c r="S889" i="35"/>
  <c r="P889" i="35"/>
  <c r="N889" i="35"/>
  <c r="O889" i="35" s="1"/>
  <c r="Q889" i="35" s="1"/>
  <c r="V886" i="35"/>
  <c r="U886" i="35"/>
  <c r="T886" i="35"/>
  <c r="S886" i="35"/>
  <c r="P886" i="35"/>
  <c r="N886" i="35"/>
  <c r="O886" i="35" s="1"/>
  <c r="Q886" i="35" s="1"/>
  <c r="V885" i="35"/>
  <c r="U885" i="35"/>
  <c r="T885" i="35"/>
  <c r="S885" i="35"/>
  <c r="P885" i="35"/>
  <c r="N885" i="35"/>
  <c r="O885" i="35" s="1"/>
  <c r="Q885" i="35" s="1"/>
  <c r="V882" i="35"/>
  <c r="U882" i="35"/>
  <c r="T882" i="35"/>
  <c r="S882" i="35"/>
  <c r="P882" i="35"/>
  <c r="N882" i="35"/>
  <c r="O882" i="35" s="1"/>
  <c r="Q882" i="35" s="1"/>
  <c r="V881" i="35"/>
  <c r="U881" i="35"/>
  <c r="T881" i="35"/>
  <c r="S881" i="35"/>
  <c r="P881" i="35"/>
  <c r="N881" i="35"/>
  <c r="O881" i="35" s="1"/>
  <c r="Q881" i="35" s="1"/>
  <c r="V878" i="35"/>
  <c r="U878" i="35"/>
  <c r="T878" i="35"/>
  <c r="S878" i="35"/>
  <c r="P878" i="35"/>
  <c r="N878" i="35"/>
  <c r="O878" i="35" s="1"/>
  <c r="Q878" i="35" s="1"/>
  <c r="V877" i="35"/>
  <c r="U877" i="35"/>
  <c r="T877" i="35"/>
  <c r="S877" i="35"/>
  <c r="P877" i="35"/>
  <c r="N877" i="35"/>
  <c r="O877" i="35" s="1"/>
  <c r="Q877" i="35" s="1"/>
  <c r="V874" i="35"/>
  <c r="U874" i="35"/>
  <c r="T874" i="35"/>
  <c r="S874" i="35"/>
  <c r="P874" i="35"/>
  <c r="N874" i="35"/>
  <c r="O874" i="35" s="1"/>
  <c r="Q874" i="35" s="1"/>
  <c r="V873" i="35"/>
  <c r="U873" i="35"/>
  <c r="T873" i="35"/>
  <c r="S873" i="35"/>
  <c r="P873" i="35"/>
  <c r="N873" i="35"/>
  <c r="O873" i="35" s="1"/>
  <c r="Q873" i="35" s="1"/>
  <c r="V872" i="35"/>
  <c r="U872" i="35"/>
  <c r="T872" i="35"/>
  <c r="S872" i="35"/>
  <c r="P872" i="35"/>
  <c r="N872" i="35"/>
  <c r="O872" i="35" s="1"/>
  <c r="Q872" i="35" s="1"/>
  <c r="V871" i="35"/>
  <c r="U871" i="35"/>
  <c r="T871" i="35"/>
  <c r="S871" i="35"/>
  <c r="P871" i="35"/>
  <c r="N871" i="35"/>
  <c r="O871" i="35" s="1"/>
  <c r="Q871" i="35" s="1"/>
  <c r="V870" i="35"/>
  <c r="U870" i="35"/>
  <c r="T870" i="35"/>
  <c r="S870" i="35"/>
  <c r="P870" i="35"/>
  <c r="N870" i="35"/>
  <c r="O870" i="35" s="1"/>
  <c r="Q870" i="35" s="1"/>
  <c r="V867" i="35"/>
  <c r="U867" i="35"/>
  <c r="T867" i="35"/>
  <c r="S867" i="35"/>
  <c r="P867" i="35"/>
  <c r="N867" i="35"/>
  <c r="O867" i="35" s="1"/>
  <c r="Q867" i="35" s="1"/>
  <c r="V866" i="35"/>
  <c r="U866" i="35"/>
  <c r="T866" i="35"/>
  <c r="S866" i="35"/>
  <c r="P866" i="35"/>
  <c r="N866" i="35"/>
  <c r="O866" i="35" s="1"/>
  <c r="Q866" i="35" s="1"/>
  <c r="V864" i="35"/>
  <c r="U864" i="35"/>
  <c r="T864" i="35"/>
  <c r="S864" i="35"/>
  <c r="P864" i="35"/>
  <c r="N864" i="35"/>
  <c r="O864" i="35" s="1"/>
  <c r="Q864" i="35" s="1"/>
  <c r="V861" i="35"/>
  <c r="U861" i="35"/>
  <c r="T861" i="35"/>
  <c r="S861" i="35"/>
  <c r="P861" i="35"/>
  <c r="N861" i="35"/>
  <c r="O861" i="35" s="1"/>
  <c r="Q861" i="35" s="1"/>
  <c r="V860" i="35"/>
  <c r="U860" i="35"/>
  <c r="T860" i="35"/>
  <c r="S860" i="35"/>
  <c r="P860" i="35"/>
  <c r="N860" i="35"/>
  <c r="O860" i="35" s="1"/>
  <c r="Q860" i="35" s="1"/>
  <c r="V859" i="35"/>
  <c r="U859" i="35"/>
  <c r="T859" i="35"/>
  <c r="S859" i="35"/>
  <c r="P859" i="35"/>
  <c r="N859" i="35"/>
  <c r="O859" i="35" s="1"/>
  <c r="Q859" i="35" s="1"/>
  <c r="V858" i="35"/>
  <c r="U858" i="35"/>
  <c r="T858" i="35"/>
  <c r="S858" i="35"/>
  <c r="N858" i="35"/>
  <c r="M858" i="35"/>
  <c r="V857" i="35"/>
  <c r="U857" i="35"/>
  <c r="T857" i="35"/>
  <c r="S857" i="35"/>
  <c r="N857" i="35"/>
  <c r="M857" i="35"/>
  <c r="V856" i="35"/>
  <c r="U856" i="35"/>
  <c r="T856" i="35"/>
  <c r="S856" i="35"/>
  <c r="P856" i="35"/>
  <c r="N856" i="35"/>
  <c r="O856" i="35" s="1"/>
  <c r="Q856" i="35" s="1"/>
  <c r="V855" i="35"/>
  <c r="U855" i="35"/>
  <c r="T855" i="35"/>
  <c r="S855" i="35"/>
  <c r="P855" i="35"/>
  <c r="N855" i="35"/>
  <c r="O855" i="35" s="1"/>
  <c r="Q855" i="35" s="1"/>
  <c r="V854" i="35"/>
  <c r="U854" i="35"/>
  <c r="T854" i="35"/>
  <c r="S854" i="35"/>
  <c r="P854" i="35"/>
  <c r="N854" i="35"/>
  <c r="O854" i="35" s="1"/>
  <c r="Q854" i="35" s="1"/>
  <c r="V853" i="35"/>
  <c r="U853" i="35"/>
  <c r="T853" i="35"/>
  <c r="S853" i="35"/>
  <c r="P853" i="35"/>
  <c r="N853" i="35"/>
  <c r="O853" i="35" s="1"/>
  <c r="Q853" i="35" s="1"/>
  <c r="V852" i="35"/>
  <c r="U852" i="35"/>
  <c r="T852" i="35"/>
  <c r="S852" i="35"/>
  <c r="P852" i="35"/>
  <c r="N852" i="35"/>
  <c r="O852" i="35" s="1"/>
  <c r="Q852" i="35" s="1"/>
  <c r="V851" i="35"/>
  <c r="U851" i="35"/>
  <c r="T851" i="35"/>
  <c r="S851" i="35"/>
  <c r="P851" i="35"/>
  <c r="N851" i="35"/>
  <c r="O851" i="35" s="1"/>
  <c r="Q851" i="35" s="1"/>
  <c r="V850" i="35"/>
  <c r="U850" i="35"/>
  <c r="T850" i="35"/>
  <c r="S850" i="35"/>
  <c r="P850" i="35"/>
  <c r="N850" i="35"/>
  <c r="O850" i="35" s="1"/>
  <c r="Q850" i="35" s="1"/>
  <c r="V849" i="35"/>
  <c r="U849" i="35"/>
  <c r="T849" i="35"/>
  <c r="S849" i="35"/>
  <c r="P849" i="35"/>
  <c r="N849" i="35"/>
  <c r="O849" i="35" s="1"/>
  <c r="Q849" i="35" s="1"/>
  <c r="V848" i="35"/>
  <c r="U848" i="35"/>
  <c r="T848" i="35"/>
  <c r="S848" i="35"/>
  <c r="P848" i="35"/>
  <c r="N848" i="35"/>
  <c r="O848" i="35" s="1"/>
  <c r="Q848" i="35" s="1"/>
  <c r="V847" i="35"/>
  <c r="U847" i="35"/>
  <c r="T847" i="35"/>
  <c r="S847" i="35"/>
  <c r="P847" i="35"/>
  <c r="N847" i="35"/>
  <c r="O847" i="35" s="1"/>
  <c r="Q847" i="35" s="1"/>
  <c r="V844" i="35"/>
  <c r="U844" i="35"/>
  <c r="T844" i="35"/>
  <c r="S844" i="35"/>
  <c r="P844" i="35"/>
  <c r="N844" i="35"/>
  <c r="O844" i="35" s="1"/>
  <c r="Q844" i="35" s="1"/>
  <c r="V843" i="35"/>
  <c r="U843" i="35"/>
  <c r="T843" i="35"/>
  <c r="S843" i="35"/>
  <c r="P843" i="35"/>
  <c r="N843" i="35"/>
  <c r="O843" i="35" s="1"/>
  <c r="Q843" i="35" s="1"/>
  <c r="V840" i="35"/>
  <c r="U840" i="35"/>
  <c r="T840" i="35"/>
  <c r="S840" i="35"/>
  <c r="P840" i="35"/>
  <c r="N840" i="35"/>
  <c r="O840" i="35" s="1"/>
  <c r="Q840" i="35" s="1"/>
  <c r="V839" i="35"/>
  <c r="U839" i="35"/>
  <c r="T839" i="35"/>
  <c r="S839" i="35"/>
  <c r="P839" i="35"/>
  <c r="N839" i="35"/>
  <c r="O839" i="35" s="1"/>
  <c r="Q839" i="35" s="1"/>
  <c r="V836" i="35"/>
  <c r="U836" i="35"/>
  <c r="T836" i="35"/>
  <c r="S836" i="35"/>
  <c r="P836" i="35"/>
  <c r="N836" i="35"/>
  <c r="O836" i="35" s="1"/>
  <c r="Q836" i="35" s="1"/>
  <c r="V835" i="35"/>
  <c r="U835" i="35"/>
  <c r="T835" i="35"/>
  <c r="S835" i="35"/>
  <c r="P835" i="35"/>
  <c r="N835" i="35"/>
  <c r="O835" i="35" s="1"/>
  <c r="Q835" i="35" s="1"/>
  <c r="V834" i="35"/>
  <c r="U834" i="35"/>
  <c r="T834" i="35"/>
  <c r="S834" i="35"/>
  <c r="P834" i="35"/>
  <c r="N834" i="35"/>
  <c r="O834" i="35" s="1"/>
  <c r="Q834" i="35" s="1"/>
  <c r="V833" i="35"/>
  <c r="U833" i="35"/>
  <c r="T833" i="35"/>
  <c r="S833" i="35"/>
  <c r="P833" i="35"/>
  <c r="N833" i="35"/>
  <c r="O833" i="35" s="1"/>
  <c r="Q833" i="35" s="1"/>
  <c r="V830" i="35"/>
  <c r="U830" i="35"/>
  <c r="T830" i="35"/>
  <c r="S830" i="35"/>
  <c r="P830" i="35"/>
  <c r="N830" i="35"/>
  <c r="O830" i="35" s="1"/>
  <c r="Q830" i="35" s="1"/>
  <c r="V827" i="35"/>
  <c r="U827" i="35"/>
  <c r="T827" i="35"/>
  <c r="S827" i="35"/>
  <c r="P827" i="35"/>
  <c r="N827" i="35"/>
  <c r="O827" i="35" s="1"/>
  <c r="Q827" i="35" s="1"/>
  <c r="V826" i="35"/>
  <c r="U826" i="35"/>
  <c r="T826" i="35"/>
  <c r="S826" i="35"/>
  <c r="P826" i="35"/>
  <c r="N826" i="35"/>
  <c r="O826" i="35" s="1"/>
  <c r="Q826" i="35" s="1"/>
  <c r="V825" i="35"/>
  <c r="U825" i="35"/>
  <c r="T825" i="35"/>
  <c r="S825" i="35"/>
  <c r="P825" i="35"/>
  <c r="N825" i="35"/>
  <c r="O825" i="35" s="1"/>
  <c r="Q825" i="35" s="1"/>
  <c r="V824" i="35"/>
  <c r="U824" i="35"/>
  <c r="T824" i="35"/>
  <c r="S824" i="35"/>
  <c r="P824" i="35"/>
  <c r="N824" i="35"/>
  <c r="O824" i="35" s="1"/>
  <c r="Q824" i="35" s="1"/>
  <c r="V823" i="35"/>
  <c r="U823" i="35"/>
  <c r="T823" i="35"/>
  <c r="S823" i="35"/>
  <c r="P823" i="35"/>
  <c r="N823" i="35"/>
  <c r="O823" i="35" s="1"/>
  <c r="Q823" i="35" s="1"/>
  <c r="V822" i="35"/>
  <c r="U822" i="35"/>
  <c r="T822" i="35"/>
  <c r="S822" i="35"/>
  <c r="P822" i="35"/>
  <c r="N822" i="35"/>
  <c r="O822" i="35" s="1"/>
  <c r="Q822" i="35" s="1"/>
  <c r="V821" i="35"/>
  <c r="U821" i="35"/>
  <c r="T821" i="35"/>
  <c r="S821" i="35"/>
  <c r="P821" i="35"/>
  <c r="N821" i="35"/>
  <c r="O821" i="35" s="1"/>
  <c r="Q821" i="35" s="1"/>
  <c r="V820" i="35"/>
  <c r="U820" i="35"/>
  <c r="T820" i="35"/>
  <c r="S820" i="35"/>
  <c r="P820" i="35"/>
  <c r="N820" i="35"/>
  <c r="O820" i="35" s="1"/>
  <c r="Q820" i="35" s="1"/>
  <c r="V819" i="35"/>
  <c r="U819" i="35"/>
  <c r="T819" i="35"/>
  <c r="S819" i="35"/>
  <c r="P819" i="35"/>
  <c r="N819" i="35"/>
  <c r="O819" i="35" s="1"/>
  <c r="Q819" i="35" s="1"/>
  <c r="V818" i="35"/>
  <c r="U818" i="35"/>
  <c r="T818" i="35"/>
  <c r="S818" i="35"/>
  <c r="P818" i="35"/>
  <c r="N818" i="35"/>
  <c r="O818" i="35" s="1"/>
  <c r="Q818" i="35" s="1"/>
  <c r="V817" i="35"/>
  <c r="U817" i="35"/>
  <c r="T817" i="35"/>
  <c r="S817" i="35"/>
  <c r="P817" i="35"/>
  <c r="N817" i="35"/>
  <c r="O817" i="35" s="1"/>
  <c r="Q817" i="35" s="1"/>
  <c r="V814" i="35"/>
  <c r="U814" i="35"/>
  <c r="T814" i="35"/>
  <c r="S814" i="35"/>
  <c r="N814" i="35"/>
  <c r="M814" i="35"/>
  <c r="P814" i="35" s="1"/>
  <c r="V813" i="35"/>
  <c r="U813" i="35"/>
  <c r="T813" i="35"/>
  <c r="S813" i="35"/>
  <c r="N813" i="35"/>
  <c r="M813" i="35"/>
  <c r="P813" i="35" s="1"/>
  <c r="V812" i="35"/>
  <c r="U812" i="35"/>
  <c r="T812" i="35"/>
  <c r="S812" i="35"/>
  <c r="N812" i="35"/>
  <c r="M812" i="35"/>
  <c r="V811" i="35"/>
  <c r="U811" i="35"/>
  <c r="T811" i="35"/>
  <c r="S811" i="35"/>
  <c r="N811" i="35"/>
  <c r="M811" i="35"/>
  <c r="P811" i="35" s="1"/>
  <c r="V810" i="35"/>
  <c r="U810" i="35"/>
  <c r="T810" i="35"/>
  <c r="S810" i="35"/>
  <c r="N810" i="35"/>
  <c r="M810" i="35"/>
  <c r="V809" i="35"/>
  <c r="U809" i="35"/>
  <c r="T809" i="35"/>
  <c r="S809" i="35"/>
  <c r="N809" i="35"/>
  <c r="M809" i="35"/>
  <c r="V808" i="35"/>
  <c r="U808" i="35"/>
  <c r="T808" i="35"/>
  <c r="S808" i="35"/>
  <c r="N808" i="35"/>
  <c r="M808" i="35"/>
  <c r="V807" i="35"/>
  <c r="U807" i="35"/>
  <c r="T807" i="35"/>
  <c r="S807" i="35"/>
  <c r="N807" i="35"/>
  <c r="M807" i="35"/>
  <c r="V806" i="35"/>
  <c r="U806" i="35"/>
  <c r="T806" i="35"/>
  <c r="S806" i="35"/>
  <c r="N806" i="35"/>
  <c r="M806" i="35"/>
  <c r="P806" i="35" s="1"/>
  <c r="V805" i="35"/>
  <c r="U805" i="35"/>
  <c r="T805" i="35"/>
  <c r="S805" i="35"/>
  <c r="N805" i="35"/>
  <c r="M805" i="35"/>
  <c r="P805" i="35" s="1"/>
  <c r="V804" i="35"/>
  <c r="U804" i="35"/>
  <c r="T804" i="35"/>
  <c r="S804" i="35"/>
  <c r="N804" i="35"/>
  <c r="M804" i="35"/>
  <c r="P804" i="35" s="1"/>
  <c r="V803" i="35"/>
  <c r="U803" i="35"/>
  <c r="T803" i="35"/>
  <c r="S803" i="35"/>
  <c r="P803" i="35"/>
  <c r="N803" i="35"/>
  <c r="O803" i="35" s="1"/>
  <c r="Q803" i="35" s="1"/>
  <c r="V802" i="35"/>
  <c r="U802" i="35"/>
  <c r="T802" i="35"/>
  <c r="S802" i="35"/>
  <c r="P802" i="35"/>
  <c r="N802" i="35"/>
  <c r="O802" i="35" s="1"/>
  <c r="Q802" i="35" s="1"/>
  <c r="V801" i="35"/>
  <c r="U801" i="35"/>
  <c r="T801" i="35"/>
  <c r="S801" i="35"/>
  <c r="P801" i="35"/>
  <c r="N801" i="35"/>
  <c r="O801" i="35" s="1"/>
  <c r="Q801" i="35" s="1"/>
  <c r="V800" i="35"/>
  <c r="U800" i="35"/>
  <c r="T800" i="35"/>
  <c r="S800" i="35"/>
  <c r="P800" i="35"/>
  <c r="N800" i="35"/>
  <c r="O800" i="35" s="1"/>
  <c r="Q800" i="35" s="1"/>
  <c r="V797" i="35"/>
  <c r="U797" i="35"/>
  <c r="T797" i="35"/>
  <c r="S797" i="35"/>
  <c r="P797" i="35"/>
  <c r="N797" i="35"/>
  <c r="O797" i="35" s="1"/>
  <c r="Q797" i="35" s="1"/>
  <c r="V796" i="35"/>
  <c r="U796" i="35"/>
  <c r="T796" i="35"/>
  <c r="S796" i="35"/>
  <c r="P796" i="35"/>
  <c r="N796" i="35"/>
  <c r="O796" i="35" s="1"/>
  <c r="Q796" i="35" s="1"/>
  <c r="V793" i="35"/>
  <c r="U793" i="35"/>
  <c r="T793" i="35"/>
  <c r="S793" i="35"/>
  <c r="N793" i="35"/>
  <c r="M793" i="35"/>
  <c r="V790" i="35"/>
  <c r="U790" i="35"/>
  <c r="T790" i="35"/>
  <c r="S790" i="35"/>
  <c r="P790" i="35"/>
  <c r="N790" i="35"/>
  <c r="O790" i="35" s="1"/>
  <c r="Q790" i="35" s="1"/>
  <c r="V788" i="35"/>
  <c r="U788" i="35"/>
  <c r="T788" i="35"/>
  <c r="S788" i="35"/>
  <c r="N788" i="35"/>
  <c r="M788" i="35"/>
  <c r="V787" i="35"/>
  <c r="U787" i="35"/>
  <c r="T787" i="35"/>
  <c r="S787" i="35"/>
  <c r="N787" i="35"/>
  <c r="M787" i="35"/>
  <c r="V786" i="35"/>
  <c r="U786" i="35"/>
  <c r="T786" i="35"/>
  <c r="S786" i="35"/>
  <c r="N786" i="35"/>
  <c r="M786" i="35"/>
  <c r="V784" i="35"/>
  <c r="U784" i="35"/>
  <c r="T784" i="35"/>
  <c r="S784" i="35"/>
  <c r="P784" i="35"/>
  <c r="N784" i="35"/>
  <c r="O784" i="35" s="1"/>
  <c r="Q784" i="35" s="1"/>
  <c r="V783" i="35"/>
  <c r="U783" i="35"/>
  <c r="T783" i="35"/>
  <c r="S783" i="35"/>
  <c r="N783" i="35"/>
  <c r="M783" i="35"/>
  <c r="V782" i="35"/>
  <c r="U782" i="35"/>
  <c r="T782" i="35"/>
  <c r="S782" i="35"/>
  <c r="N782" i="35"/>
  <c r="M782" i="35"/>
  <c r="V781" i="35"/>
  <c r="U781" i="35"/>
  <c r="T781" i="35"/>
  <c r="S781" i="35"/>
  <c r="N781" i="35"/>
  <c r="M781" i="35"/>
  <c r="V780" i="35"/>
  <c r="U780" i="35"/>
  <c r="T780" i="35"/>
  <c r="S780" i="35"/>
  <c r="N780" i="35"/>
  <c r="M780" i="35"/>
  <c r="V779" i="35"/>
  <c r="U779" i="35"/>
  <c r="T779" i="35"/>
  <c r="S779" i="35"/>
  <c r="N779" i="35"/>
  <c r="M779" i="35"/>
  <c r="V778" i="35"/>
  <c r="U778" i="35"/>
  <c r="T778" i="35"/>
  <c r="S778" i="35"/>
  <c r="N778" i="35"/>
  <c r="M778" i="35"/>
  <c r="V777" i="35"/>
  <c r="U777" i="35"/>
  <c r="T777" i="35"/>
  <c r="S777" i="35"/>
  <c r="N777" i="35"/>
  <c r="M777" i="35"/>
  <c r="V776" i="35"/>
  <c r="U776" i="35"/>
  <c r="T776" i="35"/>
  <c r="S776" i="35"/>
  <c r="N776" i="35"/>
  <c r="M776" i="35"/>
  <c r="V775" i="35"/>
  <c r="U775" i="35"/>
  <c r="T775" i="35"/>
  <c r="S775" i="35"/>
  <c r="N775" i="35"/>
  <c r="M775" i="35"/>
  <c r="V774" i="35"/>
  <c r="U774" i="35"/>
  <c r="T774" i="35"/>
  <c r="S774" i="35"/>
  <c r="N774" i="35"/>
  <c r="M774" i="35"/>
  <c r="V773" i="35"/>
  <c r="U773" i="35"/>
  <c r="T773" i="35"/>
  <c r="S773" i="35"/>
  <c r="N773" i="35"/>
  <c r="M773" i="35"/>
  <c r="V772" i="35"/>
  <c r="U772" i="35"/>
  <c r="T772" i="35"/>
  <c r="S772" i="35"/>
  <c r="N772" i="35"/>
  <c r="M772" i="35"/>
  <c r="V771" i="35"/>
  <c r="U771" i="35"/>
  <c r="T771" i="35"/>
  <c r="S771" i="35"/>
  <c r="N771" i="35"/>
  <c r="M771" i="35"/>
  <c r="V770" i="35"/>
  <c r="U770" i="35"/>
  <c r="T770" i="35"/>
  <c r="S770" i="35"/>
  <c r="N770" i="35"/>
  <c r="M770" i="35"/>
  <c r="V769" i="35"/>
  <c r="U769" i="35"/>
  <c r="T769" i="35"/>
  <c r="S769" i="35"/>
  <c r="N769" i="35"/>
  <c r="M769" i="35"/>
  <c r="V768" i="35"/>
  <c r="U768" i="35"/>
  <c r="T768" i="35"/>
  <c r="S768" i="35"/>
  <c r="N768" i="35"/>
  <c r="M768" i="35"/>
  <c r="V767" i="35"/>
  <c r="U767" i="35"/>
  <c r="T767" i="35"/>
  <c r="S767" i="35"/>
  <c r="N767" i="35"/>
  <c r="M767" i="35"/>
  <c r="V766" i="35"/>
  <c r="U766" i="35"/>
  <c r="T766" i="35"/>
  <c r="S766" i="35"/>
  <c r="N766" i="35"/>
  <c r="M766" i="35"/>
  <c r="V765" i="35"/>
  <c r="U765" i="35"/>
  <c r="T765" i="35"/>
  <c r="S765" i="35"/>
  <c r="N765" i="35"/>
  <c r="M765" i="35"/>
  <c r="V764" i="35"/>
  <c r="U764" i="35"/>
  <c r="T764" i="35"/>
  <c r="S764" i="35"/>
  <c r="N764" i="35"/>
  <c r="M764" i="35"/>
  <c r="V763" i="35"/>
  <c r="U763" i="35"/>
  <c r="T763" i="35"/>
  <c r="S763" i="35"/>
  <c r="N763" i="35"/>
  <c r="M763" i="35"/>
  <c r="V762" i="35"/>
  <c r="U762" i="35"/>
  <c r="T762" i="35"/>
  <c r="S762" i="35"/>
  <c r="N762" i="35"/>
  <c r="M762" i="35"/>
  <c r="V761" i="35"/>
  <c r="U761" i="35"/>
  <c r="T761" i="35"/>
  <c r="S761" i="35"/>
  <c r="N761" i="35"/>
  <c r="M761" i="35"/>
  <c r="V760" i="35"/>
  <c r="U760" i="35"/>
  <c r="T760" i="35"/>
  <c r="S760" i="35"/>
  <c r="N760" i="35"/>
  <c r="M760" i="35"/>
  <c r="V759" i="35"/>
  <c r="U759" i="35"/>
  <c r="T759" i="35"/>
  <c r="S759" i="35"/>
  <c r="N759" i="35"/>
  <c r="M759" i="35"/>
  <c r="V758" i="35"/>
  <c r="U758" i="35"/>
  <c r="T758" i="35"/>
  <c r="S758" i="35"/>
  <c r="N758" i="35"/>
  <c r="M758" i="35"/>
  <c r="V757" i="35"/>
  <c r="U757" i="35"/>
  <c r="T757" i="35"/>
  <c r="S757" i="35"/>
  <c r="N757" i="35"/>
  <c r="M757" i="35"/>
  <c r="V756" i="35"/>
  <c r="U756" i="35"/>
  <c r="T756" i="35"/>
  <c r="S756" i="35"/>
  <c r="N756" i="35"/>
  <c r="M756" i="35"/>
  <c r="V755" i="35"/>
  <c r="U755" i="35"/>
  <c r="T755" i="35"/>
  <c r="S755" i="35"/>
  <c r="N755" i="35"/>
  <c r="M755" i="35"/>
  <c r="V754" i="35"/>
  <c r="U754" i="35"/>
  <c r="T754" i="35"/>
  <c r="S754" i="35"/>
  <c r="N754" i="35"/>
  <c r="M754" i="35"/>
  <c r="V753" i="35"/>
  <c r="U753" i="35"/>
  <c r="T753" i="35"/>
  <c r="S753" i="35"/>
  <c r="N753" i="35"/>
  <c r="M753" i="35"/>
  <c r="V752" i="35"/>
  <c r="U752" i="35"/>
  <c r="T752" i="35"/>
  <c r="S752" i="35"/>
  <c r="N752" i="35"/>
  <c r="M752" i="35"/>
  <c r="V751" i="35"/>
  <c r="U751" i="35"/>
  <c r="T751" i="35"/>
  <c r="S751" i="35"/>
  <c r="P751" i="35"/>
  <c r="N751" i="35"/>
  <c r="O751" i="35" s="1"/>
  <c r="Q751" i="35" s="1"/>
  <c r="V750" i="35"/>
  <c r="U750" i="35"/>
  <c r="T750" i="35"/>
  <c r="S750" i="35"/>
  <c r="N750" i="35"/>
  <c r="M750" i="35"/>
  <c r="V749" i="35"/>
  <c r="U749" i="35"/>
  <c r="T749" i="35"/>
  <c r="S749" i="35"/>
  <c r="N749" i="35"/>
  <c r="M749" i="35"/>
  <c r="V748" i="35"/>
  <c r="U748" i="35"/>
  <c r="T748" i="35"/>
  <c r="S748" i="35"/>
  <c r="N748" i="35"/>
  <c r="M748" i="35"/>
  <c r="V747" i="35"/>
  <c r="U747" i="35"/>
  <c r="T747" i="35"/>
  <c r="S747" i="35"/>
  <c r="N747" i="35"/>
  <c r="M747" i="35"/>
  <c r="V746" i="35"/>
  <c r="U746" i="35"/>
  <c r="T746" i="35"/>
  <c r="S746" i="35"/>
  <c r="N746" i="35"/>
  <c r="M746" i="35"/>
  <c r="V745" i="35"/>
  <c r="U745" i="35"/>
  <c r="T745" i="35"/>
  <c r="S745" i="35"/>
  <c r="N745" i="35"/>
  <c r="M745" i="35"/>
  <c r="V744" i="35"/>
  <c r="U744" i="35"/>
  <c r="T744" i="35"/>
  <c r="S744" i="35"/>
  <c r="P744" i="35"/>
  <c r="N744" i="35"/>
  <c r="O744" i="35" s="1"/>
  <c r="Q744" i="35" s="1"/>
  <c r="V743" i="35"/>
  <c r="U743" i="35"/>
  <c r="T743" i="35"/>
  <c r="S743" i="35"/>
  <c r="N743" i="35"/>
  <c r="M743" i="35"/>
  <c r="V742" i="35"/>
  <c r="U742" i="35"/>
  <c r="T742" i="35"/>
  <c r="S742" i="35"/>
  <c r="P742" i="35"/>
  <c r="N742" i="35"/>
  <c r="O742" i="35" s="1"/>
  <c r="Q742" i="35" s="1"/>
  <c r="V741" i="35"/>
  <c r="U741" i="35"/>
  <c r="T741" i="35"/>
  <c r="S741" i="35"/>
  <c r="P741" i="35"/>
  <c r="N741" i="35"/>
  <c r="O741" i="35" s="1"/>
  <c r="Q741" i="35" s="1"/>
  <c r="V740" i="35"/>
  <c r="U740" i="35"/>
  <c r="T740" i="35"/>
  <c r="S740" i="35"/>
  <c r="N740" i="35"/>
  <c r="M740" i="35"/>
  <c r="P740" i="35" s="1"/>
  <c r="V739" i="35"/>
  <c r="U739" i="35"/>
  <c r="T739" i="35"/>
  <c r="S739" i="35"/>
  <c r="N739" i="35"/>
  <c r="M739" i="35"/>
  <c r="V738" i="35"/>
  <c r="U738" i="35"/>
  <c r="T738" i="35"/>
  <c r="S738" i="35"/>
  <c r="N738" i="35"/>
  <c r="M738" i="35"/>
  <c r="V737" i="35"/>
  <c r="U737" i="35"/>
  <c r="T737" i="35"/>
  <c r="S737" i="35"/>
  <c r="N737" i="35"/>
  <c r="M737" i="35"/>
  <c r="V736" i="35"/>
  <c r="U736" i="35"/>
  <c r="T736" i="35"/>
  <c r="S736" i="35"/>
  <c r="N736" i="35"/>
  <c r="M736" i="35"/>
  <c r="V735" i="35"/>
  <c r="U735" i="35"/>
  <c r="T735" i="35"/>
  <c r="S735" i="35"/>
  <c r="P735" i="35"/>
  <c r="N735" i="35"/>
  <c r="O735" i="35" s="1"/>
  <c r="Q735" i="35" s="1"/>
  <c r="V734" i="35"/>
  <c r="U734" i="35"/>
  <c r="T734" i="35"/>
  <c r="S734" i="35"/>
  <c r="P734" i="35"/>
  <c r="N734" i="35"/>
  <c r="O734" i="35" s="1"/>
  <c r="Q734" i="35" s="1"/>
  <c r="V733" i="35"/>
  <c r="U733" i="35"/>
  <c r="T733" i="35"/>
  <c r="S733" i="35"/>
  <c r="P733" i="35"/>
  <c r="N733" i="35"/>
  <c r="O733" i="35" s="1"/>
  <c r="Q733" i="35" s="1"/>
  <c r="V732" i="35"/>
  <c r="U732" i="35"/>
  <c r="T732" i="35"/>
  <c r="S732" i="35"/>
  <c r="P732" i="35"/>
  <c r="N732" i="35"/>
  <c r="O732" i="35" s="1"/>
  <c r="Q732" i="35" s="1"/>
  <c r="V731" i="35"/>
  <c r="U731" i="35"/>
  <c r="T731" i="35"/>
  <c r="S731" i="35"/>
  <c r="N731" i="35"/>
  <c r="M731" i="35"/>
  <c r="V730" i="35"/>
  <c r="U730" i="35"/>
  <c r="T730" i="35"/>
  <c r="S730" i="35"/>
  <c r="N730" i="35"/>
  <c r="M730" i="35"/>
  <c r="V729" i="35"/>
  <c r="U729" i="35"/>
  <c r="T729" i="35"/>
  <c r="S729" i="35"/>
  <c r="N729" i="35"/>
  <c r="M729" i="35"/>
  <c r="V728" i="35"/>
  <c r="U728" i="35"/>
  <c r="T728" i="35"/>
  <c r="S728" i="35"/>
  <c r="N728" i="35"/>
  <c r="M728" i="35"/>
  <c r="V727" i="35"/>
  <c r="U727" i="35"/>
  <c r="T727" i="35"/>
  <c r="S727" i="35"/>
  <c r="N727" i="35"/>
  <c r="M727" i="35"/>
  <c r="V726" i="35"/>
  <c r="U726" i="35"/>
  <c r="T726" i="35"/>
  <c r="S726" i="35"/>
  <c r="N726" i="35"/>
  <c r="M726" i="35"/>
  <c r="V725" i="35"/>
  <c r="U725" i="35"/>
  <c r="T725" i="35"/>
  <c r="S725" i="35"/>
  <c r="N725" i="35"/>
  <c r="M725" i="35"/>
  <c r="V724" i="35"/>
  <c r="U724" i="35"/>
  <c r="T724" i="35"/>
  <c r="S724" i="35"/>
  <c r="N724" i="35"/>
  <c r="M724" i="35"/>
  <c r="V723" i="35"/>
  <c r="U723" i="35"/>
  <c r="T723" i="35"/>
  <c r="S723" i="35"/>
  <c r="N723" i="35"/>
  <c r="M723" i="35"/>
  <c r="V722" i="35"/>
  <c r="U722" i="35"/>
  <c r="T722" i="35"/>
  <c r="S722" i="35"/>
  <c r="N722" i="35"/>
  <c r="M722" i="35"/>
  <c r="V721" i="35"/>
  <c r="U721" i="35"/>
  <c r="T721" i="35"/>
  <c r="S721" i="35"/>
  <c r="N721" i="35"/>
  <c r="M721" i="35"/>
  <c r="V720" i="35"/>
  <c r="U720" i="35"/>
  <c r="T720" i="35"/>
  <c r="S720" i="35"/>
  <c r="N720" i="35"/>
  <c r="M720" i="35"/>
  <c r="V719" i="35"/>
  <c r="U719" i="35"/>
  <c r="T719" i="35"/>
  <c r="S719" i="35"/>
  <c r="N719" i="35"/>
  <c r="M719" i="35"/>
  <c r="V718" i="35"/>
  <c r="U718" i="35"/>
  <c r="T718" i="35"/>
  <c r="S718" i="35"/>
  <c r="N718" i="35"/>
  <c r="M718" i="35"/>
  <c r="V717" i="35"/>
  <c r="U717" i="35"/>
  <c r="T717" i="35"/>
  <c r="S717" i="35"/>
  <c r="P717" i="35"/>
  <c r="N717" i="35"/>
  <c r="O717" i="35" s="1"/>
  <c r="Q717" i="35" s="1"/>
  <c r="V716" i="35"/>
  <c r="U716" i="35"/>
  <c r="T716" i="35"/>
  <c r="S716" i="35"/>
  <c r="N716" i="35"/>
  <c r="M716" i="35"/>
  <c r="V715" i="35"/>
  <c r="U715" i="35"/>
  <c r="T715" i="35"/>
  <c r="S715" i="35"/>
  <c r="P715" i="35"/>
  <c r="N715" i="35"/>
  <c r="O715" i="35" s="1"/>
  <c r="Q715" i="35" s="1"/>
  <c r="V714" i="35"/>
  <c r="U714" i="35"/>
  <c r="T714" i="35"/>
  <c r="S714" i="35"/>
  <c r="N714" i="35"/>
  <c r="M714" i="35"/>
  <c r="V713" i="35"/>
  <c r="U713" i="35"/>
  <c r="T713" i="35"/>
  <c r="S713" i="35"/>
  <c r="N713" i="35"/>
  <c r="M713" i="35"/>
  <c r="V712" i="35"/>
  <c r="U712" i="35"/>
  <c r="T712" i="35"/>
  <c r="S712" i="35"/>
  <c r="N712" i="35"/>
  <c r="M712" i="35"/>
  <c r="V711" i="35"/>
  <c r="U711" i="35"/>
  <c r="T711" i="35"/>
  <c r="S711" i="35"/>
  <c r="N711" i="35"/>
  <c r="M711" i="35"/>
  <c r="V710" i="35"/>
  <c r="U710" i="35"/>
  <c r="T710" i="35"/>
  <c r="S710" i="35"/>
  <c r="N710" i="35"/>
  <c r="M710" i="35"/>
  <c r="V709" i="35"/>
  <c r="U709" i="35"/>
  <c r="T709" i="35"/>
  <c r="S709" i="35"/>
  <c r="M709" i="35"/>
  <c r="V708" i="35"/>
  <c r="U708" i="35"/>
  <c r="T708" i="35"/>
  <c r="S708" i="35"/>
  <c r="M708" i="35"/>
  <c r="V707" i="35"/>
  <c r="U707" i="35"/>
  <c r="T707" i="35"/>
  <c r="S707" i="35"/>
  <c r="N707" i="35"/>
  <c r="M707" i="35"/>
  <c r="V706" i="35"/>
  <c r="U706" i="35"/>
  <c r="T706" i="35"/>
  <c r="S706" i="35"/>
  <c r="N706" i="35"/>
  <c r="M706" i="35"/>
  <c r="V705" i="35"/>
  <c r="U705" i="35"/>
  <c r="T705" i="35"/>
  <c r="S705" i="35"/>
  <c r="P705" i="35"/>
  <c r="N705" i="35"/>
  <c r="O705" i="35" s="1"/>
  <c r="Q705" i="35" s="1"/>
  <c r="V701" i="35"/>
  <c r="U701" i="35"/>
  <c r="T701" i="35"/>
  <c r="S701" i="35"/>
  <c r="N701" i="35"/>
  <c r="M701" i="35"/>
  <c r="V700" i="35"/>
  <c r="U700" i="35"/>
  <c r="T700" i="35"/>
  <c r="S700" i="35"/>
  <c r="P700" i="35"/>
  <c r="N700" i="35"/>
  <c r="O700" i="35" s="1"/>
  <c r="Q700" i="35" s="1"/>
  <c r="V699" i="35"/>
  <c r="U699" i="35"/>
  <c r="T699" i="35"/>
  <c r="S699" i="35"/>
  <c r="P699" i="35"/>
  <c r="N699" i="35"/>
  <c r="O699" i="35" s="1"/>
  <c r="Q699" i="35" s="1"/>
  <c r="V698" i="35"/>
  <c r="U698" i="35"/>
  <c r="T698" i="35"/>
  <c r="S698" i="35"/>
  <c r="P698" i="35"/>
  <c r="N698" i="35"/>
  <c r="O698" i="35" s="1"/>
  <c r="Q698" i="35" s="1"/>
  <c r="V697" i="35"/>
  <c r="U697" i="35"/>
  <c r="T697" i="35"/>
  <c r="S697" i="35"/>
  <c r="P697" i="35"/>
  <c r="N697" i="35"/>
  <c r="O697" i="35" s="1"/>
  <c r="Q697" i="35" s="1"/>
  <c r="V696" i="35"/>
  <c r="U696" i="35"/>
  <c r="T696" i="35"/>
  <c r="S696" i="35"/>
  <c r="P696" i="35"/>
  <c r="N696" i="35"/>
  <c r="O696" i="35" s="1"/>
  <c r="Q696" i="35" s="1"/>
  <c r="V695" i="35"/>
  <c r="U695" i="35"/>
  <c r="T695" i="35"/>
  <c r="S695" i="35"/>
  <c r="P695" i="35"/>
  <c r="N695" i="35"/>
  <c r="O695" i="35" s="1"/>
  <c r="Q695" i="35" s="1"/>
  <c r="V694" i="35"/>
  <c r="U694" i="35"/>
  <c r="T694" i="35"/>
  <c r="S694" i="35"/>
  <c r="P694" i="35"/>
  <c r="N694" i="35"/>
  <c r="O694" i="35" s="1"/>
  <c r="Q694" i="35" s="1"/>
  <c r="V693" i="35"/>
  <c r="U693" i="35"/>
  <c r="T693" i="35"/>
  <c r="S693" i="35"/>
  <c r="P693" i="35"/>
  <c r="N693" i="35"/>
  <c r="O693" i="35" s="1"/>
  <c r="Q693" i="35" s="1"/>
  <c r="V692" i="35"/>
  <c r="U692" i="35"/>
  <c r="T692" i="35"/>
  <c r="S692" i="35"/>
  <c r="P692" i="35"/>
  <c r="N692" i="35"/>
  <c r="O692" i="35" s="1"/>
  <c r="Q692" i="35" s="1"/>
  <c r="V691" i="35"/>
  <c r="U691" i="35"/>
  <c r="T691" i="35"/>
  <c r="S691" i="35"/>
  <c r="P691" i="35"/>
  <c r="N691" i="35"/>
  <c r="O691" i="35" s="1"/>
  <c r="Q691" i="35" s="1"/>
  <c r="V690" i="35"/>
  <c r="U690" i="35"/>
  <c r="T690" i="35"/>
  <c r="S690" i="35"/>
  <c r="P690" i="35"/>
  <c r="N690" i="35"/>
  <c r="O690" i="35" s="1"/>
  <c r="Q690" i="35" s="1"/>
  <c r="V689" i="35"/>
  <c r="U689" i="35"/>
  <c r="T689" i="35"/>
  <c r="S689" i="35"/>
  <c r="N689" i="35"/>
  <c r="M689" i="35"/>
  <c r="V688" i="35"/>
  <c r="U688" i="35"/>
  <c r="T688" i="35"/>
  <c r="S688" i="35"/>
  <c r="N688" i="35"/>
  <c r="M688" i="35"/>
  <c r="V687" i="35"/>
  <c r="U687" i="35"/>
  <c r="T687" i="35"/>
  <c r="S687" i="35"/>
  <c r="P687" i="35"/>
  <c r="N687" i="35"/>
  <c r="O687" i="35" s="1"/>
  <c r="Q687" i="35" s="1"/>
  <c r="V686" i="35"/>
  <c r="U686" i="35"/>
  <c r="T686" i="35"/>
  <c r="S686" i="35"/>
  <c r="P686" i="35"/>
  <c r="N686" i="35"/>
  <c r="O686" i="35" s="1"/>
  <c r="Q686" i="35" s="1"/>
  <c r="V685" i="35"/>
  <c r="U685" i="35"/>
  <c r="T685" i="35"/>
  <c r="S685" i="35"/>
  <c r="N685" i="35"/>
  <c r="M685" i="35"/>
  <c r="V684" i="35"/>
  <c r="U684" i="35"/>
  <c r="T684" i="35"/>
  <c r="S684" i="35"/>
  <c r="N684" i="35"/>
  <c r="M684" i="35"/>
  <c r="V683" i="35"/>
  <c r="U683" i="35"/>
  <c r="T683" i="35"/>
  <c r="S683" i="35"/>
  <c r="N683" i="35"/>
  <c r="M683" i="35"/>
  <c r="P683" i="35" s="1"/>
  <c r="V682" i="35"/>
  <c r="U682" i="35"/>
  <c r="T682" i="35"/>
  <c r="S682" i="35"/>
  <c r="N682" i="35"/>
  <c r="M682" i="35"/>
  <c r="V681" i="35"/>
  <c r="U681" i="35"/>
  <c r="T681" i="35"/>
  <c r="S681" i="35"/>
  <c r="N681" i="35"/>
  <c r="M681" i="35"/>
  <c r="V680" i="35"/>
  <c r="U680" i="35"/>
  <c r="T680" i="35"/>
  <c r="S680" i="35"/>
  <c r="N680" i="35"/>
  <c r="M680" i="35"/>
  <c r="P680" i="35" s="1"/>
  <c r="V679" i="35"/>
  <c r="U679" i="35"/>
  <c r="T679" i="35"/>
  <c r="S679" i="35"/>
  <c r="P679" i="35"/>
  <c r="N679" i="35"/>
  <c r="O679" i="35" s="1"/>
  <c r="Q679" i="35" s="1"/>
  <c r="V678" i="35"/>
  <c r="U678" i="35"/>
  <c r="T678" i="35"/>
  <c r="S678" i="35"/>
  <c r="N678" i="35"/>
  <c r="M678" i="35"/>
  <c r="P678" i="35" s="1"/>
  <c r="V677" i="35"/>
  <c r="U677" i="35"/>
  <c r="T677" i="35"/>
  <c r="S677" i="35"/>
  <c r="N677" i="35"/>
  <c r="M677" i="35"/>
  <c r="P677" i="35" s="1"/>
  <c r="V676" i="35"/>
  <c r="U676" i="35"/>
  <c r="T676" i="35"/>
  <c r="S676" i="35"/>
  <c r="V675" i="35"/>
  <c r="U675" i="35"/>
  <c r="T675" i="35"/>
  <c r="S675" i="35"/>
  <c r="V674" i="35"/>
  <c r="U674" i="35"/>
  <c r="T674" i="35"/>
  <c r="S674" i="35"/>
  <c r="V673" i="35"/>
  <c r="U673" i="35"/>
  <c r="T673" i="35"/>
  <c r="S673" i="35"/>
  <c r="P673" i="35"/>
  <c r="N673" i="35"/>
  <c r="O673" i="35" s="1"/>
  <c r="Q673" i="35" s="1"/>
  <c r="V672" i="35"/>
  <c r="U672" i="35"/>
  <c r="T672" i="35"/>
  <c r="S672" i="35"/>
  <c r="P672" i="35"/>
  <c r="N672" i="35"/>
  <c r="O672" i="35" s="1"/>
  <c r="Q672" i="35" s="1"/>
  <c r="V671" i="35"/>
  <c r="U671" i="35"/>
  <c r="T671" i="35"/>
  <c r="S671" i="35"/>
  <c r="N671" i="35"/>
  <c r="M671" i="35"/>
  <c r="V670" i="35"/>
  <c r="U670" i="35"/>
  <c r="T670" i="35"/>
  <c r="S670" i="35"/>
  <c r="N670" i="35"/>
  <c r="M670" i="35"/>
  <c r="V669" i="35"/>
  <c r="U669" i="35"/>
  <c r="T669" i="35"/>
  <c r="S669" i="35"/>
  <c r="N669" i="35"/>
  <c r="M669" i="35"/>
  <c r="V668" i="35"/>
  <c r="U668" i="35"/>
  <c r="T668" i="35"/>
  <c r="S668" i="35"/>
  <c r="N668" i="35"/>
  <c r="M668" i="35"/>
  <c r="V667" i="35"/>
  <c r="U667" i="35"/>
  <c r="T667" i="35"/>
  <c r="S667" i="35"/>
  <c r="N667" i="35"/>
  <c r="M667" i="35"/>
  <c r="V666" i="35"/>
  <c r="U666" i="35"/>
  <c r="T666" i="35"/>
  <c r="S666" i="35"/>
  <c r="N666" i="35"/>
  <c r="M666" i="35"/>
  <c r="V665" i="35"/>
  <c r="U665" i="35"/>
  <c r="T665" i="35"/>
  <c r="S665" i="35"/>
  <c r="N665" i="35"/>
  <c r="M665" i="35"/>
  <c r="V664" i="35"/>
  <c r="U664" i="35"/>
  <c r="T664" i="35"/>
  <c r="S664" i="35"/>
  <c r="N664" i="35"/>
  <c r="M664" i="35"/>
  <c r="V663" i="35"/>
  <c r="U663" i="35"/>
  <c r="T663" i="35"/>
  <c r="S663" i="35"/>
  <c r="N663" i="35"/>
  <c r="M663" i="35"/>
  <c r="V662" i="35"/>
  <c r="U662" i="35"/>
  <c r="T662" i="35"/>
  <c r="S662" i="35"/>
  <c r="N662" i="35"/>
  <c r="M662" i="35"/>
  <c r="V661" i="35"/>
  <c r="U661" i="35"/>
  <c r="T661" i="35"/>
  <c r="S661" i="35"/>
  <c r="N661" i="35"/>
  <c r="M661" i="35"/>
  <c r="V660" i="35"/>
  <c r="U660" i="35"/>
  <c r="T660" i="35"/>
  <c r="S660" i="35"/>
  <c r="N660" i="35"/>
  <c r="M660" i="35"/>
  <c r="V659" i="35"/>
  <c r="U659" i="35"/>
  <c r="T659" i="35"/>
  <c r="S659" i="35"/>
  <c r="N659" i="35"/>
  <c r="M659" i="35"/>
  <c r="V658" i="35"/>
  <c r="U658" i="35"/>
  <c r="T658" i="35"/>
  <c r="S658" i="35"/>
  <c r="N658" i="35"/>
  <c r="M658" i="35"/>
  <c r="V657" i="35"/>
  <c r="U657" i="35"/>
  <c r="T657" i="35"/>
  <c r="S657" i="35"/>
  <c r="N657" i="35"/>
  <c r="M657" i="35"/>
  <c r="P657" i="35" s="1"/>
  <c r="V656" i="35"/>
  <c r="U656" i="35"/>
  <c r="T656" i="35"/>
  <c r="S656" i="35"/>
  <c r="P656" i="35"/>
  <c r="N656" i="35"/>
  <c r="O656" i="35" s="1"/>
  <c r="Q656" i="35" s="1"/>
  <c r="V655" i="35"/>
  <c r="U655" i="35"/>
  <c r="T655" i="35"/>
  <c r="S655" i="35"/>
  <c r="N655" i="35"/>
  <c r="M655" i="35"/>
  <c r="V654" i="35"/>
  <c r="U654" i="35"/>
  <c r="T654" i="35"/>
  <c r="S654" i="35"/>
  <c r="P654" i="35"/>
  <c r="N654" i="35"/>
  <c r="O654" i="35" s="1"/>
  <c r="Q654" i="35" s="1"/>
  <c r="V651" i="35"/>
  <c r="U651" i="35"/>
  <c r="T651" i="35"/>
  <c r="S651" i="35"/>
  <c r="P651" i="35"/>
  <c r="N651" i="35"/>
  <c r="O651" i="35" s="1"/>
  <c r="Q651" i="35" s="1"/>
  <c r="V648" i="35"/>
  <c r="U648" i="35"/>
  <c r="T648" i="35"/>
  <c r="S648" i="35"/>
  <c r="N648" i="35"/>
  <c r="M648" i="35"/>
  <c r="V647" i="35"/>
  <c r="U647" i="35"/>
  <c r="T647" i="35"/>
  <c r="S647" i="35"/>
  <c r="N647" i="35"/>
  <c r="M647" i="35"/>
  <c r="V646" i="35"/>
  <c r="U646" i="35"/>
  <c r="T646" i="35"/>
  <c r="S646" i="35"/>
  <c r="N646" i="35"/>
  <c r="M646" i="35"/>
  <c r="V645" i="35"/>
  <c r="U645" i="35"/>
  <c r="T645" i="35"/>
  <c r="S645" i="35"/>
  <c r="P645" i="35"/>
  <c r="N645" i="35"/>
  <c r="O645" i="35" s="1"/>
  <c r="Q645" i="35" s="1"/>
  <c r="V644" i="35"/>
  <c r="U644" i="35"/>
  <c r="T644" i="35"/>
  <c r="S644" i="35"/>
  <c r="P644" i="35"/>
  <c r="N644" i="35"/>
  <c r="O644" i="35" s="1"/>
  <c r="Q644" i="35" s="1"/>
  <c r="V643" i="35"/>
  <c r="U643" i="35"/>
  <c r="T643" i="35"/>
  <c r="S643" i="35"/>
  <c r="P643" i="35"/>
  <c r="N643" i="35"/>
  <c r="O643" i="35" s="1"/>
  <c r="Q643" i="35" s="1"/>
  <c r="V642" i="35"/>
  <c r="U642" i="35"/>
  <c r="T642" i="35"/>
  <c r="S642" i="35"/>
  <c r="P642" i="35"/>
  <c r="N642" i="35"/>
  <c r="O642" i="35" s="1"/>
  <c r="Q642" i="35" s="1"/>
  <c r="V639" i="35"/>
  <c r="U639" i="35"/>
  <c r="T639" i="35"/>
  <c r="S639" i="35"/>
  <c r="N639" i="35"/>
  <c r="M639" i="35"/>
  <c r="V638" i="35"/>
  <c r="U638" i="35"/>
  <c r="T638" i="35"/>
  <c r="S638" i="35"/>
  <c r="N638" i="35"/>
  <c r="M638" i="35"/>
  <c r="V637" i="35"/>
  <c r="U637" i="35"/>
  <c r="T637" i="35"/>
  <c r="S637" i="35"/>
  <c r="N637" i="35"/>
  <c r="M637" i="35"/>
  <c r="P637" i="35" s="1"/>
  <c r="V636" i="35"/>
  <c r="U636" i="35"/>
  <c r="T636" i="35"/>
  <c r="S636" i="35"/>
  <c r="N636" i="35"/>
  <c r="M636" i="35"/>
  <c r="V635" i="35"/>
  <c r="U635" i="35"/>
  <c r="T635" i="35"/>
  <c r="S635" i="35"/>
  <c r="N635" i="35"/>
  <c r="M635" i="35"/>
  <c r="P635" i="35" s="1"/>
  <c r="V634" i="35"/>
  <c r="U634" i="35"/>
  <c r="T634" i="35"/>
  <c r="S634" i="35"/>
  <c r="N634" i="35"/>
  <c r="M634" i="35"/>
  <c r="V633" i="35"/>
  <c r="U633" i="35"/>
  <c r="T633" i="35"/>
  <c r="S633" i="35"/>
  <c r="N633" i="35"/>
  <c r="M633" i="35"/>
  <c r="P633" i="35" s="1"/>
  <c r="V630" i="35"/>
  <c r="U630" i="35"/>
  <c r="T630" i="35"/>
  <c r="S630" i="35"/>
  <c r="N630" i="35"/>
  <c r="M630" i="35"/>
  <c r="V629" i="35"/>
  <c r="U629" i="35"/>
  <c r="T629" i="35"/>
  <c r="S629" i="35"/>
  <c r="N629" i="35"/>
  <c r="M629" i="35"/>
  <c r="P629" i="35" s="1"/>
  <c r="V626" i="35"/>
  <c r="U626" i="35"/>
  <c r="T626" i="35"/>
  <c r="S626" i="35"/>
  <c r="N626" i="35"/>
  <c r="M626" i="35"/>
  <c r="P626" i="35" s="1"/>
  <c r="V625" i="35"/>
  <c r="U625" i="35"/>
  <c r="T625" i="35"/>
  <c r="S625" i="35"/>
  <c r="N625" i="35"/>
  <c r="M625" i="35"/>
  <c r="P625" i="35" s="1"/>
  <c r="V624" i="35"/>
  <c r="U624" i="35"/>
  <c r="T624" i="35"/>
  <c r="S624" i="35"/>
  <c r="N624" i="35"/>
  <c r="M624" i="35"/>
  <c r="P624" i="35" s="1"/>
  <c r="V621" i="35"/>
  <c r="U621" i="35"/>
  <c r="T621" i="35"/>
  <c r="S621" i="35"/>
  <c r="P621" i="35"/>
  <c r="N621" i="35"/>
  <c r="O621" i="35" s="1"/>
  <c r="Q621" i="35" s="1"/>
  <c r="V620" i="35"/>
  <c r="U620" i="35"/>
  <c r="T620" i="35"/>
  <c r="S620" i="35"/>
  <c r="P620" i="35"/>
  <c r="N620" i="35"/>
  <c r="O620" i="35" s="1"/>
  <c r="Q620" i="35" s="1"/>
  <c r="V619" i="35"/>
  <c r="U619" i="35"/>
  <c r="T619" i="35"/>
  <c r="S619" i="35"/>
  <c r="P619" i="35"/>
  <c r="N619" i="35"/>
  <c r="O619" i="35" s="1"/>
  <c r="Q619" i="35" s="1"/>
  <c r="V618" i="35"/>
  <c r="U618" i="35"/>
  <c r="T618" i="35"/>
  <c r="S618" i="35"/>
  <c r="P618" i="35"/>
  <c r="N618" i="35"/>
  <c r="O618" i="35" s="1"/>
  <c r="Q618" i="35" s="1"/>
  <c r="V617" i="35"/>
  <c r="U617" i="35"/>
  <c r="T617" i="35"/>
  <c r="S617" i="35"/>
  <c r="P617" i="35"/>
  <c r="N617" i="35"/>
  <c r="O617" i="35" s="1"/>
  <c r="Q617" i="35" s="1"/>
  <c r="V616" i="35"/>
  <c r="U616" i="35"/>
  <c r="T616" i="35"/>
  <c r="S616" i="35"/>
  <c r="P616" i="35"/>
  <c r="N616" i="35"/>
  <c r="O616" i="35" s="1"/>
  <c r="Q616" i="35" s="1"/>
  <c r="V611" i="35"/>
  <c r="U611" i="35"/>
  <c r="T611" i="35"/>
  <c r="S611" i="35"/>
  <c r="N611" i="35"/>
  <c r="M611" i="35"/>
  <c r="V610" i="35"/>
  <c r="U610" i="35"/>
  <c r="T610" i="35"/>
  <c r="S610" i="35"/>
  <c r="N610" i="35"/>
  <c r="M610" i="35"/>
  <c r="P610" i="35" s="1"/>
  <c r="V609" i="35"/>
  <c r="U609" i="35"/>
  <c r="T609" i="35"/>
  <c r="S609" i="35"/>
  <c r="N609" i="35"/>
  <c r="M609" i="35"/>
  <c r="P609" i="35" s="1"/>
  <c r="V608" i="35"/>
  <c r="U608" i="35"/>
  <c r="T608" i="35"/>
  <c r="S608" i="35"/>
  <c r="N608" i="35"/>
  <c r="M608" i="35"/>
  <c r="P608" i="35" s="1"/>
  <c r="V607" i="35"/>
  <c r="U607" i="35"/>
  <c r="T607" i="35"/>
  <c r="S607" i="35"/>
  <c r="N607" i="35"/>
  <c r="M607" i="35"/>
  <c r="V606" i="35"/>
  <c r="U606" i="35"/>
  <c r="T606" i="35"/>
  <c r="S606" i="35"/>
  <c r="N606" i="35"/>
  <c r="M606" i="35"/>
  <c r="V605" i="35"/>
  <c r="U605" i="35"/>
  <c r="T605" i="35"/>
  <c r="S605" i="35"/>
  <c r="N605" i="35"/>
  <c r="M605" i="35"/>
  <c r="V604" i="35"/>
  <c r="U604" i="35"/>
  <c r="T604" i="35"/>
  <c r="S604" i="35"/>
  <c r="N604" i="35"/>
  <c r="M604" i="35"/>
  <c r="V603" i="35"/>
  <c r="U603" i="35"/>
  <c r="T603" i="35"/>
  <c r="S603" i="35"/>
  <c r="N603" i="35"/>
  <c r="M603" i="35"/>
  <c r="P603" i="35" s="1"/>
  <c r="V602" i="35"/>
  <c r="U602" i="35"/>
  <c r="T602" i="35"/>
  <c r="S602" i="35"/>
  <c r="N602" i="35"/>
  <c r="M602" i="35"/>
  <c r="P602" i="35" s="1"/>
  <c r="V601" i="35"/>
  <c r="U601" i="35"/>
  <c r="T601" i="35"/>
  <c r="S601" i="35"/>
  <c r="N601" i="35"/>
  <c r="M601" i="35"/>
  <c r="V600" i="35"/>
  <c r="U600" i="35"/>
  <c r="T600" i="35"/>
  <c r="S600" i="35"/>
  <c r="N600" i="35"/>
  <c r="M600" i="35"/>
  <c r="V599" i="35"/>
  <c r="U599" i="35"/>
  <c r="T599" i="35"/>
  <c r="S599" i="35"/>
  <c r="N599" i="35"/>
  <c r="M599" i="35"/>
  <c r="P599" i="35" s="1"/>
  <c r="V598" i="35"/>
  <c r="U598" i="35"/>
  <c r="T598" i="35"/>
  <c r="S598" i="35"/>
  <c r="N598" i="35"/>
  <c r="M598" i="35"/>
  <c r="P598" i="35" s="1"/>
  <c r="V597" i="35"/>
  <c r="U597" i="35"/>
  <c r="T597" i="35"/>
  <c r="S597" i="35"/>
  <c r="N597" i="35"/>
  <c r="M597" i="35"/>
  <c r="P597" i="35" s="1"/>
  <c r="V596" i="35"/>
  <c r="U596" i="35"/>
  <c r="T596" i="35"/>
  <c r="S596" i="35"/>
  <c r="N596" i="35"/>
  <c r="M596" i="35"/>
  <c r="V595" i="35"/>
  <c r="U595" i="35"/>
  <c r="T595" i="35"/>
  <c r="S595" i="35"/>
  <c r="N595" i="35"/>
  <c r="M595" i="35"/>
  <c r="V594" i="35"/>
  <c r="U594" i="35"/>
  <c r="T594" i="35"/>
  <c r="S594" i="35"/>
  <c r="N594" i="35"/>
  <c r="M594" i="35"/>
  <c r="V593" i="35"/>
  <c r="U593" i="35"/>
  <c r="T593" i="35"/>
  <c r="S593" i="35"/>
  <c r="N593" i="35"/>
  <c r="M593" i="35"/>
  <c r="V592" i="35"/>
  <c r="U592" i="35"/>
  <c r="T592" i="35"/>
  <c r="S592" i="35"/>
  <c r="N592" i="35"/>
  <c r="M592" i="35"/>
  <c r="V589" i="35"/>
  <c r="U589" i="35"/>
  <c r="T589" i="35"/>
  <c r="S589" i="35"/>
  <c r="P589" i="35"/>
  <c r="N589" i="35"/>
  <c r="O589" i="35" s="1"/>
  <c r="Q589" i="35" s="1"/>
  <c r="V588" i="35"/>
  <c r="U588" i="35"/>
  <c r="T588" i="35"/>
  <c r="S588" i="35"/>
  <c r="P588" i="35"/>
  <c r="N588" i="35"/>
  <c r="O588" i="35" s="1"/>
  <c r="Q588" i="35" s="1"/>
  <c r="V587" i="35"/>
  <c r="U587" i="35"/>
  <c r="T587" i="35"/>
  <c r="S587" i="35"/>
  <c r="N587" i="35"/>
  <c r="M587" i="35"/>
  <c r="V584" i="35"/>
  <c r="U584" i="35"/>
  <c r="T584" i="35"/>
  <c r="S584" i="35"/>
  <c r="P584" i="35"/>
  <c r="N584" i="35"/>
  <c r="O584" i="35" s="1"/>
  <c r="Q584" i="35" s="1"/>
  <c r="V583" i="35"/>
  <c r="U583" i="35"/>
  <c r="T583" i="35"/>
  <c r="S583" i="35"/>
  <c r="P583" i="35"/>
  <c r="N583" i="35"/>
  <c r="O583" i="35" s="1"/>
  <c r="Q583" i="35" s="1"/>
  <c r="V582" i="35"/>
  <c r="U582" i="35"/>
  <c r="T582" i="35"/>
  <c r="S582" i="35"/>
  <c r="P582" i="35"/>
  <c r="N582" i="35"/>
  <c r="O582" i="35" s="1"/>
  <c r="Q582" i="35" s="1"/>
  <c r="V581" i="35"/>
  <c r="U581" i="35"/>
  <c r="T581" i="35"/>
  <c r="S581" i="35"/>
  <c r="P581" i="35"/>
  <c r="N581" i="35"/>
  <c r="O581" i="35" s="1"/>
  <c r="Q581" i="35" s="1"/>
  <c r="V578" i="35"/>
  <c r="U578" i="35"/>
  <c r="T578" i="35"/>
  <c r="S578" i="35"/>
  <c r="P578" i="35"/>
  <c r="N578" i="35"/>
  <c r="O578" i="35" s="1"/>
  <c r="Q578" i="35" s="1"/>
  <c r="V577" i="35"/>
  <c r="U577" i="35"/>
  <c r="T577" i="35"/>
  <c r="S577" i="35"/>
  <c r="P577" i="35"/>
  <c r="N577" i="35"/>
  <c r="O577" i="35" s="1"/>
  <c r="Q577" i="35" s="1"/>
  <c r="V576" i="35"/>
  <c r="U576" i="35"/>
  <c r="T576" i="35"/>
  <c r="S576" i="35"/>
  <c r="N576" i="35"/>
  <c r="M576" i="35"/>
  <c r="P576" i="35" s="1"/>
  <c r="V575" i="35"/>
  <c r="U575" i="35"/>
  <c r="T575" i="35"/>
  <c r="S575" i="35"/>
  <c r="N575" i="35"/>
  <c r="M575" i="35"/>
  <c r="P575" i="35" s="1"/>
  <c r="V574" i="35"/>
  <c r="U574" i="35"/>
  <c r="T574" i="35"/>
  <c r="S574" i="35"/>
  <c r="N574" i="35"/>
  <c r="M574" i="35"/>
  <c r="V573" i="35"/>
  <c r="U573" i="35"/>
  <c r="T573" i="35"/>
  <c r="S573" i="35"/>
  <c r="N573" i="35"/>
  <c r="M573" i="35"/>
  <c r="V572" i="35"/>
  <c r="U572" i="35"/>
  <c r="T572" i="35"/>
  <c r="S572" i="35"/>
  <c r="N572" i="35"/>
  <c r="M572" i="35"/>
  <c r="V571" i="35"/>
  <c r="U571" i="35"/>
  <c r="T571" i="35"/>
  <c r="S571" i="35"/>
  <c r="N571" i="35"/>
  <c r="M571" i="35"/>
  <c r="V570" i="35"/>
  <c r="U570" i="35"/>
  <c r="T570" i="35"/>
  <c r="S570" i="35"/>
  <c r="N570" i="35"/>
  <c r="M570" i="35"/>
  <c r="V569" i="35"/>
  <c r="U569" i="35"/>
  <c r="T569" i="35"/>
  <c r="S569" i="35"/>
  <c r="N569" i="35"/>
  <c r="M569" i="35"/>
  <c r="P569" i="35" s="1"/>
  <c r="V568" i="35"/>
  <c r="U568" i="35"/>
  <c r="T568" i="35"/>
  <c r="S568" i="35"/>
  <c r="N568" i="35"/>
  <c r="M568" i="35"/>
  <c r="V567" i="35"/>
  <c r="U567" i="35"/>
  <c r="T567" i="35"/>
  <c r="S567" i="35"/>
  <c r="N567" i="35"/>
  <c r="M567" i="35"/>
  <c r="V566" i="35"/>
  <c r="U566" i="35"/>
  <c r="T566" i="35"/>
  <c r="S566" i="35"/>
  <c r="N566" i="35"/>
  <c r="M566" i="35"/>
  <c r="V565" i="35"/>
  <c r="U565" i="35"/>
  <c r="T565" i="35"/>
  <c r="S565" i="35"/>
  <c r="P565" i="35"/>
  <c r="N565" i="35"/>
  <c r="O565" i="35" s="1"/>
  <c r="Q565" i="35" s="1"/>
  <c r="V564" i="35"/>
  <c r="U564" i="35"/>
  <c r="T564" i="35"/>
  <c r="S564" i="35"/>
  <c r="P564" i="35"/>
  <c r="N564" i="35"/>
  <c r="O564" i="35" s="1"/>
  <c r="Q564" i="35" s="1"/>
  <c r="V563" i="35"/>
  <c r="U563" i="35"/>
  <c r="T563" i="35"/>
  <c r="S563" i="35"/>
  <c r="P563" i="35"/>
  <c r="N563" i="35"/>
  <c r="O563" i="35" s="1"/>
  <c r="Q563" i="35" s="1"/>
  <c r="V562" i="35"/>
  <c r="U562" i="35"/>
  <c r="T562" i="35"/>
  <c r="S562" i="35"/>
  <c r="P562" i="35"/>
  <c r="N562" i="35"/>
  <c r="O562" i="35" s="1"/>
  <c r="Q562" i="35" s="1"/>
  <c r="V561" i="35"/>
  <c r="U561" i="35"/>
  <c r="T561" i="35"/>
  <c r="S561" i="35"/>
  <c r="P561" i="35"/>
  <c r="N561" i="35"/>
  <c r="O561" i="35" s="1"/>
  <c r="Q561" i="35" s="1"/>
  <c r="V560" i="35"/>
  <c r="U560" i="35"/>
  <c r="T560" i="35"/>
  <c r="S560" i="35"/>
  <c r="P560" i="35"/>
  <c r="N560" i="35"/>
  <c r="O560" i="35" s="1"/>
  <c r="Q560" i="35" s="1"/>
  <c r="V559" i="35"/>
  <c r="U559" i="35"/>
  <c r="T559" i="35"/>
  <c r="S559" i="35"/>
  <c r="P559" i="35"/>
  <c r="N559" i="35"/>
  <c r="O559" i="35" s="1"/>
  <c r="Q559" i="35" s="1"/>
  <c r="V558" i="35"/>
  <c r="U558" i="35"/>
  <c r="T558" i="35"/>
  <c r="S558" i="35"/>
  <c r="P558" i="35"/>
  <c r="N558" i="35"/>
  <c r="O558" i="35" s="1"/>
  <c r="Q558" i="35" s="1"/>
  <c r="V557" i="35"/>
  <c r="U557" i="35"/>
  <c r="T557" i="35"/>
  <c r="S557" i="35"/>
  <c r="P557" i="35"/>
  <c r="N557" i="35"/>
  <c r="O557" i="35" s="1"/>
  <c r="Q557" i="35" s="1"/>
  <c r="V556" i="35"/>
  <c r="U556" i="35"/>
  <c r="T556" i="35"/>
  <c r="S556" i="35"/>
  <c r="P556" i="35"/>
  <c r="N556" i="35"/>
  <c r="O556" i="35" s="1"/>
  <c r="Q556" i="35" s="1"/>
  <c r="V555" i="35"/>
  <c r="U555" i="35"/>
  <c r="T555" i="35"/>
  <c r="S555" i="35"/>
  <c r="P555" i="35"/>
  <c r="N555" i="35"/>
  <c r="O555" i="35" s="1"/>
  <c r="Q555" i="35" s="1"/>
  <c r="V554" i="35"/>
  <c r="U554" i="35"/>
  <c r="T554" i="35"/>
  <c r="S554" i="35"/>
  <c r="P554" i="35"/>
  <c r="N554" i="35"/>
  <c r="O554" i="35" s="1"/>
  <c r="Q554" i="35" s="1"/>
  <c r="V549" i="35"/>
  <c r="U549" i="35"/>
  <c r="T549" i="35"/>
  <c r="S549" i="35"/>
  <c r="N549" i="35"/>
  <c r="M549" i="35"/>
  <c r="V546" i="35"/>
  <c r="U546" i="35"/>
  <c r="T546" i="35"/>
  <c r="S546" i="35"/>
  <c r="P546" i="35"/>
  <c r="N546" i="35"/>
  <c r="O546" i="35" s="1"/>
  <c r="Q546" i="35" s="1"/>
  <c r="V545" i="35"/>
  <c r="U545" i="35"/>
  <c r="T545" i="35"/>
  <c r="S545" i="35"/>
  <c r="P545" i="35"/>
  <c r="N545" i="35"/>
  <c r="O545" i="35" s="1"/>
  <c r="Q545" i="35" s="1"/>
  <c r="V544" i="35"/>
  <c r="U544" i="35"/>
  <c r="T544" i="35"/>
  <c r="S544" i="35"/>
  <c r="P544" i="35"/>
  <c r="N544" i="35"/>
  <c r="O544" i="35" s="1"/>
  <c r="Q544" i="35" s="1"/>
  <c r="V543" i="35"/>
  <c r="U543" i="35"/>
  <c r="T543" i="35"/>
  <c r="S543" i="35"/>
  <c r="P543" i="35"/>
  <c r="N543" i="35"/>
  <c r="O543" i="35" s="1"/>
  <c r="Q543" i="35" s="1"/>
  <c r="V542" i="35"/>
  <c r="U542" i="35"/>
  <c r="T542" i="35"/>
  <c r="S542" i="35"/>
  <c r="P542" i="35"/>
  <c r="N542" i="35"/>
  <c r="O542" i="35" s="1"/>
  <c r="Q542" i="35" s="1"/>
  <c r="V539" i="35"/>
  <c r="U539" i="35"/>
  <c r="T539" i="35"/>
  <c r="S539" i="35"/>
  <c r="N539" i="35"/>
  <c r="M539" i="35"/>
  <c r="V536" i="35"/>
  <c r="U536" i="35"/>
  <c r="T536" i="35"/>
  <c r="S536" i="35"/>
  <c r="P536" i="35"/>
  <c r="N536" i="35"/>
  <c r="O536" i="35" s="1"/>
  <c r="Q536" i="35" s="1"/>
  <c r="V535" i="35"/>
  <c r="U535" i="35"/>
  <c r="T535" i="35"/>
  <c r="S535" i="35"/>
  <c r="P535" i="35"/>
  <c r="N535" i="35"/>
  <c r="O535" i="35" s="1"/>
  <c r="Q535" i="35" s="1"/>
  <c r="V534" i="35"/>
  <c r="U534" i="35"/>
  <c r="T534" i="35"/>
  <c r="S534" i="35"/>
  <c r="P534" i="35"/>
  <c r="N534" i="35"/>
  <c r="O534" i="35" s="1"/>
  <c r="Q534" i="35" s="1"/>
  <c r="V533" i="35"/>
  <c r="U533" i="35"/>
  <c r="T533" i="35"/>
  <c r="S533" i="35"/>
  <c r="P533" i="35"/>
  <c r="N533" i="35"/>
  <c r="O533" i="35" s="1"/>
  <c r="Q533" i="35" s="1"/>
  <c r="V532" i="35"/>
  <c r="U532" i="35"/>
  <c r="T532" i="35"/>
  <c r="S532" i="35"/>
  <c r="P532" i="35"/>
  <c r="N532" i="35"/>
  <c r="O532" i="35" s="1"/>
  <c r="Q532" i="35" s="1"/>
  <c r="V531" i="35"/>
  <c r="U531" i="35"/>
  <c r="T531" i="35"/>
  <c r="S531" i="35"/>
  <c r="N531" i="35"/>
  <c r="M531" i="35"/>
  <c r="V530" i="35"/>
  <c r="U530" i="35"/>
  <c r="T530" i="35"/>
  <c r="S530" i="35"/>
  <c r="N530" i="35"/>
  <c r="M530" i="35"/>
  <c r="V527" i="35"/>
  <c r="U527" i="35"/>
  <c r="T527" i="35"/>
  <c r="S527" i="35"/>
  <c r="N527" i="35"/>
  <c r="M527" i="35"/>
  <c r="V526" i="35"/>
  <c r="U526" i="35"/>
  <c r="T526" i="35"/>
  <c r="S526" i="35"/>
  <c r="N526" i="35"/>
  <c r="M526" i="35"/>
  <c r="P526" i="35" s="1"/>
  <c r="V525" i="35"/>
  <c r="U525" i="35"/>
  <c r="T525" i="35"/>
  <c r="S525" i="35"/>
  <c r="N525" i="35"/>
  <c r="M525" i="35"/>
  <c r="V524" i="35"/>
  <c r="U524" i="35"/>
  <c r="T524" i="35"/>
  <c r="S524" i="35"/>
  <c r="N524" i="35"/>
  <c r="M524" i="35"/>
  <c r="P524" i="35" s="1"/>
  <c r="V523" i="35"/>
  <c r="U523" i="35"/>
  <c r="T523" i="35"/>
  <c r="S523" i="35"/>
  <c r="N523" i="35"/>
  <c r="M523" i="35"/>
  <c r="V519" i="35"/>
  <c r="U519" i="35"/>
  <c r="T519" i="35"/>
  <c r="S519" i="35"/>
  <c r="P519" i="35"/>
  <c r="N519" i="35"/>
  <c r="O519" i="35" s="1"/>
  <c r="Q519" i="35" s="1"/>
  <c r="V518" i="35"/>
  <c r="U518" i="35"/>
  <c r="T518" i="35"/>
  <c r="S518" i="35"/>
  <c r="P518" i="35"/>
  <c r="N518" i="35"/>
  <c r="O518" i="35" s="1"/>
  <c r="Q518" i="35" s="1"/>
  <c r="V517" i="35"/>
  <c r="U517" i="35"/>
  <c r="T517" i="35"/>
  <c r="S517" i="35"/>
  <c r="P517" i="35"/>
  <c r="N517" i="35"/>
  <c r="O517" i="35" s="1"/>
  <c r="Q517" i="35" s="1"/>
  <c r="V516" i="35"/>
  <c r="U516" i="35"/>
  <c r="T516" i="35"/>
  <c r="S516" i="35"/>
  <c r="P516" i="35"/>
  <c r="N516" i="35"/>
  <c r="O516" i="35" s="1"/>
  <c r="Q516" i="35" s="1"/>
  <c r="V515" i="35"/>
  <c r="U515" i="35"/>
  <c r="T515" i="35"/>
  <c r="S515" i="35"/>
  <c r="N515" i="35"/>
  <c r="M515" i="35"/>
  <c r="V514" i="35"/>
  <c r="U514" i="35"/>
  <c r="T514" i="35"/>
  <c r="S514" i="35"/>
  <c r="N514" i="35"/>
  <c r="M514" i="35"/>
  <c r="V510" i="35"/>
  <c r="U510" i="35"/>
  <c r="T510" i="35"/>
  <c r="S510" i="35"/>
  <c r="P510" i="35"/>
  <c r="N510" i="35"/>
  <c r="O510" i="35" s="1"/>
  <c r="Q510" i="35" s="1"/>
  <c r="V509" i="35"/>
  <c r="U509" i="35"/>
  <c r="T509" i="35"/>
  <c r="S509" i="35"/>
  <c r="P509" i="35"/>
  <c r="N509" i="35"/>
  <c r="O509" i="35" s="1"/>
  <c r="Q509" i="35" s="1"/>
  <c r="V505" i="35"/>
  <c r="U505" i="35"/>
  <c r="T505" i="35"/>
  <c r="S505" i="35"/>
  <c r="N505" i="35"/>
  <c r="M505" i="35"/>
  <c r="V504" i="35"/>
  <c r="U504" i="35"/>
  <c r="T504" i="35"/>
  <c r="S504" i="35"/>
  <c r="N504" i="35"/>
  <c r="M504" i="35"/>
  <c r="V501" i="35"/>
  <c r="U501" i="35"/>
  <c r="T501" i="35"/>
  <c r="S501" i="35"/>
  <c r="N501" i="35"/>
  <c r="M501" i="35"/>
  <c r="V500" i="35"/>
  <c r="U500" i="35"/>
  <c r="T500" i="35"/>
  <c r="S500" i="35"/>
  <c r="N500" i="35"/>
  <c r="M500" i="35"/>
  <c r="V499" i="35"/>
  <c r="U499" i="35"/>
  <c r="T499" i="35"/>
  <c r="S499" i="35"/>
  <c r="N499" i="35"/>
  <c r="M499" i="35"/>
  <c r="V498" i="35"/>
  <c r="U498" i="35"/>
  <c r="T498" i="35"/>
  <c r="S498" i="35"/>
  <c r="N498" i="35"/>
  <c r="M498" i="35"/>
  <c r="V497" i="35"/>
  <c r="U497" i="35"/>
  <c r="T497" i="35"/>
  <c r="S497" i="35"/>
  <c r="N497" i="35"/>
  <c r="M497" i="35"/>
  <c r="V496" i="35"/>
  <c r="U496" i="35"/>
  <c r="T496" i="35"/>
  <c r="S496" i="35"/>
  <c r="N496" i="35"/>
  <c r="M496" i="35"/>
  <c r="V495" i="35"/>
  <c r="U495" i="35"/>
  <c r="T495" i="35"/>
  <c r="S495" i="35"/>
  <c r="N495" i="35"/>
  <c r="M495" i="35"/>
  <c r="V494" i="35"/>
  <c r="U494" i="35"/>
  <c r="T494" i="35"/>
  <c r="S494" i="35"/>
  <c r="N494" i="35"/>
  <c r="M494" i="35"/>
  <c r="V493" i="35"/>
  <c r="U493" i="35"/>
  <c r="T493" i="35"/>
  <c r="S493" i="35"/>
  <c r="N493" i="35"/>
  <c r="M493" i="35"/>
  <c r="V492" i="35"/>
  <c r="U492" i="35"/>
  <c r="T492" i="35"/>
  <c r="S492" i="35"/>
  <c r="N492" i="35"/>
  <c r="M492" i="35"/>
  <c r="V491" i="35"/>
  <c r="U491" i="35"/>
  <c r="T491" i="35"/>
  <c r="S491" i="35"/>
  <c r="N491" i="35"/>
  <c r="M491" i="35"/>
  <c r="V490" i="35"/>
  <c r="U490" i="35"/>
  <c r="T490" i="35"/>
  <c r="S490" i="35"/>
  <c r="N490" i="35"/>
  <c r="M490" i="35"/>
  <c r="V487" i="35"/>
  <c r="U487" i="35"/>
  <c r="T487" i="35"/>
  <c r="S487" i="35"/>
  <c r="N487" i="35"/>
  <c r="M487" i="35"/>
  <c r="V486" i="35"/>
  <c r="U486" i="35"/>
  <c r="T486" i="35"/>
  <c r="S486" i="35"/>
  <c r="N486" i="35"/>
  <c r="M486" i="35"/>
  <c r="V485" i="35"/>
  <c r="U485" i="35"/>
  <c r="T485" i="35"/>
  <c r="S485" i="35"/>
  <c r="N485" i="35"/>
  <c r="M485" i="35"/>
  <c r="V484" i="35"/>
  <c r="U484" i="35"/>
  <c r="T484" i="35"/>
  <c r="S484" i="35"/>
  <c r="N484" i="35"/>
  <c r="M484" i="35"/>
  <c r="P484" i="35" s="1"/>
  <c r="V483" i="35"/>
  <c r="U483" i="35"/>
  <c r="T483" i="35"/>
  <c r="S483" i="35"/>
  <c r="N483" i="35"/>
  <c r="M483" i="35"/>
  <c r="V482" i="35"/>
  <c r="U482" i="35"/>
  <c r="T482" i="35"/>
  <c r="S482" i="35"/>
  <c r="N482" i="35"/>
  <c r="M482" i="35"/>
  <c r="V481" i="35"/>
  <c r="U481" i="35"/>
  <c r="T481" i="35"/>
  <c r="S481" i="35"/>
  <c r="N481" i="35"/>
  <c r="M481" i="35"/>
  <c r="V480" i="35"/>
  <c r="U480" i="35"/>
  <c r="T480" i="35"/>
  <c r="S480" i="35"/>
  <c r="N480" i="35"/>
  <c r="M480" i="35"/>
  <c r="V479" i="35"/>
  <c r="U479" i="35"/>
  <c r="T479" i="35"/>
  <c r="S479" i="35"/>
  <c r="N479" i="35"/>
  <c r="M479" i="35"/>
  <c r="V478" i="35"/>
  <c r="U478" i="35"/>
  <c r="T478" i="35"/>
  <c r="S478" i="35"/>
  <c r="N478" i="35"/>
  <c r="M478" i="35"/>
  <c r="V477" i="35"/>
  <c r="U477" i="35"/>
  <c r="T477" i="35"/>
  <c r="S477" i="35"/>
  <c r="N477" i="35"/>
  <c r="M477" i="35"/>
  <c r="V476" i="35"/>
  <c r="U476" i="35"/>
  <c r="T476" i="35"/>
  <c r="S476" i="35"/>
  <c r="N476" i="35"/>
  <c r="M476" i="35"/>
  <c r="V475" i="35"/>
  <c r="U475" i="35"/>
  <c r="T475" i="35"/>
  <c r="S475" i="35"/>
  <c r="N475" i="35"/>
  <c r="M475" i="35"/>
  <c r="V474" i="35"/>
  <c r="U474" i="35"/>
  <c r="T474" i="35"/>
  <c r="S474" i="35"/>
  <c r="N474" i="35"/>
  <c r="M474" i="35"/>
  <c r="V473" i="35"/>
  <c r="U473" i="35"/>
  <c r="T473" i="35"/>
  <c r="S473" i="35"/>
  <c r="N473" i="35"/>
  <c r="M473" i="35"/>
  <c r="V469" i="35"/>
  <c r="U469" i="35"/>
  <c r="T469" i="35"/>
  <c r="S469" i="35"/>
  <c r="N469" i="35"/>
  <c r="M469" i="35"/>
  <c r="V468" i="35"/>
  <c r="U468" i="35"/>
  <c r="T468" i="35"/>
  <c r="S468" i="35"/>
  <c r="N468" i="35"/>
  <c r="M468" i="35"/>
  <c r="V467" i="35"/>
  <c r="U467" i="35"/>
  <c r="T467" i="35"/>
  <c r="S467" i="35"/>
  <c r="N467" i="35"/>
  <c r="M467" i="35"/>
  <c r="V464" i="35"/>
  <c r="U464" i="35"/>
  <c r="T464" i="35"/>
  <c r="S464" i="35"/>
  <c r="N464" i="35"/>
  <c r="M464" i="35"/>
  <c r="V463" i="35"/>
  <c r="U463" i="35"/>
  <c r="T463" i="35"/>
  <c r="S463" i="35"/>
  <c r="N463" i="35"/>
  <c r="M463" i="35"/>
  <c r="V462" i="35"/>
  <c r="U462" i="35"/>
  <c r="T462" i="35"/>
  <c r="S462" i="35"/>
  <c r="N462" i="35"/>
  <c r="M462" i="35"/>
  <c r="V461" i="35"/>
  <c r="U461" i="35"/>
  <c r="T461" i="35"/>
  <c r="S461" i="35"/>
  <c r="N461" i="35"/>
  <c r="M461" i="35"/>
  <c r="V460" i="35"/>
  <c r="U460" i="35"/>
  <c r="T460" i="35"/>
  <c r="S460" i="35"/>
  <c r="N460" i="35"/>
  <c r="M460" i="35"/>
  <c r="V459" i="35"/>
  <c r="U459" i="35"/>
  <c r="T459" i="35"/>
  <c r="S459" i="35"/>
  <c r="N459" i="35"/>
  <c r="M459" i="35"/>
  <c r="V458" i="35"/>
  <c r="U458" i="35"/>
  <c r="T458" i="35"/>
  <c r="S458" i="35"/>
  <c r="N458" i="35"/>
  <c r="M458" i="35"/>
  <c r="V457" i="35"/>
  <c r="U457" i="35"/>
  <c r="T457" i="35"/>
  <c r="S457" i="35"/>
  <c r="N457" i="35"/>
  <c r="M457" i="35"/>
  <c r="V456" i="35"/>
  <c r="U456" i="35"/>
  <c r="T456" i="35"/>
  <c r="S456" i="35"/>
  <c r="N456" i="35"/>
  <c r="M456" i="35"/>
  <c r="V455" i="35"/>
  <c r="U455" i="35"/>
  <c r="T455" i="35"/>
  <c r="S455" i="35"/>
  <c r="N455" i="35"/>
  <c r="M455" i="35"/>
  <c r="V454" i="35"/>
  <c r="U454" i="35"/>
  <c r="T454" i="35"/>
  <c r="S454" i="35"/>
  <c r="N454" i="35"/>
  <c r="M454" i="35"/>
  <c r="V453" i="35"/>
  <c r="U453" i="35"/>
  <c r="T453" i="35"/>
  <c r="S453" i="35"/>
  <c r="N453" i="35"/>
  <c r="M453" i="35"/>
  <c r="V450" i="35"/>
  <c r="U450" i="35"/>
  <c r="T450" i="35"/>
  <c r="S450" i="35"/>
  <c r="N450" i="35"/>
  <c r="M450" i="35"/>
  <c r="V447" i="35"/>
  <c r="U447" i="35"/>
  <c r="T447" i="35"/>
  <c r="S447" i="35"/>
  <c r="N447" i="35"/>
  <c r="M447" i="35"/>
  <c r="V446" i="35"/>
  <c r="U446" i="35"/>
  <c r="T446" i="35"/>
  <c r="S446" i="35"/>
  <c r="N446" i="35"/>
  <c r="M446" i="35"/>
  <c r="V445" i="35"/>
  <c r="U445" i="35"/>
  <c r="T445" i="35"/>
  <c r="S445" i="35"/>
  <c r="N445" i="35"/>
  <c r="M445" i="35"/>
  <c r="V444" i="35"/>
  <c r="U444" i="35"/>
  <c r="T444" i="35"/>
  <c r="S444" i="35"/>
  <c r="N444" i="35"/>
  <c r="M444" i="35"/>
  <c r="V443" i="35"/>
  <c r="U443" i="35"/>
  <c r="T443" i="35"/>
  <c r="S443" i="35"/>
  <c r="N443" i="35"/>
  <c r="M443" i="35"/>
  <c r="V442" i="35"/>
  <c r="U442" i="35"/>
  <c r="T442" i="35"/>
  <c r="S442" i="35"/>
  <c r="N442" i="35"/>
  <c r="M442" i="35"/>
  <c r="V441" i="35"/>
  <c r="U441" i="35"/>
  <c r="T441" i="35"/>
  <c r="S441" i="35"/>
  <c r="N441" i="35"/>
  <c r="M441" i="35"/>
  <c r="V440" i="35"/>
  <c r="U440" i="35"/>
  <c r="T440" i="35"/>
  <c r="S440" i="35"/>
  <c r="N440" i="35"/>
  <c r="M440" i="35"/>
  <c r="V439" i="35"/>
  <c r="U439" i="35"/>
  <c r="T439" i="35"/>
  <c r="S439" i="35"/>
  <c r="N439" i="35"/>
  <c r="M439" i="35"/>
  <c r="V438" i="35"/>
  <c r="U438" i="35"/>
  <c r="T438" i="35"/>
  <c r="S438" i="35"/>
  <c r="N438" i="35"/>
  <c r="M438" i="35"/>
  <c r="V437" i="35"/>
  <c r="U437" i="35"/>
  <c r="T437" i="35"/>
  <c r="S437" i="35"/>
  <c r="N437" i="35"/>
  <c r="M437" i="35"/>
  <c r="V436" i="35"/>
  <c r="U436" i="35"/>
  <c r="T436" i="35"/>
  <c r="S436" i="35"/>
  <c r="N436" i="35"/>
  <c r="M436" i="35"/>
  <c r="V435" i="35"/>
  <c r="U435" i="35"/>
  <c r="T435" i="35"/>
  <c r="S435" i="35"/>
  <c r="N435" i="35"/>
  <c r="M435" i="35"/>
  <c r="V434" i="35"/>
  <c r="U434" i="35"/>
  <c r="T434" i="35"/>
  <c r="S434" i="35"/>
  <c r="N434" i="35"/>
  <c r="M434" i="35"/>
  <c r="V433" i="35"/>
  <c r="U433" i="35"/>
  <c r="T433" i="35"/>
  <c r="S433" i="35"/>
  <c r="N433" i="35"/>
  <c r="M433" i="35"/>
  <c r="V432" i="35"/>
  <c r="U432" i="35"/>
  <c r="T432" i="35"/>
  <c r="S432" i="35"/>
  <c r="N432" i="35"/>
  <c r="M432" i="35"/>
  <c r="V431" i="35"/>
  <c r="U431" i="35"/>
  <c r="T431" i="35"/>
  <c r="S431" i="35"/>
  <c r="N431" i="35"/>
  <c r="M431" i="35"/>
  <c r="V430" i="35"/>
  <c r="U430" i="35"/>
  <c r="T430" i="35"/>
  <c r="S430" i="35"/>
  <c r="N430" i="35"/>
  <c r="M430" i="35"/>
  <c r="V429" i="35"/>
  <c r="U429" i="35"/>
  <c r="T429" i="35"/>
  <c r="S429" i="35"/>
  <c r="N429" i="35"/>
  <c r="M429" i="35"/>
  <c r="V428" i="35"/>
  <c r="U428" i="35"/>
  <c r="T428" i="35"/>
  <c r="S428" i="35"/>
  <c r="N428" i="35"/>
  <c r="M428" i="35"/>
  <c r="V427" i="35"/>
  <c r="U427" i="35"/>
  <c r="T427" i="35"/>
  <c r="S427" i="35"/>
  <c r="N427" i="35"/>
  <c r="M427" i="35"/>
  <c r="V426" i="35"/>
  <c r="U426" i="35"/>
  <c r="T426" i="35"/>
  <c r="S426" i="35"/>
  <c r="N426" i="35"/>
  <c r="M426" i="35"/>
  <c r="V425" i="35"/>
  <c r="U425" i="35"/>
  <c r="T425" i="35"/>
  <c r="S425" i="35"/>
  <c r="N425" i="35"/>
  <c r="M425" i="35"/>
  <c r="V424" i="35"/>
  <c r="U424" i="35"/>
  <c r="T424" i="35"/>
  <c r="S424" i="35"/>
  <c r="N424" i="35"/>
  <c r="M424" i="35"/>
  <c r="V423" i="35"/>
  <c r="U423" i="35"/>
  <c r="T423" i="35"/>
  <c r="S423" i="35"/>
  <c r="N423" i="35"/>
  <c r="M423" i="35"/>
  <c r="V422" i="35"/>
  <c r="U422" i="35"/>
  <c r="T422" i="35"/>
  <c r="S422" i="35"/>
  <c r="N422" i="35"/>
  <c r="M422" i="35"/>
  <c r="V421" i="35"/>
  <c r="U421" i="35"/>
  <c r="T421" i="35"/>
  <c r="S421" i="35"/>
  <c r="N421" i="35"/>
  <c r="M421" i="35"/>
  <c r="V420" i="35"/>
  <c r="U420" i="35"/>
  <c r="T420" i="35"/>
  <c r="S420" i="35"/>
  <c r="N420" i="35"/>
  <c r="M420" i="35"/>
  <c r="V419" i="35"/>
  <c r="U419" i="35"/>
  <c r="T419" i="35"/>
  <c r="S419" i="35"/>
  <c r="N419" i="35"/>
  <c r="M419" i="35"/>
  <c r="V418" i="35"/>
  <c r="U418" i="35"/>
  <c r="T418" i="35"/>
  <c r="S418" i="35"/>
  <c r="N418" i="35"/>
  <c r="M418" i="35"/>
  <c r="V417" i="35"/>
  <c r="U417" i="35"/>
  <c r="T417" i="35"/>
  <c r="S417" i="35"/>
  <c r="N417" i="35"/>
  <c r="M417" i="35"/>
  <c r="V416" i="35"/>
  <c r="U416" i="35"/>
  <c r="T416" i="35"/>
  <c r="S416" i="35"/>
  <c r="N416" i="35"/>
  <c r="M416" i="35"/>
  <c r="V415" i="35"/>
  <c r="U415" i="35"/>
  <c r="T415" i="35"/>
  <c r="S415" i="35"/>
  <c r="N415" i="35"/>
  <c r="M415" i="35"/>
  <c r="V414" i="35"/>
  <c r="U414" i="35"/>
  <c r="T414" i="35"/>
  <c r="S414" i="35"/>
  <c r="N414" i="35"/>
  <c r="M414" i="35"/>
  <c r="V413" i="35"/>
  <c r="U413" i="35"/>
  <c r="T413" i="35"/>
  <c r="S413" i="35"/>
  <c r="N413" i="35"/>
  <c r="M413" i="35"/>
  <c r="V412" i="35"/>
  <c r="U412" i="35"/>
  <c r="T412" i="35"/>
  <c r="S412" i="35"/>
  <c r="N412" i="35"/>
  <c r="M412" i="35"/>
  <c r="V411" i="35"/>
  <c r="U411" i="35"/>
  <c r="T411" i="35"/>
  <c r="S411" i="35"/>
  <c r="N411" i="35"/>
  <c r="M411" i="35"/>
  <c r="V410" i="35"/>
  <c r="U410" i="35"/>
  <c r="T410" i="35"/>
  <c r="S410" i="35"/>
  <c r="N410" i="35"/>
  <c r="M410" i="35"/>
  <c r="V409" i="35"/>
  <c r="U409" i="35"/>
  <c r="T409" i="35"/>
  <c r="S409" i="35"/>
  <c r="N409" i="35"/>
  <c r="M409" i="35"/>
  <c r="V408" i="35"/>
  <c r="U408" i="35"/>
  <c r="T408" i="35"/>
  <c r="S408" i="35"/>
  <c r="N408" i="35"/>
  <c r="M408" i="35"/>
  <c r="P408" i="35" s="1"/>
  <c r="V407" i="35"/>
  <c r="U407" i="35"/>
  <c r="T407" i="35"/>
  <c r="S407" i="35"/>
  <c r="N407" i="35"/>
  <c r="M407" i="35"/>
  <c r="V406" i="35"/>
  <c r="U406" i="35"/>
  <c r="T406" i="35"/>
  <c r="S406" i="35"/>
  <c r="N406" i="35"/>
  <c r="M406" i="35"/>
  <c r="V405" i="35"/>
  <c r="U405" i="35"/>
  <c r="T405" i="35"/>
  <c r="S405" i="35"/>
  <c r="P405" i="35"/>
  <c r="N405" i="35"/>
  <c r="O405" i="35" s="1"/>
  <c r="Q405" i="35" s="1"/>
  <c r="V404" i="35"/>
  <c r="U404" i="35"/>
  <c r="T404" i="35"/>
  <c r="S404" i="35"/>
  <c r="P404" i="35"/>
  <c r="N404" i="35"/>
  <c r="O404" i="35" s="1"/>
  <c r="Q404" i="35" s="1"/>
  <c r="V403" i="35"/>
  <c r="U403" i="35"/>
  <c r="T403" i="35"/>
  <c r="S403" i="35"/>
  <c r="N403" i="35"/>
  <c r="M403" i="35"/>
  <c r="V402" i="35"/>
  <c r="U402" i="35"/>
  <c r="T402" i="35"/>
  <c r="S402" i="35"/>
  <c r="N402" i="35"/>
  <c r="M402" i="35"/>
  <c r="V401" i="35"/>
  <c r="U401" i="35"/>
  <c r="T401" i="35"/>
  <c r="S401" i="35"/>
  <c r="N401" i="35"/>
  <c r="M401" i="35"/>
  <c r="V400" i="35"/>
  <c r="U400" i="35"/>
  <c r="T400" i="35"/>
  <c r="S400" i="35"/>
  <c r="N400" i="35"/>
  <c r="M400" i="35"/>
  <c r="V399" i="35"/>
  <c r="U399" i="35"/>
  <c r="T399" i="35"/>
  <c r="S399" i="35"/>
  <c r="N399" i="35"/>
  <c r="M399" i="35"/>
  <c r="V398" i="35"/>
  <c r="U398" i="35"/>
  <c r="T398" i="35"/>
  <c r="S398" i="35"/>
  <c r="N398" i="35"/>
  <c r="M398" i="35"/>
  <c r="V397" i="35"/>
  <c r="U397" i="35"/>
  <c r="T397" i="35"/>
  <c r="S397" i="35"/>
  <c r="N397" i="35"/>
  <c r="M397" i="35"/>
  <c r="V396" i="35"/>
  <c r="U396" i="35"/>
  <c r="T396" i="35"/>
  <c r="S396" i="35"/>
  <c r="N396" i="35"/>
  <c r="M396" i="35"/>
  <c r="V395" i="35"/>
  <c r="U395" i="35"/>
  <c r="T395" i="35"/>
  <c r="S395" i="35"/>
  <c r="N395" i="35"/>
  <c r="M395" i="35"/>
  <c r="V394" i="35"/>
  <c r="U394" i="35"/>
  <c r="T394" i="35"/>
  <c r="S394" i="35"/>
  <c r="N394" i="35"/>
  <c r="M394" i="35"/>
  <c r="P394" i="35" s="1"/>
  <c r="V393" i="35"/>
  <c r="U393" i="35"/>
  <c r="T393" i="35"/>
  <c r="S393" i="35"/>
  <c r="N393" i="35"/>
  <c r="M393" i="35"/>
  <c r="V392" i="35"/>
  <c r="U392" i="35"/>
  <c r="T392" i="35"/>
  <c r="S392" i="35"/>
  <c r="P392" i="35"/>
  <c r="N392" i="35"/>
  <c r="O392" i="35" s="1"/>
  <c r="Q392" i="35" s="1"/>
  <c r="V391" i="35"/>
  <c r="U391" i="35"/>
  <c r="T391" i="35"/>
  <c r="S391" i="35"/>
  <c r="P391" i="35"/>
  <c r="N391" i="35"/>
  <c r="O391" i="35" s="1"/>
  <c r="Q391" i="35" s="1"/>
  <c r="V390" i="35"/>
  <c r="U390" i="35"/>
  <c r="T390" i="35"/>
  <c r="S390" i="35"/>
  <c r="P390" i="35"/>
  <c r="N390" i="35"/>
  <c r="O390" i="35" s="1"/>
  <c r="Q390" i="35" s="1"/>
  <c r="V389" i="35"/>
  <c r="U389" i="35"/>
  <c r="T389" i="35"/>
  <c r="S389" i="35"/>
  <c r="N389" i="35"/>
  <c r="M389" i="35"/>
  <c r="V388" i="35"/>
  <c r="U388" i="35"/>
  <c r="T388" i="35"/>
  <c r="S388" i="35"/>
  <c r="N388" i="35"/>
  <c r="M388" i="35"/>
  <c r="V387" i="35"/>
  <c r="U387" i="35"/>
  <c r="T387" i="35"/>
  <c r="S387" i="35"/>
  <c r="N387" i="35"/>
  <c r="M387" i="35"/>
  <c r="V386" i="35"/>
  <c r="U386" i="35"/>
  <c r="T386" i="35"/>
  <c r="S386" i="35"/>
  <c r="N386" i="35"/>
  <c r="M386" i="35"/>
  <c r="V385" i="35"/>
  <c r="U385" i="35"/>
  <c r="T385" i="35"/>
  <c r="S385" i="35"/>
  <c r="N385" i="35"/>
  <c r="M385" i="35"/>
  <c r="V384" i="35"/>
  <c r="U384" i="35"/>
  <c r="T384" i="35"/>
  <c r="S384" i="35"/>
  <c r="N384" i="35"/>
  <c r="M384" i="35"/>
  <c r="P384" i="35" s="1"/>
  <c r="V383" i="35"/>
  <c r="U383" i="35"/>
  <c r="T383" i="35"/>
  <c r="S383" i="35"/>
  <c r="P383" i="35"/>
  <c r="N383" i="35"/>
  <c r="O383" i="35" s="1"/>
  <c r="Q383" i="35" s="1"/>
  <c r="V382" i="35"/>
  <c r="U382" i="35"/>
  <c r="T382" i="35"/>
  <c r="S382" i="35"/>
  <c r="N382" i="35"/>
  <c r="M382" i="35"/>
  <c r="P382" i="35" s="1"/>
  <c r="V381" i="35"/>
  <c r="U381" i="35"/>
  <c r="T381" i="35"/>
  <c r="S381" i="35"/>
  <c r="P381" i="35"/>
  <c r="N381" i="35"/>
  <c r="O381" i="35" s="1"/>
  <c r="Q381" i="35" s="1"/>
  <c r="V380" i="35"/>
  <c r="U380" i="35"/>
  <c r="T380" i="35"/>
  <c r="S380" i="35"/>
  <c r="N380" i="35"/>
  <c r="M380" i="35"/>
  <c r="V379" i="35"/>
  <c r="U379" i="35"/>
  <c r="T379" i="35"/>
  <c r="S379" i="35"/>
  <c r="N379" i="35"/>
  <c r="M379" i="35"/>
  <c r="V378" i="35"/>
  <c r="U378" i="35"/>
  <c r="T378" i="35"/>
  <c r="S378" i="35"/>
  <c r="N378" i="35"/>
  <c r="M378" i="35"/>
  <c r="V377" i="35"/>
  <c r="U377" i="35"/>
  <c r="T377" i="35"/>
  <c r="S377" i="35"/>
  <c r="N377" i="35"/>
  <c r="M377" i="35"/>
  <c r="V376" i="35"/>
  <c r="U376" i="35"/>
  <c r="T376" i="35"/>
  <c r="S376" i="35"/>
  <c r="N376" i="35"/>
  <c r="M376" i="35"/>
  <c r="V375" i="35"/>
  <c r="U375" i="35"/>
  <c r="T375" i="35"/>
  <c r="S375" i="35"/>
  <c r="N375" i="35"/>
  <c r="M375" i="35"/>
  <c r="V371" i="35"/>
  <c r="U371" i="35"/>
  <c r="T371" i="35"/>
  <c r="S371" i="35"/>
  <c r="P371" i="35"/>
  <c r="N371" i="35"/>
  <c r="O371" i="35" s="1"/>
  <c r="Q371" i="35" s="1"/>
  <c r="V370" i="35"/>
  <c r="U370" i="35"/>
  <c r="T370" i="35"/>
  <c r="S370" i="35"/>
  <c r="P370" i="35"/>
  <c r="N370" i="35"/>
  <c r="O370" i="35" s="1"/>
  <c r="Q370" i="35" s="1"/>
  <c r="V367" i="35"/>
  <c r="U367" i="35"/>
  <c r="T367" i="35"/>
  <c r="S367" i="35"/>
  <c r="N367" i="35"/>
  <c r="M367" i="35"/>
  <c r="V366" i="35"/>
  <c r="U366" i="35"/>
  <c r="T366" i="35"/>
  <c r="S366" i="35"/>
  <c r="N366" i="35"/>
  <c r="M366" i="35"/>
  <c r="P366" i="35" s="1"/>
  <c r="V363" i="35"/>
  <c r="U363" i="35"/>
  <c r="T363" i="35"/>
  <c r="S363" i="35"/>
  <c r="N363" i="35"/>
  <c r="M363" i="35"/>
  <c r="P363" i="35" s="1"/>
  <c r="V362" i="35"/>
  <c r="U362" i="35"/>
  <c r="T362" i="35"/>
  <c r="S362" i="35"/>
  <c r="P362" i="35"/>
  <c r="N362" i="35"/>
  <c r="O362" i="35" s="1"/>
  <c r="Q362" i="35" s="1"/>
  <c r="V361" i="35"/>
  <c r="U361" i="35"/>
  <c r="T361" i="35"/>
  <c r="S361" i="35"/>
  <c r="P361" i="35"/>
  <c r="N361" i="35"/>
  <c r="O361" i="35" s="1"/>
  <c r="Q361" i="35" s="1"/>
  <c r="V358" i="35"/>
  <c r="U358" i="35"/>
  <c r="T358" i="35"/>
  <c r="S358" i="35"/>
  <c r="P358" i="35"/>
  <c r="N358" i="35"/>
  <c r="O358" i="35" s="1"/>
  <c r="Q358" i="35" s="1"/>
  <c r="V357" i="35"/>
  <c r="U357" i="35"/>
  <c r="T357" i="35"/>
  <c r="S357" i="35"/>
  <c r="N357" i="35"/>
  <c r="M357" i="35"/>
  <c r="P357" i="35" s="1"/>
  <c r="V356" i="35"/>
  <c r="U356" i="35"/>
  <c r="T356" i="35"/>
  <c r="S356" i="35"/>
  <c r="N356" i="35"/>
  <c r="M356" i="35"/>
  <c r="P356" i="35" s="1"/>
  <c r="V355" i="35"/>
  <c r="U355" i="35"/>
  <c r="T355" i="35"/>
  <c r="S355" i="35"/>
  <c r="N355" i="35"/>
  <c r="M355" i="35"/>
  <c r="P355" i="35" s="1"/>
  <c r="V354" i="35"/>
  <c r="U354" i="35"/>
  <c r="T354" i="35"/>
  <c r="S354" i="35"/>
  <c r="N354" i="35"/>
  <c r="M354" i="35"/>
  <c r="P354" i="35" s="1"/>
  <c r="V353" i="35"/>
  <c r="U353" i="35"/>
  <c r="T353" i="35"/>
  <c r="S353" i="35"/>
  <c r="N353" i="35"/>
  <c r="M353" i="35"/>
  <c r="V352" i="35"/>
  <c r="U352" i="35"/>
  <c r="T352" i="35"/>
  <c r="S352" i="35"/>
  <c r="N352" i="35"/>
  <c r="M352" i="35"/>
  <c r="V351" i="35"/>
  <c r="U351" i="35"/>
  <c r="T351" i="35"/>
  <c r="S351" i="35"/>
  <c r="N351" i="35"/>
  <c r="M351" i="35"/>
  <c r="V350" i="35"/>
  <c r="U350" i="35"/>
  <c r="T350" i="35"/>
  <c r="S350" i="35"/>
  <c r="N350" i="35"/>
  <c r="M350" i="35"/>
  <c r="P350" i="35" s="1"/>
  <c r="V349" i="35"/>
  <c r="U349" i="35"/>
  <c r="T349" i="35"/>
  <c r="S349" i="35"/>
  <c r="N349" i="35"/>
  <c r="M349" i="35"/>
  <c r="P349" i="35" s="1"/>
  <c r="V348" i="35"/>
  <c r="U348" i="35"/>
  <c r="T348" i="35"/>
  <c r="S348" i="35"/>
  <c r="N348" i="35"/>
  <c r="M348" i="35"/>
  <c r="P348" i="35" s="1"/>
  <c r="V347" i="35"/>
  <c r="U347" i="35"/>
  <c r="T347" i="35"/>
  <c r="S347" i="35"/>
  <c r="N347" i="35"/>
  <c r="M347" i="35"/>
  <c r="V346" i="35"/>
  <c r="U346" i="35"/>
  <c r="T346" i="35"/>
  <c r="S346" i="35"/>
  <c r="N346" i="35"/>
  <c r="M346" i="35"/>
  <c r="V345" i="35"/>
  <c r="U345" i="35"/>
  <c r="T345" i="35"/>
  <c r="S345" i="35"/>
  <c r="N345" i="35"/>
  <c r="M345" i="35"/>
  <c r="V344" i="35"/>
  <c r="U344" i="35"/>
  <c r="T344" i="35"/>
  <c r="S344" i="35"/>
  <c r="N344" i="35"/>
  <c r="M344" i="35"/>
  <c r="V343" i="35"/>
  <c r="U343" i="35"/>
  <c r="T343" i="35"/>
  <c r="S343" i="35"/>
  <c r="N343" i="35"/>
  <c r="M343" i="35"/>
  <c r="V342" i="35"/>
  <c r="U342" i="35"/>
  <c r="T342" i="35"/>
  <c r="S342" i="35"/>
  <c r="N342" i="35"/>
  <c r="M342" i="35"/>
  <c r="P342" i="35" s="1"/>
  <c r="V341" i="35"/>
  <c r="U341" i="35"/>
  <c r="T341" i="35"/>
  <c r="S341" i="35"/>
  <c r="N341" i="35"/>
  <c r="M341" i="35"/>
  <c r="V340" i="35"/>
  <c r="U340" i="35"/>
  <c r="T340" i="35"/>
  <c r="S340" i="35"/>
  <c r="N340" i="35"/>
  <c r="M340" i="35"/>
  <c r="P340" i="35" s="1"/>
  <c r="V339" i="35"/>
  <c r="U339" i="35"/>
  <c r="T339" i="35"/>
  <c r="S339" i="35"/>
  <c r="N339" i="35"/>
  <c r="M339" i="35"/>
  <c r="V338" i="35"/>
  <c r="U338" i="35"/>
  <c r="T338" i="35"/>
  <c r="S338" i="35"/>
  <c r="N338" i="35"/>
  <c r="M338" i="35"/>
  <c r="V337" i="35"/>
  <c r="U337" i="35"/>
  <c r="T337" i="35"/>
  <c r="S337" i="35"/>
  <c r="N337" i="35"/>
  <c r="M337" i="35"/>
  <c r="V336" i="35"/>
  <c r="U336" i="35"/>
  <c r="T336" i="35"/>
  <c r="S336" i="35"/>
  <c r="N336" i="35"/>
  <c r="M336" i="35"/>
  <c r="V335" i="35"/>
  <c r="U335" i="35"/>
  <c r="T335" i="35"/>
  <c r="S335" i="35"/>
  <c r="N335" i="35"/>
  <c r="M335" i="35"/>
  <c r="V334" i="35"/>
  <c r="U334" i="35"/>
  <c r="T334" i="35"/>
  <c r="S334" i="35"/>
  <c r="N334" i="35"/>
  <c r="M334" i="35"/>
  <c r="P334" i="35" s="1"/>
  <c r="V333" i="35"/>
  <c r="U333" i="35"/>
  <c r="T333" i="35"/>
  <c r="S333" i="35"/>
  <c r="N333" i="35"/>
  <c r="M333" i="35"/>
  <c r="V332" i="35"/>
  <c r="U332" i="35"/>
  <c r="T332" i="35"/>
  <c r="S332" i="35"/>
  <c r="N332" i="35"/>
  <c r="M332" i="35"/>
  <c r="P332" i="35" s="1"/>
  <c r="V331" i="35"/>
  <c r="U331" i="35"/>
  <c r="T331" i="35"/>
  <c r="S331" i="35"/>
  <c r="N331" i="35"/>
  <c r="M331" i="35"/>
  <c r="P331" i="35" s="1"/>
  <c r="V330" i="35"/>
  <c r="U330" i="35"/>
  <c r="T330" i="35"/>
  <c r="S330" i="35"/>
  <c r="N330" i="35"/>
  <c r="M330" i="35"/>
  <c r="V329" i="35"/>
  <c r="U329" i="35"/>
  <c r="T329" i="35"/>
  <c r="S329" i="35"/>
  <c r="N329" i="35"/>
  <c r="M329" i="35"/>
  <c r="P329" i="35" s="1"/>
  <c r="V328" i="35"/>
  <c r="U328" i="35"/>
  <c r="T328" i="35"/>
  <c r="S328" i="35"/>
  <c r="N328" i="35"/>
  <c r="M328" i="35"/>
  <c r="V327" i="35"/>
  <c r="U327" i="35"/>
  <c r="T327" i="35"/>
  <c r="S327" i="35"/>
  <c r="N327" i="35"/>
  <c r="M327" i="35"/>
  <c r="P327" i="35" s="1"/>
  <c r="V326" i="35"/>
  <c r="U326" i="35"/>
  <c r="T326" i="35"/>
  <c r="S326" i="35"/>
  <c r="N326" i="35"/>
  <c r="M326" i="35"/>
  <c r="V325" i="35"/>
  <c r="U325" i="35"/>
  <c r="T325" i="35"/>
  <c r="S325" i="35"/>
  <c r="N325" i="35"/>
  <c r="M325" i="35"/>
  <c r="V324" i="35"/>
  <c r="U324" i="35"/>
  <c r="T324" i="35"/>
  <c r="S324" i="35"/>
  <c r="N324" i="35"/>
  <c r="M324" i="35"/>
  <c r="P324" i="35" s="1"/>
  <c r="V323" i="35"/>
  <c r="U323" i="35"/>
  <c r="T323" i="35"/>
  <c r="S323" i="35"/>
  <c r="N323" i="35"/>
  <c r="M323" i="35"/>
  <c r="P323" i="35" s="1"/>
  <c r="V322" i="35"/>
  <c r="U322" i="35"/>
  <c r="T322" i="35"/>
  <c r="S322" i="35"/>
  <c r="N322" i="35"/>
  <c r="M322" i="35"/>
  <c r="V321" i="35"/>
  <c r="U321" i="35"/>
  <c r="T321" i="35"/>
  <c r="S321" i="35"/>
  <c r="N321" i="35"/>
  <c r="M321" i="35"/>
  <c r="V320" i="35"/>
  <c r="U320" i="35"/>
  <c r="T320" i="35"/>
  <c r="S320" i="35"/>
  <c r="N320" i="35"/>
  <c r="M320" i="35"/>
  <c r="V319" i="35"/>
  <c r="U319" i="35"/>
  <c r="T319" i="35"/>
  <c r="S319" i="35"/>
  <c r="N319" i="35"/>
  <c r="M319" i="35"/>
  <c r="V318" i="35"/>
  <c r="U318" i="35"/>
  <c r="T318" i="35"/>
  <c r="S318" i="35"/>
  <c r="N318" i="35"/>
  <c r="M318" i="35"/>
  <c r="V317" i="35"/>
  <c r="U317" i="35"/>
  <c r="T317" i="35"/>
  <c r="S317" i="35"/>
  <c r="N317" i="35"/>
  <c r="M317" i="35"/>
  <c r="V316" i="35"/>
  <c r="U316" i="35"/>
  <c r="T316" i="35"/>
  <c r="S316" i="35"/>
  <c r="N316" i="35"/>
  <c r="M316" i="35"/>
  <c r="P316" i="35" s="1"/>
  <c r="V315" i="35"/>
  <c r="U315" i="35"/>
  <c r="T315" i="35"/>
  <c r="S315" i="35"/>
  <c r="N315" i="35"/>
  <c r="M315" i="35"/>
  <c r="V314" i="35"/>
  <c r="U314" i="35"/>
  <c r="T314" i="35"/>
  <c r="S314" i="35"/>
  <c r="N314" i="35"/>
  <c r="M314" i="35"/>
  <c r="P314" i="35" s="1"/>
  <c r="V310" i="35"/>
  <c r="U310" i="35"/>
  <c r="T310" i="35"/>
  <c r="S310" i="35"/>
  <c r="N310" i="35"/>
  <c r="M310" i="35"/>
  <c r="V309" i="35"/>
  <c r="U309" i="35"/>
  <c r="T309" i="35"/>
  <c r="S309" i="35"/>
  <c r="N309" i="35"/>
  <c r="M309" i="35"/>
  <c r="V306" i="35"/>
  <c r="U306" i="35"/>
  <c r="T306" i="35"/>
  <c r="S306" i="35"/>
  <c r="N306" i="35"/>
  <c r="M306" i="35"/>
  <c r="V305" i="35"/>
  <c r="U305" i="35"/>
  <c r="T305" i="35"/>
  <c r="S305" i="35"/>
  <c r="N305" i="35"/>
  <c r="M305" i="35"/>
  <c r="V304" i="35"/>
  <c r="U304" i="35"/>
  <c r="T304" i="35"/>
  <c r="S304" i="35"/>
  <c r="N304" i="35"/>
  <c r="M304" i="35"/>
  <c r="V303" i="35"/>
  <c r="U303" i="35"/>
  <c r="T303" i="35"/>
  <c r="S303" i="35"/>
  <c r="N303" i="35"/>
  <c r="M303" i="35"/>
  <c r="P303" i="35" s="1"/>
  <c r="V302" i="35"/>
  <c r="U302" i="35"/>
  <c r="T302" i="35"/>
  <c r="S302" i="35"/>
  <c r="N302" i="35"/>
  <c r="M302" i="35"/>
  <c r="V301" i="35"/>
  <c r="U301" i="35"/>
  <c r="T301" i="35"/>
  <c r="S301" i="35"/>
  <c r="N301" i="35"/>
  <c r="M301" i="35"/>
  <c r="V300" i="35"/>
  <c r="U300" i="35"/>
  <c r="T300" i="35"/>
  <c r="S300" i="35"/>
  <c r="N300" i="35"/>
  <c r="M300" i="35"/>
  <c r="P300" i="35" s="1"/>
  <c r="V299" i="35"/>
  <c r="U299" i="35"/>
  <c r="T299" i="35"/>
  <c r="S299" i="35"/>
  <c r="N299" i="35"/>
  <c r="M299" i="35"/>
  <c r="V296" i="35"/>
  <c r="U296" i="35"/>
  <c r="T296" i="35"/>
  <c r="S296" i="35"/>
  <c r="N296" i="35"/>
  <c r="M296" i="35"/>
  <c r="P296" i="35" s="1"/>
  <c r="V295" i="35"/>
  <c r="U295" i="35"/>
  <c r="T295" i="35"/>
  <c r="S295" i="35"/>
  <c r="N295" i="35"/>
  <c r="M295" i="35"/>
  <c r="V292" i="35"/>
  <c r="U292" i="35"/>
  <c r="T292" i="35"/>
  <c r="S292" i="35"/>
  <c r="P292" i="35"/>
  <c r="N292" i="35"/>
  <c r="O292" i="35" s="1"/>
  <c r="Q292" i="35" s="1"/>
  <c r="V291" i="35"/>
  <c r="U291" i="35"/>
  <c r="T291" i="35"/>
  <c r="S291" i="35"/>
  <c r="P291" i="35"/>
  <c r="N291" i="35"/>
  <c r="O291" i="35" s="1"/>
  <c r="Q291" i="35" s="1"/>
  <c r="V290" i="35"/>
  <c r="U290" i="35"/>
  <c r="T290" i="35"/>
  <c r="S290" i="35"/>
  <c r="N290" i="35"/>
  <c r="M290" i="35"/>
  <c r="P290" i="35" s="1"/>
  <c r="V289" i="35"/>
  <c r="U289" i="35"/>
  <c r="T289" i="35"/>
  <c r="S289" i="35"/>
  <c r="N289" i="35"/>
  <c r="M289" i="35"/>
  <c r="V288" i="35"/>
  <c r="U288" i="35"/>
  <c r="T288" i="35"/>
  <c r="S288" i="35"/>
  <c r="N288" i="35"/>
  <c r="M288" i="35"/>
  <c r="V287" i="35"/>
  <c r="U287" i="35"/>
  <c r="T287" i="35"/>
  <c r="S287" i="35"/>
  <c r="N287" i="35"/>
  <c r="M287" i="35"/>
  <c r="P287" i="35" s="1"/>
  <c r="V286" i="35"/>
  <c r="U286" i="35"/>
  <c r="T286" i="35"/>
  <c r="S286" i="35"/>
  <c r="N286" i="35"/>
  <c r="M286" i="35"/>
  <c r="V285" i="35"/>
  <c r="U285" i="35"/>
  <c r="T285" i="35"/>
  <c r="S285" i="35"/>
  <c r="N285" i="35"/>
  <c r="M285" i="35"/>
  <c r="V284" i="35"/>
  <c r="U284" i="35"/>
  <c r="T284" i="35"/>
  <c r="S284" i="35"/>
  <c r="N284" i="35"/>
  <c r="M284" i="35"/>
  <c r="V283" i="35"/>
  <c r="U283" i="35"/>
  <c r="T283" i="35"/>
  <c r="S283" i="35"/>
  <c r="N283" i="35"/>
  <c r="M283" i="35"/>
  <c r="V280" i="35"/>
  <c r="U280" i="35"/>
  <c r="T280" i="35"/>
  <c r="S280" i="35"/>
  <c r="P280" i="35"/>
  <c r="N280" i="35"/>
  <c r="O280" i="35" s="1"/>
  <c r="Q280" i="35" s="1"/>
  <c r="V279" i="35"/>
  <c r="U279" i="35"/>
  <c r="T279" i="35"/>
  <c r="S279" i="35"/>
  <c r="P279" i="35"/>
  <c r="N279" i="35"/>
  <c r="O279" i="35" s="1"/>
  <c r="Q279" i="35" s="1"/>
  <c r="V278" i="35"/>
  <c r="U278" i="35"/>
  <c r="T278" i="35"/>
  <c r="S278" i="35"/>
  <c r="P278" i="35"/>
  <c r="N278" i="35"/>
  <c r="O278" i="35" s="1"/>
  <c r="Q278" i="35" s="1"/>
  <c r="V277" i="35"/>
  <c r="U277" i="35"/>
  <c r="T277" i="35"/>
  <c r="S277" i="35"/>
  <c r="P277" i="35"/>
  <c r="N277" i="35"/>
  <c r="O277" i="35" s="1"/>
  <c r="Q277" i="35" s="1"/>
  <c r="V276" i="35"/>
  <c r="U276" i="35"/>
  <c r="T276" i="35"/>
  <c r="S276" i="35"/>
  <c r="P276" i="35"/>
  <c r="N276" i="35"/>
  <c r="O276" i="35" s="1"/>
  <c r="Q276" i="35" s="1"/>
  <c r="V275" i="35"/>
  <c r="U275" i="35"/>
  <c r="T275" i="35"/>
  <c r="S275" i="35"/>
  <c r="P275" i="35"/>
  <c r="N275" i="35"/>
  <c r="O275" i="35" s="1"/>
  <c r="Q275" i="35" s="1"/>
  <c r="V274" i="35"/>
  <c r="U274" i="35"/>
  <c r="T274" i="35"/>
  <c r="S274" i="35"/>
  <c r="P274" i="35"/>
  <c r="N274" i="35"/>
  <c r="O274" i="35" s="1"/>
  <c r="Q274" i="35" s="1"/>
  <c r="V273" i="35"/>
  <c r="U273" i="35"/>
  <c r="T273" i="35"/>
  <c r="S273" i="35"/>
  <c r="P273" i="35"/>
  <c r="N273" i="35"/>
  <c r="O273" i="35" s="1"/>
  <c r="Q273" i="35" s="1"/>
  <c r="V272" i="35"/>
  <c r="U272" i="35"/>
  <c r="T272" i="35"/>
  <c r="S272" i="35"/>
  <c r="P272" i="35"/>
  <c r="N272" i="35"/>
  <c r="O272" i="35" s="1"/>
  <c r="Q272" i="35" s="1"/>
  <c r="V271" i="35"/>
  <c r="U271" i="35"/>
  <c r="T271" i="35"/>
  <c r="S271" i="35"/>
  <c r="P271" i="35"/>
  <c r="N271" i="35"/>
  <c r="O271" i="35" s="1"/>
  <c r="Q271" i="35" s="1"/>
  <c r="V270" i="35"/>
  <c r="U270" i="35"/>
  <c r="T270" i="35"/>
  <c r="S270" i="35"/>
  <c r="P270" i="35"/>
  <c r="N270" i="35"/>
  <c r="O270" i="35" s="1"/>
  <c r="Q270" i="35" s="1"/>
  <c r="V269" i="35"/>
  <c r="U269" i="35"/>
  <c r="T269" i="35"/>
  <c r="S269" i="35"/>
  <c r="P269" i="35"/>
  <c r="N269" i="35"/>
  <c r="O269" i="35" s="1"/>
  <c r="Q269" i="35" s="1"/>
  <c r="V268" i="35"/>
  <c r="U268" i="35"/>
  <c r="T268" i="35"/>
  <c r="S268" i="35"/>
  <c r="P268" i="35"/>
  <c r="N268" i="35"/>
  <c r="O268" i="35" s="1"/>
  <c r="Q268" i="35" s="1"/>
  <c r="V267" i="35"/>
  <c r="U267" i="35"/>
  <c r="T267" i="35"/>
  <c r="S267" i="35"/>
  <c r="P267" i="35"/>
  <c r="N267" i="35"/>
  <c r="O267" i="35" s="1"/>
  <c r="Q267" i="35" s="1"/>
  <c r="V266" i="35"/>
  <c r="U266" i="35"/>
  <c r="T266" i="35"/>
  <c r="S266" i="35"/>
  <c r="P266" i="35"/>
  <c r="N266" i="35"/>
  <c r="O266" i="35" s="1"/>
  <c r="Q266" i="35" s="1"/>
  <c r="V263" i="35"/>
  <c r="U263" i="35"/>
  <c r="T263" i="35"/>
  <c r="S263" i="35"/>
  <c r="P263" i="35"/>
  <c r="N263" i="35"/>
  <c r="O263" i="35" s="1"/>
  <c r="Q263" i="35" s="1"/>
  <c r="V262" i="35"/>
  <c r="U262" i="35"/>
  <c r="T262" i="35"/>
  <c r="S262" i="35"/>
  <c r="P262" i="35"/>
  <c r="N262" i="35"/>
  <c r="O262" i="35" s="1"/>
  <c r="Q262" i="35" s="1"/>
  <c r="V261" i="35"/>
  <c r="U261" i="35"/>
  <c r="T261" i="35"/>
  <c r="S261" i="35"/>
  <c r="P261" i="35"/>
  <c r="N261" i="35"/>
  <c r="O261" i="35" s="1"/>
  <c r="Q261" i="35" s="1"/>
  <c r="V260" i="35"/>
  <c r="U260" i="35"/>
  <c r="T260" i="35"/>
  <c r="S260" i="35"/>
  <c r="P260" i="35"/>
  <c r="N260" i="35"/>
  <c r="O260" i="35" s="1"/>
  <c r="Q260" i="35" s="1"/>
  <c r="V259" i="35"/>
  <c r="U259" i="35"/>
  <c r="T259" i="35"/>
  <c r="S259" i="35"/>
  <c r="P259" i="35"/>
  <c r="N259" i="35"/>
  <c r="O259" i="35" s="1"/>
  <c r="Q259" i="35" s="1"/>
  <c r="V258" i="35"/>
  <c r="U258" i="35"/>
  <c r="T258" i="35"/>
  <c r="S258" i="35"/>
  <c r="P258" i="35"/>
  <c r="N258" i="35"/>
  <c r="O258" i="35" s="1"/>
  <c r="Q258" i="35" s="1"/>
  <c r="V257" i="35"/>
  <c r="U257" i="35"/>
  <c r="T257" i="35"/>
  <c r="S257" i="35"/>
  <c r="P257" i="35"/>
  <c r="N257" i="35"/>
  <c r="O257" i="35" s="1"/>
  <c r="Q257" i="35" s="1"/>
  <c r="V256" i="35"/>
  <c r="U256" i="35"/>
  <c r="T256" i="35"/>
  <c r="S256" i="35"/>
  <c r="P256" i="35"/>
  <c r="N256" i="35"/>
  <c r="O256" i="35" s="1"/>
  <c r="Q256" i="35" s="1"/>
  <c r="V255" i="35"/>
  <c r="U255" i="35"/>
  <c r="T255" i="35"/>
  <c r="S255" i="35"/>
  <c r="P255" i="35"/>
  <c r="N255" i="35"/>
  <c r="O255" i="35" s="1"/>
  <c r="Q255" i="35" s="1"/>
  <c r="V254" i="35"/>
  <c r="U254" i="35"/>
  <c r="T254" i="35"/>
  <c r="S254" i="35"/>
  <c r="P254" i="35"/>
  <c r="N254" i="35"/>
  <c r="O254" i="35" s="1"/>
  <c r="Q254" i="35" s="1"/>
  <c r="V253" i="35"/>
  <c r="U253" i="35"/>
  <c r="T253" i="35"/>
  <c r="S253" i="35"/>
  <c r="P253" i="35"/>
  <c r="N253" i="35"/>
  <c r="O253" i="35" s="1"/>
  <c r="Q253" i="35" s="1"/>
  <c r="V252" i="35"/>
  <c r="U252" i="35"/>
  <c r="T252" i="35"/>
  <c r="S252" i="35"/>
  <c r="P252" i="35"/>
  <c r="N252" i="35"/>
  <c r="O252" i="35" s="1"/>
  <c r="Q252" i="35" s="1"/>
  <c r="V251" i="35"/>
  <c r="U251" i="35"/>
  <c r="T251" i="35"/>
  <c r="S251" i="35"/>
  <c r="P251" i="35"/>
  <c r="N251" i="35"/>
  <c r="O251" i="35" s="1"/>
  <c r="Q251" i="35" s="1"/>
  <c r="V248" i="35"/>
  <c r="U248" i="35"/>
  <c r="T248" i="35"/>
  <c r="S248" i="35"/>
  <c r="N248" i="35"/>
  <c r="M248" i="35"/>
  <c r="V247" i="35"/>
  <c r="U247" i="35"/>
  <c r="T247" i="35"/>
  <c r="S247" i="35"/>
  <c r="N247" i="35"/>
  <c r="M247" i="35"/>
  <c r="V246" i="35"/>
  <c r="U246" i="35"/>
  <c r="T246" i="35"/>
  <c r="S246" i="35"/>
  <c r="N246" i="35"/>
  <c r="M246" i="35"/>
  <c r="V245" i="35"/>
  <c r="U245" i="35"/>
  <c r="T245" i="35"/>
  <c r="S245" i="35"/>
  <c r="N245" i="35"/>
  <c r="M245" i="35"/>
  <c r="V244" i="35"/>
  <c r="U244" i="35"/>
  <c r="T244" i="35"/>
  <c r="S244" i="35"/>
  <c r="N244" i="35"/>
  <c r="M244" i="35"/>
  <c r="V243" i="35"/>
  <c r="U243" i="35"/>
  <c r="T243" i="35"/>
  <c r="S243" i="35"/>
  <c r="N243" i="35"/>
  <c r="M243" i="35"/>
  <c r="V242" i="35"/>
  <c r="U242" i="35"/>
  <c r="T242" i="35"/>
  <c r="S242" i="35"/>
  <c r="N242" i="35"/>
  <c r="M242" i="35"/>
  <c r="V241" i="35"/>
  <c r="U241" i="35"/>
  <c r="T241" i="35"/>
  <c r="S241" i="35"/>
  <c r="N241" i="35"/>
  <c r="M241" i="35"/>
  <c r="V240" i="35"/>
  <c r="U240" i="35"/>
  <c r="T240" i="35"/>
  <c r="S240" i="35"/>
  <c r="N240" i="35"/>
  <c r="M240" i="35"/>
  <c r="V239" i="35"/>
  <c r="U239" i="35"/>
  <c r="T239" i="35"/>
  <c r="S239" i="35"/>
  <c r="N239" i="35"/>
  <c r="M239" i="35"/>
  <c r="V238" i="35"/>
  <c r="U238" i="35"/>
  <c r="T238" i="35"/>
  <c r="S238" i="35"/>
  <c r="N238" i="35"/>
  <c r="M238" i="35"/>
  <c r="V237" i="35"/>
  <c r="U237" i="35"/>
  <c r="T237" i="35"/>
  <c r="S237" i="35"/>
  <c r="N237" i="35"/>
  <c r="M237" i="35"/>
  <c r="V236" i="35"/>
  <c r="U236" i="35"/>
  <c r="T236" i="35"/>
  <c r="S236" i="35"/>
  <c r="N236" i="35"/>
  <c r="M236" i="35"/>
  <c r="V235" i="35"/>
  <c r="U235" i="35"/>
  <c r="T235" i="35"/>
  <c r="S235" i="35"/>
  <c r="N235" i="35"/>
  <c r="M235" i="35"/>
  <c r="V234" i="35"/>
  <c r="U234" i="35"/>
  <c r="T234" i="35"/>
  <c r="S234" i="35"/>
  <c r="N234" i="35"/>
  <c r="M234" i="35"/>
  <c r="V233" i="35"/>
  <c r="U233" i="35"/>
  <c r="T233" i="35"/>
  <c r="S233" i="35"/>
  <c r="N233" i="35"/>
  <c r="M233" i="35"/>
  <c r="V232" i="35"/>
  <c r="U232" i="35"/>
  <c r="T232" i="35"/>
  <c r="S232" i="35"/>
  <c r="N232" i="35"/>
  <c r="M232" i="35"/>
  <c r="V231" i="35"/>
  <c r="U231" i="35"/>
  <c r="T231" i="35"/>
  <c r="S231" i="35"/>
  <c r="N231" i="35"/>
  <c r="M231" i="35"/>
  <c r="V230" i="35"/>
  <c r="U230" i="35"/>
  <c r="T230" i="35"/>
  <c r="S230" i="35"/>
  <c r="N230" i="35"/>
  <c r="M230" i="35"/>
  <c r="V229" i="35"/>
  <c r="U229" i="35"/>
  <c r="T229" i="35"/>
  <c r="S229" i="35"/>
  <c r="N229" i="35"/>
  <c r="M229" i="35"/>
  <c r="V228" i="35"/>
  <c r="U228" i="35"/>
  <c r="T228" i="35"/>
  <c r="S228" i="35"/>
  <c r="N228" i="35"/>
  <c r="M228" i="35"/>
  <c r="V227" i="35"/>
  <c r="U227" i="35"/>
  <c r="T227" i="35"/>
  <c r="S227" i="35"/>
  <c r="P227" i="35"/>
  <c r="N227" i="35"/>
  <c r="O227" i="35" s="1"/>
  <c r="Q227" i="35" s="1"/>
  <c r="V226" i="35"/>
  <c r="U226" i="35"/>
  <c r="T226" i="35"/>
  <c r="S226" i="35"/>
  <c r="N226" i="35"/>
  <c r="M226" i="35"/>
  <c r="V225" i="35"/>
  <c r="U225" i="35"/>
  <c r="T225" i="35"/>
  <c r="S225" i="35"/>
  <c r="N225" i="35"/>
  <c r="M225" i="35"/>
  <c r="V224" i="35"/>
  <c r="U224" i="35"/>
  <c r="T224" i="35"/>
  <c r="S224" i="35"/>
  <c r="N224" i="35"/>
  <c r="M224" i="35"/>
  <c r="V223" i="35"/>
  <c r="U223" i="35"/>
  <c r="T223" i="35"/>
  <c r="S223" i="35"/>
  <c r="N223" i="35"/>
  <c r="M223" i="35"/>
  <c r="V222" i="35"/>
  <c r="U222" i="35"/>
  <c r="T222" i="35"/>
  <c r="S222" i="35"/>
  <c r="N222" i="35"/>
  <c r="M222" i="35"/>
  <c r="V221" i="35"/>
  <c r="U221" i="35"/>
  <c r="T221" i="35"/>
  <c r="S221" i="35"/>
  <c r="N221" i="35"/>
  <c r="M221" i="35"/>
  <c r="V220" i="35"/>
  <c r="U220" i="35"/>
  <c r="T220" i="35"/>
  <c r="S220" i="35"/>
  <c r="N220" i="35"/>
  <c r="M220" i="35"/>
  <c r="V219" i="35"/>
  <c r="U219" i="35"/>
  <c r="T219" i="35"/>
  <c r="S219" i="35"/>
  <c r="P219" i="35"/>
  <c r="N219" i="35"/>
  <c r="O219" i="35" s="1"/>
  <c r="Q219" i="35" s="1"/>
  <c r="V218" i="35"/>
  <c r="U218" i="35"/>
  <c r="T218" i="35"/>
  <c r="S218" i="35"/>
  <c r="N218" i="35"/>
  <c r="M218" i="35"/>
  <c r="V217" i="35"/>
  <c r="U217" i="35"/>
  <c r="T217" i="35"/>
  <c r="S217" i="35"/>
  <c r="N217" i="35"/>
  <c r="M217" i="35"/>
  <c r="V216" i="35"/>
  <c r="U216" i="35"/>
  <c r="T216" i="35"/>
  <c r="S216" i="35"/>
  <c r="N216" i="35"/>
  <c r="M216" i="35"/>
  <c r="V215" i="35"/>
  <c r="U215" i="35"/>
  <c r="T215" i="35"/>
  <c r="S215" i="35"/>
  <c r="N215" i="35"/>
  <c r="M215" i="35"/>
  <c r="V214" i="35"/>
  <c r="U214" i="35"/>
  <c r="T214" i="35"/>
  <c r="S214" i="35"/>
  <c r="N214" i="35"/>
  <c r="M214" i="35"/>
  <c r="V213" i="35"/>
  <c r="U213" i="35"/>
  <c r="T213" i="35"/>
  <c r="S213" i="35"/>
  <c r="N213" i="35"/>
  <c r="M213" i="35"/>
  <c r="V212" i="35"/>
  <c r="U212" i="35"/>
  <c r="T212" i="35"/>
  <c r="S212" i="35"/>
  <c r="N212" i="35"/>
  <c r="M212" i="35"/>
  <c r="V211" i="35"/>
  <c r="U211" i="35"/>
  <c r="T211" i="35"/>
  <c r="S211" i="35"/>
  <c r="N211" i="35"/>
  <c r="M211" i="35"/>
  <c r="V210" i="35"/>
  <c r="U210" i="35"/>
  <c r="T210" i="35"/>
  <c r="S210" i="35"/>
  <c r="N210" i="35"/>
  <c r="M210" i="35"/>
  <c r="V209" i="35"/>
  <c r="U209" i="35"/>
  <c r="T209" i="35"/>
  <c r="S209" i="35"/>
  <c r="N209" i="35"/>
  <c r="M209" i="35"/>
  <c r="V208" i="35"/>
  <c r="U208" i="35"/>
  <c r="T208" i="35"/>
  <c r="S208" i="35"/>
  <c r="N208" i="35"/>
  <c r="M208" i="35"/>
  <c r="V207" i="35"/>
  <c r="U207" i="35"/>
  <c r="T207" i="35"/>
  <c r="S207" i="35"/>
  <c r="N207" i="35"/>
  <c r="M207" i="35"/>
  <c r="V206" i="35"/>
  <c r="U206" i="35"/>
  <c r="T206" i="35"/>
  <c r="S206" i="35"/>
  <c r="N206" i="35"/>
  <c r="M206" i="35"/>
  <c r="V205" i="35"/>
  <c r="U205" i="35"/>
  <c r="T205" i="35"/>
  <c r="S205" i="35"/>
  <c r="N205" i="35"/>
  <c r="M205" i="35"/>
  <c r="V204" i="35"/>
  <c r="U204" i="35"/>
  <c r="T204" i="35"/>
  <c r="S204" i="35"/>
  <c r="P204" i="35"/>
  <c r="N204" i="35"/>
  <c r="O204" i="35" s="1"/>
  <c r="Q204" i="35" s="1"/>
  <c r="V203" i="35"/>
  <c r="U203" i="35"/>
  <c r="T203" i="35"/>
  <c r="S203" i="35"/>
  <c r="N203" i="35"/>
  <c r="M203" i="35"/>
  <c r="V202" i="35"/>
  <c r="U202" i="35"/>
  <c r="T202" i="35"/>
  <c r="S202" i="35"/>
  <c r="N202" i="35"/>
  <c r="M202" i="35"/>
  <c r="V201" i="35"/>
  <c r="U201" i="35"/>
  <c r="T201" i="35"/>
  <c r="S201" i="35"/>
  <c r="N201" i="35"/>
  <c r="M201" i="35"/>
  <c r="V200" i="35"/>
  <c r="U200" i="35"/>
  <c r="T200" i="35"/>
  <c r="S200" i="35"/>
  <c r="N200" i="35"/>
  <c r="M200" i="35"/>
  <c r="V199" i="35"/>
  <c r="U199" i="35"/>
  <c r="T199" i="35"/>
  <c r="S199" i="35"/>
  <c r="P199" i="35"/>
  <c r="N199" i="35"/>
  <c r="O199" i="35" s="1"/>
  <c r="Q199" i="35" s="1"/>
  <c r="V198" i="35"/>
  <c r="U198" i="35"/>
  <c r="T198" i="35"/>
  <c r="S198" i="35"/>
  <c r="P198" i="35"/>
  <c r="N198" i="35"/>
  <c r="O198" i="35" s="1"/>
  <c r="Q198" i="35" s="1"/>
  <c r="V194" i="35"/>
  <c r="U194" i="35"/>
  <c r="T194" i="35"/>
  <c r="S194" i="35"/>
  <c r="P194" i="35"/>
  <c r="N194" i="35"/>
  <c r="O194" i="35" s="1"/>
  <c r="Q194" i="35" s="1"/>
  <c r="V191" i="35"/>
  <c r="U191" i="35"/>
  <c r="T191" i="35"/>
  <c r="S191" i="35"/>
  <c r="P191" i="35"/>
  <c r="N191" i="35"/>
  <c r="O191" i="35" s="1"/>
  <c r="Q191" i="35" s="1"/>
  <c r="V190" i="35"/>
  <c r="U190" i="35"/>
  <c r="T190" i="35"/>
  <c r="S190" i="35"/>
  <c r="P190" i="35"/>
  <c r="N190" i="35"/>
  <c r="O190" i="35" s="1"/>
  <c r="Q190" i="35" s="1"/>
  <c r="V189" i="35"/>
  <c r="U189" i="35"/>
  <c r="T189" i="35"/>
  <c r="S189" i="35"/>
  <c r="N189" i="35"/>
  <c r="M189" i="35"/>
  <c r="V188" i="35"/>
  <c r="U188" i="35"/>
  <c r="T188" i="35"/>
  <c r="S188" i="35"/>
  <c r="N188" i="35"/>
  <c r="M188" i="35"/>
  <c r="V187" i="35"/>
  <c r="U187" i="35"/>
  <c r="T187" i="35"/>
  <c r="S187" i="35"/>
  <c r="N187" i="35"/>
  <c r="M187" i="35"/>
  <c r="V186" i="35"/>
  <c r="U186" i="35"/>
  <c r="T186" i="35"/>
  <c r="S186" i="35"/>
  <c r="N186" i="35"/>
  <c r="M186" i="35"/>
  <c r="V185" i="35"/>
  <c r="U185" i="35"/>
  <c r="T185" i="35"/>
  <c r="S185" i="35"/>
  <c r="N185" i="35"/>
  <c r="M185" i="35"/>
  <c r="V184" i="35"/>
  <c r="U184" i="35"/>
  <c r="T184" i="35"/>
  <c r="S184" i="35"/>
  <c r="N184" i="35"/>
  <c r="M184" i="35"/>
  <c r="V183" i="35"/>
  <c r="U183" i="35"/>
  <c r="T183" i="35"/>
  <c r="S183" i="35"/>
  <c r="N183" i="35"/>
  <c r="M183" i="35"/>
  <c r="P183" i="35" s="1"/>
  <c r="V182" i="35"/>
  <c r="U182" i="35"/>
  <c r="T182" i="35"/>
  <c r="S182" i="35"/>
  <c r="N182" i="35"/>
  <c r="M182" i="35"/>
  <c r="V181" i="35"/>
  <c r="U181" i="35"/>
  <c r="T181" i="35"/>
  <c r="S181" i="35"/>
  <c r="N181" i="35"/>
  <c r="M181" i="35"/>
  <c r="V180" i="35"/>
  <c r="U180" i="35"/>
  <c r="T180" i="35"/>
  <c r="S180" i="35"/>
  <c r="N180" i="35"/>
  <c r="M180" i="35"/>
  <c r="P180" i="35" s="1"/>
  <c r="V179" i="35"/>
  <c r="U179" i="35"/>
  <c r="T179" i="35"/>
  <c r="S179" i="35"/>
  <c r="N179" i="35"/>
  <c r="M179" i="35"/>
  <c r="V178" i="35"/>
  <c r="U178" i="35"/>
  <c r="T178" i="35"/>
  <c r="S178" i="35"/>
  <c r="N178" i="35"/>
  <c r="M178" i="35"/>
  <c r="V177" i="35"/>
  <c r="U177" i="35"/>
  <c r="T177" i="35"/>
  <c r="S177" i="35"/>
  <c r="N177" i="35"/>
  <c r="M177" i="35"/>
  <c r="P177" i="35" s="1"/>
  <c r="V176" i="35"/>
  <c r="U176" i="35"/>
  <c r="T176" i="35"/>
  <c r="S176" i="35"/>
  <c r="N176" i="35"/>
  <c r="M176" i="35"/>
  <c r="P176" i="35" s="1"/>
  <c r="V175" i="35"/>
  <c r="U175" i="35"/>
  <c r="T175" i="35"/>
  <c r="S175" i="35"/>
  <c r="N175" i="35"/>
  <c r="M175" i="35"/>
  <c r="V174" i="35"/>
  <c r="U174" i="35"/>
  <c r="T174" i="35"/>
  <c r="S174" i="35"/>
  <c r="N174" i="35"/>
  <c r="M174" i="35"/>
  <c r="V173" i="35"/>
  <c r="U173" i="35"/>
  <c r="T173" i="35"/>
  <c r="S173" i="35"/>
  <c r="N173" i="35"/>
  <c r="M173" i="35"/>
  <c r="V172" i="35"/>
  <c r="U172" i="35"/>
  <c r="T172" i="35"/>
  <c r="S172" i="35"/>
  <c r="N172" i="35"/>
  <c r="M172" i="35"/>
  <c r="V168" i="35"/>
  <c r="U168" i="35"/>
  <c r="T168" i="35"/>
  <c r="S168" i="35"/>
  <c r="N168" i="35"/>
  <c r="M168" i="35"/>
  <c r="P168" i="35" s="1"/>
  <c r="V167" i="35"/>
  <c r="U167" i="35"/>
  <c r="T167" i="35"/>
  <c r="S167" i="35"/>
  <c r="N167" i="35"/>
  <c r="M167" i="35"/>
  <c r="V166" i="35"/>
  <c r="U166" i="35"/>
  <c r="T166" i="35"/>
  <c r="S166" i="35"/>
  <c r="N166" i="35"/>
  <c r="M166" i="35"/>
  <c r="P166" i="35" s="1"/>
  <c r="V165" i="35"/>
  <c r="U165" i="35"/>
  <c r="T165" i="35"/>
  <c r="S165" i="35"/>
  <c r="N165" i="35"/>
  <c r="M165" i="35"/>
  <c r="P165" i="35" s="1"/>
  <c r="V164" i="35"/>
  <c r="U164" i="35"/>
  <c r="T164" i="35"/>
  <c r="S164" i="35"/>
  <c r="N164" i="35"/>
  <c r="M164" i="35"/>
  <c r="V163" i="35"/>
  <c r="U163" i="35"/>
  <c r="T163" i="35"/>
  <c r="S163" i="35"/>
  <c r="N163" i="35"/>
  <c r="M163" i="35"/>
  <c r="V162" i="35"/>
  <c r="U162" i="35"/>
  <c r="T162" i="35"/>
  <c r="S162" i="35"/>
  <c r="P162" i="35"/>
  <c r="N162" i="35"/>
  <c r="O162" i="35" s="1"/>
  <c r="Q162" i="35" s="1"/>
  <c r="V161" i="35"/>
  <c r="U161" i="35"/>
  <c r="T161" i="35"/>
  <c r="S161" i="35"/>
  <c r="N161" i="35"/>
  <c r="M161" i="35"/>
  <c r="P161" i="35" s="1"/>
  <c r="V160" i="35"/>
  <c r="U160" i="35"/>
  <c r="T160" i="35"/>
  <c r="S160" i="35"/>
  <c r="N160" i="35"/>
  <c r="M160" i="35"/>
  <c r="P160" i="35" s="1"/>
  <c r="V159" i="35"/>
  <c r="U159" i="35"/>
  <c r="T159" i="35"/>
  <c r="S159" i="35"/>
  <c r="N159" i="35"/>
  <c r="M159" i="35"/>
  <c r="V158" i="35"/>
  <c r="U158" i="35"/>
  <c r="T158" i="35"/>
  <c r="S158" i="35"/>
  <c r="N158" i="35"/>
  <c r="M158" i="35"/>
  <c r="V157" i="35"/>
  <c r="U157" i="35"/>
  <c r="T157" i="35"/>
  <c r="S157" i="35"/>
  <c r="N157" i="35"/>
  <c r="M157" i="35"/>
  <c r="V156" i="35"/>
  <c r="U156" i="35"/>
  <c r="T156" i="35"/>
  <c r="S156" i="35"/>
  <c r="N156" i="35"/>
  <c r="M156" i="35"/>
  <c r="P156" i="35" s="1"/>
  <c r="V155" i="35"/>
  <c r="U155" i="35"/>
  <c r="T155" i="35"/>
  <c r="S155" i="35"/>
  <c r="N155" i="35"/>
  <c r="M155" i="35"/>
  <c r="V154" i="35"/>
  <c r="U154" i="35"/>
  <c r="T154" i="35"/>
  <c r="S154" i="35"/>
  <c r="N154" i="35"/>
  <c r="M154" i="35"/>
  <c r="V153" i="35"/>
  <c r="U153" i="35"/>
  <c r="T153" i="35"/>
  <c r="S153" i="35"/>
  <c r="N153" i="35"/>
  <c r="M153" i="35"/>
  <c r="V152" i="35"/>
  <c r="U152" i="35"/>
  <c r="T152" i="35"/>
  <c r="S152" i="35"/>
  <c r="N152" i="35"/>
  <c r="M152" i="35"/>
  <c r="V151" i="35"/>
  <c r="U151" i="35"/>
  <c r="T151" i="35"/>
  <c r="S151" i="35"/>
  <c r="N151" i="35"/>
  <c r="M151" i="35"/>
  <c r="V150" i="35"/>
  <c r="U150" i="35"/>
  <c r="T150" i="35"/>
  <c r="S150" i="35"/>
  <c r="N150" i="35"/>
  <c r="M150" i="35"/>
  <c r="V149" i="35"/>
  <c r="U149" i="35"/>
  <c r="T149" i="35"/>
  <c r="S149" i="35"/>
  <c r="N149" i="35"/>
  <c r="M149" i="35"/>
  <c r="V148" i="35"/>
  <c r="U148" i="35"/>
  <c r="T148" i="35"/>
  <c r="S148" i="35"/>
  <c r="N148" i="35"/>
  <c r="M148" i="35"/>
  <c r="V147" i="35"/>
  <c r="U147" i="35"/>
  <c r="T147" i="35"/>
  <c r="S147" i="35"/>
  <c r="N147" i="35"/>
  <c r="M147" i="35"/>
  <c r="V146" i="35"/>
  <c r="U146" i="35"/>
  <c r="T146" i="35"/>
  <c r="S146" i="35"/>
  <c r="N146" i="35"/>
  <c r="M146" i="35"/>
  <c r="V145" i="35"/>
  <c r="U145" i="35"/>
  <c r="T145" i="35"/>
  <c r="S145" i="35"/>
  <c r="N145" i="35"/>
  <c r="M145" i="35"/>
  <c r="V144" i="35"/>
  <c r="U144" i="35"/>
  <c r="T144" i="35"/>
  <c r="S144" i="35"/>
  <c r="N144" i="35"/>
  <c r="M144" i="35"/>
  <c r="V143" i="35"/>
  <c r="U143" i="35"/>
  <c r="T143" i="35"/>
  <c r="S143" i="35"/>
  <c r="N143" i="35"/>
  <c r="M143" i="35"/>
  <c r="P143" i="35" s="1"/>
  <c r="V142" i="35"/>
  <c r="U142" i="35"/>
  <c r="T142" i="35"/>
  <c r="S142" i="35"/>
  <c r="N142" i="35"/>
  <c r="M142" i="35"/>
  <c r="V141" i="35"/>
  <c r="U141" i="35"/>
  <c r="T141" i="35"/>
  <c r="S141" i="35"/>
  <c r="N141" i="35"/>
  <c r="M141" i="35"/>
  <c r="P141" i="35" s="1"/>
  <c r="V140" i="35"/>
  <c r="U140" i="35"/>
  <c r="T140" i="35"/>
  <c r="S140" i="35"/>
  <c r="N140" i="35"/>
  <c r="M140" i="35"/>
  <c r="V139" i="35"/>
  <c r="U139" i="35"/>
  <c r="T139" i="35"/>
  <c r="S139" i="35"/>
  <c r="N139" i="35"/>
  <c r="M139" i="35"/>
  <c r="V138" i="35"/>
  <c r="U138" i="35"/>
  <c r="T138" i="35"/>
  <c r="S138" i="35"/>
  <c r="N138" i="35"/>
  <c r="M138" i="35"/>
  <c r="V137" i="35"/>
  <c r="U137" i="35"/>
  <c r="T137" i="35"/>
  <c r="S137" i="35"/>
  <c r="N137" i="35"/>
  <c r="M137" i="35"/>
  <c r="V136" i="35"/>
  <c r="U136" i="35"/>
  <c r="T136" i="35"/>
  <c r="S136" i="35"/>
  <c r="N136" i="35"/>
  <c r="M136" i="35"/>
  <c r="V135" i="35"/>
  <c r="U135" i="35"/>
  <c r="T135" i="35"/>
  <c r="S135" i="35"/>
  <c r="N135" i="35"/>
  <c r="M135" i="35"/>
  <c r="V134" i="35"/>
  <c r="U134" i="35"/>
  <c r="T134" i="35"/>
  <c r="S134" i="35"/>
  <c r="N134" i="35"/>
  <c r="M134" i="35"/>
  <c r="P134" i="35" s="1"/>
  <c r="V133" i="35"/>
  <c r="U133" i="35"/>
  <c r="T133" i="35"/>
  <c r="S133" i="35"/>
  <c r="N133" i="35"/>
  <c r="M133" i="35"/>
  <c r="V130" i="35"/>
  <c r="U130" i="35"/>
  <c r="T130" i="35"/>
  <c r="S130" i="35"/>
  <c r="N130" i="35"/>
  <c r="M130" i="35"/>
  <c r="V129" i="35"/>
  <c r="U129" i="35"/>
  <c r="T129" i="35"/>
  <c r="S129" i="35"/>
  <c r="N129" i="35"/>
  <c r="M129" i="35"/>
  <c r="P129" i="35" s="1"/>
  <c r="V128" i="35"/>
  <c r="U128" i="35"/>
  <c r="T128" i="35"/>
  <c r="S128" i="35"/>
  <c r="N128" i="35"/>
  <c r="M128" i="35"/>
  <c r="V127" i="35"/>
  <c r="U127" i="35"/>
  <c r="T127" i="35"/>
  <c r="S127" i="35"/>
  <c r="N127" i="35"/>
  <c r="M127" i="35"/>
  <c r="P127" i="35" s="1"/>
  <c r="V126" i="35"/>
  <c r="U126" i="35"/>
  <c r="T126" i="35"/>
  <c r="S126" i="35"/>
  <c r="N126" i="35"/>
  <c r="M126" i="35"/>
  <c r="V125" i="35"/>
  <c r="U125" i="35"/>
  <c r="T125" i="35"/>
  <c r="S125" i="35"/>
  <c r="N125" i="35"/>
  <c r="M125" i="35"/>
  <c r="P125" i="35" s="1"/>
  <c r="V124" i="35"/>
  <c r="U124" i="35"/>
  <c r="T124" i="35"/>
  <c r="S124" i="35"/>
  <c r="N124" i="35"/>
  <c r="M124" i="35"/>
  <c r="V123" i="35"/>
  <c r="U123" i="35"/>
  <c r="T123" i="35"/>
  <c r="S123" i="35"/>
  <c r="N123" i="35"/>
  <c r="M123" i="35"/>
  <c r="V122" i="35"/>
  <c r="U122" i="35"/>
  <c r="T122" i="35"/>
  <c r="S122" i="35"/>
  <c r="N122" i="35"/>
  <c r="M122" i="35"/>
  <c r="P122" i="35" s="1"/>
  <c r="V121" i="35"/>
  <c r="U121" i="35"/>
  <c r="T121" i="35"/>
  <c r="S121" i="35"/>
  <c r="N121" i="35"/>
  <c r="M121" i="35"/>
  <c r="V120" i="35"/>
  <c r="U120" i="35"/>
  <c r="T120" i="35"/>
  <c r="S120" i="35"/>
  <c r="N120" i="35"/>
  <c r="M120" i="35"/>
  <c r="V119" i="35"/>
  <c r="U119" i="35"/>
  <c r="T119" i="35"/>
  <c r="S119" i="35"/>
  <c r="N119" i="35"/>
  <c r="M119" i="35"/>
  <c r="V118" i="35"/>
  <c r="U118" i="35"/>
  <c r="T118" i="35"/>
  <c r="S118" i="35"/>
  <c r="N118" i="35"/>
  <c r="M118" i="35"/>
  <c r="P118" i="35" s="1"/>
  <c r="V117" i="35"/>
  <c r="U117" i="35"/>
  <c r="T117" i="35"/>
  <c r="S117" i="35"/>
  <c r="N117" i="35"/>
  <c r="M117" i="35"/>
  <c r="V116" i="35"/>
  <c r="U116" i="35"/>
  <c r="T116" i="35"/>
  <c r="S116" i="35"/>
  <c r="N116" i="35"/>
  <c r="M116" i="35"/>
  <c r="V115" i="35"/>
  <c r="U115" i="35"/>
  <c r="T115" i="35"/>
  <c r="S115" i="35"/>
  <c r="N115" i="35"/>
  <c r="M115" i="35"/>
  <c r="V114" i="35"/>
  <c r="U114" i="35"/>
  <c r="T114" i="35"/>
  <c r="S114" i="35"/>
  <c r="N114" i="35"/>
  <c r="M114" i="35"/>
  <c r="V113" i="35"/>
  <c r="U113" i="35"/>
  <c r="T113" i="35"/>
  <c r="S113" i="35"/>
  <c r="N113" i="35"/>
  <c r="M113" i="35"/>
  <c r="P113" i="35" s="1"/>
  <c r="V112" i="35"/>
  <c r="U112" i="35"/>
  <c r="T112" i="35"/>
  <c r="S112" i="35"/>
  <c r="N112" i="35"/>
  <c r="M112" i="35"/>
  <c r="V111" i="35"/>
  <c r="U111" i="35"/>
  <c r="T111" i="35"/>
  <c r="S111" i="35"/>
  <c r="N111" i="35"/>
  <c r="M111" i="35"/>
  <c r="V110" i="35"/>
  <c r="U110" i="35"/>
  <c r="T110" i="35"/>
  <c r="S110" i="35"/>
  <c r="N110" i="35"/>
  <c r="M110" i="35"/>
  <c r="V109" i="35"/>
  <c r="U109" i="35"/>
  <c r="T109" i="35"/>
  <c r="S109" i="35"/>
  <c r="N109" i="35"/>
  <c r="M109" i="35"/>
  <c r="V108" i="35"/>
  <c r="U108" i="35"/>
  <c r="T108" i="35"/>
  <c r="S108" i="35"/>
  <c r="N108" i="35"/>
  <c r="M108" i="35"/>
  <c r="V107" i="35"/>
  <c r="U107" i="35"/>
  <c r="T107" i="35"/>
  <c r="S107" i="35"/>
  <c r="N107" i="35"/>
  <c r="M107" i="35"/>
  <c r="V106" i="35"/>
  <c r="U106" i="35"/>
  <c r="T106" i="35"/>
  <c r="S106" i="35"/>
  <c r="N106" i="35"/>
  <c r="M106" i="35"/>
  <c r="V105" i="35"/>
  <c r="U105" i="35"/>
  <c r="T105" i="35"/>
  <c r="S105" i="35"/>
  <c r="N105" i="35"/>
  <c r="M105" i="35"/>
  <c r="V104" i="35"/>
  <c r="U104" i="35"/>
  <c r="T104" i="35"/>
  <c r="S104" i="35"/>
  <c r="N104" i="35"/>
  <c r="M104" i="35"/>
  <c r="V103" i="35"/>
  <c r="U103" i="35"/>
  <c r="T103" i="35"/>
  <c r="S103" i="35"/>
  <c r="N103" i="35"/>
  <c r="M103" i="35"/>
  <c r="V102" i="35"/>
  <c r="U102" i="35"/>
  <c r="T102" i="35"/>
  <c r="S102" i="35"/>
  <c r="N102" i="35"/>
  <c r="M102" i="35"/>
  <c r="V101" i="35"/>
  <c r="U101" i="35"/>
  <c r="T101" i="35"/>
  <c r="S101" i="35"/>
  <c r="N101" i="35"/>
  <c r="M101" i="35"/>
  <c r="P101" i="35" s="1"/>
  <c r="V100" i="35"/>
  <c r="U100" i="35"/>
  <c r="T100" i="35"/>
  <c r="S100" i="35"/>
  <c r="N100" i="35"/>
  <c r="M100" i="35"/>
  <c r="V99" i="35"/>
  <c r="U99" i="35"/>
  <c r="T99" i="35"/>
  <c r="S99" i="35"/>
  <c r="N99" i="35"/>
  <c r="M99" i="35"/>
  <c r="V98" i="35"/>
  <c r="U98" i="35"/>
  <c r="T98" i="35"/>
  <c r="S98" i="35"/>
  <c r="N98" i="35"/>
  <c r="M98" i="35"/>
  <c r="V97" i="35"/>
  <c r="U97" i="35"/>
  <c r="T97" i="35"/>
  <c r="S97" i="35"/>
  <c r="N97" i="35"/>
  <c r="M97" i="35"/>
  <c r="V96" i="35"/>
  <c r="U96" i="35"/>
  <c r="T96" i="35"/>
  <c r="S96" i="35"/>
  <c r="N96" i="35"/>
  <c r="M96" i="35"/>
  <c r="V95" i="35"/>
  <c r="U95" i="35"/>
  <c r="T95" i="35"/>
  <c r="S95" i="35"/>
  <c r="N95" i="35"/>
  <c r="M95" i="35"/>
  <c r="V94" i="35"/>
  <c r="U94" i="35"/>
  <c r="T94" i="35"/>
  <c r="S94" i="35"/>
  <c r="N94" i="35"/>
  <c r="M94" i="35"/>
  <c r="V93" i="35"/>
  <c r="U93" i="35"/>
  <c r="T93" i="35"/>
  <c r="S93" i="35"/>
  <c r="N93" i="35"/>
  <c r="M93" i="35"/>
  <c r="P93" i="35" s="1"/>
  <c r="V92" i="35"/>
  <c r="U92" i="35"/>
  <c r="T92" i="35"/>
  <c r="S92" i="35"/>
  <c r="N92" i="35"/>
  <c r="M92" i="35"/>
  <c r="V91" i="35"/>
  <c r="U91" i="35"/>
  <c r="T91" i="35"/>
  <c r="S91" i="35"/>
  <c r="N91" i="35"/>
  <c r="M91" i="35"/>
  <c r="P91" i="35" s="1"/>
  <c r="V90" i="35"/>
  <c r="U90" i="35"/>
  <c r="T90" i="35"/>
  <c r="S90" i="35"/>
  <c r="N90" i="35"/>
  <c r="M90" i="35"/>
  <c r="V89" i="35"/>
  <c r="U89" i="35"/>
  <c r="T89" i="35"/>
  <c r="S89" i="35"/>
  <c r="N89" i="35"/>
  <c r="M89" i="35"/>
  <c r="P89" i="35" s="1"/>
  <c r="V88" i="35"/>
  <c r="U88" i="35"/>
  <c r="T88" i="35"/>
  <c r="S88" i="35"/>
  <c r="N88" i="35"/>
  <c r="M88" i="35"/>
  <c r="V87" i="35"/>
  <c r="U87" i="35"/>
  <c r="T87" i="35"/>
  <c r="S87" i="35"/>
  <c r="N87" i="35"/>
  <c r="M87" i="35"/>
  <c r="V86" i="35"/>
  <c r="U86" i="35"/>
  <c r="T86" i="35"/>
  <c r="S86" i="35"/>
  <c r="N86" i="35"/>
  <c r="M86" i="35"/>
  <c r="V85" i="35"/>
  <c r="U85" i="35"/>
  <c r="T85" i="35"/>
  <c r="S85" i="35"/>
  <c r="N85" i="35"/>
  <c r="M85" i="35"/>
  <c r="V84" i="35"/>
  <c r="U84" i="35"/>
  <c r="T84" i="35"/>
  <c r="S84" i="35"/>
  <c r="P84" i="35"/>
  <c r="N84" i="35"/>
  <c r="O84" i="35" s="1"/>
  <c r="Q84" i="35" s="1"/>
  <c r="V83" i="35"/>
  <c r="U83" i="35"/>
  <c r="T83" i="35"/>
  <c r="S83" i="35"/>
  <c r="N83" i="35"/>
  <c r="M83" i="35"/>
  <c r="P83" i="35" s="1"/>
  <c r="V82" i="35"/>
  <c r="U82" i="35"/>
  <c r="T82" i="35"/>
  <c r="S82" i="35"/>
  <c r="N82" i="35"/>
  <c r="M82" i="35"/>
  <c r="P82" i="35" s="1"/>
  <c r="V81" i="35"/>
  <c r="U81" i="35"/>
  <c r="T81" i="35"/>
  <c r="S81" i="35"/>
  <c r="N81" i="35"/>
  <c r="M81" i="35"/>
  <c r="V80" i="35"/>
  <c r="U80" i="35"/>
  <c r="T80" i="35"/>
  <c r="S80" i="35"/>
  <c r="N80" i="35"/>
  <c r="M80" i="35"/>
  <c r="V79" i="35"/>
  <c r="U79" i="35"/>
  <c r="T79" i="35"/>
  <c r="S79" i="35"/>
  <c r="N79" i="35"/>
  <c r="M79" i="35"/>
  <c r="P79" i="35" s="1"/>
  <c r="V78" i="35"/>
  <c r="U78" i="35"/>
  <c r="T78" i="35"/>
  <c r="S78" i="35"/>
  <c r="N78" i="35"/>
  <c r="M78" i="35"/>
  <c r="V77" i="35"/>
  <c r="U77" i="35"/>
  <c r="T77" i="35"/>
  <c r="S77" i="35"/>
  <c r="N77" i="35"/>
  <c r="M77" i="35"/>
  <c r="P77" i="35" s="1"/>
  <c r="V76" i="35"/>
  <c r="U76" i="35"/>
  <c r="T76" i="35"/>
  <c r="S76" i="35"/>
  <c r="N76" i="35"/>
  <c r="M76" i="35"/>
  <c r="V75" i="35"/>
  <c r="U75" i="35"/>
  <c r="T75" i="35"/>
  <c r="S75" i="35"/>
  <c r="N75" i="35"/>
  <c r="M75" i="35"/>
  <c r="P75" i="35" s="1"/>
  <c r="V74" i="35"/>
  <c r="U74" i="35"/>
  <c r="T74" i="35"/>
  <c r="S74" i="35"/>
  <c r="N74" i="35"/>
  <c r="M74" i="35"/>
  <c r="V73" i="35"/>
  <c r="U73" i="35"/>
  <c r="T73" i="35"/>
  <c r="S73" i="35"/>
  <c r="N73" i="35"/>
  <c r="M73" i="35"/>
  <c r="P73" i="35" s="1"/>
  <c r="V72" i="35"/>
  <c r="U72" i="35"/>
  <c r="T72" i="35"/>
  <c r="S72" i="35"/>
  <c r="N72" i="35"/>
  <c r="M72" i="35"/>
  <c r="P72" i="35" s="1"/>
  <c r="V71" i="35"/>
  <c r="U71" i="35"/>
  <c r="T71" i="35"/>
  <c r="S71" i="35"/>
  <c r="N71" i="35"/>
  <c r="M71" i="35"/>
  <c r="P71" i="35" s="1"/>
  <c r="V70" i="35"/>
  <c r="U70" i="35"/>
  <c r="T70" i="35"/>
  <c r="S70" i="35"/>
  <c r="N70" i="35"/>
  <c r="M70" i="35"/>
  <c r="P70" i="35" s="1"/>
  <c r="V69" i="35"/>
  <c r="U69" i="35"/>
  <c r="T69" i="35"/>
  <c r="S69" i="35"/>
  <c r="N69" i="35"/>
  <c r="M69" i="35"/>
  <c r="V68" i="35"/>
  <c r="U68" i="35"/>
  <c r="T68" i="35"/>
  <c r="S68" i="35"/>
  <c r="N68" i="35"/>
  <c r="M68" i="35"/>
  <c r="P68" i="35" s="1"/>
  <c r="V67" i="35"/>
  <c r="U67" i="35"/>
  <c r="T67" i="35"/>
  <c r="S67" i="35"/>
  <c r="N67" i="35"/>
  <c r="M67" i="35"/>
  <c r="V66" i="35"/>
  <c r="U66" i="35"/>
  <c r="T66" i="35"/>
  <c r="S66" i="35"/>
  <c r="N66" i="35"/>
  <c r="M66" i="35"/>
  <c r="V65" i="35"/>
  <c r="U65" i="35"/>
  <c r="T65" i="35"/>
  <c r="S65" i="35"/>
  <c r="P65" i="35"/>
  <c r="N65" i="35"/>
  <c r="O65" i="35" s="1"/>
  <c r="Q65" i="35" s="1"/>
  <c r="V62" i="35"/>
  <c r="U62" i="35"/>
  <c r="T62" i="35"/>
  <c r="S62" i="35"/>
  <c r="N62" i="35"/>
  <c r="M62" i="35"/>
  <c r="P62" i="35" s="1"/>
  <c r="V61" i="35"/>
  <c r="U61" i="35"/>
  <c r="T61" i="35"/>
  <c r="S61" i="35"/>
  <c r="N61" i="35"/>
  <c r="M61" i="35"/>
  <c r="V60" i="35"/>
  <c r="U60" i="35"/>
  <c r="T60" i="35"/>
  <c r="S60" i="35"/>
  <c r="N60" i="35"/>
  <c r="M60" i="35"/>
  <c r="V59" i="35"/>
  <c r="U59" i="35"/>
  <c r="T59" i="35"/>
  <c r="S59" i="35"/>
  <c r="N59" i="35"/>
  <c r="M59" i="35"/>
  <c r="V58" i="35"/>
  <c r="U58" i="35"/>
  <c r="T58" i="35"/>
  <c r="S58" i="35"/>
  <c r="N58" i="35"/>
  <c r="M58" i="35"/>
  <c r="V57" i="35"/>
  <c r="U57" i="35"/>
  <c r="T57" i="35"/>
  <c r="S57" i="35"/>
  <c r="N57" i="35"/>
  <c r="M57" i="35"/>
  <c r="V56" i="35"/>
  <c r="U56" i="35"/>
  <c r="T56" i="35"/>
  <c r="S56" i="35"/>
  <c r="N56" i="35"/>
  <c r="M56" i="35"/>
  <c r="V55" i="35"/>
  <c r="U55" i="35"/>
  <c r="T55" i="35"/>
  <c r="S55" i="35"/>
  <c r="N55" i="35"/>
  <c r="M55" i="35"/>
  <c r="V54" i="35"/>
  <c r="U54" i="35"/>
  <c r="T54" i="35"/>
  <c r="S54" i="35"/>
  <c r="N54" i="35"/>
  <c r="M54" i="35"/>
  <c r="V53" i="35"/>
  <c r="U53" i="35"/>
  <c r="T53" i="35"/>
  <c r="S53" i="35"/>
  <c r="N53" i="35"/>
  <c r="M53" i="35"/>
  <c r="P53" i="35" s="1"/>
  <c r="V52" i="35"/>
  <c r="U52" i="35"/>
  <c r="T52" i="35"/>
  <c r="S52" i="35"/>
  <c r="P52" i="35"/>
  <c r="N52" i="35"/>
  <c r="O52" i="35" s="1"/>
  <c r="Q52" i="35" s="1"/>
  <c r="V51" i="35"/>
  <c r="U51" i="35"/>
  <c r="T51" i="35"/>
  <c r="S51" i="35"/>
  <c r="N51" i="35"/>
  <c r="M51" i="35"/>
  <c r="V50" i="35"/>
  <c r="U50" i="35"/>
  <c r="T50" i="35"/>
  <c r="S50" i="35"/>
  <c r="N50" i="35"/>
  <c r="M50" i="35"/>
  <c r="P50" i="35" s="1"/>
  <c r="V49" i="35"/>
  <c r="U49" i="35"/>
  <c r="T49" i="35"/>
  <c r="S49" i="35"/>
  <c r="N49" i="35"/>
  <c r="M49" i="35"/>
  <c r="P49" i="35" s="1"/>
  <c r="V48" i="35"/>
  <c r="U48" i="35"/>
  <c r="T48" i="35"/>
  <c r="S48" i="35"/>
  <c r="N48" i="35"/>
  <c r="M48" i="35"/>
  <c r="V47" i="35"/>
  <c r="U47" i="35"/>
  <c r="T47" i="35"/>
  <c r="S47" i="35"/>
  <c r="N47" i="35"/>
  <c r="M47" i="35"/>
  <c r="V46" i="35"/>
  <c r="U46" i="35"/>
  <c r="T46" i="35"/>
  <c r="S46" i="35"/>
  <c r="N46" i="35"/>
  <c r="M46" i="35"/>
  <c r="V45" i="35"/>
  <c r="U45" i="35"/>
  <c r="T45" i="35"/>
  <c r="S45" i="35"/>
  <c r="N45" i="35"/>
  <c r="M45" i="35"/>
  <c r="V44" i="35"/>
  <c r="U44" i="35"/>
  <c r="T44" i="35"/>
  <c r="S44" i="35"/>
  <c r="N44" i="35"/>
  <c r="M44" i="35"/>
  <c r="P44" i="35" s="1"/>
  <c r="V43" i="35"/>
  <c r="U43" i="35"/>
  <c r="T43" i="35"/>
  <c r="S43" i="35"/>
  <c r="N43" i="35"/>
  <c r="M43" i="35"/>
  <c r="P43" i="35" s="1"/>
  <c r="V42" i="35"/>
  <c r="U42" i="35"/>
  <c r="T42" i="35"/>
  <c r="S42" i="35"/>
  <c r="N42" i="35"/>
  <c r="M42" i="35"/>
  <c r="V41" i="35"/>
  <c r="U41" i="35"/>
  <c r="T41" i="35"/>
  <c r="S41" i="35"/>
  <c r="N41" i="35"/>
  <c r="M41" i="35"/>
  <c r="V40" i="35"/>
  <c r="U40" i="35"/>
  <c r="T40" i="35"/>
  <c r="S40" i="35"/>
  <c r="N40" i="35"/>
  <c r="M40" i="35"/>
  <c r="V39" i="35"/>
  <c r="U39" i="35"/>
  <c r="T39" i="35"/>
  <c r="S39" i="35"/>
  <c r="N39" i="35"/>
  <c r="M39" i="35"/>
  <c r="V38" i="35"/>
  <c r="U38" i="35"/>
  <c r="T38" i="35"/>
  <c r="S38" i="35"/>
  <c r="N38" i="35"/>
  <c r="M38" i="35"/>
  <c r="V37" i="35"/>
  <c r="U37" i="35"/>
  <c r="T37" i="35"/>
  <c r="S37" i="35"/>
  <c r="N37" i="35"/>
  <c r="M37" i="35"/>
  <c r="V36" i="35"/>
  <c r="U36" i="35"/>
  <c r="T36" i="35"/>
  <c r="S36" i="35"/>
  <c r="N36" i="35"/>
  <c r="M36" i="35"/>
  <c r="V35" i="35"/>
  <c r="U35" i="35"/>
  <c r="T35" i="35"/>
  <c r="S35" i="35"/>
  <c r="N35" i="35"/>
  <c r="M35" i="35"/>
  <c r="V34" i="35"/>
  <c r="U34" i="35"/>
  <c r="T34" i="35"/>
  <c r="S34" i="35"/>
  <c r="N34" i="35"/>
  <c r="M34" i="35"/>
  <c r="V33" i="35"/>
  <c r="U33" i="35"/>
  <c r="T33" i="35"/>
  <c r="S33" i="35"/>
  <c r="N33" i="35"/>
  <c r="M33" i="35"/>
  <c r="V32" i="35"/>
  <c r="U32" i="35"/>
  <c r="T32" i="35"/>
  <c r="S32" i="35"/>
  <c r="N32" i="35"/>
  <c r="M32" i="35"/>
  <c r="V31" i="35"/>
  <c r="U31" i="35"/>
  <c r="T31" i="35"/>
  <c r="S31" i="35"/>
  <c r="N31" i="35"/>
  <c r="M31" i="35"/>
  <c r="P31" i="35" s="1"/>
  <c r="V30" i="35"/>
  <c r="U30" i="35"/>
  <c r="T30" i="35"/>
  <c r="S30" i="35"/>
  <c r="N30" i="35"/>
  <c r="M30" i="35"/>
  <c r="P30" i="35" s="1"/>
  <c r="V29" i="35"/>
  <c r="U29" i="35"/>
  <c r="T29" i="35"/>
  <c r="S29" i="35"/>
  <c r="N29" i="35"/>
  <c r="M29" i="35"/>
  <c r="V28" i="35"/>
  <c r="U28" i="35"/>
  <c r="T28" i="35"/>
  <c r="S28" i="35"/>
  <c r="N28" i="35"/>
  <c r="M28" i="35"/>
  <c r="V27" i="35"/>
  <c r="U27" i="35"/>
  <c r="T27" i="35"/>
  <c r="S27" i="35"/>
  <c r="N27" i="35"/>
  <c r="M27" i="35"/>
  <c r="V26" i="35"/>
  <c r="U26" i="35"/>
  <c r="T26" i="35"/>
  <c r="S26" i="35"/>
  <c r="N26" i="35"/>
  <c r="M26" i="35"/>
  <c r="V25" i="35"/>
  <c r="U25" i="35"/>
  <c r="T25" i="35"/>
  <c r="S25" i="35"/>
  <c r="N25" i="35"/>
  <c r="M25" i="35"/>
  <c r="V24" i="35"/>
  <c r="U24" i="35"/>
  <c r="T24" i="35"/>
  <c r="S24" i="35"/>
  <c r="N24" i="35"/>
  <c r="M24" i="35"/>
  <c r="V23" i="35"/>
  <c r="U23" i="35"/>
  <c r="T23" i="35"/>
  <c r="S23" i="35"/>
  <c r="N23" i="35"/>
  <c r="M23" i="35"/>
  <c r="V22" i="35"/>
  <c r="U22" i="35"/>
  <c r="T22" i="35"/>
  <c r="S22" i="35"/>
  <c r="N22" i="35"/>
  <c r="M22" i="35"/>
  <c r="V21" i="35"/>
  <c r="U21" i="35"/>
  <c r="T21" i="35"/>
  <c r="S21" i="35"/>
  <c r="N21" i="35"/>
  <c r="M21" i="35"/>
  <c r="V20" i="35"/>
  <c r="U20" i="35"/>
  <c r="T20" i="35"/>
  <c r="S20" i="35"/>
  <c r="N20" i="35"/>
  <c r="M20" i="35"/>
  <c r="V19" i="35"/>
  <c r="U19" i="35"/>
  <c r="T19" i="35"/>
  <c r="S19" i="35"/>
  <c r="N19" i="35"/>
  <c r="M19" i="35"/>
  <c r="V18" i="35"/>
  <c r="U18" i="35"/>
  <c r="T18" i="35"/>
  <c r="S18" i="35"/>
  <c r="N18" i="35"/>
  <c r="M18" i="35"/>
  <c r="V17" i="35"/>
  <c r="U17" i="35"/>
  <c r="T17" i="35"/>
  <c r="S17" i="35"/>
  <c r="P17" i="35"/>
  <c r="N17" i="35"/>
  <c r="O17" i="35" s="1"/>
  <c r="Q17" i="35" s="1"/>
  <c r="V16" i="35"/>
  <c r="U16" i="35"/>
  <c r="T16" i="35"/>
  <c r="S16" i="35"/>
  <c r="N16" i="35"/>
  <c r="M16" i="35"/>
  <c r="V15" i="35"/>
  <c r="U15" i="35"/>
  <c r="T15" i="35"/>
  <c r="S15" i="35"/>
  <c r="N15" i="35"/>
  <c r="M15" i="35"/>
  <c r="P15" i="35" s="1"/>
  <c r="V14" i="35"/>
  <c r="U14" i="35"/>
  <c r="T14" i="35"/>
  <c r="S14" i="35"/>
  <c r="N14" i="35"/>
  <c r="M14" i="35"/>
  <c r="V13" i="35"/>
  <c r="U13" i="35"/>
  <c r="T13" i="35"/>
  <c r="S13" i="35"/>
  <c r="N13" i="35"/>
  <c r="M13" i="35"/>
  <c r="P13" i="35" s="1"/>
  <c r="V12" i="35"/>
  <c r="U12" i="35"/>
  <c r="T12" i="35"/>
  <c r="S12" i="35"/>
  <c r="N12" i="35"/>
  <c r="M12" i="35"/>
  <c r="V11" i="35"/>
  <c r="U11" i="35"/>
  <c r="T11" i="35"/>
  <c r="S11" i="35"/>
  <c r="P11" i="35"/>
  <c r="N11" i="35"/>
  <c r="O11" i="35" s="1"/>
  <c r="Q11" i="35" s="1"/>
  <c r="V10" i="35"/>
  <c r="U10" i="35"/>
  <c r="T10" i="35"/>
  <c r="S10" i="35"/>
  <c r="N10" i="35"/>
  <c r="M10" i="35"/>
  <c r="V9" i="35"/>
  <c r="U9" i="35"/>
  <c r="T9" i="35"/>
  <c r="S9" i="35"/>
  <c r="N9" i="35"/>
  <c r="M9" i="35"/>
  <c r="P9" i="35" s="1"/>
  <c r="V8" i="35"/>
  <c r="U8" i="35"/>
  <c r="T8" i="35"/>
  <c r="S8" i="35"/>
  <c r="N8" i="35"/>
  <c r="M8" i="35"/>
  <c r="P8" i="35" s="1"/>
  <c r="M429" i="29"/>
  <c r="AS942" i="29"/>
  <c r="AR942" i="29"/>
  <c r="AQ942" i="29"/>
  <c r="AP942" i="29"/>
  <c r="Z942" i="29"/>
  <c r="AA942" i="29" s="1"/>
  <c r="Y942" i="29"/>
  <c r="X942" i="29"/>
  <c r="AM942" i="29" s="1"/>
  <c r="AN942" i="29" s="1"/>
  <c r="W942" i="29"/>
  <c r="AB942" i="29" s="1"/>
  <c r="AC942" i="29" s="1"/>
  <c r="P942" i="29"/>
  <c r="N942" i="29"/>
  <c r="O942" i="29" s="1"/>
  <c r="Q942" i="29" s="1"/>
  <c r="AS941" i="29"/>
  <c r="AR941" i="29"/>
  <c r="AQ941" i="29"/>
  <c r="AP941" i="29"/>
  <c r="Y941" i="29"/>
  <c r="X941" i="29"/>
  <c r="AM941" i="29" s="1"/>
  <c r="AN941" i="29" s="1"/>
  <c r="W941" i="29"/>
  <c r="AB941" i="29" s="1"/>
  <c r="AC941" i="29" s="1"/>
  <c r="P941" i="29"/>
  <c r="N941" i="29"/>
  <c r="O941" i="29" s="1"/>
  <c r="Q941" i="29" s="1"/>
  <c r="AS850" i="29"/>
  <c r="AR850" i="29"/>
  <c r="AQ850" i="29"/>
  <c r="AP850" i="29"/>
  <c r="Y850" i="29"/>
  <c r="X850" i="29"/>
  <c r="AM850" i="29" s="1"/>
  <c r="AN850" i="29" s="1"/>
  <c r="W850" i="29"/>
  <c r="AB850" i="29" s="1"/>
  <c r="P850" i="29"/>
  <c r="N850" i="29"/>
  <c r="O850" i="29" s="1"/>
  <c r="Q850" i="29" s="1"/>
  <c r="AS922" i="29"/>
  <c r="AR922" i="29"/>
  <c r="AQ922" i="29"/>
  <c r="AP922" i="29"/>
  <c r="Y922" i="29"/>
  <c r="X922" i="29"/>
  <c r="W922" i="29"/>
  <c r="AB922" i="29" s="1"/>
  <c r="P922" i="29"/>
  <c r="N922" i="29"/>
  <c r="O922" i="29" s="1"/>
  <c r="Q922" i="29" s="1"/>
  <c r="AS687" i="29"/>
  <c r="AR687" i="29"/>
  <c r="AQ687" i="29"/>
  <c r="AP687" i="29"/>
  <c r="Y687" i="29"/>
  <c r="X687" i="29"/>
  <c r="AM687" i="29" s="1"/>
  <c r="AN687" i="29" s="1"/>
  <c r="W687" i="29"/>
  <c r="AB687" i="29" s="1"/>
  <c r="AC687" i="29" s="1"/>
  <c r="P687" i="29"/>
  <c r="N687" i="29"/>
  <c r="O687" i="29" s="1"/>
  <c r="Q687" i="29" s="1"/>
  <c r="AS688" i="29"/>
  <c r="AR688" i="29"/>
  <c r="AQ688" i="29"/>
  <c r="AP688" i="29"/>
  <c r="X688" i="29"/>
  <c r="W688" i="29"/>
  <c r="AB688" i="29" s="1"/>
  <c r="O688" i="29"/>
  <c r="Q688" i="29" s="1"/>
  <c r="N688" i="29"/>
  <c r="M688" i="29"/>
  <c r="Y688" i="29" s="1"/>
  <c r="AS231" i="29"/>
  <c r="AR231" i="29"/>
  <c r="AQ231" i="29"/>
  <c r="AP231" i="29"/>
  <c r="Y231" i="29"/>
  <c r="X231" i="29"/>
  <c r="AM231" i="29" s="1"/>
  <c r="AN231" i="29" s="1"/>
  <c r="W231" i="29"/>
  <c r="AB231" i="29" s="1"/>
  <c r="P231" i="29"/>
  <c r="N231" i="29"/>
  <c r="O231" i="29" s="1"/>
  <c r="Q231" i="29" s="1"/>
  <c r="AS409" i="29"/>
  <c r="AR409" i="29"/>
  <c r="AQ409" i="29"/>
  <c r="AP409" i="29"/>
  <c r="X409" i="29"/>
  <c r="W409" i="29"/>
  <c r="AB409" i="29" s="1"/>
  <c r="N409" i="29"/>
  <c r="M409" i="29"/>
  <c r="Y409" i="29" s="1"/>
  <c r="AS408" i="29"/>
  <c r="AR408" i="29"/>
  <c r="AQ408" i="29"/>
  <c r="AP408" i="29"/>
  <c r="X408" i="29"/>
  <c r="W408" i="29"/>
  <c r="AB408" i="29" s="1"/>
  <c r="N408" i="29"/>
  <c r="M408" i="29"/>
  <c r="Y408" i="29" s="1"/>
  <c r="AS411" i="29"/>
  <c r="AR411" i="29"/>
  <c r="AQ411" i="29"/>
  <c r="AP411" i="29"/>
  <c r="X411" i="29"/>
  <c r="W411" i="29"/>
  <c r="AB411" i="29" s="1"/>
  <c r="N411" i="29"/>
  <c r="M411" i="29"/>
  <c r="Y411" i="29" s="1"/>
  <c r="AS410" i="29"/>
  <c r="AR410" i="29"/>
  <c r="AQ410" i="29"/>
  <c r="AP410" i="29"/>
  <c r="X410" i="29"/>
  <c r="W410" i="29"/>
  <c r="AB410" i="29" s="1"/>
  <c r="N410" i="29"/>
  <c r="M410" i="29"/>
  <c r="Y410" i="29" s="1"/>
  <c r="M347" i="29"/>
  <c r="Y347" i="29" s="1"/>
  <c r="AS347" i="29"/>
  <c r="AR347" i="29"/>
  <c r="AQ347" i="29"/>
  <c r="AP347" i="29"/>
  <c r="X347" i="29"/>
  <c r="W347" i="29"/>
  <c r="AB347" i="29" s="1"/>
  <c r="N347" i="29"/>
  <c r="O1020" i="35" l="1"/>
  <c r="Q1020" i="35" s="1"/>
  <c r="O1018" i="35"/>
  <c r="Q1018" i="35" s="1"/>
  <c r="O1014" i="35"/>
  <c r="Q1014" i="35" s="1"/>
  <c r="O1008" i="35"/>
  <c r="Q1008" i="35" s="1"/>
  <c r="O1015" i="35"/>
  <c r="Q1015" i="35" s="1"/>
  <c r="O1013" i="35"/>
  <c r="Q1013" i="35" s="1"/>
  <c r="O999" i="35"/>
  <c r="Q999" i="35" s="1"/>
  <c r="O1023" i="35"/>
  <c r="Q1023" i="35" s="1"/>
  <c r="O1000" i="35"/>
  <c r="Q1000" i="35" s="1"/>
  <c r="O1009" i="35"/>
  <c r="Q1009" i="35" s="1"/>
  <c r="O480" i="35"/>
  <c r="Q480" i="35" s="1"/>
  <c r="O1017" i="35"/>
  <c r="Q1017" i="35" s="1"/>
  <c r="P1009" i="35"/>
  <c r="O625" i="35"/>
  <c r="Q625" i="35" s="1"/>
  <c r="O1007" i="35"/>
  <c r="Q1007" i="35" s="1"/>
  <c r="O1016" i="35"/>
  <c r="Q1016" i="35" s="1"/>
  <c r="O1002" i="35"/>
  <c r="Q1002" i="35" s="1"/>
  <c r="O1019" i="35"/>
  <c r="Q1019" i="35" s="1"/>
  <c r="O494" i="35"/>
  <c r="Q494" i="35" s="1"/>
  <c r="O1003" i="35"/>
  <c r="Q1003" i="35" s="1"/>
  <c r="O1028" i="35"/>
  <c r="Q1028" i="35" s="1"/>
  <c r="O1001" i="35"/>
  <c r="Q1001" i="35" s="1"/>
  <c r="O1033" i="35"/>
  <c r="Q1033" i="35" s="1"/>
  <c r="O1004" i="35"/>
  <c r="Q1004" i="35" s="1"/>
  <c r="O1012" i="35"/>
  <c r="Q1012" i="35" s="1"/>
  <c r="O1027" i="35"/>
  <c r="Q1027" i="35" s="1"/>
  <c r="O1022" i="35"/>
  <c r="Q1022" i="35" s="1"/>
  <c r="O1024" i="35"/>
  <c r="Q1024" i="35" s="1"/>
  <c r="O1006" i="35"/>
  <c r="Q1006" i="35" s="1"/>
  <c r="O1031" i="35"/>
  <c r="Q1031" i="35" s="1"/>
  <c r="O1026" i="35"/>
  <c r="Q1026" i="35" s="1"/>
  <c r="O633" i="35"/>
  <c r="Q633" i="35" s="1"/>
  <c r="O20" i="35"/>
  <c r="Q20" i="35" s="1"/>
  <c r="O762" i="35"/>
  <c r="Q762" i="35" s="1"/>
  <c r="O858" i="35"/>
  <c r="Q858" i="35" s="1"/>
  <c r="O299" i="35"/>
  <c r="Q299" i="35" s="1"/>
  <c r="O804" i="35"/>
  <c r="Q804" i="35" s="1"/>
  <c r="O177" i="35"/>
  <c r="Q177" i="35" s="1"/>
  <c r="O601" i="35"/>
  <c r="Q601" i="35" s="1"/>
  <c r="O181" i="35"/>
  <c r="Q181" i="35" s="1"/>
  <c r="O300" i="35"/>
  <c r="Q300" i="35" s="1"/>
  <c r="O442" i="35"/>
  <c r="Q442" i="35" s="1"/>
  <c r="O301" i="35"/>
  <c r="Q301" i="35" s="1"/>
  <c r="O467" i="35"/>
  <c r="Q467" i="35" s="1"/>
  <c r="O766" i="35"/>
  <c r="Q766" i="35" s="1"/>
  <c r="O479" i="35"/>
  <c r="Q479" i="35" s="1"/>
  <c r="O575" i="35"/>
  <c r="Q575" i="35" s="1"/>
  <c r="O658" i="35"/>
  <c r="Q658" i="35" s="1"/>
  <c r="O664" i="35"/>
  <c r="Q664" i="35" s="1"/>
  <c r="O416" i="35"/>
  <c r="Q416" i="35" s="1"/>
  <c r="O805" i="35"/>
  <c r="Q805" i="35" s="1"/>
  <c r="O624" i="35"/>
  <c r="Q624" i="35" s="1"/>
  <c r="O243" i="35"/>
  <c r="Q243" i="35" s="1"/>
  <c r="O524" i="35"/>
  <c r="Q524" i="35" s="1"/>
  <c r="O49" i="35"/>
  <c r="Q49" i="35" s="1"/>
  <c r="O172" i="35"/>
  <c r="Q172" i="35" s="1"/>
  <c r="O988" i="35"/>
  <c r="Q988" i="35" s="1"/>
  <c r="O82" i="35"/>
  <c r="Q82" i="35" s="1"/>
  <c r="O666" i="35"/>
  <c r="Q666" i="35" s="1"/>
  <c r="O39" i="35"/>
  <c r="Q39" i="35" s="1"/>
  <c r="O214" i="35"/>
  <c r="Q214" i="35" s="1"/>
  <c r="O469" i="35"/>
  <c r="Q469" i="35" s="1"/>
  <c r="O722" i="35"/>
  <c r="Q722" i="35" s="1"/>
  <c r="O165" i="35"/>
  <c r="Q165" i="35" s="1"/>
  <c r="O609" i="35"/>
  <c r="Q609" i="35" s="1"/>
  <c r="O665" i="35"/>
  <c r="Q665" i="35" s="1"/>
  <c r="O678" i="35"/>
  <c r="Q678" i="35" s="1"/>
  <c r="O148" i="35"/>
  <c r="Q148" i="35" s="1"/>
  <c r="P18" i="35"/>
  <c r="O135" i="35"/>
  <c r="Q135" i="35" s="1"/>
  <c r="P148" i="35"/>
  <c r="O305" i="35"/>
  <c r="Q305" i="35" s="1"/>
  <c r="O380" i="35"/>
  <c r="Q380" i="35" s="1"/>
  <c r="O394" i="35"/>
  <c r="Q394" i="35" s="1"/>
  <c r="O447" i="35"/>
  <c r="Q447" i="35" s="1"/>
  <c r="O566" i="35"/>
  <c r="Q566" i="35" s="1"/>
  <c r="O755" i="35"/>
  <c r="Q755" i="35" s="1"/>
  <c r="O764" i="35"/>
  <c r="Q764" i="35" s="1"/>
  <c r="O985" i="35"/>
  <c r="Q985" i="35" s="1"/>
  <c r="O989" i="35"/>
  <c r="Q989" i="35" s="1"/>
  <c r="O410" i="35"/>
  <c r="Q410" i="35" s="1"/>
  <c r="P666" i="35"/>
  <c r="O990" i="35"/>
  <c r="Q990" i="35" s="1"/>
  <c r="O108" i="35"/>
  <c r="Q108" i="35" s="1"/>
  <c r="O236" i="35"/>
  <c r="Q236" i="35" s="1"/>
  <c r="P499" i="35"/>
  <c r="O478" i="35"/>
  <c r="Q478" i="35" s="1"/>
  <c r="O18" i="35"/>
  <c r="Q18" i="35" s="1"/>
  <c r="O287" i="35"/>
  <c r="Q287" i="35" s="1"/>
  <c r="P665" i="35"/>
  <c r="O21" i="35"/>
  <c r="Q21" i="35" s="1"/>
  <c r="O24" i="35"/>
  <c r="Q24" i="35" s="1"/>
  <c r="P305" i="35"/>
  <c r="O357" i="35"/>
  <c r="Q357" i="35" s="1"/>
  <c r="P447" i="35"/>
  <c r="O463" i="35"/>
  <c r="Q463" i="35" s="1"/>
  <c r="O501" i="35"/>
  <c r="Q501" i="35" s="1"/>
  <c r="O572" i="35"/>
  <c r="Q572" i="35" s="1"/>
  <c r="O592" i="35"/>
  <c r="Q592" i="35" s="1"/>
  <c r="O677" i="35"/>
  <c r="Q677" i="35" s="1"/>
  <c r="O681" i="35"/>
  <c r="Q681" i="35" s="1"/>
  <c r="O331" i="35"/>
  <c r="Q331" i="35" s="1"/>
  <c r="O485" i="35"/>
  <c r="Q485" i="35" s="1"/>
  <c r="O982" i="35"/>
  <c r="Q982" i="35" s="1"/>
  <c r="O986" i="35"/>
  <c r="Q986" i="35" s="1"/>
  <c r="O42" i="35"/>
  <c r="Q42" i="35" s="1"/>
  <c r="O48" i="35"/>
  <c r="Q48" i="35" s="1"/>
  <c r="O185" i="35"/>
  <c r="Q185" i="35" s="1"/>
  <c r="O366" i="35"/>
  <c r="Q366" i="35" s="1"/>
  <c r="O810" i="35"/>
  <c r="Q810" i="35" s="1"/>
  <c r="P986" i="35"/>
  <c r="O158" i="35"/>
  <c r="Q158" i="35" s="1"/>
  <c r="P416" i="35"/>
  <c r="P606" i="35"/>
  <c r="O685" i="35"/>
  <c r="Q685" i="35" s="1"/>
  <c r="P24" i="35"/>
  <c r="O77" i="35"/>
  <c r="Q77" i="35" s="1"/>
  <c r="P110" i="35"/>
  <c r="O408" i="35"/>
  <c r="Q408" i="35" s="1"/>
  <c r="P572" i="35"/>
  <c r="P681" i="35"/>
  <c r="O610" i="35"/>
  <c r="Q610" i="35" s="1"/>
  <c r="O639" i="35"/>
  <c r="Q639" i="35" s="1"/>
  <c r="P208" i="35"/>
  <c r="O746" i="35"/>
  <c r="Q746" i="35" s="1"/>
  <c r="O75" i="35"/>
  <c r="Q75" i="35" s="1"/>
  <c r="O388" i="35"/>
  <c r="Q388" i="35" s="1"/>
  <c r="P35" i="35"/>
  <c r="O422" i="35"/>
  <c r="Q422" i="35" s="1"/>
  <c r="O161" i="35"/>
  <c r="Q161" i="35" s="1"/>
  <c r="P175" i="35"/>
  <c r="O707" i="35"/>
  <c r="Q707" i="35" s="1"/>
  <c r="O176" i="35"/>
  <c r="Q176" i="35" s="1"/>
  <c r="O499" i="35"/>
  <c r="Q499" i="35" s="1"/>
  <c r="O429" i="35"/>
  <c r="Q429" i="35" s="1"/>
  <c r="P185" i="35"/>
  <c r="O111" i="35"/>
  <c r="Q111" i="35" s="1"/>
  <c r="O207" i="35"/>
  <c r="Q207" i="35" s="1"/>
  <c r="O492" i="35"/>
  <c r="Q492" i="35" s="1"/>
  <c r="O30" i="35"/>
  <c r="Q30" i="35" s="1"/>
  <c r="O83" i="35"/>
  <c r="Q83" i="35" s="1"/>
  <c r="O137" i="35"/>
  <c r="Q137" i="35" s="1"/>
  <c r="O342" i="35"/>
  <c r="Q342" i="35" s="1"/>
  <c r="O376" i="35"/>
  <c r="Q376" i="35" s="1"/>
  <c r="O635" i="35"/>
  <c r="Q635" i="35" s="1"/>
  <c r="O648" i="35"/>
  <c r="Q648" i="35" s="1"/>
  <c r="O242" i="35"/>
  <c r="Q242" i="35" s="1"/>
  <c r="O284" i="35"/>
  <c r="Q284" i="35" s="1"/>
  <c r="O487" i="35"/>
  <c r="Q487" i="35" s="1"/>
  <c r="P787" i="35"/>
  <c r="O218" i="35"/>
  <c r="Q218" i="35" s="1"/>
  <c r="P234" i="35"/>
  <c r="O237" i="35"/>
  <c r="Q237" i="35" s="1"/>
  <c r="P289" i="35"/>
  <c r="O309" i="35"/>
  <c r="Q309" i="35" s="1"/>
  <c r="O318" i="35"/>
  <c r="Q318" i="35" s="1"/>
  <c r="O321" i="35"/>
  <c r="Q321" i="35" s="1"/>
  <c r="O462" i="35"/>
  <c r="Q462" i="35" s="1"/>
  <c r="O473" i="35"/>
  <c r="Q473" i="35" s="1"/>
  <c r="O482" i="35"/>
  <c r="Q482" i="35" s="1"/>
  <c r="O594" i="35"/>
  <c r="Q594" i="35" s="1"/>
  <c r="P766" i="35"/>
  <c r="O808" i="35"/>
  <c r="Q808" i="35" s="1"/>
  <c r="P389" i="35"/>
  <c r="P400" i="35"/>
  <c r="O26" i="35"/>
  <c r="Q26" i="35" s="1"/>
  <c r="O69" i="35"/>
  <c r="Q69" i="35" s="1"/>
  <c r="O73" i="35"/>
  <c r="Q73" i="35" s="1"/>
  <c r="P344" i="35"/>
  <c r="O475" i="35"/>
  <c r="Q475" i="35" s="1"/>
  <c r="P630" i="35"/>
  <c r="P808" i="35"/>
  <c r="P989" i="35"/>
  <c r="P987" i="35"/>
  <c r="O14" i="35"/>
  <c r="Q14" i="35" s="1"/>
  <c r="O59" i="35"/>
  <c r="Q59" i="35" s="1"/>
  <c r="P440" i="35"/>
  <c r="P14" i="35"/>
  <c r="O33" i="35"/>
  <c r="Q33" i="35" s="1"/>
  <c r="O495" i="35"/>
  <c r="Q495" i="35" s="1"/>
  <c r="P638" i="35"/>
  <c r="O9" i="35"/>
  <c r="Q9" i="35" s="1"/>
  <c r="O32" i="35"/>
  <c r="Q32" i="35" s="1"/>
  <c r="P95" i="35"/>
  <c r="P146" i="35"/>
  <c r="P245" i="35"/>
  <c r="P301" i="35"/>
  <c r="P346" i="35"/>
  <c r="O353" i="35"/>
  <c r="Q353" i="35" s="1"/>
  <c r="P380" i="35"/>
  <c r="P570" i="35"/>
  <c r="P594" i="35"/>
  <c r="O638" i="35"/>
  <c r="Q638" i="35" s="1"/>
  <c r="P669" i="35"/>
  <c r="O987" i="35"/>
  <c r="Q987" i="35" s="1"/>
  <c r="O41" i="35"/>
  <c r="Q41" i="35" s="1"/>
  <c r="P59" i="35"/>
  <c r="O605" i="35"/>
  <c r="Q605" i="35" s="1"/>
  <c r="O79" i="35"/>
  <c r="Q79" i="35" s="1"/>
  <c r="P353" i="35"/>
  <c r="P433" i="35"/>
  <c r="O246" i="35"/>
  <c r="Q246" i="35" s="1"/>
  <c r="P48" i="35"/>
  <c r="O61" i="35"/>
  <c r="Q61" i="35" s="1"/>
  <c r="O189" i="35"/>
  <c r="Q189" i="35" s="1"/>
  <c r="P244" i="35"/>
  <c r="P611" i="35"/>
  <c r="P668" i="35"/>
  <c r="P729" i="35"/>
  <c r="P347" i="35"/>
  <c r="P514" i="35"/>
  <c r="O283" i="35"/>
  <c r="Q283" i="35" s="1"/>
  <c r="O595" i="35"/>
  <c r="Q595" i="35" s="1"/>
  <c r="P153" i="35"/>
  <c r="O229" i="35"/>
  <c r="Q229" i="35" s="1"/>
  <c r="P283" i="35"/>
  <c r="O440" i="35"/>
  <c r="Q440" i="35" s="1"/>
  <c r="O8" i="35"/>
  <c r="Q8" i="35" s="1"/>
  <c r="P61" i="35"/>
  <c r="P158" i="35"/>
  <c r="O221" i="35"/>
  <c r="Q221" i="35" s="1"/>
  <c r="P288" i="35"/>
  <c r="P318" i="35"/>
  <c r="P352" i="35"/>
  <c r="O419" i="35"/>
  <c r="Q419" i="35" s="1"/>
  <c r="P566" i="35"/>
  <c r="O611" i="35"/>
  <c r="Q611" i="35" s="1"/>
  <c r="P664" i="35"/>
  <c r="O729" i="35"/>
  <c r="Q729" i="35" s="1"/>
  <c r="P809" i="35"/>
  <c r="P982" i="35"/>
  <c r="P990" i="35"/>
  <c r="O85" i="35"/>
  <c r="Q85" i="35" s="1"/>
  <c r="P246" i="35"/>
  <c r="P343" i="35"/>
  <c r="O407" i="35"/>
  <c r="Q407" i="35" s="1"/>
  <c r="P495" i="35"/>
  <c r="O70" i="35"/>
  <c r="Q70" i="35" s="1"/>
  <c r="P221" i="35"/>
  <c r="P338" i="35"/>
  <c r="P345" i="35"/>
  <c r="P419" i="35"/>
  <c r="P593" i="35"/>
  <c r="P596" i="35"/>
  <c r="P595" i="35"/>
  <c r="O389" i="35"/>
  <c r="Q389" i="35" s="1"/>
  <c r="P302" i="35"/>
  <c r="O245" i="35"/>
  <c r="Q245" i="35" s="1"/>
  <c r="P605" i="35"/>
  <c r="O669" i="35"/>
  <c r="Q669" i="35" s="1"/>
  <c r="O27" i="35"/>
  <c r="Q27" i="35" s="1"/>
  <c r="O35" i="35"/>
  <c r="Q35" i="35" s="1"/>
  <c r="O38" i="35"/>
  <c r="Q38" i="35" s="1"/>
  <c r="P90" i="35"/>
  <c r="P120" i="35"/>
  <c r="P130" i="35"/>
  <c r="O175" i="35"/>
  <c r="Q175" i="35" s="1"/>
  <c r="P217" i="35"/>
  <c r="O515" i="35"/>
  <c r="Q515" i="35" s="1"/>
  <c r="O531" i="35"/>
  <c r="Q531" i="35" s="1"/>
  <c r="O593" i="35"/>
  <c r="Q593" i="35" s="1"/>
  <c r="O596" i="35"/>
  <c r="Q596" i="35" s="1"/>
  <c r="O166" i="35"/>
  <c r="Q166" i="35" s="1"/>
  <c r="O187" i="35"/>
  <c r="Q187" i="35" s="1"/>
  <c r="P215" i="35"/>
  <c r="O231" i="35"/>
  <c r="Q231" i="35" s="1"/>
  <c r="P285" i="35"/>
  <c r="P328" i="35"/>
  <c r="O336" i="35"/>
  <c r="Q336" i="35" s="1"/>
  <c r="O430" i="35"/>
  <c r="Q430" i="35" s="1"/>
  <c r="P568" i="35"/>
  <c r="O598" i="35"/>
  <c r="Q598" i="35" s="1"/>
  <c r="O602" i="35"/>
  <c r="Q602" i="35" s="1"/>
  <c r="P658" i="35"/>
  <c r="O754" i="35"/>
  <c r="Q754" i="35" s="1"/>
  <c r="O208" i="35"/>
  <c r="Q208" i="35" s="1"/>
  <c r="O234" i="35"/>
  <c r="Q234" i="35" s="1"/>
  <c r="O289" i="35"/>
  <c r="Q289" i="35" s="1"/>
  <c r="P309" i="35"/>
  <c r="O327" i="35"/>
  <c r="Q327" i="35" s="1"/>
  <c r="P336" i="35"/>
  <c r="P387" i="35"/>
  <c r="P426" i="35"/>
  <c r="P430" i="35"/>
  <c r="P438" i="35"/>
  <c r="O606" i="35"/>
  <c r="Q606" i="35" s="1"/>
  <c r="O657" i="35"/>
  <c r="Q657" i="35" s="1"/>
  <c r="P812" i="35"/>
  <c r="O120" i="35"/>
  <c r="Q120" i="35" s="1"/>
  <c r="O200" i="35"/>
  <c r="Q200" i="35" s="1"/>
  <c r="O210" i="35"/>
  <c r="Q210" i="35" s="1"/>
  <c r="O330" i="35"/>
  <c r="Q330" i="35" s="1"/>
  <c r="O345" i="35"/>
  <c r="Q345" i="35" s="1"/>
  <c r="O352" i="35"/>
  <c r="Q352" i="35" s="1"/>
  <c r="O393" i="35"/>
  <c r="Q393" i="35" s="1"/>
  <c r="O433" i="35"/>
  <c r="Q433" i="35" s="1"/>
  <c r="O455" i="35"/>
  <c r="Q455" i="35" s="1"/>
  <c r="O491" i="35"/>
  <c r="Q491" i="35" s="1"/>
  <c r="O726" i="35"/>
  <c r="Q726" i="35" s="1"/>
  <c r="O809" i="35"/>
  <c r="Q809" i="35" s="1"/>
  <c r="O143" i="35"/>
  <c r="Q143" i="35" s="1"/>
  <c r="O752" i="35"/>
  <c r="Q752" i="35" s="1"/>
  <c r="O981" i="35"/>
  <c r="Q981" i="35" s="1"/>
  <c r="O286" i="35"/>
  <c r="Q286" i="35" s="1"/>
  <c r="P317" i="35"/>
  <c r="O432" i="35"/>
  <c r="Q432" i="35" s="1"/>
  <c r="O461" i="35"/>
  <c r="Q461" i="35" s="1"/>
  <c r="O629" i="35"/>
  <c r="Q629" i="35" s="1"/>
  <c r="O123" i="35"/>
  <c r="Q123" i="35" s="1"/>
  <c r="O150" i="35"/>
  <c r="Q150" i="35" s="1"/>
  <c r="O167" i="35"/>
  <c r="Q167" i="35" s="1"/>
  <c r="O223" i="35"/>
  <c r="Q223" i="35" s="1"/>
  <c r="O239" i="35"/>
  <c r="Q239" i="35" s="1"/>
  <c r="P286" i="35"/>
  <c r="P432" i="35"/>
  <c r="P461" i="35"/>
  <c r="P501" i="35"/>
  <c r="O608" i="35"/>
  <c r="Q608" i="35" s="1"/>
  <c r="O659" i="35"/>
  <c r="Q659" i="35" s="1"/>
  <c r="P239" i="35"/>
  <c r="P243" i="35"/>
  <c r="O324" i="35"/>
  <c r="Q324" i="35" s="1"/>
  <c r="P341" i="35"/>
  <c r="O431" i="35"/>
  <c r="Q431" i="35" s="1"/>
  <c r="P659" i="35"/>
  <c r="O662" i="35"/>
  <c r="Q662" i="35" s="1"/>
  <c r="P722" i="35"/>
  <c r="O725" i="35"/>
  <c r="Q725" i="35" s="1"/>
  <c r="P138" i="35"/>
  <c r="O205" i="35"/>
  <c r="Q205" i="35" s="1"/>
  <c r="O285" i="35"/>
  <c r="Q285" i="35" s="1"/>
  <c r="O355" i="35"/>
  <c r="Q355" i="35" s="1"/>
  <c r="P431" i="35"/>
  <c r="P478" i="35"/>
  <c r="P662" i="35"/>
  <c r="P985" i="35"/>
  <c r="P78" i="35"/>
  <c r="P94" i="35"/>
  <c r="O320" i="35"/>
  <c r="Q320" i="35" s="1"/>
  <c r="P54" i="35"/>
  <c r="P58" i="35"/>
  <c r="P86" i="35"/>
  <c r="O16" i="35"/>
  <c r="Q16" i="35" s="1"/>
  <c r="O55" i="35"/>
  <c r="Q55" i="35" s="1"/>
  <c r="P145" i="35"/>
  <c r="P224" i="35"/>
  <c r="P320" i="35"/>
  <c r="P498" i="35"/>
  <c r="P124" i="35"/>
  <c r="P315" i="35"/>
  <c r="O76" i="35"/>
  <c r="Q76" i="35" s="1"/>
  <c r="P80" i="35"/>
  <c r="O10" i="35"/>
  <c r="Q10" i="35" s="1"/>
  <c r="P19" i="35"/>
  <c r="O23" i="35"/>
  <c r="Q23" i="35" s="1"/>
  <c r="O36" i="35"/>
  <c r="Q36" i="35" s="1"/>
  <c r="O67" i="35"/>
  <c r="Q67" i="35" s="1"/>
  <c r="O80" i="35"/>
  <c r="Q80" i="35" s="1"/>
  <c r="P106" i="35"/>
  <c r="O168" i="35"/>
  <c r="Q168" i="35" s="1"/>
  <c r="P377" i="35"/>
  <c r="P397" i="35"/>
  <c r="P403" i="35"/>
  <c r="P16" i="35"/>
  <c r="O115" i="35"/>
  <c r="Q115" i="35" s="1"/>
  <c r="P115" i="35"/>
  <c r="P81" i="35"/>
  <c r="P25" i="35"/>
  <c r="O54" i="35"/>
  <c r="Q54" i="35" s="1"/>
  <c r="P67" i="35"/>
  <c r="P96" i="35"/>
  <c r="P36" i="35"/>
  <c r="P393" i="35"/>
  <c r="P487" i="35"/>
  <c r="P74" i="35"/>
  <c r="O81" i="35"/>
  <c r="Q81" i="35" s="1"/>
  <c r="P151" i="35"/>
  <c r="O13" i="35"/>
  <c r="Q13" i="35" s="1"/>
  <c r="P66" i="35"/>
  <c r="P326" i="35"/>
  <c r="P12" i="35"/>
  <c r="P46" i="35"/>
  <c r="O12" i="35"/>
  <c r="Q12" i="35" s="1"/>
  <c r="P55" i="35"/>
  <c r="O78" i="35"/>
  <c r="Q78" i="35" s="1"/>
  <c r="O295" i="35"/>
  <c r="Q295" i="35" s="1"/>
  <c r="P295" i="35"/>
  <c r="P37" i="35"/>
  <c r="O68" i="35"/>
  <c r="Q68" i="35" s="1"/>
  <c r="P76" i="35"/>
  <c r="P155" i="35"/>
  <c r="P745" i="35"/>
  <c r="O124" i="35"/>
  <c r="Q124" i="35" s="1"/>
  <c r="P60" i="35"/>
  <c r="P51" i="35"/>
  <c r="O60" i="35"/>
  <c r="Q60" i="35" s="1"/>
  <c r="O74" i="35"/>
  <c r="Q74" i="35" s="1"/>
  <c r="P98" i="35"/>
  <c r="P42" i="35"/>
  <c r="O51" i="35"/>
  <c r="Q51" i="35" s="1"/>
  <c r="O66" i="35"/>
  <c r="Q66" i="35" s="1"/>
  <c r="P69" i="35"/>
  <c r="O98" i="35"/>
  <c r="Q98" i="35" s="1"/>
  <c r="P207" i="35"/>
  <c r="O326" i="35"/>
  <c r="Q326" i="35" s="1"/>
  <c r="P388" i="35"/>
  <c r="P531" i="35"/>
  <c r="P660" i="35"/>
  <c r="P727" i="35"/>
  <c r="O96" i="35"/>
  <c r="Q96" i="35" s="1"/>
  <c r="O224" i="35"/>
  <c r="Q224" i="35" s="1"/>
  <c r="P235" i="35"/>
  <c r="P333" i="35"/>
  <c r="P421" i="35"/>
  <c r="P435" i="35"/>
  <c r="O496" i="35"/>
  <c r="Q496" i="35" s="1"/>
  <c r="P710" i="35"/>
  <c r="O53" i="35"/>
  <c r="Q53" i="35" s="1"/>
  <c r="O146" i="35"/>
  <c r="Q146" i="35" s="1"/>
  <c r="P181" i="35"/>
  <c r="O206" i="35"/>
  <c r="Q206" i="35" s="1"/>
  <c r="O306" i="35"/>
  <c r="Q306" i="35" s="1"/>
  <c r="O319" i="35"/>
  <c r="Q319" i="35" s="1"/>
  <c r="O325" i="35"/>
  <c r="Q325" i="35" s="1"/>
  <c r="P468" i="35"/>
  <c r="O490" i="35"/>
  <c r="Q490" i="35" s="1"/>
  <c r="O607" i="35"/>
  <c r="Q607" i="35" s="1"/>
  <c r="P607" i="35"/>
  <c r="O636" i="35"/>
  <c r="Q636" i="35" s="1"/>
  <c r="P636" i="35"/>
  <c r="O87" i="35"/>
  <c r="Q87" i="35" s="1"/>
  <c r="O110" i="35"/>
  <c r="Q110" i="35" s="1"/>
  <c r="P150" i="35"/>
  <c r="P206" i="35"/>
  <c r="P223" i="35"/>
  <c r="P284" i="35"/>
  <c r="P306" i="35"/>
  <c r="P319" i="35"/>
  <c r="O323" i="35"/>
  <c r="Q323" i="35" s="1"/>
  <c r="P325" i="35"/>
  <c r="P376" i="35"/>
  <c r="O387" i="35"/>
  <c r="Q387" i="35" s="1"/>
  <c r="P490" i="35"/>
  <c r="O626" i="35"/>
  <c r="Q626" i="35" s="1"/>
  <c r="P793" i="35"/>
  <c r="O745" i="35"/>
  <c r="Q745" i="35" s="1"/>
  <c r="O403" i="35"/>
  <c r="Q403" i="35" s="1"/>
  <c r="P247" i="35"/>
  <c r="O456" i="35"/>
  <c r="Q456" i="35" s="1"/>
  <c r="O526" i="35"/>
  <c r="Q526" i="35" s="1"/>
  <c r="O58" i="35"/>
  <c r="Q58" i="35" s="1"/>
  <c r="O136" i="35"/>
  <c r="Q136" i="35" s="1"/>
  <c r="O233" i="35"/>
  <c r="Q233" i="35" s="1"/>
  <c r="O50" i="35"/>
  <c r="Q50" i="35" s="1"/>
  <c r="O57" i="35"/>
  <c r="Q57" i="35" s="1"/>
  <c r="P100" i="35"/>
  <c r="P144" i="35"/>
  <c r="P157" i="35"/>
  <c r="P222" i="35"/>
  <c r="P375" i="35"/>
  <c r="P379" i="35"/>
  <c r="P386" i="35"/>
  <c r="P414" i="35"/>
  <c r="P57" i="35"/>
  <c r="O62" i="35"/>
  <c r="Q62" i="35" s="1"/>
  <c r="P188" i="35"/>
  <c r="O222" i="35"/>
  <c r="Q222" i="35" s="1"/>
  <c r="P322" i="35"/>
  <c r="P335" i="35"/>
  <c r="P398" i="35"/>
  <c r="P428" i="35"/>
  <c r="P459" i="35"/>
  <c r="O671" i="35"/>
  <c r="Q671" i="35" s="1"/>
  <c r="P728" i="35"/>
  <c r="P979" i="35"/>
  <c r="P445" i="35"/>
  <c r="O667" i="35"/>
  <c r="Q667" i="35" s="1"/>
  <c r="O99" i="35"/>
  <c r="Q99" i="35" s="1"/>
  <c r="O201" i="35"/>
  <c r="Q201" i="35" s="1"/>
  <c r="P304" i="35"/>
  <c r="O379" i="35"/>
  <c r="Q379" i="35" s="1"/>
  <c r="O445" i="35"/>
  <c r="Q445" i="35" s="1"/>
  <c r="P136" i="35"/>
  <c r="P226" i="35"/>
  <c r="O247" i="35"/>
  <c r="Q247" i="35" s="1"/>
  <c r="O304" i="35"/>
  <c r="Q304" i="35" s="1"/>
  <c r="O322" i="35"/>
  <c r="Q322" i="35" s="1"/>
  <c r="O335" i="35"/>
  <c r="Q335" i="35" s="1"/>
  <c r="P456" i="35"/>
  <c r="P483" i="35"/>
  <c r="P667" i="35"/>
  <c r="O303" i="35"/>
  <c r="Q303" i="35" s="1"/>
  <c r="O56" i="35"/>
  <c r="Q56" i="35" s="1"/>
  <c r="P108" i="35"/>
  <c r="P112" i="35"/>
  <c r="O152" i="35"/>
  <c r="Q152" i="35" s="1"/>
  <c r="P172" i="35"/>
  <c r="O188" i="35"/>
  <c r="Q188" i="35" s="1"/>
  <c r="P200" i="35"/>
  <c r="P225" i="35"/>
  <c r="P310" i="35"/>
  <c r="P321" i="35"/>
  <c r="O334" i="35"/>
  <c r="Q334" i="35" s="1"/>
  <c r="O378" i="35"/>
  <c r="Q378" i="35" s="1"/>
  <c r="P639" i="35"/>
  <c r="P233" i="35"/>
  <c r="O109" i="35"/>
  <c r="Q109" i="35" s="1"/>
  <c r="O15" i="35"/>
  <c r="Q15" i="35" s="1"/>
  <c r="O122" i="35"/>
  <c r="Q122" i="35" s="1"/>
  <c r="O44" i="35"/>
  <c r="Q44" i="35" s="1"/>
  <c r="P56" i="35"/>
  <c r="O71" i="35"/>
  <c r="Q71" i="35" s="1"/>
  <c r="O72" i="35"/>
  <c r="Q72" i="35" s="1"/>
  <c r="P103" i="35"/>
  <c r="P139" i="35"/>
  <c r="P152" i="35"/>
  <c r="P351" i="35"/>
  <c r="P378" i="35"/>
  <c r="P671" i="35"/>
  <c r="O183" i="35"/>
  <c r="Q183" i="35" s="1"/>
  <c r="O220" i="35"/>
  <c r="Q220" i="35" s="1"/>
  <c r="O226" i="35"/>
  <c r="Q226" i="35" s="1"/>
  <c r="O310" i="35"/>
  <c r="Q310" i="35" s="1"/>
  <c r="O386" i="35"/>
  <c r="Q386" i="35" s="1"/>
  <c r="O459" i="35"/>
  <c r="Q459" i="35" s="1"/>
  <c r="P655" i="35"/>
  <c r="O728" i="35"/>
  <c r="Q728" i="35" s="1"/>
  <c r="P738" i="35"/>
  <c r="O296" i="35"/>
  <c r="Q296" i="35" s="1"/>
  <c r="O314" i="35"/>
  <c r="Q314" i="35" s="1"/>
  <c r="O315" i="35"/>
  <c r="Q315" i="35" s="1"/>
  <c r="O333" i="35"/>
  <c r="Q333" i="35" s="1"/>
  <c r="P339" i="35"/>
  <c r="P385" i="35"/>
  <c r="O401" i="35"/>
  <c r="Q401" i="35" s="1"/>
  <c r="O437" i="35"/>
  <c r="Q437" i="35" s="1"/>
  <c r="P443" i="35"/>
  <c r="P454" i="35"/>
  <c r="P476" i="35"/>
  <c r="O498" i="35"/>
  <c r="Q498" i="35" s="1"/>
  <c r="P515" i="35"/>
  <c r="O660" i="35"/>
  <c r="Q660" i="35" s="1"/>
  <c r="P712" i="35"/>
  <c r="P716" i="35"/>
  <c r="P731" i="35"/>
  <c r="O731" i="35"/>
  <c r="Q731" i="35" s="1"/>
  <c r="O793" i="35"/>
  <c r="Q793" i="35" s="1"/>
  <c r="O211" i="35"/>
  <c r="Q211" i="35" s="1"/>
  <c r="O230" i="35"/>
  <c r="Q230" i="35" s="1"/>
  <c r="O288" i="35"/>
  <c r="Q288" i="35" s="1"/>
  <c r="O316" i="35"/>
  <c r="Q316" i="35" s="1"/>
  <c r="O339" i="35"/>
  <c r="Q339" i="35" s="1"/>
  <c r="O385" i="35"/>
  <c r="Q385" i="35" s="1"/>
  <c r="O413" i="35"/>
  <c r="Q413" i="35" s="1"/>
  <c r="O443" i="35"/>
  <c r="Q443" i="35" s="1"/>
  <c r="O599" i="35"/>
  <c r="Q599" i="35" s="1"/>
  <c r="O716" i="35"/>
  <c r="Q716" i="35" s="1"/>
  <c r="P723" i="35"/>
  <c r="P737" i="35"/>
  <c r="O86" i="35"/>
  <c r="Q86" i="35" s="1"/>
  <c r="O134" i="35"/>
  <c r="Q134" i="35" s="1"/>
  <c r="P189" i="35"/>
  <c r="O216" i="35"/>
  <c r="Q216" i="35" s="1"/>
  <c r="P330" i="35"/>
  <c r="O337" i="35"/>
  <c r="Q337" i="35" s="1"/>
  <c r="O395" i="35"/>
  <c r="Q395" i="35" s="1"/>
  <c r="O400" i="35"/>
  <c r="Q400" i="35" s="1"/>
  <c r="O411" i="35"/>
  <c r="Q411" i="35" s="1"/>
  <c r="O425" i="35"/>
  <c r="Q425" i="35" s="1"/>
  <c r="O569" i="35"/>
  <c r="Q569" i="35" s="1"/>
  <c r="O597" i="35"/>
  <c r="Q597" i="35" s="1"/>
  <c r="O737" i="35"/>
  <c r="Q737" i="35" s="1"/>
  <c r="O133" i="35"/>
  <c r="Q133" i="35" s="1"/>
  <c r="O138" i="35"/>
  <c r="Q138" i="35" s="1"/>
  <c r="O149" i="35"/>
  <c r="Q149" i="35" s="1"/>
  <c r="O160" i="35"/>
  <c r="Q160" i="35" s="1"/>
  <c r="O215" i="35"/>
  <c r="Q215" i="35" s="1"/>
  <c r="O290" i="35"/>
  <c r="Q290" i="35" s="1"/>
  <c r="P299" i="35"/>
  <c r="O329" i="35"/>
  <c r="Q329" i="35" s="1"/>
  <c r="P337" i="35"/>
  <c r="O382" i="35"/>
  <c r="Q382" i="35" s="1"/>
  <c r="P411" i="35"/>
  <c r="P463" i="35"/>
  <c r="P480" i="35"/>
  <c r="P485" i="35"/>
  <c r="O604" i="35"/>
  <c r="Q604" i="35" s="1"/>
  <c r="P604" i="35"/>
  <c r="O663" i="35"/>
  <c r="Q663" i="35" s="1"/>
  <c r="P663" i="35"/>
  <c r="O723" i="35"/>
  <c r="Q723" i="35" s="1"/>
  <c r="P981" i="35"/>
  <c r="P133" i="35"/>
  <c r="O302" i="35"/>
  <c r="Q302" i="35" s="1"/>
  <c r="O417" i="35"/>
  <c r="Q417" i="35" s="1"/>
  <c r="O514" i="35"/>
  <c r="Q514" i="35" s="1"/>
  <c r="O630" i="35"/>
  <c r="Q630" i="35" s="1"/>
  <c r="O730" i="35"/>
  <c r="Q730" i="35" s="1"/>
  <c r="P730" i="35"/>
  <c r="O328" i="35"/>
  <c r="Q328" i="35" s="1"/>
  <c r="O332" i="35"/>
  <c r="Q332" i="35" s="1"/>
  <c r="O338" i="35"/>
  <c r="Q338" i="35" s="1"/>
  <c r="O341" i="35"/>
  <c r="Q341" i="35" s="1"/>
  <c r="O384" i="35"/>
  <c r="Q384" i="35" s="1"/>
  <c r="O398" i="35"/>
  <c r="Q398" i="35" s="1"/>
  <c r="O428" i="35"/>
  <c r="Q428" i="35" s="1"/>
  <c r="O434" i="35"/>
  <c r="Q434" i="35" s="1"/>
  <c r="O500" i="35"/>
  <c r="Q500" i="35" s="1"/>
  <c r="P527" i="35"/>
  <c r="P721" i="35"/>
  <c r="O721" i="35"/>
  <c r="Q721" i="35" s="1"/>
  <c r="O786" i="35"/>
  <c r="Q786" i="35" s="1"/>
  <c r="P810" i="35"/>
  <c r="P807" i="35"/>
  <c r="O340" i="35"/>
  <c r="Q340" i="35" s="1"/>
  <c r="O349" i="35"/>
  <c r="Q349" i="35" s="1"/>
  <c r="O351" i="35"/>
  <c r="Q351" i="35" s="1"/>
  <c r="O421" i="35"/>
  <c r="Q421" i="35" s="1"/>
  <c r="O441" i="35"/>
  <c r="Q441" i="35" s="1"/>
  <c r="O458" i="35"/>
  <c r="Q458" i="35" s="1"/>
  <c r="O476" i="35"/>
  <c r="Q476" i="35" s="1"/>
  <c r="O493" i="35"/>
  <c r="Q493" i="35" s="1"/>
  <c r="O527" i="35"/>
  <c r="Q527" i="35" s="1"/>
  <c r="P600" i="35"/>
  <c r="O670" i="35"/>
  <c r="Q670" i="35" s="1"/>
  <c r="P670" i="35"/>
  <c r="O807" i="35"/>
  <c r="Q807" i="35" s="1"/>
  <c r="O317" i="35"/>
  <c r="Q317" i="35" s="1"/>
  <c r="O343" i="35"/>
  <c r="Q343" i="35" s="1"/>
  <c r="O344" i="35"/>
  <c r="Q344" i="35" s="1"/>
  <c r="O346" i="35"/>
  <c r="Q346" i="35" s="1"/>
  <c r="O347" i="35"/>
  <c r="Q347" i="35" s="1"/>
  <c r="O348" i="35"/>
  <c r="Q348" i="35" s="1"/>
  <c r="O350" i="35"/>
  <c r="Q350" i="35" s="1"/>
  <c r="O354" i="35"/>
  <c r="Q354" i="35" s="1"/>
  <c r="P473" i="35"/>
  <c r="P475" i="35"/>
  <c r="P492" i="35"/>
  <c r="O571" i="35"/>
  <c r="Q571" i="35" s="1"/>
  <c r="O600" i="35"/>
  <c r="Q600" i="35" s="1"/>
  <c r="P634" i="35"/>
  <c r="P701" i="35"/>
  <c r="O739" i="35"/>
  <c r="Q739" i="35" s="1"/>
  <c r="P750" i="35"/>
  <c r="O446" i="35"/>
  <c r="Q446" i="35" s="1"/>
  <c r="P574" i="35"/>
  <c r="P592" i="35"/>
  <c r="P661" i="35"/>
  <c r="O684" i="35"/>
  <c r="Q684" i="35" s="1"/>
  <c r="P724" i="35"/>
  <c r="P743" i="35"/>
  <c r="O375" i="35"/>
  <c r="Q375" i="35" s="1"/>
  <c r="O377" i="35"/>
  <c r="Q377" i="35" s="1"/>
  <c r="O397" i="35"/>
  <c r="Q397" i="35" s="1"/>
  <c r="O418" i="35"/>
  <c r="Q418" i="35" s="1"/>
  <c r="O504" i="35"/>
  <c r="Q504" i="35" s="1"/>
  <c r="P601" i="35"/>
  <c r="O661" i="35"/>
  <c r="Q661" i="35" s="1"/>
  <c r="P719" i="35"/>
  <c r="O897" i="35"/>
  <c r="Q897" i="35" s="1"/>
  <c r="O356" i="35"/>
  <c r="Q356" i="35" s="1"/>
  <c r="P504" i="35"/>
  <c r="O668" i="35"/>
  <c r="Q668" i="35" s="1"/>
  <c r="O724" i="35"/>
  <c r="Q724" i="35" s="1"/>
  <c r="P897" i="35"/>
  <c r="O983" i="35"/>
  <c r="Q983" i="35" s="1"/>
  <c r="O568" i="35"/>
  <c r="Q568" i="35" s="1"/>
  <c r="O710" i="35"/>
  <c r="Q710" i="35" s="1"/>
  <c r="O603" i="35"/>
  <c r="Q603" i="35" s="1"/>
  <c r="P726" i="35"/>
  <c r="O757" i="35"/>
  <c r="Q757" i="35" s="1"/>
  <c r="P858" i="35"/>
  <c r="O760" i="35"/>
  <c r="Q760" i="35" s="1"/>
  <c r="O637" i="35"/>
  <c r="Q637" i="35" s="1"/>
  <c r="O706" i="35"/>
  <c r="Q706" i="35" s="1"/>
  <c r="O750" i="35"/>
  <c r="Q750" i="35" s="1"/>
  <c r="O758" i="35"/>
  <c r="Q758" i="35" s="1"/>
  <c r="O788" i="35"/>
  <c r="Q788" i="35" s="1"/>
  <c r="O574" i="35"/>
  <c r="Q574" i="35" s="1"/>
  <c r="O634" i="35"/>
  <c r="Q634" i="35" s="1"/>
  <c r="O655" i="35"/>
  <c r="Q655" i="35" s="1"/>
  <c r="O688" i="35"/>
  <c r="Q688" i="35" s="1"/>
  <c r="O719" i="35"/>
  <c r="Q719" i="35" s="1"/>
  <c r="O727" i="35"/>
  <c r="Q727" i="35" s="1"/>
  <c r="P725" i="35"/>
  <c r="O811" i="35"/>
  <c r="Q811" i="35" s="1"/>
  <c r="O812" i="35"/>
  <c r="Q812" i="35" s="1"/>
  <c r="O813" i="35"/>
  <c r="Q813" i="35" s="1"/>
  <c r="O814" i="35"/>
  <c r="Q814" i="35" s="1"/>
  <c r="O984" i="35"/>
  <c r="Q984" i="35" s="1"/>
  <c r="O689" i="35"/>
  <c r="Q689" i="35" s="1"/>
  <c r="O712" i="35"/>
  <c r="Q712" i="35" s="1"/>
  <c r="O753" i="35"/>
  <c r="Q753" i="35" s="1"/>
  <c r="O763" i="35"/>
  <c r="Q763" i="35" s="1"/>
  <c r="O979" i="35"/>
  <c r="Q979" i="35" s="1"/>
  <c r="O740" i="35"/>
  <c r="Q740" i="35" s="1"/>
  <c r="O980" i="35"/>
  <c r="Q980" i="35" s="1"/>
  <c r="O749" i="35"/>
  <c r="Q749" i="35" s="1"/>
  <c r="O780" i="35"/>
  <c r="Q780" i="35" s="1"/>
  <c r="O806" i="35"/>
  <c r="Q806" i="35" s="1"/>
  <c r="P47" i="35"/>
  <c r="O47" i="35"/>
  <c r="Q47" i="35" s="1"/>
  <c r="O45" i="35"/>
  <c r="Q45" i="35" s="1"/>
  <c r="O126" i="35"/>
  <c r="Q126" i="35" s="1"/>
  <c r="O117" i="35"/>
  <c r="Q117" i="35" s="1"/>
  <c r="P28" i="35"/>
  <c r="O28" i="35"/>
  <c r="Q28" i="35" s="1"/>
  <c r="P45" i="35"/>
  <c r="O202" i="35"/>
  <c r="Q202" i="35" s="1"/>
  <c r="P228" i="35"/>
  <c r="O29" i="35"/>
  <c r="Q29" i="35" s="1"/>
  <c r="P40" i="35"/>
  <c r="O40" i="35"/>
  <c r="Q40" i="35" s="1"/>
  <c r="P135" i="35"/>
  <c r="O228" i="35"/>
  <c r="Q228" i="35" s="1"/>
  <c r="P164" i="35"/>
  <c r="O164" i="35"/>
  <c r="Q164" i="35" s="1"/>
  <c r="P240" i="35"/>
  <c r="P102" i="35"/>
  <c r="P117" i="35"/>
  <c r="P22" i="35"/>
  <c r="O22" i="35"/>
  <c r="Q22" i="35" s="1"/>
  <c r="P41" i="35"/>
  <c r="P205" i="35"/>
  <c r="P126" i="35"/>
  <c r="P29" i="35"/>
  <c r="P119" i="35"/>
  <c r="P423" i="35"/>
  <c r="P34" i="35"/>
  <c r="O34" i="35"/>
  <c r="Q34" i="35" s="1"/>
  <c r="P159" i="35"/>
  <c r="O102" i="35"/>
  <c r="Q102" i="35" s="1"/>
  <c r="P202" i="35"/>
  <c r="P92" i="35"/>
  <c r="P23" i="35"/>
  <c r="O95" i="35"/>
  <c r="Q95" i="35" s="1"/>
  <c r="O159" i="35"/>
  <c r="Q159" i="35" s="1"/>
  <c r="P184" i="35"/>
  <c r="O184" i="35"/>
  <c r="Q184" i="35" s="1"/>
  <c r="O240" i="35"/>
  <c r="Q240" i="35" s="1"/>
  <c r="P402" i="35"/>
  <c r="O423" i="35"/>
  <c r="Q423" i="35" s="1"/>
  <c r="P97" i="35"/>
  <c r="P104" i="35"/>
  <c r="O119" i="35"/>
  <c r="Q119" i="35" s="1"/>
  <c r="O402" i="35"/>
  <c r="Q402" i="35" s="1"/>
  <c r="P486" i="35"/>
  <c r="P587" i="35"/>
  <c r="O97" i="35"/>
  <c r="Q97" i="35" s="1"/>
  <c r="O112" i="35"/>
  <c r="Q112" i="35" s="1"/>
  <c r="O128" i="35"/>
  <c r="Q128" i="35" s="1"/>
  <c r="P128" i="35"/>
  <c r="O145" i="35"/>
  <c r="Q145" i="35" s="1"/>
  <c r="P154" i="35"/>
  <c r="P186" i="35"/>
  <c r="O186" i="35"/>
  <c r="Q186" i="35" s="1"/>
  <c r="P714" i="35"/>
  <c r="P121" i="35"/>
  <c r="P453" i="35"/>
  <c r="O453" i="35"/>
  <c r="Q453" i="35" s="1"/>
  <c r="P21" i="35"/>
  <c r="P33" i="35"/>
  <c r="P39" i="35"/>
  <c r="O114" i="35"/>
  <c r="Q114" i="35" s="1"/>
  <c r="P525" i="35"/>
  <c r="O525" i="35"/>
  <c r="Q525" i="35" s="1"/>
  <c r="P88" i="35"/>
  <c r="O93" i="35"/>
  <c r="Q93" i="35" s="1"/>
  <c r="P105" i="35"/>
  <c r="P114" i="35"/>
  <c r="O129" i="35"/>
  <c r="Q129" i="35" s="1"/>
  <c r="O140" i="35"/>
  <c r="Q140" i="35" s="1"/>
  <c r="O155" i="35"/>
  <c r="Q155" i="35" s="1"/>
  <c r="O173" i="35"/>
  <c r="Q173" i="35" s="1"/>
  <c r="O179" i="35"/>
  <c r="Q179" i="35" s="1"/>
  <c r="O213" i="35"/>
  <c r="Q213" i="35" s="1"/>
  <c r="P216" i="35"/>
  <c r="P220" i="35"/>
  <c r="O232" i="35"/>
  <c r="Q232" i="35" s="1"/>
  <c r="P238" i="35"/>
  <c r="O238" i="35"/>
  <c r="Q238" i="35" s="1"/>
  <c r="P147" i="35"/>
  <c r="P209" i="35"/>
  <c r="P27" i="35"/>
  <c r="O121" i="35"/>
  <c r="Q121" i="35" s="1"/>
  <c r="P213" i="35"/>
  <c r="P20" i="35"/>
  <c r="P26" i="35"/>
  <c r="P32" i="35"/>
  <c r="P38" i="35"/>
  <c r="O46" i="35"/>
  <c r="Q46" i="35" s="1"/>
  <c r="P140" i="35"/>
  <c r="P203" i="35"/>
  <c r="O203" i="35"/>
  <c r="Q203" i="35" s="1"/>
  <c r="P232" i="35"/>
  <c r="O19" i="35"/>
  <c r="Q19" i="35" s="1"/>
  <c r="O25" i="35"/>
  <c r="Q25" i="35" s="1"/>
  <c r="O31" i="35"/>
  <c r="Q31" i="35" s="1"/>
  <c r="O37" i="35"/>
  <c r="Q37" i="35" s="1"/>
  <c r="O43" i="35"/>
  <c r="Q43" i="35" s="1"/>
  <c r="O107" i="35"/>
  <c r="Q107" i="35" s="1"/>
  <c r="P116" i="35"/>
  <c r="P173" i="35"/>
  <c r="P179" i="35"/>
  <c r="O212" i="35"/>
  <c r="Q212" i="35" s="1"/>
  <c r="P236" i="35"/>
  <c r="P439" i="35"/>
  <c r="O439" i="35"/>
  <c r="Q439" i="35" s="1"/>
  <c r="P469" i="35"/>
  <c r="P10" i="35"/>
  <c r="O88" i="35"/>
  <c r="Q88" i="35" s="1"/>
  <c r="O105" i="35"/>
  <c r="Q105" i="35" s="1"/>
  <c r="O147" i="35"/>
  <c r="Q147" i="35" s="1"/>
  <c r="O209" i="35"/>
  <c r="Q209" i="35" s="1"/>
  <c r="P85" i="35"/>
  <c r="O90" i="35"/>
  <c r="Q90" i="35" s="1"/>
  <c r="O100" i="35"/>
  <c r="Q100" i="35" s="1"/>
  <c r="P107" i="35"/>
  <c r="P109" i="35"/>
  <c r="P142" i="35"/>
  <c r="O157" i="35"/>
  <c r="Q157" i="35" s="1"/>
  <c r="P167" i="35"/>
  <c r="P212" i="35"/>
  <c r="P437" i="35"/>
  <c r="P523" i="35"/>
  <c r="O523" i="35"/>
  <c r="Q523" i="35" s="1"/>
  <c r="O92" i="35"/>
  <c r="Q92" i="35" s="1"/>
  <c r="O104" i="35"/>
  <c r="Q104" i="35" s="1"/>
  <c r="O116" i="35"/>
  <c r="Q116" i="35" s="1"/>
  <c r="O142" i="35"/>
  <c r="Q142" i="35" s="1"/>
  <c r="O154" i="35"/>
  <c r="Q154" i="35" s="1"/>
  <c r="P450" i="35"/>
  <c r="O450" i="35"/>
  <c r="Q450" i="35" s="1"/>
  <c r="P464" i="35"/>
  <c r="O464" i="35"/>
  <c r="Q464" i="35" s="1"/>
  <c r="P182" i="35"/>
  <c r="O182" i="35"/>
  <c r="Q182" i="35" s="1"/>
  <c r="P210" i="35"/>
  <c r="P230" i="35"/>
  <c r="P367" i="35"/>
  <c r="O367" i="35"/>
  <c r="Q367" i="35" s="1"/>
  <c r="P457" i="35"/>
  <c r="P477" i="35"/>
  <c r="P87" i="35"/>
  <c r="O94" i="35"/>
  <c r="Q94" i="35" s="1"/>
  <c r="P99" i="35"/>
  <c r="O106" i="35"/>
  <c r="Q106" i="35" s="1"/>
  <c r="P111" i="35"/>
  <c r="O118" i="35"/>
  <c r="Q118" i="35" s="1"/>
  <c r="P123" i="35"/>
  <c r="O130" i="35"/>
  <c r="Q130" i="35" s="1"/>
  <c r="P137" i="35"/>
  <c r="O144" i="35"/>
  <c r="Q144" i="35" s="1"/>
  <c r="P149" i="35"/>
  <c r="O156" i="35"/>
  <c r="Q156" i="35" s="1"/>
  <c r="P174" i="35"/>
  <c r="O174" i="35"/>
  <c r="Q174" i="35" s="1"/>
  <c r="O241" i="35"/>
  <c r="Q241" i="35" s="1"/>
  <c r="O457" i="35"/>
  <c r="Q457" i="35" s="1"/>
  <c r="O89" i="35"/>
  <c r="Q89" i="35" s="1"/>
  <c r="O101" i="35"/>
  <c r="Q101" i="35" s="1"/>
  <c r="O113" i="35"/>
  <c r="Q113" i="35" s="1"/>
  <c r="O125" i="35"/>
  <c r="Q125" i="35" s="1"/>
  <c r="O139" i="35"/>
  <c r="Q139" i="35" s="1"/>
  <c r="O151" i="35"/>
  <c r="Q151" i="35" s="1"/>
  <c r="O163" i="35"/>
  <c r="Q163" i="35" s="1"/>
  <c r="P178" i="35"/>
  <c r="O178" i="35"/>
  <c r="Q178" i="35" s="1"/>
  <c r="P211" i="35"/>
  <c r="P241" i="35"/>
  <c r="O248" i="35"/>
  <c r="Q248" i="35" s="1"/>
  <c r="O415" i="35"/>
  <c r="Q415" i="35" s="1"/>
  <c r="P415" i="35"/>
  <c r="P427" i="35"/>
  <c r="O427" i="35"/>
  <c r="Q427" i="35" s="1"/>
  <c r="P163" i="35"/>
  <c r="O180" i="35"/>
  <c r="Q180" i="35" s="1"/>
  <c r="P187" i="35"/>
  <c r="P214" i="35"/>
  <c r="P218" i="35"/>
  <c r="P248" i="35"/>
  <c r="O484" i="35"/>
  <c r="Q484" i="35" s="1"/>
  <c r="O91" i="35"/>
  <c r="Q91" i="35" s="1"/>
  <c r="O103" i="35"/>
  <c r="Q103" i="35" s="1"/>
  <c r="O127" i="35"/>
  <c r="Q127" i="35" s="1"/>
  <c r="O141" i="35"/>
  <c r="Q141" i="35" s="1"/>
  <c r="O153" i="35"/>
  <c r="Q153" i="35" s="1"/>
  <c r="P201" i="35"/>
  <c r="O225" i="35"/>
  <c r="Q225" i="35" s="1"/>
  <c r="O235" i="35"/>
  <c r="Q235" i="35" s="1"/>
  <c r="P242" i="35"/>
  <c r="P424" i="35"/>
  <c r="O424" i="35"/>
  <c r="Q424" i="35" s="1"/>
  <c r="O244" i="35"/>
  <c r="Q244" i="35" s="1"/>
  <c r="P491" i="35"/>
  <c r="O647" i="35"/>
  <c r="Q647" i="35" s="1"/>
  <c r="P647" i="35"/>
  <c r="P237" i="35"/>
  <c r="P444" i="35"/>
  <c r="O477" i="35"/>
  <c r="Q477" i="35" s="1"/>
  <c r="P768" i="35"/>
  <c r="O217" i="35"/>
  <c r="Q217" i="35" s="1"/>
  <c r="P418" i="35"/>
  <c r="P494" i="35"/>
  <c r="P549" i="35"/>
  <c r="P229" i="35"/>
  <c r="P231" i="35"/>
  <c r="O363" i="35"/>
  <c r="Q363" i="35" s="1"/>
  <c r="P458" i="35"/>
  <c r="P460" i="35"/>
  <c r="P481" i="35"/>
  <c r="O481" i="35"/>
  <c r="Q481" i="35" s="1"/>
  <c r="P539" i="35"/>
  <c r="O549" i="35"/>
  <c r="Q549" i="35" s="1"/>
  <c r="P442" i="35"/>
  <c r="O460" i="35"/>
  <c r="Q460" i="35" s="1"/>
  <c r="O587" i="35"/>
  <c r="Q587" i="35" s="1"/>
  <c r="P682" i="35"/>
  <c r="O682" i="35"/>
  <c r="Q682" i="35" s="1"/>
  <c r="P395" i="35"/>
  <c r="P441" i="35"/>
  <c r="P474" i="35"/>
  <c r="P482" i="35"/>
  <c r="P497" i="35"/>
  <c r="P505" i="35"/>
  <c r="P736" i="35"/>
  <c r="P746" i="35"/>
  <c r="O768" i="35"/>
  <c r="Q768" i="35" s="1"/>
  <c r="P399" i="35"/>
  <c r="O399" i="35"/>
  <c r="Q399" i="35" s="1"/>
  <c r="P467" i="35"/>
  <c r="P429" i="35"/>
  <c r="P406" i="35"/>
  <c r="P409" i="35"/>
  <c r="P412" i="35"/>
  <c r="O474" i="35"/>
  <c r="Q474" i="35" s="1"/>
  <c r="O486" i="35"/>
  <c r="Q486" i="35" s="1"/>
  <c r="O497" i="35"/>
  <c r="Q497" i="35" s="1"/>
  <c r="P573" i="35"/>
  <c r="O406" i="35"/>
  <c r="Q406" i="35" s="1"/>
  <c r="O409" i="35"/>
  <c r="Q409" i="35" s="1"/>
  <c r="O412" i="35"/>
  <c r="Q412" i="35" s="1"/>
  <c r="O420" i="35"/>
  <c r="Q420" i="35" s="1"/>
  <c r="P500" i="35"/>
  <c r="O573" i="35"/>
  <c r="Q573" i="35" s="1"/>
  <c r="P396" i="35"/>
  <c r="O396" i="35"/>
  <c r="Q396" i="35" s="1"/>
  <c r="P407" i="35"/>
  <c r="P410" i="35"/>
  <c r="P413" i="35"/>
  <c r="P420" i="35"/>
  <c r="O435" i="35"/>
  <c r="Q435" i="35" s="1"/>
  <c r="P530" i="35"/>
  <c r="P401" i="35"/>
  <c r="P417" i="35"/>
  <c r="P425" i="35"/>
  <c r="P436" i="35"/>
  <c r="O436" i="35"/>
  <c r="Q436" i="35" s="1"/>
  <c r="O444" i="35"/>
  <c r="Q444" i="35" s="1"/>
  <c r="P455" i="35"/>
  <c r="O505" i="35"/>
  <c r="Q505" i="35" s="1"/>
  <c r="O530" i="35"/>
  <c r="Q530" i="35" s="1"/>
  <c r="O539" i="35"/>
  <c r="Q539" i="35" s="1"/>
  <c r="O683" i="35"/>
  <c r="Q683" i="35" s="1"/>
  <c r="P761" i="35"/>
  <c r="P422" i="35"/>
  <c r="P434" i="35"/>
  <c r="P446" i="35"/>
  <c r="P462" i="35"/>
  <c r="P479" i="35"/>
  <c r="P493" i="35"/>
  <c r="O567" i="35"/>
  <c r="Q567" i="35" s="1"/>
  <c r="P648" i="35"/>
  <c r="P718" i="35"/>
  <c r="O718" i="35"/>
  <c r="Q718" i="35" s="1"/>
  <c r="O414" i="35"/>
  <c r="Q414" i="35" s="1"/>
  <c r="O426" i="35"/>
  <c r="Q426" i="35" s="1"/>
  <c r="O438" i="35"/>
  <c r="Q438" i="35" s="1"/>
  <c r="O454" i="35"/>
  <c r="Q454" i="35" s="1"/>
  <c r="O468" i="35"/>
  <c r="Q468" i="35" s="1"/>
  <c r="O483" i="35"/>
  <c r="Q483" i="35" s="1"/>
  <c r="P567" i="35"/>
  <c r="P571" i="35"/>
  <c r="P788" i="35"/>
  <c r="O576" i="35"/>
  <c r="Q576" i="35" s="1"/>
  <c r="O570" i="35"/>
  <c r="Q570" i="35" s="1"/>
  <c r="O646" i="35"/>
  <c r="Q646" i="35" s="1"/>
  <c r="P711" i="35"/>
  <c r="P713" i="35"/>
  <c r="P496" i="35"/>
  <c r="P646" i="35"/>
  <c r="O713" i="35"/>
  <c r="Q713" i="35" s="1"/>
  <c r="P753" i="35"/>
  <c r="O680" i="35"/>
  <c r="Q680" i="35" s="1"/>
  <c r="P684" i="35"/>
  <c r="O761" i="35"/>
  <c r="Q761" i="35" s="1"/>
  <c r="P776" i="35"/>
  <c r="P688" i="35"/>
  <c r="P685" i="35"/>
  <c r="P689" i="35"/>
  <c r="P707" i="35"/>
  <c r="P760" i="35"/>
  <c r="P781" i="35"/>
  <c r="O711" i="35"/>
  <c r="Q711" i="35" s="1"/>
  <c r="O714" i="35"/>
  <c r="Q714" i="35" s="1"/>
  <c r="P762" i="35"/>
  <c r="P782" i="35"/>
  <c r="O736" i="35"/>
  <c r="Q736" i="35" s="1"/>
  <c r="P755" i="35"/>
  <c r="P780" i="35"/>
  <c r="P706" i="35"/>
  <c r="P756" i="35"/>
  <c r="P765" i="35"/>
  <c r="P770" i="35"/>
  <c r="P775" i="35"/>
  <c r="O748" i="35"/>
  <c r="Q748" i="35" s="1"/>
  <c r="O756" i="35"/>
  <c r="Q756" i="35" s="1"/>
  <c r="O765" i="35"/>
  <c r="Q765" i="35" s="1"/>
  <c r="P774" i="35"/>
  <c r="O701" i="35"/>
  <c r="Q701" i="35" s="1"/>
  <c r="P720" i="35"/>
  <c r="O720" i="35"/>
  <c r="Q720" i="35" s="1"/>
  <c r="O738" i="35"/>
  <c r="Q738" i="35" s="1"/>
  <c r="P739" i="35"/>
  <c r="O743" i="35"/>
  <c r="Q743" i="35" s="1"/>
  <c r="P748" i="35"/>
  <c r="P749" i="35"/>
  <c r="P758" i="35"/>
  <c r="P769" i="35"/>
  <c r="O774" i="35"/>
  <c r="Q774" i="35" s="1"/>
  <c r="P763" i="35"/>
  <c r="O770" i="35"/>
  <c r="Q770" i="35" s="1"/>
  <c r="P771" i="35"/>
  <c r="O776" i="35"/>
  <c r="Q776" i="35" s="1"/>
  <c r="P777" i="35"/>
  <c r="O782" i="35"/>
  <c r="Q782" i="35" s="1"/>
  <c r="P783" i="35"/>
  <c r="P754" i="35"/>
  <c r="P772" i="35"/>
  <c r="P778" i="35"/>
  <c r="O747" i="35"/>
  <c r="Q747" i="35" s="1"/>
  <c r="P759" i="35"/>
  <c r="P767" i="35"/>
  <c r="O772" i="35"/>
  <c r="Q772" i="35" s="1"/>
  <c r="P773" i="35"/>
  <c r="O778" i="35"/>
  <c r="Q778" i="35" s="1"/>
  <c r="P779" i="35"/>
  <c r="P747" i="35"/>
  <c r="P752" i="35"/>
  <c r="P764" i="35"/>
  <c r="P757" i="35"/>
  <c r="O759" i="35"/>
  <c r="Q759" i="35" s="1"/>
  <c r="O767" i="35"/>
  <c r="Q767" i="35" s="1"/>
  <c r="O769" i="35"/>
  <c r="Q769" i="35" s="1"/>
  <c r="O771" i="35"/>
  <c r="Q771" i="35" s="1"/>
  <c r="O773" i="35"/>
  <c r="Q773" i="35" s="1"/>
  <c r="O775" i="35"/>
  <c r="Q775" i="35" s="1"/>
  <c r="O777" i="35"/>
  <c r="Q777" i="35" s="1"/>
  <c r="O779" i="35"/>
  <c r="Q779" i="35" s="1"/>
  <c r="O781" i="35"/>
  <c r="Q781" i="35" s="1"/>
  <c r="O783" i="35"/>
  <c r="Q783" i="35" s="1"/>
  <c r="P786" i="35"/>
  <c r="O787" i="35"/>
  <c r="Q787" i="35" s="1"/>
  <c r="P857" i="35"/>
  <c r="O857" i="35"/>
  <c r="Q857" i="35" s="1"/>
  <c r="Z941" i="29"/>
  <c r="AA941" i="29" s="1"/>
  <c r="AD942" i="29"/>
  <c r="AE942" i="29" s="1"/>
  <c r="AD941" i="29"/>
  <c r="AE941" i="29" s="1"/>
  <c r="AG942" i="29"/>
  <c r="AH942" i="29" s="1"/>
  <c r="AG941" i="29"/>
  <c r="AH941" i="29" s="1"/>
  <c r="AJ942" i="29"/>
  <c r="AK942" i="29" s="1"/>
  <c r="AJ941" i="29"/>
  <c r="AK941" i="29" s="1"/>
  <c r="AC231" i="29"/>
  <c r="AC850" i="29"/>
  <c r="Z850" i="29"/>
  <c r="AA850" i="29" s="1"/>
  <c r="AG850" i="29"/>
  <c r="AH850" i="29" s="1"/>
  <c r="AD850" i="29"/>
  <c r="AE850" i="29" s="1"/>
  <c r="AJ850" i="29"/>
  <c r="AK850" i="29" s="1"/>
  <c r="AC922" i="29"/>
  <c r="AM922" i="29"/>
  <c r="AN922" i="29" s="1"/>
  <c r="AD922" i="29"/>
  <c r="AE922" i="29" s="1"/>
  <c r="AG922" i="29"/>
  <c r="AH922" i="29" s="1"/>
  <c r="AJ922" i="29"/>
  <c r="AK922" i="29" s="1"/>
  <c r="Z687" i="29"/>
  <c r="AA687" i="29" s="1"/>
  <c r="Z922" i="29"/>
  <c r="AA922" i="29" s="1"/>
  <c r="AG687" i="29"/>
  <c r="AH687" i="29" s="1"/>
  <c r="AD687" i="29"/>
  <c r="AE687" i="29" s="1"/>
  <c r="AJ687" i="29"/>
  <c r="AK687" i="29" s="1"/>
  <c r="P688" i="29"/>
  <c r="Z688" i="29"/>
  <c r="AA688" i="29" s="1"/>
  <c r="AJ688" i="29"/>
  <c r="AK688" i="29" s="1"/>
  <c r="AG688" i="29"/>
  <c r="AH688" i="29" s="1"/>
  <c r="AD688" i="29"/>
  <c r="AE688" i="29" s="1"/>
  <c r="AM688" i="29"/>
  <c r="AN688" i="29" s="1"/>
  <c r="AC688" i="29"/>
  <c r="Z231" i="29"/>
  <c r="AA231" i="29" s="1"/>
  <c r="AD231" i="29"/>
  <c r="AE231" i="29" s="1"/>
  <c r="AJ231" i="29"/>
  <c r="AK231" i="29" s="1"/>
  <c r="AG231" i="29"/>
  <c r="AH231" i="29" s="1"/>
  <c r="O409" i="29"/>
  <c r="Q409" i="29" s="1"/>
  <c r="O408" i="29"/>
  <c r="Q408" i="29" s="1"/>
  <c r="O410" i="29"/>
  <c r="Q410" i="29" s="1"/>
  <c r="AM409" i="29"/>
  <c r="AN409" i="29" s="1"/>
  <c r="AG408" i="29"/>
  <c r="AH408" i="29" s="1"/>
  <c r="Z408" i="29"/>
  <c r="AA408" i="29" s="1"/>
  <c r="Z409" i="29"/>
  <c r="AA409" i="29" s="1"/>
  <c r="AG409" i="29"/>
  <c r="AH409" i="29" s="1"/>
  <c r="AM408" i="29"/>
  <c r="AN408" i="29" s="1"/>
  <c r="AC408" i="29"/>
  <c r="AC409" i="29"/>
  <c r="AD408" i="29"/>
  <c r="AE408" i="29" s="1"/>
  <c r="AD409" i="29"/>
  <c r="AE409" i="29" s="1"/>
  <c r="O411" i="29"/>
  <c r="Q411" i="29" s="1"/>
  <c r="P408" i="29"/>
  <c r="P409" i="29"/>
  <c r="P411" i="29"/>
  <c r="AJ408" i="29"/>
  <c r="AK408" i="29" s="1"/>
  <c r="AJ409" i="29"/>
  <c r="AK409" i="29" s="1"/>
  <c r="P410" i="29"/>
  <c r="AM411" i="29"/>
  <c r="AN411" i="29" s="1"/>
  <c r="AJ411" i="29"/>
  <c r="AK411" i="29" s="1"/>
  <c r="Z411" i="29"/>
  <c r="AA411" i="29" s="1"/>
  <c r="AC410" i="29"/>
  <c r="AJ410" i="29"/>
  <c r="AK410" i="29" s="1"/>
  <c r="Z410" i="29"/>
  <c r="AA410" i="29" s="1"/>
  <c r="AC411" i="29"/>
  <c r="AM410" i="29"/>
  <c r="AN410" i="29" s="1"/>
  <c r="AD410" i="29"/>
  <c r="AE410" i="29" s="1"/>
  <c r="AD411" i="29"/>
  <c r="AE411" i="29" s="1"/>
  <c r="AG410" i="29"/>
  <c r="AH410" i="29" s="1"/>
  <c r="AG411" i="29"/>
  <c r="AH411" i="29" s="1"/>
  <c r="O347" i="29"/>
  <c r="Q347" i="29" s="1"/>
  <c r="Z347" i="29"/>
  <c r="AA347" i="29" s="1"/>
  <c r="AM347" i="29"/>
  <c r="AN347" i="29" s="1"/>
  <c r="AC347" i="29"/>
  <c r="AD347" i="29"/>
  <c r="AE347" i="29" s="1"/>
  <c r="AG347" i="29"/>
  <c r="AH347" i="29" s="1"/>
  <c r="P347" i="29"/>
  <c r="AJ347" i="29"/>
  <c r="AK347" i="29" s="1"/>
  <c r="AS412" i="29" l="1"/>
  <c r="AR412" i="29"/>
  <c r="AQ412" i="29"/>
  <c r="AP412" i="29"/>
  <c r="X412" i="29"/>
  <c r="W412" i="29"/>
  <c r="AB412" i="29" s="1"/>
  <c r="N412" i="29"/>
  <c r="M412" i="29"/>
  <c r="Y412" i="29" s="1"/>
  <c r="AS413" i="29"/>
  <c r="AR413" i="29"/>
  <c r="AQ413" i="29"/>
  <c r="AP413" i="29"/>
  <c r="X413" i="29"/>
  <c r="W413" i="29"/>
  <c r="AB413" i="29" s="1"/>
  <c r="N413" i="29"/>
  <c r="M413" i="29"/>
  <c r="Y413" i="29" s="1"/>
  <c r="AS232" i="29"/>
  <c r="AR232" i="29"/>
  <c r="AQ232" i="29"/>
  <c r="AP232" i="29"/>
  <c r="X232" i="29"/>
  <c r="W232" i="29"/>
  <c r="AB232" i="29" s="1"/>
  <c r="N232" i="29"/>
  <c r="Y232" i="29"/>
  <c r="AS233" i="29"/>
  <c r="AR233" i="29"/>
  <c r="AQ233" i="29"/>
  <c r="AP233" i="29"/>
  <c r="X233" i="29"/>
  <c r="W233" i="29"/>
  <c r="AB233" i="29" s="1"/>
  <c r="N233" i="29"/>
  <c r="M233" i="29"/>
  <c r="Y233" i="29" s="1"/>
  <c r="AS98" i="29"/>
  <c r="AR98" i="29"/>
  <c r="AQ98" i="29"/>
  <c r="AP98" i="29"/>
  <c r="X98" i="29"/>
  <c r="W98" i="29"/>
  <c r="AB98" i="29" s="1"/>
  <c r="N98" i="29"/>
  <c r="Y98" i="29"/>
  <c r="AS938" i="29"/>
  <c r="AR938" i="29"/>
  <c r="AQ938" i="29"/>
  <c r="AP938" i="29"/>
  <c r="Y938" i="29"/>
  <c r="X938" i="29"/>
  <c r="W938" i="29"/>
  <c r="AB938" i="29" s="1"/>
  <c r="P938" i="29"/>
  <c r="N938" i="29"/>
  <c r="O938" i="29" s="1"/>
  <c r="Q938" i="29" s="1"/>
  <c r="AS937" i="29"/>
  <c r="AR937" i="29"/>
  <c r="AQ937" i="29"/>
  <c r="AP937" i="29"/>
  <c r="Y937" i="29"/>
  <c r="X937" i="29"/>
  <c r="W937" i="29"/>
  <c r="AB937" i="29" s="1"/>
  <c r="P937" i="29"/>
  <c r="N937" i="29"/>
  <c r="O937" i="29" s="1"/>
  <c r="Q937" i="29" s="1"/>
  <c r="AM938" i="29" l="1"/>
  <c r="AN938" i="29" s="1"/>
  <c r="O233" i="29"/>
  <c r="Q233" i="29" s="1"/>
  <c r="O412" i="29"/>
  <c r="Q412" i="29" s="1"/>
  <c r="Z412" i="29"/>
  <c r="AA412" i="29" s="1"/>
  <c r="AG412" i="29"/>
  <c r="AH412" i="29" s="1"/>
  <c r="AD412" i="29"/>
  <c r="AE412" i="29" s="1"/>
  <c r="AM412" i="29"/>
  <c r="AN412" i="29" s="1"/>
  <c r="AC412" i="29"/>
  <c r="P412" i="29"/>
  <c r="AJ412" i="29"/>
  <c r="AK412" i="29" s="1"/>
  <c r="O413" i="29"/>
  <c r="Q413" i="29" s="1"/>
  <c r="Z413" i="29"/>
  <c r="AA413" i="29" s="1"/>
  <c r="AD413" i="29"/>
  <c r="AE413" i="29" s="1"/>
  <c r="AG413" i="29"/>
  <c r="AH413" i="29" s="1"/>
  <c r="AM413" i="29"/>
  <c r="AN413" i="29" s="1"/>
  <c r="AC413" i="29"/>
  <c r="P413" i="29"/>
  <c r="AJ413" i="29"/>
  <c r="AK413" i="29" s="1"/>
  <c r="AM937" i="29"/>
  <c r="AN937" i="29" s="1"/>
  <c r="AM232" i="29"/>
  <c r="AN232" i="29" s="1"/>
  <c r="Z232" i="29"/>
  <c r="AA232" i="29" s="1"/>
  <c r="AG232" i="29"/>
  <c r="AH232" i="29" s="1"/>
  <c r="AD232" i="29"/>
  <c r="AE232" i="29" s="1"/>
  <c r="AC232" i="29"/>
  <c r="AC938" i="29"/>
  <c r="P232" i="29"/>
  <c r="O232" i="29"/>
  <c r="Q232" i="29" s="1"/>
  <c r="AJ232" i="29"/>
  <c r="AK232" i="29" s="1"/>
  <c r="Z233" i="29"/>
  <c r="AA233" i="29" s="1"/>
  <c r="AD233" i="29"/>
  <c r="AE233" i="29" s="1"/>
  <c r="AM233" i="29"/>
  <c r="AN233" i="29" s="1"/>
  <c r="AC233" i="29"/>
  <c r="AG233" i="29"/>
  <c r="AH233" i="29" s="1"/>
  <c r="P233" i="29"/>
  <c r="AJ233" i="29"/>
  <c r="AK233" i="29" s="1"/>
  <c r="Z98" i="29"/>
  <c r="AA98" i="29" s="1"/>
  <c r="AG98" i="29"/>
  <c r="AH98" i="29" s="1"/>
  <c r="AD98" i="29"/>
  <c r="AE98" i="29" s="1"/>
  <c r="AM98" i="29"/>
  <c r="AN98" i="29" s="1"/>
  <c r="AC98" i="29"/>
  <c r="O98" i="29"/>
  <c r="Q98" i="29" s="1"/>
  <c r="P98" i="29"/>
  <c r="AJ98" i="29"/>
  <c r="AK98" i="29" s="1"/>
  <c r="AC937" i="29"/>
  <c r="AG937" i="29"/>
  <c r="AH937" i="29" s="1"/>
  <c r="Z937" i="29"/>
  <c r="AA937" i="29" s="1"/>
  <c r="Z938" i="29"/>
  <c r="AA938" i="29" s="1"/>
  <c r="AD937" i="29"/>
  <c r="AE937" i="29" s="1"/>
  <c r="AD938" i="29"/>
  <c r="AE938" i="29" s="1"/>
  <c r="AG938" i="29"/>
  <c r="AH938" i="29" s="1"/>
  <c r="AJ938" i="29"/>
  <c r="AK938" i="29" s="1"/>
  <c r="AJ937" i="29"/>
  <c r="AK937" i="29" s="1"/>
  <c r="AS904" i="29" l="1"/>
  <c r="AR904" i="29"/>
  <c r="AQ904" i="29"/>
  <c r="AP904" i="29"/>
  <c r="Y904" i="29"/>
  <c r="X904" i="29"/>
  <c r="W904" i="29"/>
  <c r="AB904" i="29" s="1"/>
  <c r="P904" i="29"/>
  <c r="N904" i="29"/>
  <c r="O904" i="29" s="1"/>
  <c r="Q904" i="29" s="1"/>
  <c r="AS907" i="29"/>
  <c r="AR907" i="29"/>
  <c r="AQ907" i="29"/>
  <c r="AP907" i="29"/>
  <c r="Y907" i="29"/>
  <c r="X907" i="29"/>
  <c r="W907" i="29"/>
  <c r="AB907" i="29" s="1"/>
  <c r="P907" i="29"/>
  <c r="N907" i="29"/>
  <c r="O907" i="29" s="1"/>
  <c r="Q907" i="29" s="1"/>
  <c r="AS906" i="29"/>
  <c r="AR906" i="29"/>
  <c r="AQ906" i="29"/>
  <c r="AP906" i="29"/>
  <c r="Y906" i="29"/>
  <c r="X906" i="29"/>
  <c r="W906" i="29"/>
  <c r="AB906" i="29" s="1"/>
  <c r="P906" i="29"/>
  <c r="N906" i="29"/>
  <c r="O906" i="29" s="1"/>
  <c r="Q906" i="29" s="1"/>
  <c r="AS905" i="29"/>
  <c r="AR905" i="29"/>
  <c r="AQ905" i="29"/>
  <c r="AP905" i="29"/>
  <c r="Y905" i="29"/>
  <c r="X905" i="29"/>
  <c r="W905" i="29"/>
  <c r="AB905" i="29" s="1"/>
  <c r="P905" i="29"/>
  <c r="N905" i="29"/>
  <c r="O905" i="29" s="1"/>
  <c r="Q905" i="29" s="1"/>
  <c r="AS903" i="29"/>
  <c r="AR903" i="29"/>
  <c r="AQ903" i="29"/>
  <c r="AP903" i="29"/>
  <c r="Y903" i="29"/>
  <c r="X903" i="29"/>
  <c r="W903" i="29"/>
  <c r="AB903" i="29" s="1"/>
  <c r="P903" i="29"/>
  <c r="N903" i="29"/>
  <c r="O903" i="29" s="1"/>
  <c r="Q903" i="29" s="1"/>
  <c r="AM903" i="29" l="1"/>
  <c r="AN903" i="29" s="1"/>
  <c r="AC907" i="29"/>
  <c r="AD907" i="29"/>
  <c r="AE907" i="29" s="1"/>
  <c r="AC904" i="29"/>
  <c r="AM904" i="29"/>
  <c r="AN904" i="29" s="1"/>
  <c r="AG906" i="29"/>
  <c r="AH906" i="29" s="1"/>
  <c r="AD905" i="29"/>
  <c r="AE905" i="29" s="1"/>
  <c r="Z905" i="29"/>
  <c r="AA905" i="29" s="1"/>
  <c r="AC905" i="29"/>
  <c r="AC906" i="29"/>
  <c r="Z904" i="29"/>
  <c r="AA904" i="29" s="1"/>
  <c r="AM905" i="29"/>
  <c r="AN905" i="29" s="1"/>
  <c r="AM906" i="29"/>
  <c r="AN906" i="29" s="1"/>
  <c r="AD904" i="29"/>
  <c r="AE904" i="29" s="1"/>
  <c r="AG904" i="29"/>
  <c r="AH904" i="29" s="1"/>
  <c r="AM907" i="29"/>
  <c r="AN907" i="29" s="1"/>
  <c r="AJ904" i="29"/>
  <c r="AK904" i="29" s="1"/>
  <c r="Z907" i="29"/>
  <c r="AA907" i="29" s="1"/>
  <c r="AC903" i="29"/>
  <c r="AG903" i="29"/>
  <c r="AH903" i="29" s="1"/>
  <c r="AD906" i="29"/>
  <c r="AE906" i="29" s="1"/>
  <c r="AG907" i="29"/>
  <c r="AH907" i="29" s="1"/>
  <c r="Z906" i="29"/>
  <c r="AA906" i="29" s="1"/>
  <c r="AJ907" i="29"/>
  <c r="AK907" i="29" s="1"/>
  <c r="AJ906" i="29"/>
  <c r="AK906" i="29" s="1"/>
  <c r="Z903" i="29"/>
  <c r="AA903" i="29" s="1"/>
  <c r="AD903" i="29"/>
  <c r="AE903" i="29" s="1"/>
  <c r="AG905" i="29"/>
  <c r="AH905" i="29" s="1"/>
  <c r="AJ905" i="29"/>
  <c r="AK905" i="29" s="1"/>
  <c r="AJ903" i="29"/>
  <c r="AK903" i="29" s="1"/>
  <c r="AS880" i="29"/>
  <c r="AR880" i="29"/>
  <c r="AQ880" i="29"/>
  <c r="AP880" i="29"/>
  <c r="Y880" i="29"/>
  <c r="X880" i="29"/>
  <c r="W880" i="29"/>
  <c r="AB880" i="29" s="1"/>
  <c r="P880" i="29"/>
  <c r="N880" i="29"/>
  <c r="O880" i="29" s="1"/>
  <c r="Q880" i="29" s="1"/>
  <c r="AS653" i="29"/>
  <c r="AR653" i="29"/>
  <c r="AQ653" i="29"/>
  <c r="AP653" i="29"/>
  <c r="Y653" i="29"/>
  <c r="X653" i="29"/>
  <c r="W653" i="29"/>
  <c r="AB653" i="29" s="1"/>
  <c r="P653" i="29"/>
  <c r="N653" i="29"/>
  <c r="O653" i="29" s="1"/>
  <c r="Q653" i="29" s="1"/>
  <c r="AS414" i="29"/>
  <c r="AR414" i="29"/>
  <c r="AQ414" i="29"/>
  <c r="AP414" i="29"/>
  <c r="X414" i="29"/>
  <c r="W414" i="29"/>
  <c r="AB414" i="29" s="1"/>
  <c r="N414" i="29"/>
  <c r="O414" i="29" s="1"/>
  <c r="Q414" i="29" s="1"/>
  <c r="Y414" i="29"/>
  <c r="M166" i="29"/>
  <c r="Y166" i="29" s="1"/>
  <c r="AS166" i="29"/>
  <c r="AR166" i="29"/>
  <c r="AQ166" i="29"/>
  <c r="AP166" i="29"/>
  <c r="X166" i="29"/>
  <c r="W166" i="29"/>
  <c r="AB166" i="29" s="1"/>
  <c r="N166" i="29"/>
  <c r="AS284" i="29"/>
  <c r="AR284" i="29"/>
  <c r="AQ284" i="29"/>
  <c r="AP284" i="29"/>
  <c r="Y284" i="29"/>
  <c r="X284" i="29"/>
  <c r="W284" i="29"/>
  <c r="AB284" i="29" s="1"/>
  <c r="P284" i="29"/>
  <c r="N284" i="29"/>
  <c r="O284" i="29" s="1"/>
  <c r="Q284" i="29" s="1"/>
  <c r="M349" i="29"/>
  <c r="Y349" i="29" s="1"/>
  <c r="M348" i="29"/>
  <c r="Y348" i="29" s="1"/>
  <c r="AS348" i="29"/>
  <c r="AR348" i="29"/>
  <c r="AQ348" i="29"/>
  <c r="AP348" i="29"/>
  <c r="X348" i="29"/>
  <c r="W348" i="29"/>
  <c r="AB348" i="29" s="1"/>
  <c r="N348" i="29"/>
  <c r="AS349" i="29"/>
  <c r="AR349" i="29"/>
  <c r="AQ349" i="29"/>
  <c r="AP349" i="29"/>
  <c r="X349" i="29"/>
  <c r="W349" i="29"/>
  <c r="AB349" i="29" s="1"/>
  <c r="N349" i="29"/>
  <c r="M41" i="29"/>
  <c r="P41" i="29" s="1"/>
  <c r="AS41" i="29"/>
  <c r="AR41" i="29"/>
  <c r="AQ41" i="29"/>
  <c r="AP41" i="29"/>
  <c r="X41" i="29"/>
  <c r="W41" i="29"/>
  <c r="AB41" i="29" s="1"/>
  <c r="N41" i="29"/>
  <c r="AM880" i="29" l="1"/>
  <c r="AN880" i="29" s="1"/>
  <c r="AD880" i="29"/>
  <c r="AE880" i="29" s="1"/>
  <c r="AC880" i="29"/>
  <c r="Z880" i="29"/>
  <c r="AA880" i="29" s="1"/>
  <c r="AJ653" i="29"/>
  <c r="AK653" i="29" s="1"/>
  <c r="AC653" i="29"/>
  <c r="AM653" i="29"/>
  <c r="AN653" i="29" s="1"/>
  <c r="AG880" i="29"/>
  <c r="AH880" i="29" s="1"/>
  <c r="Z653" i="29"/>
  <c r="AA653" i="29" s="1"/>
  <c r="AJ880" i="29"/>
  <c r="AK880" i="29" s="1"/>
  <c r="AD653" i="29"/>
  <c r="AE653" i="29" s="1"/>
  <c r="AG653" i="29"/>
  <c r="AH653" i="29" s="1"/>
  <c r="Z414" i="29"/>
  <c r="AA414" i="29" s="1"/>
  <c r="AD414" i="29"/>
  <c r="AE414" i="29" s="1"/>
  <c r="AM414" i="29"/>
  <c r="AN414" i="29" s="1"/>
  <c r="AC414" i="29"/>
  <c r="AG414" i="29"/>
  <c r="AH414" i="29" s="1"/>
  <c r="P414" i="29"/>
  <c r="O166" i="29"/>
  <c r="Q166" i="29" s="1"/>
  <c r="AJ414" i="29"/>
  <c r="AK414" i="29" s="1"/>
  <c r="AC284" i="29"/>
  <c r="AD166" i="29"/>
  <c r="AE166" i="29" s="1"/>
  <c r="Z166" i="29"/>
  <c r="AA166" i="29" s="1"/>
  <c r="AG166" i="29"/>
  <c r="AH166" i="29" s="1"/>
  <c r="AM166" i="29"/>
  <c r="AN166" i="29" s="1"/>
  <c r="AC166" i="29"/>
  <c r="P166" i="29"/>
  <c r="AJ166" i="29"/>
  <c r="AK166" i="29" s="1"/>
  <c r="AM284" i="29"/>
  <c r="AN284" i="29" s="1"/>
  <c r="Z284" i="29"/>
  <c r="AA284" i="29" s="1"/>
  <c r="AD284" i="29"/>
  <c r="AE284" i="29" s="1"/>
  <c r="AG284" i="29"/>
  <c r="AH284" i="29" s="1"/>
  <c r="AJ284" i="29"/>
  <c r="AK284" i="29" s="1"/>
  <c r="O349" i="29"/>
  <c r="Q349" i="29" s="1"/>
  <c r="O348" i="29"/>
  <c r="Q348" i="29" s="1"/>
  <c r="AD348" i="29"/>
  <c r="AE348" i="29" s="1"/>
  <c r="Z348" i="29"/>
  <c r="AA348" i="29" s="1"/>
  <c r="AG348" i="29"/>
  <c r="AH348" i="29" s="1"/>
  <c r="AM348" i="29"/>
  <c r="AN348" i="29" s="1"/>
  <c r="AC348" i="29"/>
  <c r="P348" i="29"/>
  <c r="AJ348" i="29"/>
  <c r="AK348" i="29" s="1"/>
  <c r="Y41" i="29"/>
  <c r="Z41" i="29" s="1"/>
  <c r="AA41" i="29" s="1"/>
  <c r="O41" i="29"/>
  <c r="Q41" i="29" s="1"/>
  <c r="Z349" i="29"/>
  <c r="AA349" i="29" s="1"/>
  <c r="AD349" i="29"/>
  <c r="AE349" i="29" s="1"/>
  <c r="AM349" i="29"/>
  <c r="AN349" i="29" s="1"/>
  <c r="AC349" i="29"/>
  <c r="AG349" i="29"/>
  <c r="AH349" i="29" s="1"/>
  <c r="P349" i="29"/>
  <c r="AJ349" i="29"/>
  <c r="AK349" i="29" s="1"/>
  <c r="AC41" i="29" l="1"/>
  <c r="AD41" i="29"/>
  <c r="AE41" i="29" s="1"/>
  <c r="AM41" i="29"/>
  <c r="AN41" i="29" s="1"/>
  <c r="AG41" i="29"/>
  <c r="AH41" i="29" s="1"/>
  <c r="AJ41" i="29"/>
  <c r="AK41" i="29" s="1"/>
  <c r="M415" i="29" l="1"/>
  <c r="P415" i="29" s="1"/>
  <c r="AS350" i="29"/>
  <c r="AR350" i="29"/>
  <c r="AQ350" i="29"/>
  <c r="AP350" i="29"/>
  <c r="X350" i="29"/>
  <c r="W350" i="29"/>
  <c r="AB350" i="29" s="1"/>
  <c r="N350" i="29"/>
  <c r="M350" i="29"/>
  <c r="Y350" i="29" s="1"/>
  <c r="AS415" i="29"/>
  <c r="AR415" i="29"/>
  <c r="AQ415" i="29"/>
  <c r="AP415" i="29"/>
  <c r="X415" i="29"/>
  <c r="W415" i="29"/>
  <c r="AB415" i="29" s="1"/>
  <c r="N415" i="29"/>
  <c r="M167" i="29"/>
  <c r="Y167" i="29" s="1"/>
  <c r="AS167" i="29"/>
  <c r="AR167" i="29"/>
  <c r="AQ167" i="29"/>
  <c r="AP167" i="29"/>
  <c r="X167" i="29"/>
  <c r="W167" i="29"/>
  <c r="AB167" i="29" s="1"/>
  <c r="N167" i="29"/>
  <c r="AS285" i="29"/>
  <c r="AR285" i="29"/>
  <c r="AQ285" i="29"/>
  <c r="AP285" i="29"/>
  <c r="Y285" i="29"/>
  <c r="X285" i="29"/>
  <c r="W285" i="29"/>
  <c r="AB285" i="29" s="1"/>
  <c r="P285" i="29"/>
  <c r="N285" i="29"/>
  <c r="O285" i="29" s="1"/>
  <c r="Q285" i="29" s="1"/>
  <c r="AS400" i="29"/>
  <c r="AR400" i="29"/>
  <c r="AQ400" i="29"/>
  <c r="AP400" i="29"/>
  <c r="X400" i="29"/>
  <c r="W400" i="29"/>
  <c r="AB400" i="29" s="1"/>
  <c r="N400" i="29"/>
  <c r="M400" i="29"/>
  <c r="Y400" i="29" s="1"/>
  <c r="AS399" i="29"/>
  <c r="AR399" i="29"/>
  <c r="AQ399" i="29"/>
  <c r="AP399" i="29"/>
  <c r="X399" i="29"/>
  <c r="W399" i="29"/>
  <c r="AB399" i="29" s="1"/>
  <c r="N399" i="29"/>
  <c r="M399" i="29"/>
  <c r="Y399" i="29" s="1"/>
  <c r="AS897" i="29"/>
  <c r="AR897" i="29"/>
  <c r="AQ897" i="29"/>
  <c r="AP897" i="29"/>
  <c r="Y897" i="29"/>
  <c r="X897" i="29"/>
  <c r="W897" i="29"/>
  <c r="AB897" i="29" s="1"/>
  <c r="P897" i="29"/>
  <c r="N897" i="29"/>
  <c r="O897" i="29" s="1"/>
  <c r="Q897" i="29" s="1"/>
  <c r="AS588" i="29"/>
  <c r="AR588" i="29"/>
  <c r="AQ588" i="29"/>
  <c r="AP588" i="29"/>
  <c r="Y588" i="29"/>
  <c r="X588" i="29"/>
  <c r="W588" i="29"/>
  <c r="AB588" i="29" s="1"/>
  <c r="P588" i="29"/>
  <c r="N588" i="29"/>
  <c r="O588" i="29" s="1"/>
  <c r="Q588" i="29" s="1"/>
  <c r="AS587" i="29"/>
  <c r="AR587" i="29"/>
  <c r="AQ587" i="29"/>
  <c r="AP587" i="29"/>
  <c r="Y587" i="29"/>
  <c r="X587" i="29"/>
  <c r="W587" i="29"/>
  <c r="AB587" i="29" s="1"/>
  <c r="P587" i="29"/>
  <c r="N587" i="29"/>
  <c r="O587" i="29" s="1"/>
  <c r="Q587" i="29" s="1"/>
  <c r="AS416" i="29"/>
  <c r="AR416" i="29"/>
  <c r="AQ416" i="29"/>
  <c r="AP416" i="29"/>
  <c r="Y416" i="29"/>
  <c r="X416" i="29"/>
  <c r="W416" i="29"/>
  <c r="AB416" i="29" s="1"/>
  <c r="P416" i="29"/>
  <c r="N416" i="29"/>
  <c r="O416" i="29" s="1"/>
  <c r="Q416" i="29" s="1"/>
  <c r="AS418" i="29"/>
  <c r="AR418" i="29"/>
  <c r="AQ418" i="29"/>
  <c r="AP418" i="29"/>
  <c r="X418" i="29"/>
  <c r="W418" i="29"/>
  <c r="AB418" i="29" s="1"/>
  <c r="N418" i="29"/>
  <c r="M418" i="29"/>
  <c r="Y418" i="29" s="1"/>
  <c r="AS417" i="29"/>
  <c r="AR417" i="29"/>
  <c r="AQ417" i="29"/>
  <c r="AP417" i="29"/>
  <c r="X417" i="29"/>
  <c r="W417" i="29"/>
  <c r="AB417" i="29" s="1"/>
  <c r="N417" i="29"/>
  <c r="M417" i="29"/>
  <c r="Y417" i="29" s="1"/>
  <c r="AS234" i="29"/>
  <c r="AR234" i="29"/>
  <c r="AQ234" i="29"/>
  <c r="AP234" i="29"/>
  <c r="X234" i="29"/>
  <c r="W234" i="29"/>
  <c r="AB234" i="29" s="1"/>
  <c r="N234" i="29"/>
  <c r="M234" i="29"/>
  <c r="Y234" i="29" s="1"/>
  <c r="AS286" i="29"/>
  <c r="AR286" i="29"/>
  <c r="AQ286" i="29"/>
  <c r="AP286" i="29"/>
  <c r="Y286" i="29"/>
  <c r="X286" i="29"/>
  <c r="W286" i="29"/>
  <c r="AB286" i="29" s="1"/>
  <c r="P286" i="29"/>
  <c r="N286" i="29"/>
  <c r="O286" i="29" s="1"/>
  <c r="Q286" i="29" s="1"/>
  <c r="AS486" i="29"/>
  <c r="AR486" i="29"/>
  <c r="AQ486" i="29"/>
  <c r="AP486" i="29"/>
  <c r="X486" i="29"/>
  <c r="W486" i="29"/>
  <c r="AB486" i="29" s="1"/>
  <c r="N486" i="29"/>
  <c r="M486" i="29"/>
  <c r="Y486" i="29" s="1"/>
  <c r="AS689" i="29"/>
  <c r="AR689" i="29"/>
  <c r="AQ689" i="29"/>
  <c r="AP689" i="29"/>
  <c r="Y689" i="29"/>
  <c r="X689" i="29"/>
  <c r="W689" i="29"/>
  <c r="AB689" i="29" s="1"/>
  <c r="P689" i="29"/>
  <c r="N689" i="29"/>
  <c r="O689" i="29" s="1"/>
  <c r="Q689" i="29" s="1"/>
  <c r="AS593" i="29"/>
  <c r="AR593" i="29"/>
  <c r="AQ593" i="29"/>
  <c r="AP593" i="29"/>
  <c r="Y593" i="29"/>
  <c r="X593" i="29"/>
  <c r="W593" i="29"/>
  <c r="AB593" i="29" s="1"/>
  <c r="P593" i="29"/>
  <c r="N593" i="29"/>
  <c r="O593" i="29" s="1"/>
  <c r="Q593" i="29" s="1"/>
  <c r="AS592" i="29"/>
  <c r="AR592" i="29"/>
  <c r="AQ592" i="29"/>
  <c r="AP592" i="29"/>
  <c r="Y592" i="29"/>
  <c r="X592" i="29"/>
  <c r="W592" i="29"/>
  <c r="AB592" i="29" s="1"/>
  <c r="P592" i="29"/>
  <c r="N592" i="29"/>
  <c r="O592" i="29" s="1"/>
  <c r="Q592" i="29" s="1"/>
  <c r="AM285" i="29" l="1"/>
  <c r="AN285" i="29" s="1"/>
  <c r="O415" i="29"/>
  <c r="Q415" i="29" s="1"/>
  <c r="Y415" i="29"/>
  <c r="AC415" i="29" s="1"/>
  <c r="O350" i="29"/>
  <c r="Q350" i="29" s="1"/>
  <c r="Z350" i="29"/>
  <c r="AA350" i="29" s="1"/>
  <c r="AG350" i="29"/>
  <c r="AH350" i="29" s="1"/>
  <c r="AM350" i="29"/>
  <c r="AN350" i="29" s="1"/>
  <c r="AC350" i="29"/>
  <c r="AD350" i="29"/>
  <c r="AE350" i="29" s="1"/>
  <c r="P350" i="29"/>
  <c r="AJ350" i="29"/>
  <c r="AK350" i="29" s="1"/>
  <c r="P167" i="29"/>
  <c r="AC897" i="29"/>
  <c r="AC285" i="29"/>
  <c r="AG285" i="29"/>
  <c r="AH285" i="29" s="1"/>
  <c r="O167" i="29"/>
  <c r="Q167" i="29" s="1"/>
  <c r="AM167" i="29"/>
  <c r="AN167" i="29" s="1"/>
  <c r="Z167" i="29"/>
  <c r="AA167" i="29" s="1"/>
  <c r="AC167" i="29"/>
  <c r="AD167" i="29"/>
  <c r="AE167" i="29" s="1"/>
  <c r="AG167" i="29"/>
  <c r="AH167" i="29" s="1"/>
  <c r="AJ167" i="29"/>
  <c r="AK167" i="29" s="1"/>
  <c r="Z285" i="29"/>
  <c r="AA285" i="29" s="1"/>
  <c r="AD285" i="29"/>
  <c r="AE285" i="29" s="1"/>
  <c r="AJ285" i="29"/>
  <c r="AK285" i="29" s="1"/>
  <c r="O400" i="29"/>
  <c r="Q400" i="29" s="1"/>
  <c r="P400" i="29"/>
  <c r="O399" i="29"/>
  <c r="Q399" i="29" s="1"/>
  <c r="P399" i="29"/>
  <c r="Z400" i="29"/>
  <c r="AA400" i="29" s="1"/>
  <c r="AG400" i="29"/>
  <c r="AH400" i="29" s="1"/>
  <c r="Z399" i="29"/>
  <c r="AA399" i="29" s="1"/>
  <c r="AG399" i="29"/>
  <c r="AH399" i="29" s="1"/>
  <c r="AD399" i="29"/>
  <c r="AE399" i="29" s="1"/>
  <c r="AM400" i="29"/>
  <c r="AN400" i="29" s="1"/>
  <c r="AM399" i="29"/>
  <c r="AN399" i="29" s="1"/>
  <c r="AC399" i="29"/>
  <c r="AC400" i="29"/>
  <c r="AD400" i="29"/>
  <c r="AE400" i="29" s="1"/>
  <c r="AJ399" i="29"/>
  <c r="AK399" i="29" s="1"/>
  <c r="AJ400" i="29"/>
  <c r="AK400" i="29" s="1"/>
  <c r="AM897" i="29"/>
  <c r="AN897" i="29" s="1"/>
  <c r="Z897" i="29"/>
  <c r="AA897" i="29" s="1"/>
  <c r="AD897" i="29"/>
  <c r="AE897" i="29" s="1"/>
  <c r="AG897" i="29"/>
  <c r="AH897" i="29" s="1"/>
  <c r="AJ897" i="29"/>
  <c r="AK897" i="29" s="1"/>
  <c r="AM689" i="29"/>
  <c r="AN689" i="29" s="1"/>
  <c r="AM416" i="29"/>
  <c r="AN416" i="29" s="1"/>
  <c r="Z588" i="29"/>
  <c r="AA588" i="29" s="1"/>
  <c r="AM587" i="29"/>
  <c r="AN587" i="29" s="1"/>
  <c r="AC587" i="29"/>
  <c r="AM588" i="29"/>
  <c r="AN588" i="29" s="1"/>
  <c r="Z587" i="29"/>
  <c r="AA587" i="29" s="1"/>
  <c r="AC588" i="29"/>
  <c r="AD588" i="29"/>
  <c r="AE588" i="29" s="1"/>
  <c r="AD587" i="29"/>
  <c r="AE587" i="29" s="1"/>
  <c r="AG588" i="29"/>
  <c r="AH588" i="29" s="1"/>
  <c r="AG587" i="29"/>
  <c r="AH587" i="29" s="1"/>
  <c r="AJ588" i="29"/>
  <c r="AK588" i="29" s="1"/>
  <c r="AJ587" i="29"/>
  <c r="AK587" i="29" s="1"/>
  <c r="AC416" i="29"/>
  <c r="O417" i="29"/>
  <c r="Q417" i="29" s="1"/>
  <c r="O234" i="29"/>
  <c r="Q234" i="29" s="1"/>
  <c r="AC286" i="29"/>
  <c r="AC418" i="29"/>
  <c r="Z416" i="29"/>
  <c r="AA416" i="29" s="1"/>
  <c r="AC417" i="29"/>
  <c r="AC689" i="29"/>
  <c r="AD416" i="29"/>
  <c r="AE416" i="29" s="1"/>
  <c r="O486" i="29"/>
  <c r="Q486" i="29" s="1"/>
  <c r="AG416" i="29"/>
  <c r="AH416" i="29" s="1"/>
  <c r="O418" i="29"/>
  <c r="Q418" i="29" s="1"/>
  <c r="P417" i="29"/>
  <c r="P418" i="29"/>
  <c r="AJ416" i="29"/>
  <c r="AK416" i="29" s="1"/>
  <c r="AD417" i="29"/>
  <c r="AE417" i="29" s="1"/>
  <c r="AD418" i="29"/>
  <c r="AE418" i="29" s="1"/>
  <c r="AJ417" i="29"/>
  <c r="AK417" i="29" s="1"/>
  <c r="AJ418" i="29"/>
  <c r="AK418" i="29" s="1"/>
  <c r="AM417" i="29"/>
  <c r="AN417" i="29" s="1"/>
  <c r="AM418" i="29"/>
  <c r="AN418" i="29" s="1"/>
  <c r="Z417" i="29"/>
  <c r="AA417" i="29" s="1"/>
  <c r="Z418" i="29"/>
  <c r="AA418" i="29" s="1"/>
  <c r="AG418" i="29"/>
  <c r="AH418" i="29" s="1"/>
  <c r="AG417" i="29"/>
  <c r="AH417" i="29" s="1"/>
  <c r="Z234" i="29"/>
  <c r="AA234" i="29" s="1"/>
  <c r="AD234" i="29"/>
  <c r="AE234" i="29" s="1"/>
  <c r="AG234" i="29"/>
  <c r="AH234" i="29" s="1"/>
  <c r="AC234" i="29"/>
  <c r="AM234" i="29"/>
  <c r="AN234" i="29" s="1"/>
  <c r="AM286" i="29"/>
  <c r="AN286" i="29" s="1"/>
  <c r="AJ234" i="29"/>
  <c r="AK234" i="29" s="1"/>
  <c r="P234" i="29"/>
  <c r="Z286" i="29"/>
  <c r="AA286" i="29" s="1"/>
  <c r="AD286" i="29"/>
  <c r="AE286" i="29" s="1"/>
  <c r="AG286" i="29"/>
  <c r="AH286" i="29" s="1"/>
  <c r="AJ286" i="29"/>
  <c r="AK286" i="29" s="1"/>
  <c r="AM592" i="29"/>
  <c r="AN592" i="29" s="1"/>
  <c r="Z486" i="29"/>
  <c r="AA486" i="29" s="1"/>
  <c r="AD486" i="29"/>
  <c r="AE486" i="29" s="1"/>
  <c r="AJ486" i="29"/>
  <c r="AK486" i="29" s="1"/>
  <c r="AC486" i="29"/>
  <c r="AM486" i="29"/>
  <c r="AN486" i="29" s="1"/>
  <c r="AG486" i="29"/>
  <c r="AH486" i="29" s="1"/>
  <c r="P486" i="29"/>
  <c r="Z689" i="29"/>
  <c r="AA689" i="29" s="1"/>
  <c r="AD689" i="29"/>
  <c r="AE689" i="29" s="1"/>
  <c r="AG689" i="29"/>
  <c r="AH689" i="29" s="1"/>
  <c r="AJ689" i="29"/>
  <c r="AK689" i="29" s="1"/>
  <c r="Z593" i="29"/>
  <c r="AA593" i="29" s="1"/>
  <c r="AC592" i="29"/>
  <c r="AM593" i="29"/>
  <c r="AN593" i="29" s="1"/>
  <c r="AG592" i="29"/>
  <c r="AH592" i="29" s="1"/>
  <c r="AC593" i="29"/>
  <c r="AJ593" i="29"/>
  <c r="AK593" i="29" s="1"/>
  <c r="AD593" i="29"/>
  <c r="AE593" i="29" s="1"/>
  <c r="AD592" i="29"/>
  <c r="AE592" i="29" s="1"/>
  <c r="AG593" i="29"/>
  <c r="AH593" i="29" s="1"/>
  <c r="Z592" i="29"/>
  <c r="AA592" i="29" s="1"/>
  <c r="AJ592" i="29"/>
  <c r="AK592" i="29" s="1"/>
  <c r="W299" i="29"/>
  <c r="X299" i="29"/>
  <c r="Y299" i="29"/>
  <c r="W300" i="29"/>
  <c r="X300" i="29"/>
  <c r="Y300" i="29"/>
  <c r="W301" i="29"/>
  <c r="X301" i="29"/>
  <c r="Y301" i="29"/>
  <c r="W302" i="29"/>
  <c r="X302" i="29"/>
  <c r="Y302" i="29"/>
  <c r="W303" i="29"/>
  <c r="X303" i="29"/>
  <c r="Y303" i="29"/>
  <c r="W304" i="29"/>
  <c r="X304" i="29"/>
  <c r="Y304" i="29"/>
  <c r="AM415" i="29" l="1"/>
  <c r="AN415" i="29" s="1"/>
  <c r="AD415" i="29"/>
  <c r="AE415" i="29" s="1"/>
  <c r="Z415" i="29"/>
  <c r="AA415" i="29" s="1"/>
  <c r="AJ415" i="29"/>
  <c r="AK415" i="29" s="1"/>
  <c r="AG415" i="29"/>
  <c r="AH415" i="29" s="1"/>
  <c r="AS833" i="29"/>
  <c r="AR833" i="29"/>
  <c r="AQ833" i="29"/>
  <c r="AP833" i="29"/>
  <c r="Y833" i="29"/>
  <c r="X833" i="29"/>
  <c r="W833" i="29"/>
  <c r="P833" i="29"/>
  <c r="N833" i="29"/>
  <c r="O833" i="29" s="1"/>
  <c r="Q833" i="29" s="1"/>
  <c r="AS287" i="29"/>
  <c r="AR287" i="29"/>
  <c r="AQ287" i="29"/>
  <c r="AP287" i="29"/>
  <c r="Y287" i="29"/>
  <c r="X287" i="29"/>
  <c r="W287" i="29"/>
  <c r="AB287" i="29" s="1"/>
  <c r="P287" i="29"/>
  <c r="N287" i="29"/>
  <c r="O287" i="29" s="1"/>
  <c r="Q287" i="29" s="1"/>
  <c r="AS626" i="29"/>
  <c r="AR626" i="29"/>
  <c r="AQ626" i="29"/>
  <c r="AP626" i="29"/>
  <c r="X626" i="29"/>
  <c r="W626" i="29"/>
  <c r="AB626" i="29" s="1"/>
  <c r="N626" i="29"/>
  <c r="M626" i="29"/>
  <c r="Y626" i="29" s="1"/>
  <c r="M625" i="29"/>
  <c r="Y625" i="29" s="1"/>
  <c r="AS625" i="29"/>
  <c r="AR625" i="29"/>
  <c r="AQ625" i="29"/>
  <c r="AP625" i="29"/>
  <c r="X625" i="29"/>
  <c r="W625" i="29"/>
  <c r="AB625" i="29" s="1"/>
  <c r="N625" i="29"/>
  <c r="Z833" i="29" l="1"/>
  <c r="AA833" i="29" s="1"/>
  <c r="AM833" i="29"/>
  <c r="AN833" i="29" s="1"/>
  <c r="AD833" i="29"/>
  <c r="AE833" i="29" s="1"/>
  <c r="AB833" i="29"/>
  <c r="AC833" i="29" s="1"/>
  <c r="AG833" i="29"/>
  <c r="AH833" i="29" s="1"/>
  <c r="AJ833" i="29"/>
  <c r="AK833" i="29" s="1"/>
  <c r="AC287" i="29"/>
  <c r="AM287" i="29"/>
  <c r="AN287" i="29" s="1"/>
  <c r="Z287" i="29"/>
  <c r="AA287" i="29" s="1"/>
  <c r="AD287" i="29"/>
  <c r="AE287" i="29" s="1"/>
  <c r="AJ287" i="29"/>
  <c r="AK287" i="29" s="1"/>
  <c r="AG287" i="29"/>
  <c r="AH287" i="29" s="1"/>
  <c r="Z626" i="29"/>
  <c r="AA626" i="29" s="1"/>
  <c r="O626" i="29"/>
  <c r="Q626" i="29" s="1"/>
  <c r="AM626" i="29"/>
  <c r="AN626" i="29" s="1"/>
  <c r="AC626" i="29"/>
  <c r="AD626" i="29"/>
  <c r="AE626" i="29" s="1"/>
  <c r="AG626" i="29"/>
  <c r="AH626" i="29" s="1"/>
  <c r="P626" i="29"/>
  <c r="AJ626" i="29"/>
  <c r="AK626" i="29" s="1"/>
  <c r="O625" i="29"/>
  <c r="Q625" i="29" s="1"/>
  <c r="AD625" i="29"/>
  <c r="AE625" i="29" s="1"/>
  <c r="Z625" i="29"/>
  <c r="AA625" i="29" s="1"/>
  <c r="AM625" i="29"/>
  <c r="AN625" i="29" s="1"/>
  <c r="AC625" i="29"/>
  <c r="AG625" i="29"/>
  <c r="AH625" i="29" s="1"/>
  <c r="P625" i="29"/>
  <c r="AJ625" i="29"/>
  <c r="AK625" i="29" s="1"/>
  <c r="AS563" i="29" l="1"/>
  <c r="AR563" i="29"/>
  <c r="AQ563" i="29"/>
  <c r="AP563" i="29"/>
  <c r="X563" i="29"/>
  <c r="W563" i="29"/>
  <c r="AB563" i="29" s="1"/>
  <c r="N563" i="29"/>
  <c r="M563" i="29"/>
  <c r="Y563" i="29" s="1"/>
  <c r="AS738" i="29"/>
  <c r="AR738" i="29"/>
  <c r="AQ738" i="29"/>
  <c r="AP738" i="29"/>
  <c r="Y738" i="29"/>
  <c r="X738" i="29"/>
  <c r="W738" i="29"/>
  <c r="AB738" i="29" s="1"/>
  <c r="P738" i="29"/>
  <c r="N738" i="29"/>
  <c r="O738" i="29" s="1"/>
  <c r="Q738" i="29" s="1"/>
  <c r="AS958" i="29"/>
  <c r="AR958" i="29"/>
  <c r="AQ958" i="29"/>
  <c r="AP958" i="29"/>
  <c r="Y958" i="29"/>
  <c r="X958" i="29"/>
  <c r="W958" i="29"/>
  <c r="AB958" i="29" s="1"/>
  <c r="P958" i="29"/>
  <c r="N958" i="29"/>
  <c r="O958" i="29" s="1"/>
  <c r="Q958" i="29" s="1"/>
  <c r="AS957" i="29"/>
  <c r="AR957" i="29"/>
  <c r="AQ957" i="29"/>
  <c r="AP957" i="29"/>
  <c r="Y957" i="29"/>
  <c r="X957" i="29"/>
  <c r="W957" i="29"/>
  <c r="AB957" i="29" s="1"/>
  <c r="P957" i="29"/>
  <c r="N957" i="29"/>
  <c r="O957" i="29" s="1"/>
  <c r="Q957" i="29" s="1"/>
  <c r="AM957" i="29" l="1"/>
  <c r="AN957" i="29" s="1"/>
  <c r="AC957" i="29"/>
  <c r="AC738" i="29"/>
  <c r="Z563" i="29"/>
  <c r="AA563" i="29" s="1"/>
  <c r="O563" i="29"/>
  <c r="Q563" i="29" s="1"/>
  <c r="AM563" i="29"/>
  <c r="AN563" i="29" s="1"/>
  <c r="AC563" i="29"/>
  <c r="AD563" i="29"/>
  <c r="AE563" i="29" s="1"/>
  <c r="AG563" i="29"/>
  <c r="AH563" i="29" s="1"/>
  <c r="P563" i="29"/>
  <c r="AJ563" i="29"/>
  <c r="AK563" i="29" s="1"/>
  <c r="AM738" i="29"/>
  <c r="AN738" i="29" s="1"/>
  <c r="Z738" i="29"/>
  <c r="AA738" i="29" s="1"/>
  <c r="AD738" i="29"/>
  <c r="AE738" i="29" s="1"/>
  <c r="AG738" i="29"/>
  <c r="AH738" i="29" s="1"/>
  <c r="AJ738" i="29"/>
  <c r="AK738" i="29" s="1"/>
  <c r="AC958" i="29"/>
  <c r="AM958" i="29"/>
  <c r="AN958" i="29" s="1"/>
  <c r="Z958" i="29"/>
  <c r="AA958" i="29" s="1"/>
  <c r="Z957" i="29"/>
  <c r="AA957" i="29" s="1"/>
  <c r="AD958" i="29"/>
  <c r="AE958" i="29" s="1"/>
  <c r="AG958" i="29"/>
  <c r="AH958" i="29" s="1"/>
  <c r="AD957" i="29"/>
  <c r="AE957" i="29" s="1"/>
  <c r="AG957" i="29"/>
  <c r="AH957" i="29" s="1"/>
  <c r="AJ958" i="29"/>
  <c r="AK958" i="29" s="1"/>
  <c r="AJ957" i="29"/>
  <c r="AK957" i="29" s="1"/>
  <c r="X1064" i="29" l="1"/>
  <c r="W1064" i="29"/>
  <c r="AB1064" i="29" s="1"/>
  <c r="N1064" i="29"/>
  <c r="M1064" i="29"/>
  <c r="Y1064" i="29" s="1"/>
  <c r="X1063" i="29"/>
  <c r="W1063" i="29"/>
  <c r="AB1063" i="29" s="1"/>
  <c r="N1063" i="29"/>
  <c r="M1063" i="29"/>
  <c r="P1063" i="29" s="1"/>
  <c r="X1062" i="29"/>
  <c r="W1062" i="29"/>
  <c r="AB1062" i="29" s="1"/>
  <c r="N1062" i="29"/>
  <c r="M1062" i="29"/>
  <c r="Y1062" i="29" s="1"/>
  <c r="X1061" i="29"/>
  <c r="W1061" i="29"/>
  <c r="AB1061" i="29" s="1"/>
  <c r="N1061" i="29"/>
  <c r="M1061" i="29"/>
  <c r="Y1061" i="29" s="1"/>
  <c r="X1060" i="29"/>
  <c r="W1060" i="29"/>
  <c r="AB1060" i="29" s="1"/>
  <c r="N1060" i="29"/>
  <c r="M1060" i="29"/>
  <c r="P1060" i="29" s="1"/>
  <c r="X1047" i="29"/>
  <c r="W1047" i="29"/>
  <c r="AB1047" i="29" s="1"/>
  <c r="N1047" i="29"/>
  <c r="M1047" i="29"/>
  <c r="Y1047" i="29" s="1"/>
  <c r="X1046" i="29"/>
  <c r="W1046" i="29"/>
  <c r="N1046" i="29"/>
  <c r="M1046" i="29"/>
  <c r="Y1046" i="29" s="1"/>
  <c r="X1045" i="29"/>
  <c r="W1045" i="29"/>
  <c r="AB1045" i="29" s="1"/>
  <c r="N1045" i="29"/>
  <c r="M1045" i="29"/>
  <c r="P1045" i="29" s="1"/>
  <c r="X1044" i="29"/>
  <c r="W1044" i="29"/>
  <c r="N1044" i="29"/>
  <c r="M1044" i="29"/>
  <c r="Y1044" i="29" s="1"/>
  <c r="X1043" i="29"/>
  <c r="W1043" i="29"/>
  <c r="AB1043" i="29" s="1"/>
  <c r="N1043" i="29"/>
  <c r="M1043" i="29"/>
  <c r="Y1043" i="29" s="1"/>
  <c r="Y1040" i="29"/>
  <c r="X1040" i="29"/>
  <c r="AM1040" i="29" s="1"/>
  <c r="AN1040" i="29" s="1"/>
  <c r="W1040" i="29"/>
  <c r="AB1040" i="29" s="1"/>
  <c r="P1040" i="29"/>
  <c r="N1040" i="29"/>
  <c r="O1040" i="29" s="1"/>
  <c r="Q1040" i="29" s="1"/>
  <c r="X1039" i="29"/>
  <c r="W1039" i="29"/>
  <c r="AB1039" i="29" s="1"/>
  <c r="N1039" i="29"/>
  <c r="M1039" i="29"/>
  <c r="Y1039" i="29" s="1"/>
  <c r="X1038" i="29"/>
  <c r="W1038" i="29"/>
  <c r="AB1038" i="29" s="1"/>
  <c r="N1038" i="29"/>
  <c r="M1038" i="29"/>
  <c r="P1038" i="29" s="1"/>
  <c r="X1037" i="29"/>
  <c r="W1037" i="29"/>
  <c r="N1037" i="29"/>
  <c r="M1037" i="29"/>
  <c r="Y1037" i="29" s="1"/>
  <c r="X1036" i="29"/>
  <c r="W1036" i="29"/>
  <c r="AB1036" i="29" s="1"/>
  <c r="N1036" i="29"/>
  <c r="M1036" i="29"/>
  <c r="Y1036" i="29" s="1"/>
  <c r="X1035" i="29"/>
  <c r="W1035" i="29"/>
  <c r="AB1035" i="29" s="1"/>
  <c r="N1035" i="29"/>
  <c r="M1035" i="29"/>
  <c r="P1035" i="29" s="1"/>
  <c r="X1034" i="29"/>
  <c r="W1034" i="29"/>
  <c r="N1034" i="29"/>
  <c r="M1034" i="29"/>
  <c r="Y1034" i="29" s="1"/>
  <c r="X1033" i="29"/>
  <c r="W1033" i="29"/>
  <c r="AB1033" i="29" s="1"/>
  <c r="N1033" i="29"/>
  <c r="M1033" i="29"/>
  <c r="Y1033" i="29" s="1"/>
  <c r="X1032" i="29"/>
  <c r="W1032" i="29"/>
  <c r="AB1032" i="29" s="1"/>
  <c r="N1032" i="29"/>
  <c r="M1032" i="29"/>
  <c r="P1032" i="29" s="1"/>
  <c r="Y1029" i="29"/>
  <c r="X1029" i="29"/>
  <c r="W1029" i="29"/>
  <c r="P1029" i="29"/>
  <c r="N1029" i="29"/>
  <c r="O1029" i="29" s="1"/>
  <c r="Q1029" i="29" s="1"/>
  <c r="Y1028" i="29"/>
  <c r="X1028" i="29"/>
  <c r="W1028" i="29"/>
  <c r="P1028" i="29"/>
  <c r="N1028" i="29"/>
  <c r="O1028" i="29" s="1"/>
  <c r="Q1028" i="29" s="1"/>
  <c r="Y1027" i="29"/>
  <c r="X1027" i="29"/>
  <c r="W1027" i="29"/>
  <c r="AB1027" i="29" s="1"/>
  <c r="P1027" i="29"/>
  <c r="N1027" i="29"/>
  <c r="O1027" i="29" s="1"/>
  <c r="Q1027" i="29" s="1"/>
  <c r="Y1026" i="29"/>
  <c r="X1026" i="29"/>
  <c r="W1026" i="29"/>
  <c r="AB1026" i="29" s="1"/>
  <c r="P1026" i="29"/>
  <c r="N1026" i="29"/>
  <c r="O1026" i="29" s="1"/>
  <c r="Q1026" i="29" s="1"/>
  <c r="X1023" i="29"/>
  <c r="W1023" i="29"/>
  <c r="AB1023" i="29" s="1"/>
  <c r="N1023" i="29"/>
  <c r="M1023" i="29"/>
  <c r="P1023" i="29" s="1"/>
  <c r="X1022" i="29"/>
  <c r="W1022" i="29"/>
  <c r="N1022" i="29"/>
  <c r="M1022" i="29"/>
  <c r="Y1022" i="29" s="1"/>
  <c r="X1021" i="29"/>
  <c r="W1021" i="29"/>
  <c r="AB1021" i="29" s="1"/>
  <c r="N1021" i="29"/>
  <c r="M1021" i="29"/>
  <c r="Y1021" i="29" s="1"/>
  <c r="X1020" i="29"/>
  <c r="W1020" i="29"/>
  <c r="AB1020" i="29" s="1"/>
  <c r="N1020" i="29"/>
  <c r="M1020" i="29"/>
  <c r="P1020" i="29" s="1"/>
  <c r="X1019" i="29"/>
  <c r="W1019" i="29"/>
  <c r="N1019" i="29"/>
  <c r="M1019" i="29"/>
  <c r="Y1019" i="29" s="1"/>
  <c r="X1018" i="29"/>
  <c r="W1018" i="29"/>
  <c r="AB1018" i="29" s="1"/>
  <c r="N1018" i="29"/>
  <c r="M1018" i="29"/>
  <c r="Y1018" i="29" s="1"/>
  <c r="X1017" i="29"/>
  <c r="W1017" i="29"/>
  <c r="AB1017" i="29" s="1"/>
  <c r="N1017" i="29"/>
  <c r="M1017" i="29"/>
  <c r="P1017" i="29" s="1"/>
  <c r="X1016" i="29"/>
  <c r="W1016" i="29"/>
  <c r="N1016" i="29"/>
  <c r="M1016" i="29"/>
  <c r="Y1016" i="29" s="1"/>
  <c r="X1015" i="29"/>
  <c r="W1015" i="29"/>
  <c r="N1015" i="29"/>
  <c r="M1015" i="29"/>
  <c r="X1014" i="29"/>
  <c r="W1014" i="29"/>
  <c r="AB1014" i="29" s="1"/>
  <c r="N1014" i="29"/>
  <c r="M1014" i="29"/>
  <c r="P1014" i="29" s="1"/>
  <c r="X1013" i="29"/>
  <c r="W1013" i="29"/>
  <c r="AB1013" i="29" s="1"/>
  <c r="N1013" i="29"/>
  <c r="M1013" i="29"/>
  <c r="Y1013" i="29" s="1"/>
  <c r="X1012" i="29"/>
  <c r="W1012" i="29"/>
  <c r="N1012" i="29"/>
  <c r="M1012" i="29"/>
  <c r="Y1008" i="29"/>
  <c r="X1008" i="29"/>
  <c r="W1008" i="29"/>
  <c r="AB1008" i="29" s="1"/>
  <c r="P1008" i="29"/>
  <c r="N1008" i="29"/>
  <c r="O1008" i="29" s="1"/>
  <c r="Q1008" i="29" s="1"/>
  <c r="Y1005" i="29"/>
  <c r="X1005" i="29"/>
  <c r="W1005" i="29"/>
  <c r="AB1005" i="29" s="1"/>
  <c r="P1005" i="29"/>
  <c r="N1005" i="29"/>
  <c r="O1005" i="29" s="1"/>
  <c r="Q1005" i="29" s="1"/>
  <c r="Y1004" i="29"/>
  <c r="X1004" i="29"/>
  <c r="W1004" i="29"/>
  <c r="AB1004" i="29" s="1"/>
  <c r="P1004" i="29"/>
  <c r="N1004" i="29"/>
  <c r="O1004" i="29" s="1"/>
  <c r="Q1004" i="29" s="1"/>
  <c r="Y1003" i="29"/>
  <c r="X1003" i="29"/>
  <c r="W1003" i="29"/>
  <c r="P1003" i="29"/>
  <c r="N1003" i="29"/>
  <c r="O1003" i="29" s="1"/>
  <c r="Q1003" i="29" s="1"/>
  <c r="Y1002" i="29"/>
  <c r="X1002" i="29"/>
  <c r="W1002" i="29"/>
  <c r="P1002" i="29"/>
  <c r="N1002" i="29"/>
  <c r="O1002" i="29" s="1"/>
  <c r="Q1002" i="29" s="1"/>
  <c r="Y999" i="29"/>
  <c r="X999" i="29"/>
  <c r="W999" i="29"/>
  <c r="AB999" i="29" s="1"/>
  <c r="P999" i="29"/>
  <c r="N999" i="29"/>
  <c r="O999" i="29" s="1"/>
  <c r="Q999" i="29" s="1"/>
  <c r="Y998" i="29"/>
  <c r="X998" i="29"/>
  <c r="W998" i="29"/>
  <c r="AB998" i="29" s="1"/>
  <c r="P998" i="29"/>
  <c r="N998" i="29"/>
  <c r="O998" i="29" s="1"/>
  <c r="Q998" i="29" s="1"/>
  <c r="Y997" i="29"/>
  <c r="X997" i="29"/>
  <c r="W997" i="29"/>
  <c r="AB997" i="29" s="1"/>
  <c r="P997" i="29"/>
  <c r="N997" i="29"/>
  <c r="O997" i="29" s="1"/>
  <c r="Q997" i="29" s="1"/>
  <c r="Y996" i="29"/>
  <c r="X996" i="29"/>
  <c r="W996" i="29"/>
  <c r="P996" i="29"/>
  <c r="N996" i="29"/>
  <c r="O996" i="29" s="1"/>
  <c r="Q996" i="29" s="1"/>
  <c r="Y993" i="29"/>
  <c r="X993" i="29"/>
  <c r="W993" i="29"/>
  <c r="P993" i="29"/>
  <c r="N993" i="29"/>
  <c r="O993" i="29" s="1"/>
  <c r="Q993" i="29" s="1"/>
  <c r="Y992" i="29"/>
  <c r="X992" i="29"/>
  <c r="W992" i="29"/>
  <c r="AB992" i="29" s="1"/>
  <c r="P992" i="29"/>
  <c r="N992" i="29"/>
  <c r="O992" i="29" s="1"/>
  <c r="Q992" i="29" s="1"/>
  <c r="Y991" i="29"/>
  <c r="X991" i="29"/>
  <c r="W991" i="29"/>
  <c r="AB991" i="29" s="1"/>
  <c r="P991" i="29"/>
  <c r="N991" i="29"/>
  <c r="O991" i="29" s="1"/>
  <c r="Q991" i="29" s="1"/>
  <c r="Y990" i="29"/>
  <c r="X990" i="29"/>
  <c r="W990" i="29"/>
  <c r="AB990" i="29" s="1"/>
  <c r="P990" i="29"/>
  <c r="N990" i="29"/>
  <c r="O990" i="29" s="1"/>
  <c r="Q990" i="29" s="1"/>
  <c r="Y987" i="29"/>
  <c r="X987" i="29"/>
  <c r="W987" i="29"/>
  <c r="AB987" i="29" s="1"/>
  <c r="P987" i="29"/>
  <c r="N987" i="29"/>
  <c r="O987" i="29" s="1"/>
  <c r="Q987" i="29" s="1"/>
  <c r="Y986" i="29"/>
  <c r="X986" i="29"/>
  <c r="W986" i="29"/>
  <c r="P986" i="29"/>
  <c r="N986" i="29"/>
  <c r="O986" i="29" s="1"/>
  <c r="Q986" i="29" s="1"/>
  <c r="Y985" i="29"/>
  <c r="X985" i="29"/>
  <c r="W985" i="29"/>
  <c r="AB985" i="29" s="1"/>
  <c r="P985" i="29"/>
  <c r="N985" i="29"/>
  <c r="O985" i="29" s="1"/>
  <c r="Q985" i="29" s="1"/>
  <c r="Y982" i="29"/>
  <c r="X982" i="29"/>
  <c r="W982" i="29"/>
  <c r="AB982" i="29" s="1"/>
  <c r="P982" i="29"/>
  <c r="N982" i="29"/>
  <c r="O982" i="29" s="1"/>
  <c r="Q982" i="29" s="1"/>
  <c r="Y979" i="29"/>
  <c r="X979" i="29"/>
  <c r="W979" i="29"/>
  <c r="AB979" i="29" s="1"/>
  <c r="P979" i="29"/>
  <c r="N979" i="29"/>
  <c r="O979" i="29" s="1"/>
  <c r="Q979" i="29" s="1"/>
  <c r="Y978" i="29"/>
  <c r="X978" i="29"/>
  <c r="W978" i="29"/>
  <c r="AB978" i="29" s="1"/>
  <c r="P978" i="29"/>
  <c r="N978" i="29"/>
  <c r="O978" i="29" s="1"/>
  <c r="Q978" i="29" s="1"/>
  <c r="Y977" i="29"/>
  <c r="X977" i="29"/>
  <c r="W977" i="29"/>
  <c r="AB977" i="29" s="1"/>
  <c r="P977" i="29"/>
  <c r="N977" i="29"/>
  <c r="O977" i="29" s="1"/>
  <c r="Q977" i="29" s="1"/>
  <c r="Y974" i="29"/>
  <c r="X974" i="29"/>
  <c r="W974" i="29"/>
  <c r="P974" i="29"/>
  <c r="N974" i="29"/>
  <c r="O974" i="29" s="1"/>
  <c r="Q974" i="29" s="1"/>
  <c r="Y973" i="29"/>
  <c r="X973" i="29"/>
  <c r="W973" i="29"/>
  <c r="P973" i="29"/>
  <c r="N973" i="29"/>
  <c r="O973" i="29" s="1"/>
  <c r="Q973" i="29" s="1"/>
  <c r="Y972" i="29"/>
  <c r="X972" i="29"/>
  <c r="W972" i="29"/>
  <c r="AB972" i="29" s="1"/>
  <c r="P972" i="29"/>
  <c r="N972" i="29"/>
  <c r="O972" i="29" s="1"/>
  <c r="Q972" i="29" s="1"/>
  <c r="Y969" i="29"/>
  <c r="X969" i="29"/>
  <c r="W969" i="29"/>
  <c r="AB969" i="29" s="1"/>
  <c r="P969" i="29"/>
  <c r="N969" i="29"/>
  <c r="O969" i="29" s="1"/>
  <c r="Q969" i="29" s="1"/>
  <c r="Y968" i="29"/>
  <c r="X968" i="29"/>
  <c r="W968" i="29"/>
  <c r="AB968" i="29" s="1"/>
  <c r="P968" i="29"/>
  <c r="N968" i="29"/>
  <c r="O968" i="29" s="1"/>
  <c r="Q968" i="29" s="1"/>
  <c r="Y965" i="29"/>
  <c r="X965" i="29"/>
  <c r="W965" i="29"/>
  <c r="AB965" i="29" s="1"/>
  <c r="P965" i="29"/>
  <c r="N965" i="29"/>
  <c r="O965" i="29" s="1"/>
  <c r="Q965" i="29" s="1"/>
  <c r="Y962" i="29"/>
  <c r="X962" i="29"/>
  <c r="W962" i="29"/>
  <c r="P962" i="29"/>
  <c r="N962" i="29"/>
  <c r="O962" i="29" s="1"/>
  <c r="Q962" i="29" s="1"/>
  <c r="Y961" i="29"/>
  <c r="X961" i="29"/>
  <c r="W961" i="29"/>
  <c r="AB961" i="29" s="1"/>
  <c r="P961" i="29"/>
  <c r="N961" i="29"/>
  <c r="O961" i="29" s="1"/>
  <c r="Q961" i="29" s="1"/>
  <c r="Y954" i="29"/>
  <c r="X954" i="29"/>
  <c r="W954" i="29"/>
  <c r="AB954" i="29" s="1"/>
  <c r="P954" i="29"/>
  <c r="N954" i="29"/>
  <c r="O954" i="29" s="1"/>
  <c r="Q954" i="29" s="1"/>
  <c r="Y953" i="29"/>
  <c r="X953" i="29"/>
  <c r="W953" i="29"/>
  <c r="P953" i="29"/>
  <c r="N953" i="29"/>
  <c r="O953" i="29" s="1"/>
  <c r="Q953" i="29" s="1"/>
  <c r="Y950" i="29"/>
  <c r="X950" i="29"/>
  <c r="W950" i="29"/>
  <c r="AB950" i="29" s="1"/>
  <c r="P950" i="29"/>
  <c r="N950" i="29"/>
  <c r="O950" i="29" s="1"/>
  <c r="Q950" i="29" s="1"/>
  <c r="Y949" i="29"/>
  <c r="X949" i="29"/>
  <c r="W949" i="29"/>
  <c r="AB949" i="29" s="1"/>
  <c r="P949" i="29"/>
  <c r="N949" i="29"/>
  <c r="O949" i="29" s="1"/>
  <c r="Q949" i="29" s="1"/>
  <c r="Y946" i="29"/>
  <c r="X946" i="29"/>
  <c r="W946" i="29"/>
  <c r="AB946" i="29" s="1"/>
  <c r="P946" i="29"/>
  <c r="N946" i="29"/>
  <c r="O946" i="29" s="1"/>
  <c r="Q946" i="29" s="1"/>
  <c r="Y945" i="29"/>
  <c r="X945" i="29"/>
  <c r="W945" i="29"/>
  <c r="AB945" i="29" s="1"/>
  <c r="P945" i="29"/>
  <c r="N945" i="29"/>
  <c r="O945" i="29" s="1"/>
  <c r="Q945" i="29" s="1"/>
  <c r="Y934" i="29"/>
  <c r="X934" i="29"/>
  <c r="W934" i="29"/>
  <c r="AB934" i="29" s="1"/>
  <c r="P934" i="29"/>
  <c r="N934" i="29"/>
  <c r="O934" i="29" s="1"/>
  <c r="Q934" i="29" s="1"/>
  <c r="Y933" i="29"/>
  <c r="X933" i="29"/>
  <c r="W933" i="29"/>
  <c r="AB933" i="29" s="1"/>
  <c r="P933" i="29"/>
  <c r="N933" i="29"/>
  <c r="O933" i="29" s="1"/>
  <c r="Q933" i="29" s="1"/>
  <c r="X930" i="29"/>
  <c r="W930" i="29"/>
  <c r="N930" i="29"/>
  <c r="M930" i="29"/>
  <c r="Y930" i="29" s="1"/>
  <c r="Y929" i="29"/>
  <c r="X929" i="29"/>
  <c r="W929" i="29"/>
  <c r="P929" i="29"/>
  <c r="N929" i="29"/>
  <c r="O929" i="29" s="1"/>
  <c r="Q929" i="29" s="1"/>
  <c r="Y928" i="29"/>
  <c r="X928" i="29"/>
  <c r="W928" i="29"/>
  <c r="AB928" i="29" s="1"/>
  <c r="P928" i="29"/>
  <c r="N928" i="29"/>
  <c r="O928" i="29" s="1"/>
  <c r="Q928" i="29" s="1"/>
  <c r="Y927" i="29"/>
  <c r="X927" i="29"/>
  <c r="W927" i="29"/>
  <c r="AB927" i="29" s="1"/>
  <c r="P927" i="29"/>
  <c r="N927" i="29"/>
  <c r="O927" i="29" s="1"/>
  <c r="Q927" i="29" s="1"/>
  <c r="Y926" i="29"/>
  <c r="X926" i="29"/>
  <c r="W926" i="29"/>
  <c r="AB926" i="29" s="1"/>
  <c r="P926" i="29"/>
  <c r="N926" i="29"/>
  <c r="O926" i="29" s="1"/>
  <c r="Q926" i="29" s="1"/>
  <c r="Y925" i="29"/>
  <c r="X925" i="29"/>
  <c r="W925" i="29"/>
  <c r="P925" i="29"/>
  <c r="N925" i="29"/>
  <c r="O925" i="29" s="1"/>
  <c r="Q925" i="29" s="1"/>
  <c r="Y924" i="29"/>
  <c r="X924" i="29"/>
  <c r="W924" i="29"/>
  <c r="P924" i="29"/>
  <c r="N924" i="29"/>
  <c r="O924" i="29" s="1"/>
  <c r="Q924" i="29" s="1"/>
  <c r="Y923" i="29"/>
  <c r="X923" i="29"/>
  <c r="W923" i="29"/>
  <c r="AB923" i="29" s="1"/>
  <c r="P923" i="29"/>
  <c r="N923" i="29"/>
  <c r="O923" i="29" s="1"/>
  <c r="Q923" i="29" s="1"/>
  <c r="Y919" i="29"/>
  <c r="X919" i="29"/>
  <c r="AG919" i="29" s="1"/>
  <c r="AH919" i="29" s="1"/>
  <c r="W919" i="29"/>
  <c r="P919" i="29"/>
  <c r="N919" i="29"/>
  <c r="O919" i="29" s="1"/>
  <c r="Q919" i="29" s="1"/>
  <c r="Y918" i="29"/>
  <c r="X918" i="29"/>
  <c r="W918" i="29"/>
  <c r="AB918" i="29" s="1"/>
  <c r="P918" i="29"/>
  <c r="N918" i="29"/>
  <c r="O918" i="29" s="1"/>
  <c r="Q918" i="29" s="1"/>
  <c r="Y915" i="29"/>
  <c r="X915" i="29"/>
  <c r="W915" i="29"/>
  <c r="AB915" i="29" s="1"/>
  <c r="P915" i="29"/>
  <c r="N915" i="29"/>
  <c r="O915" i="29" s="1"/>
  <c r="Q915" i="29" s="1"/>
  <c r="Y914" i="29"/>
  <c r="X914" i="29"/>
  <c r="W914" i="29"/>
  <c r="AB914" i="29" s="1"/>
  <c r="P914" i="29"/>
  <c r="N914" i="29"/>
  <c r="O914" i="29" s="1"/>
  <c r="Q914" i="29" s="1"/>
  <c r="Y911" i="29"/>
  <c r="X911" i="29"/>
  <c r="W911" i="29"/>
  <c r="AB911" i="29" s="1"/>
  <c r="P911" i="29"/>
  <c r="N911" i="29"/>
  <c r="O911" i="29" s="1"/>
  <c r="Q911" i="29" s="1"/>
  <c r="Y910" i="29"/>
  <c r="X910" i="29"/>
  <c r="W910" i="29"/>
  <c r="AB910" i="29" s="1"/>
  <c r="P910" i="29"/>
  <c r="N910" i="29"/>
  <c r="O910" i="29" s="1"/>
  <c r="Q910" i="29" s="1"/>
  <c r="Y900" i="29"/>
  <c r="X900" i="29"/>
  <c r="W900" i="29"/>
  <c r="AB900" i="29" s="1"/>
  <c r="P900" i="29"/>
  <c r="N900" i="29"/>
  <c r="O900" i="29" s="1"/>
  <c r="Q900" i="29" s="1"/>
  <c r="Y899" i="29"/>
  <c r="X899" i="29"/>
  <c r="W899" i="29"/>
  <c r="AB899" i="29" s="1"/>
  <c r="P899" i="29"/>
  <c r="N899" i="29"/>
  <c r="O899" i="29" s="1"/>
  <c r="Q899" i="29" s="1"/>
  <c r="Y894" i="29"/>
  <c r="X894" i="29"/>
  <c r="W894" i="29"/>
  <c r="P894" i="29"/>
  <c r="N894" i="29"/>
  <c r="O894" i="29" s="1"/>
  <c r="Q894" i="29" s="1"/>
  <c r="Y893" i="29"/>
  <c r="X893" i="29"/>
  <c r="W893" i="29"/>
  <c r="P893" i="29"/>
  <c r="N893" i="29"/>
  <c r="O893" i="29" s="1"/>
  <c r="Q893" i="29" s="1"/>
  <c r="Y892" i="29"/>
  <c r="X892" i="29"/>
  <c r="W892" i="29"/>
  <c r="AB892" i="29" s="1"/>
  <c r="P892" i="29"/>
  <c r="N892" i="29"/>
  <c r="O892" i="29" s="1"/>
  <c r="Q892" i="29" s="1"/>
  <c r="X891" i="29"/>
  <c r="W891" i="29"/>
  <c r="AB891" i="29" s="1"/>
  <c r="N891" i="29"/>
  <c r="M891" i="29"/>
  <c r="X890" i="29"/>
  <c r="W890" i="29"/>
  <c r="AB890" i="29" s="1"/>
  <c r="N890" i="29"/>
  <c r="M890" i="29"/>
  <c r="Y890" i="29" s="1"/>
  <c r="Y889" i="29"/>
  <c r="X889" i="29"/>
  <c r="W889" i="29"/>
  <c r="P889" i="29"/>
  <c r="N889" i="29"/>
  <c r="O889" i="29" s="1"/>
  <c r="Q889" i="29" s="1"/>
  <c r="Y888" i="29"/>
  <c r="X888" i="29"/>
  <c r="W888" i="29"/>
  <c r="AB888" i="29" s="1"/>
  <c r="P888" i="29"/>
  <c r="N888" i="29"/>
  <c r="O888" i="29" s="1"/>
  <c r="Q888" i="29" s="1"/>
  <c r="Y887" i="29"/>
  <c r="X887" i="29"/>
  <c r="W887" i="29"/>
  <c r="P887" i="29"/>
  <c r="N887" i="29"/>
  <c r="O887" i="29" s="1"/>
  <c r="Q887" i="29" s="1"/>
  <c r="Y886" i="29"/>
  <c r="X886" i="29"/>
  <c r="W886" i="29"/>
  <c r="AB886" i="29" s="1"/>
  <c r="P886" i="29"/>
  <c r="N886" i="29"/>
  <c r="O886" i="29" s="1"/>
  <c r="Q886" i="29" s="1"/>
  <c r="Y885" i="29"/>
  <c r="X885" i="29"/>
  <c r="W885" i="29"/>
  <c r="AB885" i="29" s="1"/>
  <c r="P885" i="29"/>
  <c r="N885" i="29"/>
  <c r="O885" i="29" s="1"/>
  <c r="Q885" i="29" s="1"/>
  <c r="Y884" i="29"/>
  <c r="X884" i="29"/>
  <c r="W884" i="29"/>
  <c r="AB884" i="29" s="1"/>
  <c r="P884" i="29"/>
  <c r="N884" i="29"/>
  <c r="O884" i="29" s="1"/>
  <c r="Q884" i="29" s="1"/>
  <c r="Y883" i="29"/>
  <c r="X883" i="29"/>
  <c r="W883" i="29"/>
  <c r="P883" i="29"/>
  <c r="N883" i="29"/>
  <c r="O883" i="29" s="1"/>
  <c r="Q883" i="29" s="1"/>
  <c r="Y882" i="29"/>
  <c r="X882" i="29"/>
  <c r="W882" i="29"/>
  <c r="P882" i="29"/>
  <c r="N882" i="29"/>
  <c r="O882" i="29" s="1"/>
  <c r="Q882" i="29" s="1"/>
  <c r="Y881" i="29"/>
  <c r="X881" i="29"/>
  <c r="W881" i="29"/>
  <c r="AB881" i="29" s="1"/>
  <c r="P881" i="29"/>
  <c r="N881" i="29"/>
  <c r="O881" i="29" s="1"/>
  <c r="Q881" i="29" s="1"/>
  <c r="Y877" i="29"/>
  <c r="X877" i="29"/>
  <c r="W877" i="29"/>
  <c r="AB877" i="29" s="1"/>
  <c r="P877" i="29"/>
  <c r="N877" i="29"/>
  <c r="O877" i="29" s="1"/>
  <c r="Q877" i="29" s="1"/>
  <c r="Y876" i="29"/>
  <c r="X876" i="29"/>
  <c r="W876" i="29"/>
  <c r="AB876" i="29" s="1"/>
  <c r="P876" i="29"/>
  <c r="N876" i="29"/>
  <c r="O876" i="29" s="1"/>
  <c r="Q876" i="29" s="1"/>
  <c r="Y873" i="29"/>
  <c r="X873" i="29"/>
  <c r="W873" i="29"/>
  <c r="P873" i="29"/>
  <c r="N873" i="29"/>
  <c r="O873" i="29" s="1"/>
  <c r="Q873" i="29" s="1"/>
  <c r="Y872" i="29"/>
  <c r="X872" i="29"/>
  <c r="W872" i="29"/>
  <c r="P872" i="29"/>
  <c r="N872" i="29"/>
  <c r="O872" i="29" s="1"/>
  <c r="Q872" i="29" s="1"/>
  <c r="Y869" i="29"/>
  <c r="X869" i="29"/>
  <c r="W869" i="29"/>
  <c r="AB869" i="29" s="1"/>
  <c r="P869" i="29"/>
  <c r="N869" i="29"/>
  <c r="O869" i="29" s="1"/>
  <c r="Q869" i="29" s="1"/>
  <c r="Y868" i="29"/>
  <c r="X868" i="29"/>
  <c r="W868" i="29"/>
  <c r="P868" i="29"/>
  <c r="N868" i="29"/>
  <c r="O868" i="29" s="1"/>
  <c r="Q868" i="29" s="1"/>
  <c r="Y867" i="29"/>
  <c r="X867" i="29"/>
  <c r="W867" i="29"/>
  <c r="AB867" i="29" s="1"/>
  <c r="P867" i="29"/>
  <c r="N867" i="29"/>
  <c r="O867" i="29" s="1"/>
  <c r="Q867" i="29" s="1"/>
  <c r="Y866" i="29"/>
  <c r="X866" i="29"/>
  <c r="W866" i="29"/>
  <c r="AB866" i="29" s="1"/>
  <c r="P866" i="29"/>
  <c r="N866" i="29"/>
  <c r="O866" i="29" s="1"/>
  <c r="Q866" i="29" s="1"/>
  <c r="Y863" i="29"/>
  <c r="X863" i="29"/>
  <c r="W863" i="29"/>
  <c r="P863" i="29"/>
  <c r="N863" i="29"/>
  <c r="O863" i="29" s="1"/>
  <c r="Q863" i="29" s="1"/>
  <c r="Y860" i="29"/>
  <c r="X860" i="29"/>
  <c r="W860" i="29"/>
  <c r="AB860" i="29" s="1"/>
  <c r="P860" i="29"/>
  <c r="N860" i="29"/>
  <c r="O860" i="29" s="1"/>
  <c r="Q860" i="29" s="1"/>
  <c r="Y859" i="29"/>
  <c r="X859" i="29"/>
  <c r="W859" i="29"/>
  <c r="P859" i="29"/>
  <c r="N859" i="29"/>
  <c r="O859" i="29" s="1"/>
  <c r="Q859" i="29" s="1"/>
  <c r="Y858" i="29"/>
  <c r="X858" i="29"/>
  <c r="W858" i="29"/>
  <c r="AB858" i="29" s="1"/>
  <c r="P858" i="29"/>
  <c r="N858" i="29"/>
  <c r="O858" i="29" s="1"/>
  <c r="Q858" i="29" s="1"/>
  <c r="Y857" i="29"/>
  <c r="X857" i="29"/>
  <c r="W857" i="29"/>
  <c r="AB857" i="29" s="1"/>
  <c r="P857" i="29"/>
  <c r="N857" i="29"/>
  <c r="O857" i="29" s="1"/>
  <c r="Q857" i="29" s="1"/>
  <c r="Y856" i="29"/>
  <c r="X856" i="29"/>
  <c r="W856" i="29"/>
  <c r="AB856" i="29" s="1"/>
  <c r="P856" i="29"/>
  <c r="N856" i="29"/>
  <c r="O856" i="29" s="1"/>
  <c r="Q856" i="29" s="1"/>
  <c r="Y855" i="29"/>
  <c r="X855" i="29"/>
  <c r="W855" i="29"/>
  <c r="P855" i="29"/>
  <c r="N855" i="29"/>
  <c r="O855" i="29" s="1"/>
  <c r="Q855" i="29" s="1"/>
  <c r="Y854" i="29"/>
  <c r="X854" i="29"/>
  <c r="W854" i="29"/>
  <c r="P854" i="29"/>
  <c r="N854" i="29"/>
  <c r="O854" i="29" s="1"/>
  <c r="Q854" i="29" s="1"/>
  <c r="Y853" i="29"/>
  <c r="X853" i="29"/>
  <c r="W853" i="29"/>
  <c r="AB853" i="29" s="1"/>
  <c r="P853" i="29"/>
  <c r="N853" i="29"/>
  <c r="O853" i="29" s="1"/>
  <c r="Q853" i="29" s="1"/>
  <c r="Y852" i="29"/>
  <c r="X852" i="29"/>
  <c r="W852" i="29"/>
  <c r="P852" i="29"/>
  <c r="N852" i="29"/>
  <c r="O852" i="29" s="1"/>
  <c r="Q852" i="29" s="1"/>
  <c r="Y851" i="29"/>
  <c r="X851" i="29"/>
  <c r="W851" i="29"/>
  <c r="AB851" i="29" s="1"/>
  <c r="P851" i="29"/>
  <c r="N851" i="29"/>
  <c r="O851" i="29" s="1"/>
  <c r="Q851" i="29" s="1"/>
  <c r="X847" i="29"/>
  <c r="W847" i="29"/>
  <c r="AB847" i="29" s="1"/>
  <c r="N847" i="29"/>
  <c r="M847" i="29"/>
  <c r="Y847" i="29" s="1"/>
  <c r="X846" i="29"/>
  <c r="W846" i="29"/>
  <c r="AB846" i="29" s="1"/>
  <c r="N846" i="29"/>
  <c r="M846" i="29"/>
  <c r="X845" i="29"/>
  <c r="W845" i="29"/>
  <c r="AB845" i="29" s="1"/>
  <c r="N845" i="29"/>
  <c r="M845" i="29"/>
  <c r="Y845" i="29" s="1"/>
  <c r="X844" i="29"/>
  <c r="W844" i="29"/>
  <c r="AB844" i="29" s="1"/>
  <c r="N844" i="29"/>
  <c r="M844" i="29"/>
  <c r="X843" i="29"/>
  <c r="W843" i="29"/>
  <c r="AB843" i="29" s="1"/>
  <c r="N843" i="29"/>
  <c r="M843" i="29"/>
  <c r="Y843" i="29" s="1"/>
  <c r="X842" i="29"/>
  <c r="W842" i="29"/>
  <c r="AB842" i="29" s="1"/>
  <c r="N842" i="29"/>
  <c r="M842" i="29"/>
  <c r="P842" i="29" s="1"/>
  <c r="X841" i="29"/>
  <c r="W841" i="29"/>
  <c r="AB841" i="29" s="1"/>
  <c r="N841" i="29"/>
  <c r="M841" i="29"/>
  <c r="X840" i="29"/>
  <c r="W840" i="29"/>
  <c r="AB840" i="29" s="1"/>
  <c r="N840" i="29"/>
  <c r="M840" i="29"/>
  <c r="Y840" i="29" s="1"/>
  <c r="X839" i="29"/>
  <c r="W839" i="29"/>
  <c r="AB839" i="29" s="1"/>
  <c r="N839" i="29"/>
  <c r="M839" i="29"/>
  <c r="P839" i="29" s="1"/>
  <c r="X838" i="29"/>
  <c r="W838" i="29"/>
  <c r="AB838" i="29" s="1"/>
  <c r="N838" i="29"/>
  <c r="M838" i="29"/>
  <c r="P838" i="29" s="1"/>
  <c r="X837" i="29"/>
  <c r="W837" i="29"/>
  <c r="AB837" i="29" s="1"/>
  <c r="N837" i="29"/>
  <c r="M837" i="29"/>
  <c r="Y837" i="29" s="1"/>
  <c r="Y836" i="29"/>
  <c r="X836" i="29"/>
  <c r="W836" i="29"/>
  <c r="AB836" i="29" s="1"/>
  <c r="P836" i="29"/>
  <c r="N836" i="29"/>
  <c r="O836" i="29" s="1"/>
  <c r="Q836" i="29" s="1"/>
  <c r="Y835" i="29"/>
  <c r="X835" i="29"/>
  <c r="W835" i="29"/>
  <c r="AB835" i="29" s="1"/>
  <c r="P835" i="29"/>
  <c r="N835" i="29"/>
  <c r="O835" i="29" s="1"/>
  <c r="Q835" i="29" s="1"/>
  <c r="Y834" i="29"/>
  <c r="X834" i="29"/>
  <c r="W834" i="29"/>
  <c r="P834" i="29"/>
  <c r="N834" i="29"/>
  <c r="O834" i="29" s="1"/>
  <c r="Q834" i="29" s="1"/>
  <c r="Y830" i="29"/>
  <c r="X830" i="29"/>
  <c r="W830" i="29"/>
  <c r="AB830" i="29" s="1"/>
  <c r="P830" i="29"/>
  <c r="N830" i="29"/>
  <c r="O830" i="29" s="1"/>
  <c r="Q830" i="29" s="1"/>
  <c r="Y829" i="29"/>
  <c r="X829" i="29"/>
  <c r="W829" i="29"/>
  <c r="AB829" i="29" s="1"/>
  <c r="P829" i="29"/>
  <c r="N829" i="29"/>
  <c r="O829" i="29" s="1"/>
  <c r="Q829" i="29" s="1"/>
  <c r="X826" i="29"/>
  <c r="W826" i="29"/>
  <c r="AB826" i="29" s="1"/>
  <c r="N826" i="29"/>
  <c r="M826" i="29"/>
  <c r="P826" i="29" s="1"/>
  <c r="Y823" i="29"/>
  <c r="X823" i="29"/>
  <c r="W823" i="29"/>
  <c r="P823" i="29"/>
  <c r="N823" i="29"/>
  <c r="O823" i="29" s="1"/>
  <c r="Q823" i="29" s="1"/>
  <c r="X821" i="29"/>
  <c r="W821" i="29"/>
  <c r="N821" i="29"/>
  <c r="M821" i="29"/>
  <c r="Y821" i="29" s="1"/>
  <c r="X820" i="29"/>
  <c r="W820" i="29"/>
  <c r="AB820" i="29" s="1"/>
  <c r="N820" i="29"/>
  <c r="M820" i="29"/>
  <c r="P820" i="29" s="1"/>
  <c r="X819" i="29"/>
  <c r="W819" i="29"/>
  <c r="N819" i="29"/>
  <c r="M819" i="29"/>
  <c r="Y819" i="29" s="1"/>
  <c r="Y817" i="29"/>
  <c r="X817" i="29"/>
  <c r="W817" i="29"/>
  <c r="P817" i="29"/>
  <c r="N817" i="29"/>
  <c r="O817" i="29" s="1"/>
  <c r="Q817" i="29" s="1"/>
  <c r="X816" i="29"/>
  <c r="W816" i="29"/>
  <c r="AB816" i="29" s="1"/>
  <c r="N816" i="29"/>
  <c r="M816" i="29"/>
  <c r="P816" i="29" s="1"/>
  <c r="X815" i="29"/>
  <c r="W815" i="29"/>
  <c r="N815" i="29"/>
  <c r="M815" i="29"/>
  <c r="P815" i="29" s="1"/>
  <c r="X814" i="29"/>
  <c r="W814" i="29"/>
  <c r="AB814" i="29" s="1"/>
  <c r="N814" i="29"/>
  <c r="M814" i="29"/>
  <c r="X813" i="29"/>
  <c r="W813" i="29"/>
  <c r="AB813" i="29" s="1"/>
  <c r="N813" i="29"/>
  <c r="M813" i="29"/>
  <c r="P813" i="29" s="1"/>
  <c r="X812" i="29"/>
  <c r="W812" i="29"/>
  <c r="AB812" i="29" s="1"/>
  <c r="N812" i="29"/>
  <c r="M812" i="29"/>
  <c r="Y812" i="29" s="1"/>
  <c r="X811" i="29"/>
  <c r="W811" i="29"/>
  <c r="AB811" i="29" s="1"/>
  <c r="N811" i="29"/>
  <c r="M811" i="29"/>
  <c r="X810" i="29"/>
  <c r="W810" i="29"/>
  <c r="AB810" i="29" s="1"/>
  <c r="N810" i="29"/>
  <c r="M810" i="29"/>
  <c r="P810" i="29" s="1"/>
  <c r="X809" i="29"/>
  <c r="W809" i="29"/>
  <c r="AB809" i="29" s="1"/>
  <c r="N809" i="29"/>
  <c r="M809" i="29"/>
  <c r="Y809" i="29" s="1"/>
  <c r="X808" i="29"/>
  <c r="W808" i="29"/>
  <c r="AB808" i="29" s="1"/>
  <c r="N808" i="29"/>
  <c r="M808" i="29"/>
  <c r="X807" i="29"/>
  <c r="W807" i="29"/>
  <c r="AB807" i="29" s="1"/>
  <c r="N807" i="29"/>
  <c r="M807" i="29"/>
  <c r="P807" i="29" s="1"/>
  <c r="X806" i="29"/>
  <c r="W806" i="29"/>
  <c r="AB806" i="29" s="1"/>
  <c r="N806" i="29"/>
  <c r="M806" i="29"/>
  <c r="Y806" i="29" s="1"/>
  <c r="X805" i="29"/>
  <c r="W805" i="29"/>
  <c r="AB805" i="29" s="1"/>
  <c r="N805" i="29"/>
  <c r="M805" i="29"/>
  <c r="X804" i="29"/>
  <c r="W804" i="29"/>
  <c r="AB804" i="29" s="1"/>
  <c r="N804" i="29"/>
  <c r="M804" i="29"/>
  <c r="P804" i="29" s="1"/>
  <c r="X803" i="29"/>
  <c r="W803" i="29"/>
  <c r="N803" i="29"/>
  <c r="M803" i="29"/>
  <c r="Y803" i="29" s="1"/>
  <c r="X802" i="29"/>
  <c r="W802" i="29"/>
  <c r="AB802" i="29" s="1"/>
  <c r="N802" i="29"/>
  <c r="M802" i="29"/>
  <c r="X801" i="29"/>
  <c r="W801" i="29"/>
  <c r="AB801" i="29" s="1"/>
  <c r="N801" i="29"/>
  <c r="M801" i="29"/>
  <c r="P801" i="29" s="1"/>
  <c r="X800" i="29"/>
  <c r="W800" i="29"/>
  <c r="AB800" i="29" s="1"/>
  <c r="N800" i="29"/>
  <c r="M800" i="29"/>
  <c r="Y800" i="29" s="1"/>
  <c r="X799" i="29"/>
  <c r="W799" i="29"/>
  <c r="AB799" i="29" s="1"/>
  <c r="N799" i="29"/>
  <c r="M799" i="29"/>
  <c r="X798" i="29"/>
  <c r="W798" i="29"/>
  <c r="AB798" i="29" s="1"/>
  <c r="N798" i="29"/>
  <c r="M798" i="29"/>
  <c r="P798" i="29" s="1"/>
  <c r="X797" i="29"/>
  <c r="W797" i="29"/>
  <c r="AB797" i="29" s="1"/>
  <c r="N797" i="29"/>
  <c r="M797" i="29"/>
  <c r="Y797" i="29" s="1"/>
  <c r="X796" i="29"/>
  <c r="W796" i="29"/>
  <c r="AB796" i="29" s="1"/>
  <c r="N796" i="29"/>
  <c r="M796" i="29"/>
  <c r="X795" i="29"/>
  <c r="W795" i="29"/>
  <c r="AB795" i="29" s="1"/>
  <c r="N795" i="29"/>
  <c r="M795" i="29"/>
  <c r="P795" i="29" s="1"/>
  <c r="X794" i="29"/>
  <c r="W794" i="29"/>
  <c r="AB794" i="29" s="1"/>
  <c r="N794" i="29"/>
  <c r="M794" i="29"/>
  <c r="P794" i="29" s="1"/>
  <c r="X793" i="29"/>
  <c r="W793" i="29"/>
  <c r="AB793" i="29" s="1"/>
  <c r="N793" i="29"/>
  <c r="M793" i="29"/>
  <c r="X792" i="29"/>
  <c r="W792" i="29"/>
  <c r="AB792" i="29" s="1"/>
  <c r="N792" i="29"/>
  <c r="M792" i="29"/>
  <c r="P792" i="29" s="1"/>
  <c r="X791" i="29"/>
  <c r="W791" i="29"/>
  <c r="AB791" i="29" s="1"/>
  <c r="N791" i="29"/>
  <c r="M791" i="29"/>
  <c r="Y791" i="29" s="1"/>
  <c r="X790" i="29"/>
  <c r="W790" i="29"/>
  <c r="AB790" i="29" s="1"/>
  <c r="N790" i="29"/>
  <c r="M790" i="29"/>
  <c r="X789" i="29"/>
  <c r="W789" i="29"/>
  <c r="AB789" i="29" s="1"/>
  <c r="N789" i="29"/>
  <c r="M789" i="29"/>
  <c r="P789" i="29" s="1"/>
  <c r="X788" i="29"/>
  <c r="W788" i="29"/>
  <c r="AB788" i="29" s="1"/>
  <c r="N788" i="29"/>
  <c r="M788" i="29"/>
  <c r="Y788" i="29" s="1"/>
  <c r="X787" i="29"/>
  <c r="W787" i="29"/>
  <c r="AB787" i="29" s="1"/>
  <c r="N787" i="29"/>
  <c r="M787" i="29"/>
  <c r="X786" i="29"/>
  <c r="W786" i="29"/>
  <c r="AB786" i="29" s="1"/>
  <c r="N786" i="29"/>
  <c r="M786" i="29"/>
  <c r="Y786" i="29" s="1"/>
  <c r="X785" i="29"/>
  <c r="W785" i="29"/>
  <c r="AB785" i="29" s="1"/>
  <c r="N785" i="29"/>
  <c r="M785" i="29"/>
  <c r="Y785" i="29" s="1"/>
  <c r="Y784" i="29"/>
  <c r="X784" i="29"/>
  <c r="W784" i="29"/>
  <c r="AB784" i="29" s="1"/>
  <c r="P784" i="29"/>
  <c r="N784" i="29"/>
  <c r="O784" i="29" s="1"/>
  <c r="Q784" i="29" s="1"/>
  <c r="X783" i="29"/>
  <c r="W783" i="29"/>
  <c r="AB783" i="29" s="1"/>
  <c r="N783" i="29"/>
  <c r="M783" i="29"/>
  <c r="X782" i="29"/>
  <c r="W782" i="29"/>
  <c r="AB782" i="29" s="1"/>
  <c r="N782" i="29"/>
  <c r="M782" i="29"/>
  <c r="Y782" i="29" s="1"/>
  <c r="X781" i="29"/>
  <c r="W781" i="29"/>
  <c r="AB781" i="29" s="1"/>
  <c r="N781" i="29"/>
  <c r="M781" i="29"/>
  <c r="P781" i="29" s="1"/>
  <c r="X780" i="29"/>
  <c r="W780" i="29"/>
  <c r="AB780" i="29" s="1"/>
  <c r="N780" i="29"/>
  <c r="M780" i="29"/>
  <c r="P780" i="29" s="1"/>
  <c r="X779" i="29"/>
  <c r="W779" i="29"/>
  <c r="N779" i="29"/>
  <c r="M779" i="29"/>
  <c r="Y779" i="29" s="1"/>
  <c r="X778" i="29"/>
  <c r="W778" i="29"/>
  <c r="N778" i="29"/>
  <c r="M778" i="29"/>
  <c r="Y778" i="29" s="1"/>
  <c r="Y777" i="29"/>
  <c r="X777" i="29"/>
  <c r="W777" i="29"/>
  <c r="P777" i="29"/>
  <c r="N777" i="29"/>
  <c r="O777" i="29" s="1"/>
  <c r="Q777" i="29" s="1"/>
  <c r="X776" i="29"/>
  <c r="W776" i="29"/>
  <c r="N776" i="29"/>
  <c r="M776" i="29"/>
  <c r="P776" i="29" s="1"/>
  <c r="Y775" i="29"/>
  <c r="X775" i="29"/>
  <c r="W775" i="29"/>
  <c r="AB775" i="29" s="1"/>
  <c r="P775" i="29"/>
  <c r="N775" i="29"/>
  <c r="O775" i="29" s="1"/>
  <c r="Q775" i="29" s="1"/>
  <c r="Y774" i="29"/>
  <c r="X774" i="29"/>
  <c r="W774" i="29"/>
  <c r="AB774" i="29" s="1"/>
  <c r="P774" i="29"/>
  <c r="N774" i="29"/>
  <c r="O774" i="29" s="1"/>
  <c r="Q774" i="29" s="1"/>
  <c r="X773" i="29"/>
  <c r="W773" i="29"/>
  <c r="N773" i="29"/>
  <c r="M773" i="29"/>
  <c r="Y773" i="29" s="1"/>
  <c r="X772" i="29"/>
  <c r="W772" i="29"/>
  <c r="AB772" i="29" s="1"/>
  <c r="N772" i="29"/>
  <c r="M772" i="29"/>
  <c r="P772" i="29" s="1"/>
  <c r="X771" i="29"/>
  <c r="W771" i="29"/>
  <c r="AB771" i="29" s="1"/>
  <c r="N771" i="29"/>
  <c r="M771" i="29"/>
  <c r="X770" i="29"/>
  <c r="W770" i="29"/>
  <c r="N770" i="29"/>
  <c r="M770" i="29"/>
  <c r="Y770" i="29" s="1"/>
  <c r="X769" i="29"/>
  <c r="W769" i="29"/>
  <c r="N769" i="29"/>
  <c r="M769" i="29"/>
  <c r="P769" i="29" s="1"/>
  <c r="Y768" i="29"/>
  <c r="X768" i="29"/>
  <c r="W768" i="29"/>
  <c r="AB768" i="29" s="1"/>
  <c r="P768" i="29"/>
  <c r="N768" i="29"/>
  <c r="O768" i="29" s="1"/>
  <c r="Q768" i="29" s="1"/>
  <c r="Y767" i="29"/>
  <c r="X767" i="29"/>
  <c r="W767" i="29"/>
  <c r="P767" i="29"/>
  <c r="N767" i="29"/>
  <c r="O767" i="29" s="1"/>
  <c r="Q767" i="29" s="1"/>
  <c r="Y766" i="29"/>
  <c r="X766" i="29"/>
  <c r="W766" i="29"/>
  <c r="AB766" i="29" s="1"/>
  <c r="P766" i="29"/>
  <c r="N766" i="29"/>
  <c r="O766" i="29" s="1"/>
  <c r="Q766" i="29" s="1"/>
  <c r="Y765" i="29"/>
  <c r="X765" i="29"/>
  <c r="W765" i="29"/>
  <c r="AB765" i="29" s="1"/>
  <c r="P765" i="29"/>
  <c r="N765" i="29"/>
  <c r="O765" i="29" s="1"/>
  <c r="Q765" i="29" s="1"/>
  <c r="X764" i="29"/>
  <c r="W764" i="29"/>
  <c r="AB764" i="29" s="1"/>
  <c r="N764" i="29"/>
  <c r="M764" i="29"/>
  <c r="P764" i="29" s="1"/>
  <c r="X763" i="29"/>
  <c r="W763" i="29"/>
  <c r="AB763" i="29" s="1"/>
  <c r="N763" i="29"/>
  <c r="M763" i="29"/>
  <c r="Y763" i="29" s="1"/>
  <c r="X762" i="29"/>
  <c r="W762" i="29"/>
  <c r="N762" i="29"/>
  <c r="M762" i="29"/>
  <c r="Y762" i="29" s="1"/>
  <c r="X761" i="29"/>
  <c r="W761" i="29"/>
  <c r="AB761" i="29" s="1"/>
  <c r="N761" i="29"/>
  <c r="M761" i="29"/>
  <c r="P761" i="29" s="1"/>
  <c r="X760" i="29"/>
  <c r="W760" i="29"/>
  <c r="AB760" i="29" s="1"/>
  <c r="N760" i="29"/>
  <c r="M760" i="29"/>
  <c r="P760" i="29" s="1"/>
  <c r="X759" i="29"/>
  <c r="W759" i="29"/>
  <c r="N759" i="29"/>
  <c r="M759" i="29"/>
  <c r="Y759" i="29" s="1"/>
  <c r="X758" i="29"/>
  <c r="W758" i="29"/>
  <c r="N758" i="29"/>
  <c r="M758" i="29"/>
  <c r="P758" i="29" s="1"/>
  <c r="X757" i="29"/>
  <c r="W757" i="29"/>
  <c r="AB757" i="29" s="1"/>
  <c r="N757" i="29"/>
  <c r="M757" i="29"/>
  <c r="Y757" i="29" s="1"/>
  <c r="X756" i="29"/>
  <c r="W756" i="29"/>
  <c r="N756" i="29"/>
  <c r="M756" i="29"/>
  <c r="Y756" i="29" s="1"/>
  <c r="X755" i="29"/>
  <c r="W755" i="29"/>
  <c r="AB755" i="29" s="1"/>
  <c r="N755" i="29"/>
  <c r="M755" i="29"/>
  <c r="P755" i="29" s="1"/>
  <c r="X754" i="29"/>
  <c r="W754" i="29"/>
  <c r="N754" i="29"/>
  <c r="M754" i="29"/>
  <c r="P754" i="29" s="1"/>
  <c r="X753" i="29"/>
  <c r="W753" i="29"/>
  <c r="N753" i="29"/>
  <c r="M753" i="29"/>
  <c r="X752" i="29"/>
  <c r="W752" i="29"/>
  <c r="AB752" i="29" s="1"/>
  <c r="N752" i="29"/>
  <c r="M752" i="29"/>
  <c r="P752" i="29" s="1"/>
  <c r="X751" i="29"/>
  <c r="W751" i="29"/>
  <c r="AB751" i="29" s="1"/>
  <c r="N751" i="29"/>
  <c r="M751" i="29"/>
  <c r="P751" i="29" s="1"/>
  <c r="Y750" i="29"/>
  <c r="X750" i="29"/>
  <c r="W750" i="29"/>
  <c r="P750" i="29"/>
  <c r="N750" i="29"/>
  <c r="O750" i="29" s="1"/>
  <c r="Q750" i="29" s="1"/>
  <c r="X749" i="29"/>
  <c r="W749" i="29"/>
  <c r="AB749" i="29" s="1"/>
  <c r="N749" i="29"/>
  <c r="M749" i="29"/>
  <c r="P749" i="29" s="1"/>
  <c r="Y748" i="29"/>
  <c r="X748" i="29"/>
  <c r="W748" i="29"/>
  <c r="P748" i="29"/>
  <c r="N748" i="29"/>
  <c r="O748" i="29" s="1"/>
  <c r="Q748" i="29" s="1"/>
  <c r="X747" i="29"/>
  <c r="W747" i="29"/>
  <c r="AB747" i="29" s="1"/>
  <c r="N747" i="29"/>
  <c r="M747" i="29"/>
  <c r="X746" i="29"/>
  <c r="W746" i="29"/>
  <c r="AB746" i="29" s="1"/>
  <c r="N746" i="29"/>
  <c r="M746" i="29"/>
  <c r="P746" i="29" s="1"/>
  <c r="X745" i="29"/>
  <c r="W745" i="29"/>
  <c r="N745" i="29"/>
  <c r="M745" i="29"/>
  <c r="P745" i="29" s="1"/>
  <c r="X744" i="29"/>
  <c r="W744" i="29"/>
  <c r="AB744" i="29" s="1"/>
  <c r="N744" i="29"/>
  <c r="M744" i="29"/>
  <c r="X743" i="29"/>
  <c r="W743" i="29"/>
  <c r="AB743" i="29" s="1"/>
  <c r="N743" i="29"/>
  <c r="M743" i="29"/>
  <c r="P743" i="29" s="1"/>
  <c r="X742" i="29"/>
  <c r="W742" i="29"/>
  <c r="M742" i="29"/>
  <c r="Y742" i="29" s="1"/>
  <c r="X741" i="29"/>
  <c r="W741" i="29"/>
  <c r="AB741" i="29" s="1"/>
  <c r="M741" i="29"/>
  <c r="Y741" i="29" s="1"/>
  <c r="X740" i="29"/>
  <c r="W740" i="29"/>
  <c r="AB740" i="29" s="1"/>
  <c r="N740" i="29"/>
  <c r="M740" i="29"/>
  <c r="X739" i="29"/>
  <c r="W739" i="29"/>
  <c r="AB739" i="29" s="1"/>
  <c r="N739" i="29"/>
  <c r="M739" i="29"/>
  <c r="P739" i="29" s="1"/>
  <c r="X734" i="29"/>
  <c r="W734" i="29"/>
  <c r="N734" i="29"/>
  <c r="M734" i="29"/>
  <c r="Y734" i="29" s="1"/>
  <c r="Y733" i="29"/>
  <c r="X733" i="29"/>
  <c r="W733" i="29"/>
  <c r="AB733" i="29" s="1"/>
  <c r="P733" i="29"/>
  <c r="N733" i="29"/>
  <c r="O733" i="29" s="1"/>
  <c r="Q733" i="29" s="1"/>
  <c r="Y732" i="29"/>
  <c r="X732" i="29"/>
  <c r="W732" i="29"/>
  <c r="AB732" i="29" s="1"/>
  <c r="P732" i="29"/>
  <c r="N732" i="29"/>
  <c r="O732" i="29" s="1"/>
  <c r="Q732" i="29" s="1"/>
  <c r="Y731" i="29"/>
  <c r="X731" i="29"/>
  <c r="W731" i="29"/>
  <c r="P731" i="29"/>
  <c r="N731" i="29"/>
  <c r="O731" i="29" s="1"/>
  <c r="Q731" i="29" s="1"/>
  <c r="Y730" i="29"/>
  <c r="X730" i="29"/>
  <c r="W730" i="29"/>
  <c r="P730" i="29"/>
  <c r="N730" i="29"/>
  <c r="O730" i="29" s="1"/>
  <c r="Q730" i="29" s="1"/>
  <c r="Y729" i="29"/>
  <c r="X729" i="29"/>
  <c r="W729" i="29"/>
  <c r="P729" i="29"/>
  <c r="N729" i="29"/>
  <c r="O729" i="29" s="1"/>
  <c r="Q729" i="29" s="1"/>
  <c r="Y728" i="29"/>
  <c r="X728" i="29"/>
  <c r="W728" i="29"/>
  <c r="AB728" i="29" s="1"/>
  <c r="P728" i="29"/>
  <c r="N728" i="29"/>
  <c r="O728" i="29" s="1"/>
  <c r="Q728" i="29" s="1"/>
  <c r="Y727" i="29"/>
  <c r="X727" i="29"/>
  <c r="W727" i="29"/>
  <c r="AB727" i="29" s="1"/>
  <c r="P727" i="29"/>
  <c r="N727" i="29"/>
  <c r="O727" i="29" s="1"/>
  <c r="Q727" i="29" s="1"/>
  <c r="Y726" i="29"/>
  <c r="X726" i="29"/>
  <c r="W726" i="29"/>
  <c r="P726" i="29"/>
  <c r="N726" i="29"/>
  <c r="O726" i="29" s="1"/>
  <c r="Q726" i="29" s="1"/>
  <c r="Y725" i="29"/>
  <c r="X725" i="29"/>
  <c r="W725" i="29"/>
  <c r="P725" i="29"/>
  <c r="N725" i="29"/>
  <c r="O725" i="29" s="1"/>
  <c r="Q725" i="29" s="1"/>
  <c r="Y724" i="29"/>
  <c r="X724" i="29"/>
  <c r="W724" i="29"/>
  <c r="AB724" i="29" s="1"/>
  <c r="P724" i="29"/>
  <c r="N724" i="29"/>
  <c r="O724" i="29" s="1"/>
  <c r="Q724" i="29" s="1"/>
  <c r="Y723" i="29"/>
  <c r="X723" i="29"/>
  <c r="W723" i="29"/>
  <c r="P723" i="29"/>
  <c r="N723" i="29"/>
  <c r="O723" i="29" s="1"/>
  <c r="Q723" i="29" s="1"/>
  <c r="X722" i="29"/>
  <c r="W722" i="29"/>
  <c r="N722" i="29"/>
  <c r="M722" i="29"/>
  <c r="Y722" i="29" s="1"/>
  <c r="X721" i="29"/>
  <c r="W721" i="29"/>
  <c r="AB721" i="29" s="1"/>
  <c r="N721" i="29"/>
  <c r="M721" i="29"/>
  <c r="Y721" i="29" s="1"/>
  <c r="Y720" i="29"/>
  <c r="X720" i="29"/>
  <c r="W720" i="29"/>
  <c r="AB720" i="29" s="1"/>
  <c r="P720" i="29"/>
  <c r="N720" i="29"/>
  <c r="O720" i="29" s="1"/>
  <c r="Q720" i="29" s="1"/>
  <c r="Y719" i="29"/>
  <c r="X719" i="29"/>
  <c r="W719" i="29"/>
  <c r="AB719" i="29" s="1"/>
  <c r="P719" i="29"/>
  <c r="N719" i="29"/>
  <c r="O719" i="29" s="1"/>
  <c r="Q719" i="29" s="1"/>
  <c r="X718" i="29"/>
  <c r="W718" i="29"/>
  <c r="AB718" i="29" s="1"/>
  <c r="N718" i="29"/>
  <c r="M718" i="29"/>
  <c r="P718" i="29" s="1"/>
  <c r="X717" i="29"/>
  <c r="W717" i="29"/>
  <c r="AB717" i="29" s="1"/>
  <c r="N717" i="29"/>
  <c r="M717" i="29"/>
  <c r="Y717" i="29" s="1"/>
  <c r="X716" i="29"/>
  <c r="W716" i="29"/>
  <c r="AB716" i="29" s="1"/>
  <c r="N716" i="29"/>
  <c r="M716" i="29"/>
  <c r="X715" i="29"/>
  <c r="W715" i="29"/>
  <c r="AB715" i="29" s="1"/>
  <c r="N715" i="29"/>
  <c r="M715" i="29"/>
  <c r="Y715" i="29" s="1"/>
  <c r="X714" i="29"/>
  <c r="W714" i="29"/>
  <c r="AB714" i="29" s="1"/>
  <c r="N714" i="29"/>
  <c r="M714" i="29"/>
  <c r="Y714" i="29" s="1"/>
  <c r="X713" i="29"/>
  <c r="W713" i="29"/>
  <c r="AB713" i="29" s="1"/>
  <c r="N713" i="29"/>
  <c r="M713" i="29"/>
  <c r="Y712" i="29"/>
  <c r="X712" i="29"/>
  <c r="W712" i="29"/>
  <c r="AB712" i="29" s="1"/>
  <c r="P712" i="29"/>
  <c r="N712" i="29"/>
  <c r="O712" i="29" s="1"/>
  <c r="Q712" i="29" s="1"/>
  <c r="X711" i="29"/>
  <c r="W711" i="29"/>
  <c r="AB711" i="29" s="1"/>
  <c r="N711" i="29"/>
  <c r="M711" i="29"/>
  <c r="Y711" i="29" s="1"/>
  <c r="X710" i="29"/>
  <c r="W710" i="29"/>
  <c r="AB710" i="29" s="1"/>
  <c r="N710" i="29"/>
  <c r="M710" i="29"/>
  <c r="P710" i="29" s="1"/>
  <c r="Y709" i="29"/>
  <c r="X709" i="29"/>
  <c r="W709" i="29"/>
  <c r="AB709" i="29" s="1"/>
  <c r="Y708" i="29"/>
  <c r="X708" i="29"/>
  <c r="W708" i="29"/>
  <c r="Y707" i="29"/>
  <c r="X707" i="29"/>
  <c r="W707" i="29"/>
  <c r="Y706" i="29"/>
  <c r="X706" i="29"/>
  <c r="W706" i="29"/>
  <c r="AB706" i="29" s="1"/>
  <c r="P706" i="29"/>
  <c r="N706" i="29"/>
  <c r="O706" i="29" s="1"/>
  <c r="Q706" i="29" s="1"/>
  <c r="Y705" i="29"/>
  <c r="X705" i="29"/>
  <c r="W705" i="29"/>
  <c r="AB705" i="29" s="1"/>
  <c r="P705" i="29"/>
  <c r="N705" i="29"/>
  <c r="O705" i="29" s="1"/>
  <c r="Q705" i="29" s="1"/>
  <c r="X704" i="29"/>
  <c r="W704" i="29"/>
  <c r="AB704" i="29" s="1"/>
  <c r="N704" i="29"/>
  <c r="M704" i="29"/>
  <c r="Y704" i="29" s="1"/>
  <c r="X703" i="29"/>
  <c r="W703" i="29"/>
  <c r="AB703" i="29" s="1"/>
  <c r="N703" i="29"/>
  <c r="M703" i="29"/>
  <c r="Y703" i="29" s="1"/>
  <c r="X702" i="29"/>
  <c r="W702" i="29"/>
  <c r="AB702" i="29" s="1"/>
  <c r="N702" i="29"/>
  <c r="M702" i="29"/>
  <c r="P702" i="29" s="1"/>
  <c r="X701" i="29"/>
  <c r="W701" i="29"/>
  <c r="AB701" i="29" s="1"/>
  <c r="N701" i="29"/>
  <c r="M701" i="29"/>
  <c r="P701" i="29" s="1"/>
  <c r="X700" i="29"/>
  <c r="W700" i="29"/>
  <c r="AB700" i="29" s="1"/>
  <c r="N700" i="29"/>
  <c r="M700" i="29"/>
  <c r="Y700" i="29" s="1"/>
  <c r="X699" i="29"/>
  <c r="W699" i="29"/>
  <c r="AB699" i="29" s="1"/>
  <c r="N699" i="29"/>
  <c r="M699" i="29"/>
  <c r="P699" i="29" s="1"/>
  <c r="X698" i="29"/>
  <c r="W698" i="29"/>
  <c r="AB698" i="29" s="1"/>
  <c r="N698" i="29"/>
  <c r="M698" i="29"/>
  <c r="P698" i="29" s="1"/>
  <c r="X697" i="29"/>
  <c r="W697" i="29"/>
  <c r="AB697" i="29" s="1"/>
  <c r="N697" i="29"/>
  <c r="M697" i="29"/>
  <c r="Y697" i="29" s="1"/>
  <c r="X696" i="29"/>
  <c r="W696" i="29"/>
  <c r="AB696" i="29" s="1"/>
  <c r="N696" i="29"/>
  <c r="M696" i="29"/>
  <c r="P696" i="29" s="1"/>
  <c r="X695" i="29"/>
  <c r="W695" i="29"/>
  <c r="AB695" i="29" s="1"/>
  <c r="N695" i="29"/>
  <c r="M695" i="29"/>
  <c r="Y695" i="29" s="1"/>
  <c r="X694" i="29"/>
  <c r="W694" i="29"/>
  <c r="N694" i="29"/>
  <c r="M694" i="29"/>
  <c r="Y694" i="29" s="1"/>
  <c r="X693" i="29"/>
  <c r="W693" i="29"/>
  <c r="AB693" i="29" s="1"/>
  <c r="N693" i="29"/>
  <c r="M693" i="29"/>
  <c r="P693" i="29" s="1"/>
  <c r="X692" i="29"/>
  <c r="W692" i="29"/>
  <c r="AB692" i="29" s="1"/>
  <c r="N692" i="29"/>
  <c r="M692" i="29"/>
  <c r="P692" i="29" s="1"/>
  <c r="X691" i="29"/>
  <c r="W691" i="29"/>
  <c r="N691" i="29"/>
  <c r="M691" i="29"/>
  <c r="Y691" i="29" s="1"/>
  <c r="X690" i="29"/>
  <c r="W690" i="29"/>
  <c r="AB690" i="29" s="1"/>
  <c r="N690" i="29"/>
  <c r="M690" i="29"/>
  <c r="P690" i="29" s="1"/>
  <c r="Y684" i="29"/>
  <c r="X684" i="29"/>
  <c r="W684" i="29"/>
  <c r="AB684" i="29" s="1"/>
  <c r="P684" i="29"/>
  <c r="N684" i="29"/>
  <c r="O684" i="29" s="1"/>
  <c r="Q684" i="29" s="1"/>
  <c r="X681" i="29"/>
  <c r="W681" i="29"/>
  <c r="AB681" i="29" s="1"/>
  <c r="N681" i="29"/>
  <c r="M681" i="29"/>
  <c r="Y681" i="29" s="1"/>
  <c r="X680" i="29"/>
  <c r="W680" i="29"/>
  <c r="AB680" i="29" s="1"/>
  <c r="N680" i="29"/>
  <c r="M680" i="29"/>
  <c r="P680" i="29" s="1"/>
  <c r="X679" i="29"/>
  <c r="W679" i="29"/>
  <c r="N679" i="29"/>
  <c r="M679" i="29"/>
  <c r="Y679" i="29" s="1"/>
  <c r="Y678" i="29"/>
  <c r="X678" i="29"/>
  <c r="W678" i="29"/>
  <c r="P678" i="29"/>
  <c r="N678" i="29"/>
  <c r="O678" i="29" s="1"/>
  <c r="Q678" i="29" s="1"/>
  <c r="Y677" i="29"/>
  <c r="X677" i="29"/>
  <c r="W677" i="29"/>
  <c r="AB677" i="29" s="1"/>
  <c r="P677" i="29"/>
  <c r="N677" i="29"/>
  <c r="O677" i="29" s="1"/>
  <c r="Q677" i="29" s="1"/>
  <c r="Y676" i="29"/>
  <c r="X676" i="29"/>
  <c r="W676" i="29"/>
  <c r="AB676" i="29" s="1"/>
  <c r="P676" i="29"/>
  <c r="N676" i="29"/>
  <c r="O676" i="29" s="1"/>
  <c r="Q676" i="29" s="1"/>
  <c r="Y675" i="29"/>
  <c r="X675" i="29"/>
  <c r="W675" i="29"/>
  <c r="AB675" i="29" s="1"/>
  <c r="P675" i="29"/>
  <c r="N675" i="29"/>
  <c r="O675" i="29" s="1"/>
  <c r="Q675" i="29" s="1"/>
  <c r="X672" i="29"/>
  <c r="W672" i="29"/>
  <c r="N672" i="29"/>
  <c r="M672" i="29"/>
  <c r="Y672" i="29" s="1"/>
  <c r="X671" i="29"/>
  <c r="W671" i="29"/>
  <c r="N671" i="29"/>
  <c r="M671" i="29"/>
  <c r="Y671" i="29" s="1"/>
  <c r="X670" i="29"/>
  <c r="W670" i="29"/>
  <c r="AB670" i="29" s="1"/>
  <c r="N670" i="29"/>
  <c r="M670" i="29"/>
  <c r="P670" i="29" s="1"/>
  <c r="X669" i="29"/>
  <c r="W669" i="29"/>
  <c r="N669" i="29"/>
  <c r="M669" i="29"/>
  <c r="Y669" i="29" s="1"/>
  <c r="X668" i="29"/>
  <c r="W668" i="29"/>
  <c r="AB668" i="29" s="1"/>
  <c r="N668" i="29"/>
  <c r="M668" i="29"/>
  <c r="Y668" i="29" s="1"/>
  <c r="X667" i="29"/>
  <c r="W667" i="29"/>
  <c r="AB667" i="29" s="1"/>
  <c r="N667" i="29"/>
  <c r="M667" i="29"/>
  <c r="P667" i="29" s="1"/>
  <c r="X666" i="29"/>
  <c r="W666" i="29"/>
  <c r="N666" i="29"/>
  <c r="M666" i="29"/>
  <c r="Y666" i="29" s="1"/>
  <c r="X663" i="29"/>
  <c r="W663" i="29"/>
  <c r="AB663" i="29" s="1"/>
  <c r="N663" i="29"/>
  <c r="M663" i="29"/>
  <c r="Y663" i="29" s="1"/>
  <c r="X662" i="29"/>
  <c r="W662" i="29"/>
  <c r="AB662" i="29" s="1"/>
  <c r="N662" i="29"/>
  <c r="M662" i="29"/>
  <c r="P662" i="29" s="1"/>
  <c r="X659" i="29"/>
  <c r="W659" i="29"/>
  <c r="N659" i="29"/>
  <c r="M659" i="29"/>
  <c r="Y659" i="29" s="1"/>
  <c r="X658" i="29"/>
  <c r="W658" i="29"/>
  <c r="N658" i="29"/>
  <c r="M658" i="29"/>
  <c r="Y658" i="29" s="1"/>
  <c r="X657" i="29"/>
  <c r="W657" i="29"/>
  <c r="AB657" i="29" s="1"/>
  <c r="N657" i="29"/>
  <c r="M657" i="29"/>
  <c r="P657" i="29" s="1"/>
  <c r="Y654" i="29"/>
  <c r="X654" i="29"/>
  <c r="W654" i="29"/>
  <c r="P654" i="29"/>
  <c r="N654" i="29"/>
  <c r="O654" i="29" s="1"/>
  <c r="Q654" i="29" s="1"/>
  <c r="Y652" i="29"/>
  <c r="X652" i="29"/>
  <c r="W652" i="29"/>
  <c r="AB652" i="29" s="1"/>
  <c r="P652" i="29"/>
  <c r="N652" i="29"/>
  <c r="O652" i="29" s="1"/>
  <c r="Q652" i="29" s="1"/>
  <c r="Y651" i="29"/>
  <c r="X651" i="29"/>
  <c r="W651" i="29"/>
  <c r="AB651" i="29" s="1"/>
  <c r="P651" i="29"/>
  <c r="N651" i="29"/>
  <c r="O651" i="29" s="1"/>
  <c r="Q651" i="29" s="1"/>
  <c r="Y650" i="29"/>
  <c r="X650" i="29"/>
  <c r="AG650" i="29" s="1"/>
  <c r="AH650" i="29" s="1"/>
  <c r="W650" i="29"/>
  <c r="P650" i="29"/>
  <c r="N650" i="29"/>
  <c r="O650" i="29" s="1"/>
  <c r="Q650" i="29" s="1"/>
  <c r="Y649" i="29"/>
  <c r="X649" i="29"/>
  <c r="W649" i="29"/>
  <c r="P649" i="29"/>
  <c r="N649" i="29"/>
  <c r="O649" i="29" s="1"/>
  <c r="Q649" i="29" s="1"/>
  <c r="X644" i="29"/>
  <c r="W644" i="29"/>
  <c r="AB644" i="29" s="1"/>
  <c r="N644" i="29"/>
  <c r="M644" i="29"/>
  <c r="X643" i="29"/>
  <c r="W643" i="29"/>
  <c r="AB643" i="29" s="1"/>
  <c r="N643" i="29"/>
  <c r="M643" i="29"/>
  <c r="Y643" i="29" s="1"/>
  <c r="X642" i="29"/>
  <c r="W642" i="29"/>
  <c r="N642" i="29"/>
  <c r="M642" i="29"/>
  <c r="X641" i="29"/>
  <c r="W641" i="29"/>
  <c r="AB641" i="29" s="1"/>
  <c r="N641" i="29"/>
  <c r="M641" i="29"/>
  <c r="X640" i="29"/>
  <c r="W640" i="29"/>
  <c r="AB640" i="29" s="1"/>
  <c r="N640" i="29"/>
  <c r="M640" i="29"/>
  <c r="P640" i="29" s="1"/>
  <c r="X639" i="29"/>
  <c r="W639" i="29"/>
  <c r="AB639" i="29" s="1"/>
  <c r="N639" i="29"/>
  <c r="M639" i="29"/>
  <c r="Y639" i="29" s="1"/>
  <c r="X638" i="29"/>
  <c r="W638" i="29"/>
  <c r="AB638" i="29" s="1"/>
  <c r="N638" i="29"/>
  <c r="M638" i="29"/>
  <c r="X637" i="29"/>
  <c r="W637" i="29"/>
  <c r="AB637" i="29" s="1"/>
  <c r="N637" i="29"/>
  <c r="M637" i="29"/>
  <c r="P637" i="29" s="1"/>
  <c r="X636" i="29"/>
  <c r="W636" i="29"/>
  <c r="AB636" i="29" s="1"/>
  <c r="N636" i="29"/>
  <c r="M636" i="29"/>
  <c r="X635" i="29"/>
  <c r="W635" i="29"/>
  <c r="AB635" i="29" s="1"/>
  <c r="N635" i="29"/>
  <c r="M635" i="29"/>
  <c r="X634" i="29"/>
  <c r="W634" i="29"/>
  <c r="AB634" i="29" s="1"/>
  <c r="N634" i="29"/>
  <c r="M634" i="29"/>
  <c r="X633" i="29"/>
  <c r="W633" i="29"/>
  <c r="N633" i="29"/>
  <c r="M633" i="29"/>
  <c r="Y633" i="29" s="1"/>
  <c r="X632" i="29"/>
  <c r="W632" i="29"/>
  <c r="AB632" i="29" s="1"/>
  <c r="N632" i="29"/>
  <c r="M632" i="29"/>
  <c r="X631" i="29"/>
  <c r="W631" i="29"/>
  <c r="N631" i="29"/>
  <c r="M631" i="29"/>
  <c r="P631" i="29" s="1"/>
  <c r="X630" i="29"/>
  <c r="W630" i="29"/>
  <c r="AB630" i="29" s="1"/>
  <c r="N630" i="29"/>
  <c r="M630" i="29"/>
  <c r="Y630" i="29" s="1"/>
  <c r="X629" i="29"/>
  <c r="W629" i="29"/>
  <c r="AB629" i="29" s="1"/>
  <c r="N629" i="29"/>
  <c r="M629" i="29"/>
  <c r="X628" i="29"/>
  <c r="W628" i="29"/>
  <c r="AB628" i="29" s="1"/>
  <c r="N628" i="29"/>
  <c r="M628" i="29"/>
  <c r="P628" i="29" s="1"/>
  <c r="X627" i="29"/>
  <c r="W627" i="29"/>
  <c r="AB627" i="29" s="1"/>
  <c r="N627" i="29"/>
  <c r="M627" i="29"/>
  <c r="Y627" i="29" s="1"/>
  <c r="Y622" i="29"/>
  <c r="X622" i="29"/>
  <c r="W622" i="29"/>
  <c r="P622" i="29"/>
  <c r="N622" i="29"/>
  <c r="O622" i="29" s="1"/>
  <c r="Q622" i="29" s="1"/>
  <c r="Y621" i="29"/>
  <c r="X621" i="29"/>
  <c r="W621" i="29"/>
  <c r="AB621" i="29" s="1"/>
  <c r="P621" i="29"/>
  <c r="N621" i="29"/>
  <c r="O621" i="29" s="1"/>
  <c r="Q621" i="29" s="1"/>
  <c r="X620" i="29"/>
  <c r="W620" i="29"/>
  <c r="AB620" i="29" s="1"/>
  <c r="N620" i="29"/>
  <c r="M620" i="29"/>
  <c r="Y620" i="29" s="1"/>
  <c r="Y617" i="29"/>
  <c r="X617" i="29"/>
  <c r="W617" i="29"/>
  <c r="AB617" i="29" s="1"/>
  <c r="P617" i="29"/>
  <c r="N617" i="29"/>
  <c r="O617" i="29" s="1"/>
  <c r="Q617" i="29" s="1"/>
  <c r="Y616" i="29"/>
  <c r="X616" i="29"/>
  <c r="W616" i="29"/>
  <c r="P616" i="29"/>
  <c r="N616" i="29"/>
  <c r="O616" i="29" s="1"/>
  <c r="Q616" i="29" s="1"/>
  <c r="Y615" i="29"/>
  <c r="X615" i="29"/>
  <c r="W615" i="29"/>
  <c r="P615" i="29"/>
  <c r="N615" i="29"/>
  <c r="O615" i="29" s="1"/>
  <c r="Q615" i="29" s="1"/>
  <c r="Y614" i="29"/>
  <c r="X614" i="29"/>
  <c r="W614" i="29"/>
  <c r="AB614" i="29" s="1"/>
  <c r="P614" i="29"/>
  <c r="N614" i="29"/>
  <c r="O614" i="29" s="1"/>
  <c r="Q614" i="29" s="1"/>
  <c r="Y611" i="29"/>
  <c r="X611" i="29"/>
  <c r="W611" i="29"/>
  <c r="AB611" i="29" s="1"/>
  <c r="P611" i="29"/>
  <c r="N611" i="29"/>
  <c r="O611" i="29" s="1"/>
  <c r="Q611" i="29" s="1"/>
  <c r="Y610" i="29"/>
  <c r="X610" i="29"/>
  <c r="W610" i="29"/>
  <c r="P610" i="29"/>
  <c r="N610" i="29"/>
  <c r="O610" i="29" s="1"/>
  <c r="Q610" i="29" s="1"/>
  <c r="X609" i="29"/>
  <c r="W609" i="29"/>
  <c r="AB609" i="29" s="1"/>
  <c r="N609" i="29"/>
  <c r="M609" i="29"/>
  <c r="P609" i="29" s="1"/>
  <c r="X608" i="29"/>
  <c r="W608" i="29"/>
  <c r="AB608" i="29" s="1"/>
  <c r="N608" i="29"/>
  <c r="M608" i="29"/>
  <c r="X607" i="29"/>
  <c r="W607" i="29"/>
  <c r="AB607" i="29" s="1"/>
  <c r="N607" i="29"/>
  <c r="M607" i="29"/>
  <c r="Y607" i="29" s="1"/>
  <c r="X606" i="29"/>
  <c r="W606" i="29"/>
  <c r="AB606" i="29" s="1"/>
  <c r="N606" i="29"/>
  <c r="M606" i="29"/>
  <c r="X605" i="29"/>
  <c r="W605" i="29"/>
  <c r="AB605" i="29" s="1"/>
  <c r="N605" i="29"/>
  <c r="M605" i="29"/>
  <c r="X604" i="29"/>
  <c r="W604" i="29"/>
  <c r="AB604" i="29" s="1"/>
  <c r="N604" i="29"/>
  <c r="M604" i="29"/>
  <c r="Y604" i="29" s="1"/>
  <c r="X603" i="29"/>
  <c r="W603" i="29"/>
  <c r="N603" i="29"/>
  <c r="M603" i="29"/>
  <c r="P603" i="29" s="1"/>
  <c r="X602" i="29"/>
  <c r="W602" i="29"/>
  <c r="AB602" i="29" s="1"/>
  <c r="N602" i="29"/>
  <c r="M602" i="29"/>
  <c r="X601" i="29"/>
  <c r="W601" i="29"/>
  <c r="AB601" i="29" s="1"/>
  <c r="N601" i="29"/>
  <c r="M601" i="29"/>
  <c r="P601" i="29" s="1"/>
  <c r="X600" i="29"/>
  <c r="W600" i="29"/>
  <c r="AB600" i="29" s="1"/>
  <c r="N600" i="29"/>
  <c r="M600" i="29"/>
  <c r="P600" i="29" s="1"/>
  <c r="X599" i="29"/>
  <c r="W599" i="29"/>
  <c r="AB599" i="29" s="1"/>
  <c r="N599" i="29"/>
  <c r="M599" i="29"/>
  <c r="Y598" i="29"/>
  <c r="X598" i="29"/>
  <c r="W598" i="29"/>
  <c r="P598" i="29"/>
  <c r="N598" i="29"/>
  <c r="O598" i="29" s="1"/>
  <c r="Q598" i="29" s="1"/>
  <c r="Y597" i="29"/>
  <c r="X597" i="29"/>
  <c r="W597" i="29"/>
  <c r="P597" i="29"/>
  <c r="N597" i="29"/>
  <c r="O597" i="29" s="1"/>
  <c r="Q597" i="29" s="1"/>
  <c r="Y596" i="29"/>
  <c r="X596" i="29"/>
  <c r="W596" i="29"/>
  <c r="P596" i="29"/>
  <c r="N596" i="29"/>
  <c r="O596" i="29" s="1"/>
  <c r="Q596" i="29" s="1"/>
  <c r="Y595" i="29"/>
  <c r="X595" i="29"/>
  <c r="W595" i="29"/>
  <c r="P595" i="29"/>
  <c r="N595" i="29"/>
  <c r="O595" i="29" s="1"/>
  <c r="Q595" i="29" s="1"/>
  <c r="Y594" i="29"/>
  <c r="X594" i="29"/>
  <c r="W594" i="29"/>
  <c r="P594" i="29"/>
  <c r="N594" i="29"/>
  <c r="O594" i="29" s="1"/>
  <c r="Q594" i="29" s="1"/>
  <c r="Y591" i="29"/>
  <c r="X591" i="29"/>
  <c r="W591" i="29"/>
  <c r="AB591" i="29" s="1"/>
  <c r="P591" i="29"/>
  <c r="N591" i="29"/>
  <c r="O591" i="29" s="1"/>
  <c r="Q591" i="29" s="1"/>
  <c r="Y590" i="29"/>
  <c r="X590" i="29"/>
  <c r="W590" i="29"/>
  <c r="AB590" i="29" s="1"/>
  <c r="P590" i="29"/>
  <c r="N590" i="29"/>
  <c r="O590" i="29" s="1"/>
  <c r="Q590" i="29" s="1"/>
  <c r="Y589" i="29"/>
  <c r="X589" i="29"/>
  <c r="W589" i="29"/>
  <c r="AB589" i="29" s="1"/>
  <c r="P589" i="29"/>
  <c r="N589" i="29"/>
  <c r="O589" i="29" s="1"/>
  <c r="Q589" i="29" s="1"/>
  <c r="X582" i="29"/>
  <c r="W582" i="29"/>
  <c r="N582" i="29"/>
  <c r="M582" i="29"/>
  <c r="Y582" i="29" s="1"/>
  <c r="Y579" i="29"/>
  <c r="X579" i="29"/>
  <c r="W579" i="29"/>
  <c r="AB579" i="29" s="1"/>
  <c r="P579" i="29"/>
  <c r="N579" i="29"/>
  <c r="O579" i="29" s="1"/>
  <c r="Q579" i="29" s="1"/>
  <c r="Y578" i="29"/>
  <c r="X578" i="29"/>
  <c r="W578" i="29"/>
  <c r="AB578" i="29" s="1"/>
  <c r="P578" i="29"/>
  <c r="N578" i="29"/>
  <c r="O578" i="29" s="1"/>
  <c r="Q578" i="29" s="1"/>
  <c r="Y577" i="29"/>
  <c r="X577" i="29"/>
  <c r="W577" i="29"/>
  <c r="P577" i="29"/>
  <c r="N577" i="29"/>
  <c r="O577" i="29" s="1"/>
  <c r="Q577" i="29" s="1"/>
  <c r="Y576" i="29"/>
  <c r="X576" i="29"/>
  <c r="W576" i="29"/>
  <c r="AB576" i="29" s="1"/>
  <c r="P576" i="29"/>
  <c r="N576" i="29"/>
  <c r="O576" i="29" s="1"/>
  <c r="Q576" i="29" s="1"/>
  <c r="Y575" i="29"/>
  <c r="X575" i="29"/>
  <c r="W575" i="29"/>
  <c r="P575" i="29"/>
  <c r="N575" i="29"/>
  <c r="O575" i="29" s="1"/>
  <c r="Q575" i="29" s="1"/>
  <c r="X572" i="29"/>
  <c r="W572" i="29"/>
  <c r="N572" i="29"/>
  <c r="M572" i="29"/>
  <c r="Y572" i="29" s="1"/>
  <c r="Y569" i="29"/>
  <c r="X569" i="29"/>
  <c r="W569" i="29"/>
  <c r="AB569" i="29" s="1"/>
  <c r="P569" i="29"/>
  <c r="N569" i="29"/>
  <c r="O569" i="29" s="1"/>
  <c r="Q569" i="29" s="1"/>
  <c r="Y568" i="29"/>
  <c r="X568" i="29"/>
  <c r="W568" i="29"/>
  <c r="AB568" i="29" s="1"/>
  <c r="P568" i="29"/>
  <c r="N568" i="29"/>
  <c r="O568" i="29" s="1"/>
  <c r="Q568" i="29" s="1"/>
  <c r="Y567" i="29"/>
  <c r="X567" i="29"/>
  <c r="W567" i="29"/>
  <c r="AB567" i="29" s="1"/>
  <c r="P567" i="29"/>
  <c r="N567" i="29"/>
  <c r="O567" i="29" s="1"/>
  <c r="Q567" i="29" s="1"/>
  <c r="Y566" i="29"/>
  <c r="X566" i="29"/>
  <c r="W566" i="29"/>
  <c r="AB566" i="29" s="1"/>
  <c r="P566" i="29"/>
  <c r="N566" i="29"/>
  <c r="O566" i="29" s="1"/>
  <c r="Q566" i="29" s="1"/>
  <c r="Y565" i="29"/>
  <c r="X565" i="29"/>
  <c r="W565" i="29"/>
  <c r="P565" i="29"/>
  <c r="N565" i="29"/>
  <c r="O565" i="29" s="1"/>
  <c r="Q565" i="29" s="1"/>
  <c r="X564" i="29"/>
  <c r="W564" i="29"/>
  <c r="AB564" i="29" s="1"/>
  <c r="N564" i="29"/>
  <c r="M564" i="29"/>
  <c r="P564" i="29" s="1"/>
  <c r="X560" i="29"/>
  <c r="W560" i="29"/>
  <c r="AB560" i="29" s="1"/>
  <c r="N560" i="29"/>
  <c r="M560" i="29"/>
  <c r="X559" i="29"/>
  <c r="W559" i="29"/>
  <c r="AB559" i="29" s="1"/>
  <c r="N559" i="29"/>
  <c r="M559" i="29"/>
  <c r="X558" i="29"/>
  <c r="W558" i="29"/>
  <c r="AB558" i="29" s="1"/>
  <c r="N558" i="29"/>
  <c r="M558" i="29"/>
  <c r="P558" i="29" s="1"/>
  <c r="X557" i="29"/>
  <c r="W557" i="29"/>
  <c r="AB557" i="29" s="1"/>
  <c r="N557" i="29"/>
  <c r="M557" i="29"/>
  <c r="Y557" i="29" s="1"/>
  <c r="X556" i="29"/>
  <c r="W556" i="29"/>
  <c r="AB556" i="29" s="1"/>
  <c r="N556" i="29"/>
  <c r="M556" i="29"/>
  <c r="Y556" i="29" s="1"/>
  <c r="Y552" i="29"/>
  <c r="X552" i="29"/>
  <c r="W552" i="29"/>
  <c r="P552" i="29"/>
  <c r="N552" i="29"/>
  <c r="O552" i="29" s="1"/>
  <c r="Q552" i="29" s="1"/>
  <c r="Y551" i="29"/>
  <c r="X551" i="29"/>
  <c r="W551" i="29"/>
  <c r="P551" i="29"/>
  <c r="N551" i="29"/>
  <c r="O551" i="29" s="1"/>
  <c r="Q551" i="29" s="1"/>
  <c r="Y550" i="29"/>
  <c r="X550" i="29"/>
  <c r="W550" i="29"/>
  <c r="AB550" i="29" s="1"/>
  <c r="P550" i="29"/>
  <c r="N550" i="29"/>
  <c r="O550" i="29" s="1"/>
  <c r="Q550" i="29" s="1"/>
  <c r="Y549" i="29"/>
  <c r="X549" i="29"/>
  <c r="W549" i="29"/>
  <c r="AB549" i="29" s="1"/>
  <c r="P549" i="29"/>
  <c r="N549" i="29"/>
  <c r="O549" i="29" s="1"/>
  <c r="Q549" i="29" s="1"/>
  <c r="X548" i="29"/>
  <c r="W548" i="29"/>
  <c r="AB548" i="29" s="1"/>
  <c r="N548" i="29"/>
  <c r="M548" i="29"/>
  <c r="Y548" i="29" s="1"/>
  <c r="X547" i="29"/>
  <c r="W547" i="29"/>
  <c r="AB547" i="29" s="1"/>
  <c r="N547" i="29"/>
  <c r="M547" i="29"/>
  <c r="P547" i="29" s="1"/>
  <c r="Y543" i="29"/>
  <c r="X543" i="29"/>
  <c r="W543" i="29"/>
  <c r="AB543" i="29" s="1"/>
  <c r="P543" i="29"/>
  <c r="N543" i="29"/>
  <c r="O543" i="29" s="1"/>
  <c r="Q543" i="29" s="1"/>
  <c r="Y542" i="29"/>
  <c r="X542" i="29"/>
  <c r="W542" i="29"/>
  <c r="AB542" i="29" s="1"/>
  <c r="P542" i="29"/>
  <c r="N542" i="29"/>
  <c r="O542" i="29" s="1"/>
  <c r="Q542" i="29" s="1"/>
  <c r="X538" i="29"/>
  <c r="W538" i="29"/>
  <c r="N538" i="29"/>
  <c r="M538" i="29"/>
  <c r="Y538" i="29" s="1"/>
  <c r="X537" i="29"/>
  <c r="W537" i="29"/>
  <c r="AB537" i="29" s="1"/>
  <c r="N537" i="29"/>
  <c r="M537" i="29"/>
  <c r="Y537" i="29" s="1"/>
  <c r="X534" i="29"/>
  <c r="W534" i="29"/>
  <c r="AB534" i="29" s="1"/>
  <c r="N534" i="29"/>
  <c r="M534" i="29"/>
  <c r="X533" i="29"/>
  <c r="W533" i="29"/>
  <c r="AB533" i="29" s="1"/>
  <c r="N533" i="29"/>
  <c r="M533" i="29"/>
  <c r="Y533" i="29" s="1"/>
  <c r="X532" i="29"/>
  <c r="W532" i="29"/>
  <c r="AB532" i="29" s="1"/>
  <c r="N532" i="29"/>
  <c r="M532" i="29"/>
  <c r="Y532" i="29" s="1"/>
  <c r="X531" i="29"/>
  <c r="W531" i="29"/>
  <c r="AB531" i="29" s="1"/>
  <c r="N531" i="29"/>
  <c r="M531" i="29"/>
  <c r="X530" i="29"/>
  <c r="W530" i="29"/>
  <c r="AB530" i="29" s="1"/>
  <c r="N530" i="29"/>
  <c r="M530" i="29"/>
  <c r="Y530" i="29" s="1"/>
  <c r="X529" i="29"/>
  <c r="W529" i="29"/>
  <c r="N529" i="29"/>
  <c r="M529" i="29"/>
  <c r="Y529" i="29" s="1"/>
  <c r="X528" i="29"/>
  <c r="W528" i="29"/>
  <c r="AB528" i="29" s="1"/>
  <c r="N528" i="29"/>
  <c r="M528" i="29"/>
  <c r="X527" i="29"/>
  <c r="W527" i="29"/>
  <c r="AB527" i="29" s="1"/>
  <c r="N527" i="29"/>
  <c r="M527" i="29"/>
  <c r="Y527" i="29" s="1"/>
  <c r="X526" i="29"/>
  <c r="W526" i="29"/>
  <c r="AB526" i="29" s="1"/>
  <c r="N526" i="29"/>
  <c r="M526" i="29"/>
  <c r="X525" i="29"/>
  <c r="W525" i="29"/>
  <c r="AB525" i="29" s="1"/>
  <c r="N525" i="29"/>
  <c r="M525" i="29"/>
  <c r="X524" i="29"/>
  <c r="W524" i="29"/>
  <c r="AB524" i="29" s="1"/>
  <c r="N524" i="29"/>
  <c r="M524" i="29"/>
  <c r="X523" i="29"/>
  <c r="W523" i="29"/>
  <c r="AB523" i="29" s="1"/>
  <c r="N523" i="29"/>
  <c r="M523" i="29"/>
  <c r="X520" i="29"/>
  <c r="W520" i="29"/>
  <c r="AB520" i="29" s="1"/>
  <c r="N520" i="29"/>
  <c r="M520" i="29"/>
  <c r="X519" i="29"/>
  <c r="W519" i="29"/>
  <c r="AB519" i="29" s="1"/>
  <c r="N519" i="29"/>
  <c r="M519" i="29"/>
  <c r="X518" i="29"/>
  <c r="W518" i="29"/>
  <c r="AB518" i="29" s="1"/>
  <c r="N518" i="29"/>
  <c r="M518" i="29"/>
  <c r="X517" i="29"/>
  <c r="W517" i="29"/>
  <c r="AB517" i="29" s="1"/>
  <c r="N517" i="29"/>
  <c r="M517" i="29"/>
  <c r="X516" i="29"/>
  <c r="W516" i="29"/>
  <c r="AB516" i="29" s="1"/>
  <c r="N516" i="29"/>
  <c r="M516" i="29"/>
  <c r="Y516" i="29" s="1"/>
  <c r="X515" i="29"/>
  <c r="W515" i="29"/>
  <c r="AB515" i="29" s="1"/>
  <c r="N515" i="29"/>
  <c r="M515" i="29"/>
  <c r="X514" i="29"/>
  <c r="W514" i="29"/>
  <c r="AB514" i="29" s="1"/>
  <c r="N514" i="29"/>
  <c r="M514" i="29"/>
  <c r="X513" i="29"/>
  <c r="W513" i="29"/>
  <c r="AB513" i="29" s="1"/>
  <c r="N513" i="29"/>
  <c r="M513" i="29"/>
  <c r="Y513" i="29" s="1"/>
  <c r="X512" i="29"/>
  <c r="W512" i="29"/>
  <c r="AB512" i="29" s="1"/>
  <c r="N512" i="29"/>
  <c r="M512" i="29"/>
  <c r="X511" i="29"/>
  <c r="W511" i="29"/>
  <c r="AB511" i="29" s="1"/>
  <c r="N511" i="29"/>
  <c r="M511" i="29"/>
  <c r="P511" i="29" s="1"/>
  <c r="X510" i="29"/>
  <c r="W510" i="29"/>
  <c r="AB510" i="29" s="1"/>
  <c r="N510" i="29"/>
  <c r="M510" i="29"/>
  <c r="Y510" i="29" s="1"/>
  <c r="X509" i="29"/>
  <c r="W509" i="29"/>
  <c r="AB509" i="29" s="1"/>
  <c r="N509" i="29"/>
  <c r="M509" i="29"/>
  <c r="X508" i="29"/>
  <c r="W508" i="29"/>
  <c r="AB508" i="29" s="1"/>
  <c r="N508" i="29"/>
  <c r="M508" i="29"/>
  <c r="P508" i="29" s="1"/>
  <c r="X507" i="29"/>
  <c r="W507" i="29"/>
  <c r="N507" i="29"/>
  <c r="M507" i="29"/>
  <c r="Y507" i="29" s="1"/>
  <c r="X506" i="29"/>
  <c r="W506" i="29"/>
  <c r="AB506" i="29" s="1"/>
  <c r="N506" i="29"/>
  <c r="M506" i="29"/>
  <c r="X502" i="29"/>
  <c r="W502" i="29"/>
  <c r="N502" i="29"/>
  <c r="M502" i="29"/>
  <c r="Y502" i="29" s="1"/>
  <c r="X501" i="29"/>
  <c r="W501" i="29"/>
  <c r="AB501" i="29" s="1"/>
  <c r="N501" i="29"/>
  <c r="M501" i="29"/>
  <c r="Y501" i="29" s="1"/>
  <c r="X500" i="29"/>
  <c r="W500" i="29"/>
  <c r="AB500" i="29" s="1"/>
  <c r="N500" i="29"/>
  <c r="M500" i="29"/>
  <c r="X497" i="29"/>
  <c r="W497" i="29"/>
  <c r="AB497" i="29" s="1"/>
  <c r="N497" i="29"/>
  <c r="M497" i="29"/>
  <c r="Y497" i="29" s="1"/>
  <c r="X496" i="29"/>
  <c r="W496" i="29"/>
  <c r="N496" i="29"/>
  <c r="M496" i="29"/>
  <c r="Y496" i="29" s="1"/>
  <c r="X495" i="29"/>
  <c r="W495" i="29"/>
  <c r="AB495" i="29" s="1"/>
  <c r="N495" i="29"/>
  <c r="M495" i="29"/>
  <c r="P495" i="29" s="1"/>
  <c r="X494" i="29"/>
  <c r="W494" i="29"/>
  <c r="AB494" i="29" s="1"/>
  <c r="N494" i="29"/>
  <c r="M494" i="29"/>
  <c r="P494" i="29" s="1"/>
  <c r="X493" i="29"/>
  <c r="W493" i="29"/>
  <c r="AB493" i="29" s="1"/>
  <c r="N493" i="29"/>
  <c r="M493" i="29"/>
  <c r="Y493" i="29" s="1"/>
  <c r="X492" i="29"/>
  <c r="W492" i="29"/>
  <c r="AB492" i="29" s="1"/>
  <c r="N492" i="29"/>
  <c r="M492" i="29"/>
  <c r="P492" i="29" s="1"/>
  <c r="X491" i="29"/>
  <c r="W491" i="29"/>
  <c r="AB491" i="29" s="1"/>
  <c r="N491" i="29"/>
  <c r="M491" i="29"/>
  <c r="Y491" i="29" s="1"/>
  <c r="X490" i="29"/>
  <c r="W490" i="29"/>
  <c r="AB490" i="29" s="1"/>
  <c r="N490" i="29"/>
  <c r="M490" i="29"/>
  <c r="Y490" i="29" s="1"/>
  <c r="X489" i="29"/>
  <c r="W489" i="29"/>
  <c r="AB489" i="29" s="1"/>
  <c r="N489" i="29"/>
  <c r="M489" i="29"/>
  <c r="Y489" i="29" s="1"/>
  <c r="X488" i="29"/>
  <c r="W488" i="29"/>
  <c r="AB488" i="29" s="1"/>
  <c r="N488" i="29"/>
  <c r="M488" i="29"/>
  <c r="Y488" i="29" s="1"/>
  <c r="X487" i="29"/>
  <c r="W487" i="29"/>
  <c r="AB487" i="29" s="1"/>
  <c r="N487" i="29"/>
  <c r="M487" i="29"/>
  <c r="Y487" i="29" s="1"/>
  <c r="X483" i="29"/>
  <c r="W483" i="29"/>
  <c r="AB483" i="29" s="1"/>
  <c r="N483" i="29"/>
  <c r="M483" i="29"/>
  <c r="Y483" i="29" s="1"/>
  <c r="X480" i="29"/>
  <c r="W480" i="29"/>
  <c r="AB480" i="29" s="1"/>
  <c r="N480" i="29"/>
  <c r="M480" i="29"/>
  <c r="P480" i="29" s="1"/>
  <c r="X479" i="29"/>
  <c r="W479" i="29"/>
  <c r="AB479" i="29" s="1"/>
  <c r="N479" i="29"/>
  <c r="M479" i="29"/>
  <c r="Y479" i="29" s="1"/>
  <c r="X478" i="29"/>
  <c r="W478" i="29"/>
  <c r="AB478" i="29" s="1"/>
  <c r="N478" i="29"/>
  <c r="M478" i="29"/>
  <c r="Y478" i="29" s="1"/>
  <c r="X477" i="29"/>
  <c r="W477" i="29"/>
  <c r="N477" i="29"/>
  <c r="M477" i="29"/>
  <c r="P477" i="29" s="1"/>
  <c r="X476" i="29"/>
  <c r="W476" i="29"/>
  <c r="AB476" i="29" s="1"/>
  <c r="N476" i="29"/>
  <c r="M476" i="29"/>
  <c r="Y476" i="29" s="1"/>
  <c r="X475" i="29"/>
  <c r="W475" i="29"/>
  <c r="N475" i="29"/>
  <c r="M475" i="29"/>
  <c r="P475" i="29" s="1"/>
  <c r="X474" i="29"/>
  <c r="W474" i="29"/>
  <c r="N474" i="29"/>
  <c r="M474" i="29"/>
  <c r="X473" i="29"/>
  <c r="W473" i="29"/>
  <c r="AB473" i="29" s="1"/>
  <c r="N473" i="29"/>
  <c r="M473" i="29"/>
  <c r="Y473" i="29" s="1"/>
  <c r="X472" i="29"/>
  <c r="W472" i="29"/>
  <c r="AB472" i="29" s="1"/>
  <c r="N472" i="29"/>
  <c r="M472" i="29"/>
  <c r="Y472" i="29" s="1"/>
  <c r="X471" i="29"/>
  <c r="W471" i="29"/>
  <c r="N471" i="29"/>
  <c r="M471" i="29"/>
  <c r="Y471" i="29" s="1"/>
  <c r="X470" i="29"/>
  <c r="W470" i="29"/>
  <c r="AB470" i="29" s="1"/>
  <c r="N470" i="29"/>
  <c r="M470" i="29"/>
  <c r="Y470" i="29" s="1"/>
  <c r="X469" i="29"/>
  <c r="W469" i="29"/>
  <c r="AB469" i="29" s="1"/>
  <c r="N469" i="29"/>
  <c r="M469" i="29"/>
  <c r="Y469" i="29" s="1"/>
  <c r="X468" i="29"/>
  <c r="W468" i="29"/>
  <c r="AB468" i="29" s="1"/>
  <c r="N468" i="29"/>
  <c r="M468" i="29"/>
  <c r="Y468" i="29" s="1"/>
  <c r="X467" i="29"/>
  <c r="W467" i="29"/>
  <c r="AB467" i="29" s="1"/>
  <c r="N467" i="29"/>
  <c r="M467" i="29"/>
  <c r="Y467" i="29" s="1"/>
  <c r="X466" i="29"/>
  <c r="W466" i="29"/>
  <c r="AB466" i="29" s="1"/>
  <c r="N466" i="29"/>
  <c r="M466" i="29"/>
  <c r="P466" i="29" s="1"/>
  <c r="X465" i="29"/>
  <c r="W465" i="29"/>
  <c r="AB465" i="29" s="1"/>
  <c r="N465" i="29"/>
  <c r="M465" i="29"/>
  <c r="X464" i="29"/>
  <c r="W464" i="29"/>
  <c r="AB464" i="29" s="1"/>
  <c r="N464" i="29"/>
  <c r="M464" i="29"/>
  <c r="Y464" i="29" s="1"/>
  <c r="X463" i="29"/>
  <c r="W463" i="29"/>
  <c r="AB463" i="29" s="1"/>
  <c r="N463" i="29"/>
  <c r="M463" i="29"/>
  <c r="Y463" i="29" s="1"/>
  <c r="X462" i="29"/>
  <c r="W462" i="29"/>
  <c r="AB462" i="29" s="1"/>
  <c r="N462" i="29"/>
  <c r="M462" i="29"/>
  <c r="Y462" i="29" s="1"/>
  <c r="X461" i="29"/>
  <c r="W461" i="29"/>
  <c r="AB461" i="29" s="1"/>
  <c r="N461" i="29"/>
  <c r="M461" i="29"/>
  <c r="Y461" i="29" s="1"/>
  <c r="X460" i="29"/>
  <c r="W460" i="29"/>
  <c r="AB460" i="29" s="1"/>
  <c r="N460" i="29"/>
  <c r="M460" i="29"/>
  <c r="X459" i="29"/>
  <c r="W459" i="29"/>
  <c r="AB459" i="29" s="1"/>
  <c r="N459" i="29"/>
  <c r="M459" i="29"/>
  <c r="Y459" i="29" s="1"/>
  <c r="X458" i="29"/>
  <c r="W458" i="29"/>
  <c r="AB458" i="29" s="1"/>
  <c r="N458" i="29"/>
  <c r="M458" i="29"/>
  <c r="Y458" i="29" s="1"/>
  <c r="X457" i="29"/>
  <c r="W457" i="29"/>
  <c r="AB457" i="29" s="1"/>
  <c r="N457" i="29"/>
  <c r="M457" i="29"/>
  <c r="Y457" i="29" s="1"/>
  <c r="X456" i="29"/>
  <c r="W456" i="29"/>
  <c r="AB456" i="29" s="1"/>
  <c r="N456" i="29"/>
  <c r="M456" i="29"/>
  <c r="P456" i="29" s="1"/>
  <c r="X455" i="29"/>
  <c r="W455" i="29"/>
  <c r="AB455" i="29" s="1"/>
  <c r="N455" i="29"/>
  <c r="M455" i="29"/>
  <c r="Y455" i="29" s="1"/>
  <c r="X454" i="29"/>
  <c r="W454" i="29"/>
  <c r="AB454" i="29" s="1"/>
  <c r="N454" i="29"/>
  <c r="M454" i="29"/>
  <c r="Y454" i="29" s="1"/>
  <c r="X453" i="29"/>
  <c r="W453" i="29"/>
  <c r="AB453" i="29" s="1"/>
  <c r="N453" i="29"/>
  <c r="M453" i="29"/>
  <c r="P453" i="29" s="1"/>
  <c r="X452" i="29"/>
  <c r="W452" i="29"/>
  <c r="AB452" i="29" s="1"/>
  <c r="N452" i="29"/>
  <c r="M452" i="29"/>
  <c r="Y452" i="29" s="1"/>
  <c r="X451" i="29"/>
  <c r="W451" i="29"/>
  <c r="AB451" i="29" s="1"/>
  <c r="N451" i="29"/>
  <c r="M451" i="29"/>
  <c r="Y451" i="29" s="1"/>
  <c r="X450" i="29"/>
  <c r="W450" i="29"/>
  <c r="AB450" i="29" s="1"/>
  <c r="N450" i="29"/>
  <c r="M450" i="29"/>
  <c r="P450" i="29" s="1"/>
  <c r="X449" i="29"/>
  <c r="W449" i="29"/>
  <c r="AB449" i="29" s="1"/>
  <c r="N449" i="29"/>
  <c r="M449" i="29"/>
  <c r="Y449" i="29" s="1"/>
  <c r="X448" i="29"/>
  <c r="W448" i="29"/>
  <c r="AB448" i="29" s="1"/>
  <c r="N448" i="29"/>
  <c r="M448" i="29"/>
  <c r="Y448" i="29" s="1"/>
  <c r="X447" i="29"/>
  <c r="W447" i="29"/>
  <c r="AB447" i="29" s="1"/>
  <c r="N447" i="29"/>
  <c r="M447" i="29"/>
  <c r="P447" i="29" s="1"/>
  <c r="X446" i="29"/>
  <c r="W446" i="29"/>
  <c r="AB446" i="29" s="1"/>
  <c r="N446" i="29"/>
  <c r="M446" i="29"/>
  <c r="Y446" i="29" s="1"/>
  <c r="X445" i="29"/>
  <c r="W445" i="29"/>
  <c r="N445" i="29"/>
  <c r="M445" i="29"/>
  <c r="Y445" i="29" s="1"/>
  <c r="X444" i="29"/>
  <c r="W444" i="29"/>
  <c r="AB444" i="29" s="1"/>
  <c r="N444" i="29"/>
  <c r="M444" i="29"/>
  <c r="P444" i="29" s="1"/>
  <c r="X443" i="29"/>
  <c r="W443" i="29"/>
  <c r="AB443" i="29" s="1"/>
  <c r="N443" i="29"/>
  <c r="M443" i="29"/>
  <c r="P443" i="29" s="1"/>
  <c r="X442" i="29"/>
  <c r="W442" i="29"/>
  <c r="N442" i="29"/>
  <c r="M442" i="29"/>
  <c r="Y442" i="29" s="1"/>
  <c r="X441" i="29"/>
  <c r="W441" i="29"/>
  <c r="AB441" i="29" s="1"/>
  <c r="N441" i="29"/>
  <c r="M441" i="29"/>
  <c r="Y441" i="29" s="1"/>
  <c r="X440" i="29"/>
  <c r="W440" i="29"/>
  <c r="AB440" i="29" s="1"/>
  <c r="N440" i="29"/>
  <c r="M440" i="29"/>
  <c r="X439" i="29"/>
  <c r="W439" i="29"/>
  <c r="N439" i="29"/>
  <c r="M439" i="29"/>
  <c r="Y439" i="29" s="1"/>
  <c r="Y438" i="29"/>
  <c r="X438" i="29"/>
  <c r="W438" i="29"/>
  <c r="P438" i="29"/>
  <c r="N438" i="29"/>
  <c r="O438" i="29" s="1"/>
  <c r="Q438" i="29" s="1"/>
  <c r="Y437" i="29"/>
  <c r="X437" i="29"/>
  <c r="W437" i="29"/>
  <c r="P437" i="29"/>
  <c r="N437" i="29"/>
  <c r="O437" i="29" s="1"/>
  <c r="Q437" i="29" s="1"/>
  <c r="X436" i="29"/>
  <c r="W436" i="29"/>
  <c r="AB436" i="29" s="1"/>
  <c r="N436" i="29"/>
  <c r="M436" i="29"/>
  <c r="Y436" i="29" s="1"/>
  <c r="X435" i="29"/>
  <c r="W435" i="29"/>
  <c r="AB435" i="29" s="1"/>
  <c r="N435" i="29"/>
  <c r="M435" i="29"/>
  <c r="P435" i="29" s="1"/>
  <c r="X434" i="29"/>
  <c r="W434" i="29"/>
  <c r="N434" i="29"/>
  <c r="M434" i="29"/>
  <c r="P434" i="29" s="1"/>
  <c r="X433" i="29"/>
  <c r="W433" i="29"/>
  <c r="AB433" i="29" s="1"/>
  <c r="N433" i="29"/>
  <c r="M433" i="29"/>
  <c r="Y433" i="29" s="1"/>
  <c r="X432" i="29"/>
  <c r="W432" i="29"/>
  <c r="AB432" i="29" s="1"/>
  <c r="N432" i="29"/>
  <c r="M432" i="29"/>
  <c r="P432" i="29" s="1"/>
  <c r="X431" i="29"/>
  <c r="W431" i="29"/>
  <c r="N431" i="29"/>
  <c r="M431" i="29"/>
  <c r="Y431" i="29" s="1"/>
  <c r="X430" i="29"/>
  <c r="W430" i="29"/>
  <c r="AB430" i="29" s="1"/>
  <c r="N430" i="29"/>
  <c r="M430" i="29"/>
  <c r="Y430" i="29" s="1"/>
  <c r="X429" i="29"/>
  <c r="W429" i="29"/>
  <c r="AB429" i="29" s="1"/>
  <c r="N429" i="29"/>
  <c r="P429" i="29"/>
  <c r="X428" i="29"/>
  <c r="W428" i="29"/>
  <c r="N428" i="29"/>
  <c r="M428" i="29"/>
  <c r="Y428" i="29" s="1"/>
  <c r="X427" i="29"/>
  <c r="W427" i="29"/>
  <c r="AB427" i="29" s="1"/>
  <c r="N427" i="29"/>
  <c r="M427" i="29"/>
  <c r="Y427" i="29" s="1"/>
  <c r="X426" i="29"/>
  <c r="W426" i="29"/>
  <c r="AB426" i="29" s="1"/>
  <c r="N426" i="29"/>
  <c r="M426" i="29"/>
  <c r="P426" i="29" s="1"/>
  <c r="Y425" i="29"/>
  <c r="X425" i="29"/>
  <c r="W425" i="29"/>
  <c r="P425" i="29"/>
  <c r="N425" i="29"/>
  <c r="O425" i="29" s="1"/>
  <c r="Q425" i="29" s="1"/>
  <c r="Y424" i="29"/>
  <c r="X424" i="29"/>
  <c r="W424" i="29"/>
  <c r="AB424" i="29" s="1"/>
  <c r="P424" i="29"/>
  <c r="N424" i="29"/>
  <c r="O424" i="29" s="1"/>
  <c r="Q424" i="29" s="1"/>
  <c r="Y423" i="29"/>
  <c r="X423" i="29"/>
  <c r="W423" i="29"/>
  <c r="AB423" i="29" s="1"/>
  <c r="P423" i="29"/>
  <c r="N423" i="29"/>
  <c r="O423" i="29" s="1"/>
  <c r="Q423" i="29" s="1"/>
  <c r="X422" i="29"/>
  <c r="W422" i="29"/>
  <c r="AB422" i="29" s="1"/>
  <c r="N422" i="29"/>
  <c r="M422" i="29"/>
  <c r="Y422" i="29" s="1"/>
  <c r="X421" i="29"/>
  <c r="W421" i="29"/>
  <c r="AB421" i="29" s="1"/>
  <c r="N421" i="29"/>
  <c r="M421" i="29"/>
  <c r="X420" i="29"/>
  <c r="W420" i="29"/>
  <c r="AB420" i="29" s="1"/>
  <c r="N420" i="29"/>
  <c r="M420" i="29"/>
  <c r="Y420" i="29" s="1"/>
  <c r="X419" i="29"/>
  <c r="W419" i="29"/>
  <c r="AB419" i="29" s="1"/>
  <c r="N419" i="29"/>
  <c r="M419" i="29"/>
  <c r="Y419" i="29" s="1"/>
  <c r="X404" i="29"/>
  <c r="W404" i="29"/>
  <c r="AB404" i="29" s="1"/>
  <c r="N404" i="29"/>
  <c r="X403" i="29"/>
  <c r="W403" i="29"/>
  <c r="AB403" i="29" s="1"/>
  <c r="N403" i="29"/>
  <c r="Y403" i="29"/>
  <c r="X396" i="29"/>
  <c r="W396" i="29"/>
  <c r="AB396" i="29" s="1"/>
  <c r="N396" i="29"/>
  <c r="M396" i="29"/>
  <c r="Y396" i="29" s="1"/>
  <c r="Y395" i="29"/>
  <c r="X395" i="29"/>
  <c r="W395" i="29"/>
  <c r="AB395" i="29" s="1"/>
  <c r="P395" i="29"/>
  <c r="N395" i="29"/>
  <c r="O395" i="29" s="1"/>
  <c r="Q395" i="29" s="1"/>
  <c r="Y394" i="29"/>
  <c r="X394" i="29"/>
  <c r="W394" i="29"/>
  <c r="P394" i="29"/>
  <c r="N394" i="29"/>
  <c r="O394" i="29" s="1"/>
  <c r="Q394" i="29" s="1"/>
  <c r="Y391" i="29"/>
  <c r="X391" i="29"/>
  <c r="W391" i="29"/>
  <c r="P391" i="29"/>
  <c r="N391" i="29"/>
  <c r="O391" i="29" s="1"/>
  <c r="Q391" i="29" s="1"/>
  <c r="X390" i="29"/>
  <c r="W390" i="29"/>
  <c r="AB390" i="29" s="1"/>
  <c r="N390" i="29"/>
  <c r="M390" i="29"/>
  <c r="P390" i="29" s="1"/>
  <c r="X389" i="29"/>
  <c r="W389" i="29"/>
  <c r="N389" i="29"/>
  <c r="M389" i="29"/>
  <c r="Y389" i="29" s="1"/>
  <c r="X388" i="29"/>
  <c r="W388" i="29"/>
  <c r="AB388" i="29" s="1"/>
  <c r="N388" i="29"/>
  <c r="M388" i="29"/>
  <c r="Y388" i="29" s="1"/>
  <c r="X387" i="29"/>
  <c r="W387" i="29"/>
  <c r="AB387" i="29" s="1"/>
  <c r="N387" i="29"/>
  <c r="M387" i="29"/>
  <c r="P387" i="29" s="1"/>
  <c r="X386" i="29"/>
  <c r="W386" i="29"/>
  <c r="N386" i="29"/>
  <c r="M386" i="29"/>
  <c r="Y386" i="29" s="1"/>
  <c r="X385" i="29"/>
  <c r="W385" i="29"/>
  <c r="AB385" i="29" s="1"/>
  <c r="N385" i="29"/>
  <c r="M385" i="29"/>
  <c r="Y385" i="29" s="1"/>
  <c r="X384" i="29"/>
  <c r="W384" i="29"/>
  <c r="AB384" i="29" s="1"/>
  <c r="N384" i="29"/>
  <c r="M384" i="29"/>
  <c r="P384" i="29" s="1"/>
  <c r="X383" i="29"/>
  <c r="W383" i="29"/>
  <c r="N383" i="29"/>
  <c r="M383" i="29"/>
  <c r="X382" i="29"/>
  <c r="W382" i="29"/>
  <c r="AB382" i="29" s="1"/>
  <c r="N382" i="29"/>
  <c r="M382" i="29"/>
  <c r="Y382" i="29" s="1"/>
  <c r="X381" i="29"/>
  <c r="W381" i="29"/>
  <c r="AB381" i="29" s="1"/>
  <c r="N381" i="29"/>
  <c r="M381" i="29"/>
  <c r="P381" i="29" s="1"/>
  <c r="X380" i="29"/>
  <c r="W380" i="29"/>
  <c r="N380" i="29"/>
  <c r="M380" i="29"/>
  <c r="Y380" i="29" s="1"/>
  <c r="X379" i="29"/>
  <c r="W379" i="29"/>
  <c r="AB379" i="29" s="1"/>
  <c r="N379" i="29"/>
  <c r="M379" i="29"/>
  <c r="Y379" i="29" s="1"/>
  <c r="X378" i="29"/>
  <c r="W378" i="29"/>
  <c r="AB378" i="29" s="1"/>
  <c r="N378" i="29"/>
  <c r="M378" i="29"/>
  <c r="P378" i="29" s="1"/>
  <c r="X377" i="29"/>
  <c r="W377" i="29"/>
  <c r="N377" i="29"/>
  <c r="M377" i="29"/>
  <c r="Y377" i="29" s="1"/>
  <c r="X376" i="29"/>
  <c r="W376" i="29"/>
  <c r="AB376" i="29" s="1"/>
  <c r="N376" i="29"/>
  <c r="M376" i="29"/>
  <c r="Y376" i="29" s="1"/>
  <c r="X375" i="29"/>
  <c r="W375" i="29"/>
  <c r="AB375" i="29" s="1"/>
  <c r="N375" i="29"/>
  <c r="M375" i="29"/>
  <c r="P375" i="29" s="1"/>
  <c r="X374" i="29"/>
  <c r="W374" i="29"/>
  <c r="N374" i="29"/>
  <c r="M374" i="29"/>
  <c r="X373" i="29"/>
  <c r="W373" i="29"/>
  <c r="AB373" i="29" s="1"/>
  <c r="N373" i="29"/>
  <c r="M373" i="29"/>
  <c r="Y373" i="29" s="1"/>
  <c r="X372" i="29"/>
  <c r="W372" i="29"/>
  <c r="AB372" i="29" s="1"/>
  <c r="N372" i="29"/>
  <c r="M372" i="29"/>
  <c r="Y372" i="29" s="1"/>
  <c r="X371" i="29"/>
  <c r="W371" i="29"/>
  <c r="N371" i="29"/>
  <c r="M371" i="29"/>
  <c r="Y371" i="29" s="1"/>
  <c r="X370" i="29"/>
  <c r="W370" i="29"/>
  <c r="N370" i="29"/>
  <c r="M370" i="29"/>
  <c r="Y370" i="29" s="1"/>
  <c r="X369" i="29"/>
  <c r="W369" i="29"/>
  <c r="AB369" i="29" s="1"/>
  <c r="N369" i="29"/>
  <c r="M369" i="29"/>
  <c r="P369" i="29" s="1"/>
  <c r="X368" i="29"/>
  <c r="W368" i="29"/>
  <c r="N368" i="29"/>
  <c r="M368" i="29"/>
  <c r="X367" i="29"/>
  <c r="W367" i="29"/>
  <c r="N367" i="29"/>
  <c r="M367" i="29"/>
  <c r="Y367" i="29" s="1"/>
  <c r="X366" i="29"/>
  <c r="W366" i="29"/>
  <c r="AB366" i="29" s="1"/>
  <c r="N366" i="29"/>
  <c r="M366" i="29"/>
  <c r="X365" i="29"/>
  <c r="W365" i="29"/>
  <c r="N365" i="29"/>
  <c r="M365" i="29"/>
  <c r="Y365" i="29" s="1"/>
  <c r="X364" i="29"/>
  <c r="W364" i="29"/>
  <c r="N364" i="29"/>
  <c r="M364" i="29"/>
  <c r="Y364" i="29" s="1"/>
  <c r="X363" i="29"/>
  <c r="W363" i="29"/>
  <c r="AB363" i="29" s="1"/>
  <c r="N363" i="29"/>
  <c r="M363" i="29"/>
  <c r="X362" i="29"/>
  <c r="W362" i="29"/>
  <c r="N362" i="29"/>
  <c r="M362" i="29"/>
  <c r="Y362" i="29" s="1"/>
  <c r="X361" i="29"/>
  <c r="W361" i="29"/>
  <c r="N361" i="29"/>
  <c r="M361" i="29"/>
  <c r="P361" i="29" s="1"/>
  <c r="X360" i="29"/>
  <c r="W360" i="29"/>
  <c r="AB360" i="29" s="1"/>
  <c r="N360" i="29"/>
  <c r="M360" i="29"/>
  <c r="P360" i="29" s="1"/>
  <c r="X359" i="29"/>
  <c r="W359" i="29"/>
  <c r="N359" i="29"/>
  <c r="M359" i="29"/>
  <c r="Y359" i="29" s="1"/>
  <c r="X358" i="29"/>
  <c r="W358" i="29"/>
  <c r="N358" i="29"/>
  <c r="M358" i="29"/>
  <c r="Y358" i="29" s="1"/>
  <c r="X357" i="29"/>
  <c r="W357" i="29"/>
  <c r="AB357" i="29" s="1"/>
  <c r="N357" i="29"/>
  <c r="M357" i="29"/>
  <c r="P357" i="29" s="1"/>
  <c r="X356" i="29"/>
  <c r="W356" i="29"/>
  <c r="N356" i="29"/>
  <c r="M356" i="29"/>
  <c r="Y356" i="29" s="1"/>
  <c r="X355" i="29"/>
  <c r="W355" i="29"/>
  <c r="N355" i="29"/>
  <c r="M355" i="29"/>
  <c r="Y355" i="29" s="1"/>
  <c r="X354" i="29"/>
  <c r="W354" i="29"/>
  <c r="AB354" i="29" s="1"/>
  <c r="N354" i="29"/>
  <c r="M354" i="29"/>
  <c r="P354" i="29" s="1"/>
  <c r="X353" i="29"/>
  <c r="W353" i="29"/>
  <c r="N353" i="29"/>
  <c r="M353" i="29"/>
  <c r="X352" i="29"/>
  <c r="W352" i="29"/>
  <c r="N352" i="29"/>
  <c r="M352" i="29"/>
  <c r="Y352" i="29" s="1"/>
  <c r="X351" i="29"/>
  <c r="W351" i="29"/>
  <c r="AB351" i="29" s="1"/>
  <c r="N351" i="29"/>
  <c r="M351" i="29"/>
  <c r="X343" i="29"/>
  <c r="W343" i="29"/>
  <c r="N343" i="29"/>
  <c r="M343" i="29"/>
  <c r="Y343" i="29" s="1"/>
  <c r="X342" i="29"/>
  <c r="W342" i="29"/>
  <c r="N342" i="29"/>
  <c r="M342" i="29"/>
  <c r="Y342" i="29" s="1"/>
  <c r="X339" i="29"/>
  <c r="W339" i="29"/>
  <c r="AB339" i="29" s="1"/>
  <c r="N339" i="29"/>
  <c r="M339" i="29"/>
  <c r="P339" i="29" s="1"/>
  <c r="X338" i="29"/>
  <c r="W338" i="29"/>
  <c r="N338" i="29"/>
  <c r="M338" i="29"/>
  <c r="Y338" i="29" s="1"/>
  <c r="X337" i="29"/>
  <c r="W337" i="29"/>
  <c r="N337" i="29"/>
  <c r="M337" i="29"/>
  <c r="Y337" i="29" s="1"/>
  <c r="X336" i="29"/>
  <c r="W336" i="29"/>
  <c r="AB336" i="29" s="1"/>
  <c r="N336" i="29"/>
  <c r="M336" i="29"/>
  <c r="P336" i="29" s="1"/>
  <c r="X335" i="29"/>
  <c r="W335" i="29"/>
  <c r="N335" i="29"/>
  <c r="M335" i="29"/>
  <c r="Y335" i="29" s="1"/>
  <c r="X334" i="29"/>
  <c r="W334" i="29"/>
  <c r="N334" i="29"/>
  <c r="M334" i="29"/>
  <c r="Y334" i="29" s="1"/>
  <c r="X333" i="29"/>
  <c r="W333" i="29"/>
  <c r="AB333" i="29" s="1"/>
  <c r="N333" i="29"/>
  <c r="M333" i="29"/>
  <c r="P333" i="29" s="1"/>
  <c r="X332" i="29"/>
  <c r="W332" i="29"/>
  <c r="N332" i="29"/>
  <c r="M332" i="29"/>
  <c r="Y332" i="29" s="1"/>
  <c r="X329" i="29"/>
  <c r="W329" i="29"/>
  <c r="AB329" i="29" s="1"/>
  <c r="N329" i="29"/>
  <c r="M329" i="29"/>
  <c r="P329" i="29" s="1"/>
  <c r="X328" i="29"/>
  <c r="W328" i="29"/>
  <c r="N328" i="29"/>
  <c r="M328" i="29"/>
  <c r="P328" i="29" s="1"/>
  <c r="Y325" i="29"/>
  <c r="X325" i="29"/>
  <c r="W325" i="29"/>
  <c r="AB325" i="29" s="1"/>
  <c r="P325" i="29"/>
  <c r="N325" i="29"/>
  <c r="O325" i="29" s="1"/>
  <c r="Q325" i="29" s="1"/>
  <c r="Y324" i="29"/>
  <c r="X324" i="29"/>
  <c r="W324" i="29"/>
  <c r="AB324" i="29" s="1"/>
  <c r="P324" i="29"/>
  <c r="N324" i="29"/>
  <c r="O324" i="29" s="1"/>
  <c r="Q324" i="29" s="1"/>
  <c r="X323" i="29"/>
  <c r="W323" i="29"/>
  <c r="AB323" i="29" s="1"/>
  <c r="N323" i="29"/>
  <c r="M323" i="29"/>
  <c r="Y323" i="29" s="1"/>
  <c r="X322" i="29"/>
  <c r="W322" i="29"/>
  <c r="AB322" i="29" s="1"/>
  <c r="N322" i="29"/>
  <c r="M322" i="29"/>
  <c r="X321" i="29"/>
  <c r="W321" i="29"/>
  <c r="AB321" i="29" s="1"/>
  <c r="N321" i="29"/>
  <c r="M321" i="29"/>
  <c r="X320" i="29"/>
  <c r="W320" i="29"/>
  <c r="AB320" i="29" s="1"/>
  <c r="N320" i="29"/>
  <c r="M320" i="29"/>
  <c r="X319" i="29"/>
  <c r="W319" i="29"/>
  <c r="AB319" i="29" s="1"/>
  <c r="N319" i="29"/>
  <c r="M319" i="29"/>
  <c r="P319" i="29" s="1"/>
  <c r="X318" i="29"/>
  <c r="W318" i="29"/>
  <c r="AB318" i="29" s="1"/>
  <c r="N318" i="29"/>
  <c r="M318" i="29"/>
  <c r="Y318" i="29" s="1"/>
  <c r="X317" i="29"/>
  <c r="W317" i="29"/>
  <c r="AB317" i="29" s="1"/>
  <c r="N317" i="29"/>
  <c r="M317" i="29"/>
  <c r="Y317" i="29" s="1"/>
  <c r="X316" i="29"/>
  <c r="W316" i="29"/>
  <c r="AB316" i="29" s="1"/>
  <c r="N316" i="29"/>
  <c r="M316" i="29"/>
  <c r="P316" i="29" s="1"/>
  <c r="Y313" i="29"/>
  <c r="X313" i="29"/>
  <c r="W313" i="29"/>
  <c r="AB313" i="29" s="1"/>
  <c r="P313" i="29"/>
  <c r="N313" i="29"/>
  <c r="O313" i="29" s="1"/>
  <c r="Q313" i="29" s="1"/>
  <c r="Y312" i="29"/>
  <c r="X312" i="29"/>
  <c r="W312" i="29"/>
  <c r="P312" i="29"/>
  <c r="N312" i="29"/>
  <c r="O312" i="29" s="1"/>
  <c r="Q312" i="29" s="1"/>
  <c r="Y311" i="29"/>
  <c r="X311" i="29"/>
  <c r="W311" i="29"/>
  <c r="AB311" i="29" s="1"/>
  <c r="P311" i="29"/>
  <c r="N311" i="29"/>
  <c r="O311" i="29" s="1"/>
  <c r="Q311" i="29" s="1"/>
  <c r="Y310" i="29"/>
  <c r="X310" i="29"/>
  <c r="W310" i="29"/>
  <c r="AB310" i="29" s="1"/>
  <c r="P310" i="29"/>
  <c r="N310" i="29"/>
  <c r="O310" i="29" s="1"/>
  <c r="Q310" i="29" s="1"/>
  <c r="Y309" i="29"/>
  <c r="X309" i="29"/>
  <c r="W309" i="29"/>
  <c r="P309" i="29"/>
  <c r="N309" i="29"/>
  <c r="O309" i="29" s="1"/>
  <c r="Q309" i="29" s="1"/>
  <c r="Y308" i="29"/>
  <c r="X308" i="29"/>
  <c r="W308" i="29"/>
  <c r="AB308" i="29" s="1"/>
  <c r="P308" i="29"/>
  <c r="N308" i="29"/>
  <c r="O308" i="29" s="1"/>
  <c r="Q308" i="29" s="1"/>
  <c r="Y307" i="29"/>
  <c r="X307" i="29"/>
  <c r="W307" i="29"/>
  <c r="AB307" i="29" s="1"/>
  <c r="P307" i="29"/>
  <c r="N307" i="29"/>
  <c r="O307" i="29" s="1"/>
  <c r="Q307" i="29" s="1"/>
  <c r="Y306" i="29"/>
  <c r="X306" i="29"/>
  <c r="W306" i="29"/>
  <c r="P306" i="29"/>
  <c r="N306" i="29"/>
  <c r="O306" i="29" s="1"/>
  <c r="Q306" i="29" s="1"/>
  <c r="Y305" i="29"/>
  <c r="X305" i="29"/>
  <c r="W305" i="29"/>
  <c r="AB305" i="29" s="1"/>
  <c r="P305" i="29"/>
  <c r="N305" i="29"/>
  <c r="O305" i="29" s="1"/>
  <c r="Q305" i="29" s="1"/>
  <c r="P304" i="29"/>
  <c r="N304" i="29"/>
  <c r="O304" i="29" s="1"/>
  <c r="Q304" i="29" s="1"/>
  <c r="P303" i="29"/>
  <c r="N303" i="29"/>
  <c r="O303" i="29" s="1"/>
  <c r="Q303" i="29" s="1"/>
  <c r="AB302" i="29"/>
  <c r="P302" i="29"/>
  <c r="N302" i="29"/>
  <c r="O302" i="29" s="1"/>
  <c r="Q302" i="29" s="1"/>
  <c r="AB301" i="29"/>
  <c r="P301" i="29"/>
  <c r="N301" i="29"/>
  <c r="O301" i="29" s="1"/>
  <c r="Q301" i="29" s="1"/>
  <c r="P300" i="29"/>
  <c r="N300" i="29"/>
  <c r="O300" i="29" s="1"/>
  <c r="Q300" i="29" s="1"/>
  <c r="AB299" i="29"/>
  <c r="P299" i="29"/>
  <c r="N299" i="29"/>
  <c r="O299" i="29" s="1"/>
  <c r="Q299" i="29" s="1"/>
  <c r="Y296" i="29"/>
  <c r="X296" i="29"/>
  <c r="W296" i="29"/>
  <c r="AB296" i="29" s="1"/>
  <c r="P296" i="29"/>
  <c r="N296" i="29"/>
  <c r="O296" i="29" s="1"/>
  <c r="Q296" i="29" s="1"/>
  <c r="Y295" i="29"/>
  <c r="X295" i="29"/>
  <c r="W295" i="29"/>
  <c r="P295" i="29"/>
  <c r="N295" i="29"/>
  <c r="O295" i="29" s="1"/>
  <c r="Q295" i="29" s="1"/>
  <c r="Y294" i="29"/>
  <c r="X294" i="29"/>
  <c r="W294" i="29"/>
  <c r="AB294" i="29" s="1"/>
  <c r="P294" i="29"/>
  <c r="N294" i="29"/>
  <c r="O294" i="29" s="1"/>
  <c r="Q294" i="29" s="1"/>
  <c r="Y293" i="29"/>
  <c r="X293" i="29"/>
  <c r="W293" i="29"/>
  <c r="AB293" i="29" s="1"/>
  <c r="P293" i="29"/>
  <c r="N293" i="29"/>
  <c r="O293" i="29" s="1"/>
  <c r="Q293" i="29" s="1"/>
  <c r="Y292" i="29"/>
  <c r="X292" i="29"/>
  <c r="W292" i="29"/>
  <c r="P292" i="29"/>
  <c r="N292" i="29"/>
  <c r="O292" i="29" s="1"/>
  <c r="Q292" i="29" s="1"/>
  <c r="Y291" i="29"/>
  <c r="X291" i="29"/>
  <c r="W291" i="29"/>
  <c r="AB291" i="29" s="1"/>
  <c r="P291" i="29"/>
  <c r="N291" i="29"/>
  <c r="O291" i="29" s="1"/>
  <c r="Q291" i="29" s="1"/>
  <c r="Y290" i="29"/>
  <c r="X290" i="29"/>
  <c r="W290" i="29"/>
  <c r="P290" i="29"/>
  <c r="N290" i="29"/>
  <c r="O290" i="29" s="1"/>
  <c r="Q290" i="29" s="1"/>
  <c r="Y289" i="29"/>
  <c r="X289" i="29"/>
  <c r="W289" i="29"/>
  <c r="P289" i="29"/>
  <c r="N289" i="29"/>
  <c r="O289" i="29" s="1"/>
  <c r="Q289" i="29" s="1"/>
  <c r="Y288" i="29"/>
  <c r="X288" i="29"/>
  <c r="W288" i="29"/>
  <c r="P288" i="29"/>
  <c r="N288" i="29"/>
  <c r="O288" i="29" s="1"/>
  <c r="Q288" i="29" s="1"/>
  <c r="X281" i="29"/>
  <c r="W281" i="29"/>
  <c r="AB281" i="29" s="1"/>
  <c r="N281" i="29"/>
  <c r="M281" i="29"/>
  <c r="Y281" i="29" s="1"/>
  <c r="X280" i="29"/>
  <c r="W280" i="29"/>
  <c r="AB280" i="29" s="1"/>
  <c r="N280" i="29"/>
  <c r="M280" i="29"/>
  <c r="Y280" i="29" s="1"/>
  <c r="X279" i="29"/>
  <c r="W279" i="29"/>
  <c r="AB279" i="29" s="1"/>
  <c r="N279" i="29"/>
  <c r="M279" i="29"/>
  <c r="P279" i="29" s="1"/>
  <c r="X278" i="29"/>
  <c r="W278" i="29"/>
  <c r="AB278" i="29" s="1"/>
  <c r="N278" i="29"/>
  <c r="M278" i="29"/>
  <c r="X277" i="29"/>
  <c r="W277" i="29"/>
  <c r="AB277" i="29" s="1"/>
  <c r="N277" i="29"/>
  <c r="M277" i="29"/>
  <c r="Y277" i="29" s="1"/>
  <c r="X276" i="29"/>
  <c r="W276" i="29"/>
  <c r="N276" i="29"/>
  <c r="M276" i="29"/>
  <c r="P276" i="29" s="1"/>
  <c r="X275" i="29"/>
  <c r="W275" i="29"/>
  <c r="AB275" i="29" s="1"/>
  <c r="N275" i="29"/>
  <c r="M275" i="29"/>
  <c r="P275" i="29" s="1"/>
  <c r="X274" i="29"/>
  <c r="W274" i="29"/>
  <c r="AB274" i="29" s="1"/>
  <c r="N274" i="29"/>
  <c r="M274" i="29"/>
  <c r="Y274" i="29" s="1"/>
  <c r="X273" i="29"/>
  <c r="W273" i="29"/>
  <c r="N273" i="29"/>
  <c r="M273" i="29"/>
  <c r="P273" i="29" s="1"/>
  <c r="X272" i="29"/>
  <c r="W272" i="29"/>
  <c r="N272" i="29"/>
  <c r="M272" i="29"/>
  <c r="X271" i="29"/>
  <c r="W271" i="29"/>
  <c r="AB271" i="29" s="1"/>
  <c r="N271" i="29"/>
  <c r="M271" i="29"/>
  <c r="Y271" i="29" s="1"/>
  <c r="X270" i="29"/>
  <c r="W270" i="29"/>
  <c r="N270" i="29"/>
  <c r="M270" i="29"/>
  <c r="P270" i="29" s="1"/>
  <c r="X269" i="29"/>
  <c r="W269" i="29"/>
  <c r="AB269" i="29" s="1"/>
  <c r="N269" i="29"/>
  <c r="M269" i="29"/>
  <c r="Y269" i="29" s="1"/>
  <c r="X268" i="29"/>
  <c r="W268" i="29"/>
  <c r="AB268" i="29" s="1"/>
  <c r="N268" i="29"/>
  <c r="M268" i="29"/>
  <c r="X267" i="29"/>
  <c r="W267" i="29"/>
  <c r="N267" i="29"/>
  <c r="M267" i="29"/>
  <c r="Y267" i="29" s="1"/>
  <c r="X266" i="29"/>
  <c r="W266" i="29"/>
  <c r="AB266" i="29" s="1"/>
  <c r="N266" i="29"/>
  <c r="M266" i="29"/>
  <c r="P266" i="29" s="1"/>
  <c r="X265" i="29"/>
  <c r="W265" i="29"/>
  <c r="AB265" i="29" s="1"/>
  <c r="N265" i="29"/>
  <c r="M265" i="29"/>
  <c r="X264" i="29"/>
  <c r="W264" i="29"/>
  <c r="AB264" i="29" s="1"/>
  <c r="N264" i="29"/>
  <c r="M264" i="29"/>
  <c r="Y264" i="29" s="1"/>
  <c r="X263" i="29"/>
  <c r="W263" i="29"/>
  <c r="AB263" i="29" s="1"/>
  <c r="N263" i="29"/>
  <c r="M263" i="29"/>
  <c r="P263" i="29" s="1"/>
  <c r="X262" i="29"/>
  <c r="W262" i="29"/>
  <c r="AB262" i="29" s="1"/>
  <c r="N262" i="29"/>
  <c r="M262" i="29"/>
  <c r="X261" i="29"/>
  <c r="W261" i="29"/>
  <c r="N261" i="29"/>
  <c r="M261" i="29"/>
  <c r="Y261" i="29" s="1"/>
  <c r="Y260" i="29"/>
  <c r="X260" i="29"/>
  <c r="W260" i="29"/>
  <c r="AB260" i="29" s="1"/>
  <c r="P260" i="29"/>
  <c r="N260" i="29"/>
  <c r="O260" i="29" s="1"/>
  <c r="Q260" i="29" s="1"/>
  <c r="X259" i="29"/>
  <c r="W259" i="29"/>
  <c r="AB259" i="29" s="1"/>
  <c r="N259" i="29"/>
  <c r="M259" i="29"/>
  <c r="Y259" i="29" s="1"/>
  <c r="X258" i="29"/>
  <c r="W258" i="29"/>
  <c r="N258" i="29"/>
  <c r="M258" i="29"/>
  <c r="Y258" i="29" s="1"/>
  <c r="X257" i="29"/>
  <c r="W257" i="29"/>
  <c r="AB257" i="29" s="1"/>
  <c r="N257" i="29"/>
  <c r="M257" i="29"/>
  <c r="P257" i="29" s="1"/>
  <c r="X256" i="29"/>
  <c r="W256" i="29"/>
  <c r="AB256" i="29" s="1"/>
  <c r="N256" i="29"/>
  <c r="M256" i="29"/>
  <c r="Y256" i="29" s="1"/>
  <c r="X255" i="29"/>
  <c r="W255" i="29"/>
  <c r="AB255" i="29" s="1"/>
  <c r="N255" i="29"/>
  <c r="M255" i="29"/>
  <c r="Y255" i="29" s="1"/>
  <c r="X254" i="29"/>
  <c r="W254" i="29"/>
  <c r="AB254" i="29" s="1"/>
  <c r="N254" i="29"/>
  <c r="M254" i="29"/>
  <c r="P254" i="29" s="1"/>
  <c r="X253" i="29"/>
  <c r="W253" i="29"/>
  <c r="AB253" i="29" s="1"/>
  <c r="N253" i="29"/>
  <c r="M253" i="29"/>
  <c r="Y253" i="29" s="1"/>
  <c r="Y252" i="29"/>
  <c r="X252" i="29"/>
  <c r="W252" i="29"/>
  <c r="AB252" i="29" s="1"/>
  <c r="P252" i="29"/>
  <c r="N252" i="29"/>
  <c r="O252" i="29" s="1"/>
  <c r="Q252" i="29" s="1"/>
  <c r="X251" i="29"/>
  <c r="W251" i="29"/>
  <c r="N251" i="29"/>
  <c r="M251" i="29"/>
  <c r="Y251" i="29" s="1"/>
  <c r="X250" i="29"/>
  <c r="W250" i="29"/>
  <c r="AB250" i="29" s="1"/>
  <c r="N250" i="29"/>
  <c r="M250" i="29"/>
  <c r="Y250" i="29" s="1"/>
  <c r="X249" i="29"/>
  <c r="W249" i="29"/>
  <c r="AB249" i="29" s="1"/>
  <c r="N249" i="29"/>
  <c r="M249" i="29"/>
  <c r="Y249" i="29" s="1"/>
  <c r="X248" i="29"/>
  <c r="W248" i="29"/>
  <c r="N248" i="29"/>
  <c r="M248" i="29"/>
  <c r="Y248" i="29" s="1"/>
  <c r="X247" i="29"/>
  <c r="W247" i="29"/>
  <c r="AB247" i="29" s="1"/>
  <c r="N247" i="29"/>
  <c r="M247" i="29"/>
  <c r="Y247" i="29" s="1"/>
  <c r="X246" i="29"/>
  <c r="W246" i="29"/>
  <c r="AB246" i="29" s="1"/>
  <c r="N246" i="29"/>
  <c r="M246" i="29"/>
  <c r="P246" i="29" s="1"/>
  <c r="X245" i="29"/>
  <c r="W245" i="29"/>
  <c r="N245" i="29"/>
  <c r="M245" i="29"/>
  <c r="X244" i="29"/>
  <c r="W244" i="29"/>
  <c r="AB244" i="29" s="1"/>
  <c r="N244" i="29"/>
  <c r="M244" i="29"/>
  <c r="Y244" i="29" s="1"/>
  <c r="X243" i="29"/>
  <c r="W243" i="29"/>
  <c r="AB243" i="29" s="1"/>
  <c r="N243" i="29"/>
  <c r="M243" i="29"/>
  <c r="P243" i="29" s="1"/>
  <c r="X242" i="29"/>
  <c r="W242" i="29"/>
  <c r="N242" i="29"/>
  <c r="M242" i="29"/>
  <c r="Y242" i="29" s="1"/>
  <c r="X241" i="29"/>
  <c r="W241" i="29"/>
  <c r="AB241" i="29" s="1"/>
  <c r="N241" i="29"/>
  <c r="M241" i="29"/>
  <c r="Y241" i="29" s="1"/>
  <c r="X240" i="29"/>
  <c r="W240" i="29"/>
  <c r="AB240" i="29" s="1"/>
  <c r="N240" i="29"/>
  <c r="M240" i="29"/>
  <c r="P240" i="29" s="1"/>
  <c r="X239" i="29"/>
  <c r="W239" i="29"/>
  <c r="N239" i="29"/>
  <c r="M239" i="29"/>
  <c r="Y239" i="29" s="1"/>
  <c r="X238" i="29"/>
  <c r="W238" i="29"/>
  <c r="AB238" i="29" s="1"/>
  <c r="N238" i="29"/>
  <c r="M238" i="29"/>
  <c r="Y238" i="29" s="1"/>
  <c r="Y237" i="29"/>
  <c r="X237" i="29"/>
  <c r="W237" i="29"/>
  <c r="AB237" i="29" s="1"/>
  <c r="P237" i="29"/>
  <c r="N237" i="29"/>
  <c r="O237" i="29" s="1"/>
  <c r="Q237" i="29" s="1"/>
  <c r="X236" i="29"/>
  <c r="W236" i="29"/>
  <c r="AB236" i="29" s="1"/>
  <c r="N236" i="29"/>
  <c r="M236" i="29"/>
  <c r="Y236" i="29" s="1"/>
  <c r="X235" i="29"/>
  <c r="W235" i="29"/>
  <c r="N235" i="29"/>
  <c r="M235" i="29"/>
  <c r="Y227" i="29"/>
  <c r="X227" i="29"/>
  <c r="W227" i="29"/>
  <c r="AB227" i="29" s="1"/>
  <c r="P227" i="29"/>
  <c r="N227" i="29"/>
  <c r="O227" i="29" s="1"/>
  <c r="Q227" i="29" s="1"/>
  <c r="Y224" i="29"/>
  <c r="X224" i="29"/>
  <c r="W224" i="29"/>
  <c r="AB224" i="29" s="1"/>
  <c r="P224" i="29"/>
  <c r="N224" i="29"/>
  <c r="O224" i="29" s="1"/>
  <c r="Q224" i="29" s="1"/>
  <c r="Y223" i="29"/>
  <c r="X223" i="29"/>
  <c r="W223" i="29"/>
  <c r="P223" i="29"/>
  <c r="N223" i="29"/>
  <c r="O223" i="29" s="1"/>
  <c r="Q223" i="29" s="1"/>
  <c r="X222" i="29"/>
  <c r="W222" i="29"/>
  <c r="N222" i="29"/>
  <c r="M222" i="29"/>
  <c r="X221" i="29"/>
  <c r="W221" i="29"/>
  <c r="AB221" i="29" s="1"/>
  <c r="N221" i="29"/>
  <c r="M221" i="29"/>
  <c r="Y221" i="29" s="1"/>
  <c r="X220" i="29"/>
  <c r="W220" i="29"/>
  <c r="AB220" i="29" s="1"/>
  <c r="N220" i="29"/>
  <c r="M220" i="29"/>
  <c r="Y220" i="29" s="1"/>
  <c r="X219" i="29"/>
  <c r="W219" i="29"/>
  <c r="N219" i="29"/>
  <c r="M219" i="29"/>
  <c r="Y219" i="29" s="1"/>
  <c r="X218" i="29"/>
  <c r="W218" i="29"/>
  <c r="AB218" i="29" s="1"/>
  <c r="N218" i="29"/>
  <c r="M218" i="29"/>
  <c r="Y218" i="29" s="1"/>
  <c r="X217" i="29"/>
  <c r="W217" i="29"/>
  <c r="AB217" i="29" s="1"/>
  <c r="N217" i="29"/>
  <c r="M217" i="29"/>
  <c r="P217" i="29" s="1"/>
  <c r="X216" i="29"/>
  <c r="W216" i="29"/>
  <c r="N216" i="29"/>
  <c r="M216" i="29"/>
  <c r="Y216" i="29" s="1"/>
  <c r="X215" i="29"/>
  <c r="W215" i="29"/>
  <c r="AB215" i="29" s="1"/>
  <c r="N215" i="29"/>
  <c r="M215" i="29"/>
  <c r="Y215" i="29" s="1"/>
  <c r="X214" i="29"/>
  <c r="W214" i="29"/>
  <c r="N214" i="29"/>
  <c r="M214" i="29"/>
  <c r="P214" i="29" s="1"/>
  <c r="X213" i="29"/>
  <c r="W213" i="29"/>
  <c r="N213" i="29"/>
  <c r="M213" i="29"/>
  <c r="Y213" i="29" s="1"/>
  <c r="X212" i="29"/>
  <c r="W212" i="29"/>
  <c r="AB212" i="29" s="1"/>
  <c r="N212" i="29"/>
  <c r="M212" i="29"/>
  <c r="Y212" i="29" s="1"/>
  <c r="X211" i="29"/>
  <c r="W211" i="29"/>
  <c r="AB211" i="29" s="1"/>
  <c r="N211" i="29"/>
  <c r="M211" i="29"/>
  <c r="Y211" i="29" s="1"/>
  <c r="X210" i="29"/>
  <c r="W210" i="29"/>
  <c r="N210" i="29"/>
  <c r="M210" i="29"/>
  <c r="Y210" i="29" s="1"/>
  <c r="X209" i="29"/>
  <c r="W209" i="29"/>
  <c r="AB209" i="29" s="1"/>
  <c r="N209" i="29"/>
  <c r="M209" i="29"/>
  <c r="Y209" i="29" s="1"/>
  <c r="X208" i="29"/>
  <c r="W208" i="29"/>
  <c r="AB208" i="29" s="1"/>
  <c r="N208" i="29"/>
  <c r="M208" i="29"/>
  <c r="X207" i="29"/>
  <c r="W207" i="29"/>
  <c r="N207" i="29"/>
  <c r="M207" i="29"/>
  <c r="Y207" i="29" s="1"/>
  <c r="X206" i="29"/>
  <c r="W206" i="29"/>
  <c r="N206" i="29"/>
  <c r="M206" i="29"/>
  <c r="Y206" i="29" s="1"/>
  <c r="X205" i="29"/>
  <c r="W205" i="29"/>
  <c r="AB205" i="29" s="1"/>
  <c r="N205" i="29"/>
  <c r="M205" i="29"/>
  <c r="X201" i="29"/>
  <c r="W201" i="29"/>
  <c r="N201" i="29"/>
  <c r="M201" i="29"/>
  <c r="Y201" i="29" s="1"/>
  <c r="X200" i="29"/>
  <c r="W200" i="29"/>
  <c r="AB200" i="29" s="1"/>
  <c r="N200" i="29"/>
  <c r="M200" i="29"/>
  <c r="Y200" i="29" s="1"/>
  <c r="X199" i="29"/>
  <c r="W199" i="29"/>
  <c r="AB199" i="29" s="1"/>
  <c r="N199" i="29"/>
  <c r="M199" i="29"/>
  <c r="Y199" i="29" s="1"/>
  <c r="X198" i="29"/>
  <c r="W198" i="29"/>
  <c r="N198" i="29"/>
  <c r="M198" i="29"/>
  <c r="Y198" i="29" s="1"/>
  <c r="X197" i="29"/>
  <c r="W197" i="29"/>
  <c r="AB197" i="29" s="1"/>
  <c r="N197" i="29"/>
  <c r="M197" i="29"/>
  <c r="Y197" i="29" s="1"/>
  <c r="X196" i="29"/>
  <c r="W196" i="29"/>
  <c r="AB196" i="29" s="1"/>
  <c r="N196" i="29"/>
  <c r="M196" i="29"/>
  <c r="Y196" i="29" s="1"/>
  <c r="Y195" i="29"/>
  <c r="X195" i="29"/>
  <c r="W195" i="29"/>
  <c r="P195" i="29"/>
  <c r="N195" i="29"/>
  <c r="O195" i="29" s="1"/>
  <c r="Q195" i="29" s="1"/>
  <c r="X194" i="29"/>
  <c r="W194" i="29"/>
  <c r="N194" i="29"/>
  <c r="M194" i="29"/>
  <c r="X193" i="29"/>
  <c r="W193" i="29"/>
  <c r="N193" i="29"/>
  <c r="M193" i="29"/>
  <c r="Y193" i="29" s="1"/>
  <c r="X192" i="29"/>
  <c r="W192" i="29"/>
  <c r="AB192" i="29" s="1"/>
  <c r="N192" i="29"/>
  <c r="M192" i="29"/>
  <c r="Y192" i="29" s="1"/>
  <c r="X191" i="29"/>
  <c r="W191" i="29"/>
  <c r="AB191" i="29" s="1"/>
  <c r="N191" i="29"/>
  <c r="M191" i="29"/>
  <c r="P191" i="29" s="1"/>
  <c r="X190" i="29"/>
  <c r="W190" i="29"/>
  <c r="AB190" i="29" s="1"/>
  <c r="N190" i="29"/>
  <c r="M190" i="29"/>
  <c r="X189" i="29"/>
  <c r="W189" i="29"/>
  <c r="AB189" i="29" s="1"/>
  <c r="N189" i="29"/>
  <c r="M189" i="29"/>
  <c r="Y189" i="29" s="1"/>
  <c r="X188" i="29"/>
  <c r="W188" i="29"/>
  <c r="AB188" i="29" s="1"/>
  <c r="N188" i="29"/>
  <c r="M188" i="29"/>
  <c r="P188" i="29" s="1"/>
  <c r="X187" i="29"/>
  <c r="W187" i="29"/>
  <c r="AB187" i="29" s="1"/>
  <c r="N187" i="29"/>
  <c r="M187" i="29"/>
  <c r="Y187" i="29" s="1"/>
  <c r="X186" i="29"/>
  <c r="W186" i="29"/>
  <c r="N186" i="29"/>
  <c r="M186" i="29"/>
  <c r="X185" i="29"/>
  <c r="W185" i="29"/>
  <c r="AB185" i="29" s="1"/>
  <c r="N185" i="29"/>
  <c r="M185" i="29"/>
  <c r="X184" i="29"/>
  <c r="W184" i="29"/>
  <c r="AB184" i="29" s="1"/>
  <c r="N184" i="29"/>
  <c r="M184" i="29"/>
  <c r="P184" i="29" s="1"/>
  <c r="X183" i="29"/>
  <c r="W183" i="29"/>
  <c r="AB183" i="29" s="1"/>
  <c r="N183" i="29"/>
  <c r="M183" i="29"/>
  <c r="X182" i="29"/>
  <c r="W182" i="29"/>
  <c r="AB182" i="29" s="1"/>
  <c r="N182" i="29"/>
  <c r="M182" i="29"/>
  <c r="P182" i="29" s="1"/>
  <c r="X181" i="29"/>
  <c r="W181" i="29"/>
  <c r="AB181" i="29" s="1"/>
  <c r="N181" i="29"/>
  <c r="M181" i="29"/>
  <c r="X180" i="29"/>
  <c r="W180" i="29"/>
  <c r="AB180" i="29" s="1"/>
  <c r="N180" i="29"/>
  <c r="M180" i="29"/>
  <c r="X179" i="29"/>
  <c r="W179" i="29"/>
  <c r="AB179" i="29" s="1"/>
  <c r="N179" i="29"/>
  <c r="M179" i="29"/>
  <c r="P179" i="29" s="1"/>
  <c r="X178" i="29"/>
  <c r="W178" i="29"/>
  <c r="AB178" i="29" s="1"/>
  <c r="N178" i="29"/>
  <c r="M178" i="29"/>
  <c r="Y178" i="29" s="1"/>
  <c r="X177" i="29"/>
  <c r="W177" i="29"/>
  <c r="AB177" i="29" s="1"/>
  <c r="N177" i="29"/>
  <c r="M177" i="29"/>
  <c r="X176" i="29"/>
  <c r="W176" i="29"/>
  <c r="AB176" i="29" s="1"/>
  <c r="N176" i="29"/>
  <c r="M176" i="29"/>
  <c r="P176" i="29" s="1"/>
  <c r="X175" i="29"/>
  <c r="W175" i="29"/>
  <c r="AB175" i="29" s="1"/>
  <c r="N175" i="29"/>
  <c r="M175" i="29"/>
  <c r="X174" i="29"/>
  <c r="W174" i="29"/>
  <c r="AB174" i="29" s="1"/>
  <c r="N174" i="29"/>
  <c r="M174" i="29"/>
  <c r="X173" i="29"/>
  <c r="W173" i="29"/>
  <c r="AB173" i="29" s="1"/>
  <c r="N173" i="29"/>
  <c r="M173" i="29"/>
  <c r="P173" i="29" s="1"/>
  <c r="X172" i="29"/>
  <c r="W172" i="29"/>
  <c r="AB172" i="29" s="1"/>
  <c r="N172" i="29"/>
  <c r="M172" i="29"/>
  <c r="Y172" i="29" s="1"/>
  <c r="X171" i="29"/>
  <c r="W171" i="29"/>
  <c r="AB171" i="29" s="1"/>
  <c r="N171" i="29"/>
  <c r="M171" i="29"/>
  <c r="X170" i="29"/>
  <c r="W170" i="29"/>
  <c r="AB170" i="29" s="1"/>
  <c r="N170" i="29"/>
  <c r="M170" i="29"/>
  <c r="P170" i="29" s="1"/>
  <c r="X169" i="29"/>
  <c r="W169" i="29"/>
  <c r="AB169" i="29" s="1"/>
  <c r="N169" i="29"/>
  <c r="M169" i="29"/>
  <c r="Y169" i="29" s="1"/>
  <c r="X168" i="29"/>
  <c r="W168" i="29"/>
  <c r="AB168" i="29" s="1"/>
  <c r="N168" i="29"/>
  <c r="M168" i="29"/>
  <c r="X163" i="29"/>
  <c r="W163" i="29"/>
  <c r="AB163" i="29" s="1"/>
  <c r="N163" i="29"/>
  <c r="M163" i="29"/>
  <c r="P163" i="29" s="1"/>
  <c r="X162" i="29"/>
  <c r="W162" i="29"/>
  <c r="AB162" i="29" s="1"/>
  <c r="N162" i="29"/>
  <c r="M162" i="29"/>
  <c r="X161" i="29"/>
  <c r="W161" i="29"/>
  <c r="AB161" i="29" s="1"/>
  <c r="N161" i="29"/>
  <c r="M161" i="29"/>
  <c r="X160" i="29"/>
  <c r="W160" i="29"/>
  <c r="N160" i="29"/>
  <c r="M160" i="29"/>
  <c r="P160" i="29" s="1"/>
  <c r="X159" i="29"/>
  <c r="W159" i="29"/>
  <c r="AB159" i="29" s="1"/>
  <c r="N159" i="29"/>
  <c r="M159" i="29"/>
  <c r="Y159" i="29" s="1"/>
  <c r="X158" i="29"/>
  <c r="W158" i="29"/>
  <c r="AB158" i="29" s="1"/>
  <c r="N158" i="29"/>
  <c r="M158" i="29"/>
  <c r="X157" i="29"/>
  <c r="W157" i="29"/>
  <c r="AB157" i="29" s="1"/>
  <c r="N157" i="29"/>
  <c r="M157" i="29"/>
  <c r="P157" i="29" s="1"/>
  <c r="X156" i="29"/>
  <c r="W156" i="29"/>
  <c r="AB156" i="29" s="1"/>
  <c r="N156" i="29"/>
  <c r="M156" i="29"/>
  <c r="Y156" i="29" s="1"/>
  <c r="X155" i="29"/>
  <c r="W155" i="29"/>
  <c r="AB155" i="29" s="1"/>
  <c r="N155" i="29"/>
  <c r="M155" i="29"/>
  <c r="X154" i="29"/>
  <c r="W154" i="29"/>
  <c r="AB154" i="29" s="1"/>
  <c r="N154" i="29"/>
  <c r="M154" i="29"/>
  <c r="P154" i="29" s="1"/>
  <c r="X153" i="29"/>
  <c r="W153" i="29"/>
  <c r="AB153" i="29" s="1"/>
  <c r="N153" i="29"/>
  <c r="M153" i="29"/>
  <c r="Y153" i="29" s="1"/>
  <c r="X152" i="29"/>
  <c r="W152" i="29"/>
  <c r="AB152" i="29" s="1"/>
  <c r="N152" i="29"/>
  <c r="M152" i="29"/>
  <c r="X151" i="29"/>
  <c r="W151" i="29"/>
  <c r="AB151" i="29" s="1"/>
  <c r="N151" i="29"/>
  <c r="M151" i="29"/>
  <c r="P151" i="29" s="1"/>
  <c r="X150" i="29"/>
  <c r="W150" i="29"/>
  <c r="AB150" i="29" s="1"/>
  <c r="N150" i="29"/>
  <c r="M150" i="29"/>
  <c r="Y150" i="29" s="1"/>
  <c r="X149" i="29"/>
  <c r="W149" i="29"/>
  <c r="AB149" i="29" s="1"/>
  <c r="N149" i="29"/>
  <c r="M149" i="29"/>
  <c r="X148" i="29"/>
  <c r="W148" i="29"/>
  <c r="AB148" i="29" s="1"/>
  <c r="N148" i="29"/>
  <c r="M148" i="29"/>
  <c r="P148" i="29" s="1"/>
  <c r="X147" i="29"/>
  <c r="W147" i="29"/>
  <c r="AB147" i="29" s="1"/>
  <c r="N147" i="29"/>
  <c r="M147" i="29"/>
  <c r="X146" i="29"/>
  <c r="W146" i="29"/>
  <c r="AB146" i="29" s="1"/>
  <c r="N146" i="29"/>
  <c r="M146" i="29"/>
  <c r="X145" i="29"/>
  <c r="W145" i="29"/>
  <c r="N145" i="29"/>
  <c r="M145" i="29"/>
  <c r="P145" i="29" s="1"/>
  <c r="X144" i="29"/>
  <c r="W144" i="29"/>
  <c r="AB144" i="29" s="1"/>
  <c r="N144" i="29"/>
  <c r="M144" i="29"/>
  <c r="Y144" i="29" s="1"/>
  <c r="X143" i="29"/>
  <c r="W143" i="29"/>
  <c r="AB143" i="29" s="1"/>
  <c r="N143" i="29"/>
  <c r="M143" i="29"/>
  <c r="X142" i="29"/>
  <c r="W142" i="29"/>
  <c r="AB142" i="29" s="1"/>
  <c r="N142" i="29"/>
  <c r="M142" i="29"/>
  <c r="P142" i="29" s="1"/>
  <c r="X141" i="29"/>
  <c r="W141" i="29"/>
  <c r="AB141" i="29" s="1"/>
  <c r="N141" i="29"/>
  <c r="M141" i="29"/>
  <c r="Y141" i="29" s="1"/>
  <c r="X140" i="29"/>
  <c r="W140" i="29"/>
  <c r="AB140" i="29" s="1"/>
  <c r="N140" i="29"/>
  <c r="M140" i="29"/>
  <c r="X139" i="29"/>
  <c r="W139" i="29"/>
  <c r="AB139" i="29" s="1"/>
  <c r="N139" i="29"/>
  <c r="M139" i="29"/>
  <c r="X138" i="29"/>
  <c r="W138" i="29"/>
  <c r="AB138" i="29" s="1"/>
  <c r="N138" i="29"/>
  <c r="M138" i="29"/>
  <c r="Y138" i="29" s="1"/>
  <c r="X137" i="29"/>
  <c r="W137" i="29"/>
  <c r="AB137" i="29" s="1"/>
  <c r="N137" i="29"/>
  <c r="M137" i="29"/>
  <c r="X136" i="29"/>
  <c r="W136" i="29"/>
  <c r="AB136" i="29" s="1"/>
  <c r="N136" i="29"/>
  <c r="M136" i="29"/>
  <c r="P136" i="29" s="1"/>
  <c r="X135" i="29"/>
  <c r="W135" i="29"/>
  <c r="AB135" i="29" s="1"/>
  <c r="N135" i="29"/>
  <c r="M135" i="29"/>
  <c r="X134" i="29"/>
  <c r="W134" i="29"/>
  <c r="AB134" i="29" s="1"/>
  <c r="N134" i="29"/>
  <c r="M134" i="29"/>
  <c r="X133" i="29"/>
  <c r="W133" i="29"/>
  <c r="AB133" i="29" s="1"/>
  <c r="N133" i="29"/>
  <c r="M133" i="29"/>
  <c r="P133" i="29" s="1"/>
  <c r="X132" i="29"/>
  <c r="W132" i="29"/>
  <c r="AB132" i="29" s="1"/>
  <c r="N132" i="29"/>
  <c r="M132" i="29"/>
  <c r="Y132" i="29" s="1"/>
  <c r="X131" i="29"/>
  <c r="W131" i="29"/>
  <c r="AB131" i="29" s="1"/>
  <c r="N131" i="29"/>
  <c r="M131" i="29"/>
  <c r="X130" i="29"/>
  <c r="W130" i="29"/>
  <c r="AB130" i="29" s="1"/>
  <c r="N130" i="29"/>
  <c r="M130" i="29"/>
  <c r="P130" i="29" s="1"/>
  <c r="X129" i="29"/>
  <c r="W129" i="29"/>
  <c r="AB129" i="29" s="1"/>
  <c r="N129" i="29"/>
  <c r="M129" i="29"/>
  <c r="Y129" i="29" s="1"/>
  <c r="X128" i="29"/>
  <c r="W128" i="29"/>
  <c r="AB128" i="29" s="1"/>
  <c r="N128" i="29"/>
  <c r="M128" i="29"/>
  <c r="X127" i="29"/>
  <c r="W127" i="29"/>
  <c r="AB127" i="29" s="1"/>
  <c r="N127" i="29"/>
  <c r="M127" i="29"/>
  <c r="P127" i="29" s="1"/>
  <c r="X126" i="29"/>
  <c r="W126" i="29"/>
  <c r="AB126" i="29" s="1"/>
  <c r="N126" i="29"/>
  <c r="M126" i="29"/>
  <c r="Y126" i="29" s="1"/>
  <c r="X125" i="29"/>
  <c r="W125" i="29"/>
  <c r="AB125" i="29" s="1"/>
  <c r="N125" i="29"/>
  <c r="M125" i="29"/>
  <c r="X124" i="29"/>
  <c r="W124" i="29"/>
  <c r="AB124" i="29" s="1"/>
  <c r="N124" i="29"/>
  <c r="M124" i="29"/>
  <c r="P124" i="29" s="1"/>
  <c r="X123" i="29"/>
  <c r="W123" i="29"/>
  <c r="AB123" i="29" s="1"/>
  <c r="N123" i="29"/>
  <c r="M123" i="29"/>
  <c r="Y123" i="29" s="1"/>
  <c r="X122" i="29"/>
  <c r="W122" i="29"/>
  <c r="AB122" i="29" s="1"/>
  <c r="N122" i="29"/>
  <c r="M122" i="29"/>
  <c r="X121" i="29"/>
  <c r="W121" i="29"/>
  <c r="AB121" i="29" s="1"/>
  <c r="N121" i="29"/>
  <c r="M121" i="29"/>
  <c r="P121" i="29" s="1"/>
  <c r="X120" i="29"/>
  <c r="W120" i="29"/>
  <c r="AB120" i="29" s="1"/>
  <c r="N120" i="29"/>
  <c r="M120" i="29"/>
  <c r="Y120" i="29" s="1"/>
  <c r="X119" i="29"/>
  <c r="W119" i="29"/>
  <c r="AB119" i="29" s="1"/>
  <c r="N119" i="29"/>
  <c r="M119" i="29"/>
  <c r="X118" i="29"/>
  <c r="W118" i="29"/>
  <c r="AB118" i="29" s="1"/>
  <c r="N118" i="29"/>
  <c r="M118" i="29"/>
  <c r="Y117" i="29"/>
  <c r="X117" i="29"/>
  <c r="W117" i="29"/>
  <c r="AB117" i="29" s="1"/>
  <c r="P117" i="29"/>
  <c r="N117" i="29"/>
  <c r="O117" i="29" s="1"/>
  <c r="Q117" i="29" s="1"/>
  <c r="X116" i="29"/>
  <c r="W116" i="29"/>
  <c r="N116" i="29"/>
  <c r="M116" i="29"/>
  <c r="Y116" i="29" s="1"/>
  <c r="X115" i="29"/>
  <c r="W115" i="29"/>
  <c r="AB115" i="29" s="1"/>
  <c r="N115" i="29"/>
  <c r="M115" i="29"/>
  <c r="X114" i="29"/>
  <c r="W114" i="29"/>
  <c r="N114" i="29"/>
  <c r="M114" i="29"/>
  <c r="P114" i="29" s="1"/>
  <c r="X113" i="29"/>
  <c r="W113" i="29"/>
  <c r="AB113" i="29" s="1"/>
  <c r="N113" i="29"/>
  <c r="M113" i="29"/>
  <c r="Y113" i="29" s="1"/>
  <c r="X112" i="29"/>
  <c r="W112" i="29"/>
  <c r="AB112" i="29" s="1"/>
  <c r="N112" i="29"/>
  <c r="M112" i="29"/>
  <c r="P112" i="29" s="1"/>
  <c r="X111" i="29"/>
  <c r="W111" i="29"/>
  <c r="AB111" i="29" s="1"/>
  <c r="N111" i="29"/>
  <c r="M111" i="29"/>
  <c r="X110" i="29"/>
  <c r="W110" i="29"/>
  <c r="AB110" i="29" s="1"/>
  <c r="N110" i="29"/>
  <c r="M110" i="29"/>
  <c r="Y110" i="29" s="1"/>
  <c r="X109" i="29"/>
  <c r="W109" i="29"/>
  <c r="AB109" i="29" s="1"/>
  <c r="N109" i="29"/>
  <c r="M109" i="29"/>
  <c r="P109" i="29" s="1"/>
  <c r="X108" i="29"/>
  <c r="W108" i="29"/>
  <c r="N108" i="29"/>
  <c r="M108" i="29"/>
  <c r="Y108" i="29" s="1"/>
  <c r="X107" i="29"/>
  <c r="W107" i="29"/>
  <c r="AB107" i="29" s="1"/>
  <c r="N107" i="29"/>
  <c r="M107" i="29"/>
  <c r="Y107" i="29" s="1"/>
  <c r="X106" i="29"/>
  <c r="W106" i="29"/>
  <c r="AB106" i="29" s="1"/>
  <c r="N106" i="29"/>
  <c r="M106" i="29"/>
  <c r="P106" i="29" s="1"/>
  <c r="X105" i="29"/>
  <c r="W105" i="29"/>
  <c r="N105" i="29"/>
  <c r="M105" i="29"/>
  <c r="Y105" i="29" s="1"/>
  <c r="X104" i="29"/>
  <c r="W104" i="29"/>
  <c r="AB104" i="29" s="1"/>
  <c r="N104" i="29"/>
  <c r="M104" i="29"/>
  <c r="X103" i="29"/>
  <c r="W103" i="29"/>
  <c r="AB103" i="29" s="1"/>
  <c r="N103" i="29"/>
  <c r="M103" i="29"/>
  <c r="X102" i="29"/>
  <c r="W102" i="29"/>
  <c r="N102" i="29"/>
  <c r="M102" i="29"/>
  <c r="Y102" i="29" s="1"/>
  <c r="X101" i="29"/>
  <c r="W101" i="29"/>
  <c r="N101" i="29"/>
  <c r="M101" i="29"/>
  <c r="Y101" i="29" s="1"/>
  <c r="X100" i="29"/>
  <c r="W100" i="29"/>
  <c r="AB100" i="29" s="1"/>
  <c r="N100" i="29"/>
  <c r="M100" i="29"/>
  <c r="P100" i="29" s="1"/>
  <c r="X99" i="29"/>
  <c r="W99" i="29"/>
  <c r="N99" i="29"/>
  <c r="M99" i="29"/>
  <c r="P99" i="29" s="1"/>
  <c r="X95" i="29"/>
  <c r="W95" i="29"/>
  <c r="AB95" i="29" s="1"/>
  <c r="N95" i="29"/>
  <c r="M95" i="29"/>
  <c r="X94" i="29"/>
  <c r="W94" i="29"/>
  <c r="AB94" i="29" s="1"/>
  <c r="N94" i="29"/>
  <c r="M94" i="29"/>
  <c r="P94" i="29" s="1"/>
  <c r="X93" i="29"/>
  <c r="W93" i="29"/>
  <c r="N93" i="29"/>
  <c r="M93" i="29"/>
  <c r="Y93" i="29" s="1"/>
  <c r="X92" i="29"/>
  <c r="W92" i="29"/>
  <c r="AB92" i="29" s="1"/>
  <c r="N92" i="29"/>
  <c r="M92" i="29"/>
  <c r="Y92" i="29" s="1"/>
  <c r="X91" i="29"/>
  <c r="W91" i="29"/>
  <c r="AB91" i="29" s="1"/>
  <c r="N91" i="29"/>
  <c r="M91" i="29"/>
  <c r="P91" i="29" s="1"/>
  <c r="X90" i="29"/>
  <c r="W90" i="29"/>
  <c r="N90" i="29"/>
  <c r="M90" i="29"/>
  <c r="P90" i="29" s="1"/>
  <c r="X89" i="29"/>
  <c r="W89" i="29"/>
  <c r="AB89" i="29" s="1"/>
  <c r="N89" i="29"/>
  <c r="M89" i="29"/>
  <c r="Y89" i="29" s="1"/>
  <c r="X88" i="29"/>
  <c r="W88" i="29"/>
  <c r="AB88" i="29" s="1"/>
  <c r="N88" i="29"/>
  <c r="M88" i="29"/>
  <c r="Y88" i="29" s="1"/>
  <c r="X87" i="29"/>
  <c r="W87" i="29"/>
  <c r="AB87" i="29" s="1"/>
  <c r="N87" i="29"/>
  <c r="M87" i="29"/>
  <c r="P87" i="29" s="1"/>
  <c r="X86" i="29"/>
  <c r="W86" i="29"/>
  <c r="AB86" i="29" s="1"/>
  <c r="N86" i="29"/>
  <c r="M86" i="29"/>
  <c r="Y86" i="29" s="1"/>
  <c r="Y85" i="29"/>
  <c r="X85" i="29"/>
  <c r="W85" i="29"/>
  <c r="AB85" i="29" s="1"/>
  <c r="P85" i="29"/>
  <c r="N85" i="29"/>
  <c r="O85" i="29" s="1"/>
  <c r="Q85" i="29" s="1"/>
  <c r="X84" i="29"/>
  <c r="W84" i="29"/>
  <c r="N84" i="29"/>
  <c r="M84" i="29"/>
  <c r="Y84" i="29" s="1"/>
  <c r="X83" i="29"/>
  <c r="W83" i="29"/>
  <c r="AB83" i="29" s="1"/>
  <c r="N83" i="29"/>
  <c r="M83" i="29"/>
  <c r="Y83" i="29" s="1"/>
  <c r="X82" i="29"/>
  <c r="W82" i="29"/>
  <c r="AB82" i="29" s="1"/>
  <c r="N82" i="29"/>
  <c r="M82" i="29"/>
  <c r="Y82" i="29" s="1"/>
  <c r="X81" i="29"/>
  <c r="W81" i="29"/>
  <c r="AB81" i="29" s="1"/>
  <c r="N81" i="29"/>
  <c r="M81" i="29"/>
  <c r="Y81" i="29" s="1"/>
  <c r="X80" i="29"/>
  <c r="W80" i="29"/>
  <c r="AB80" i="29" s="1"/>
  <c r="N80" i="29"/>
  <c r="M80" i="29"/>
  <c r="Y80" i="29" s="1"/>
  <c r="X79" i="29"/>
  <c r="W79" i="29"/>
  <c r="AB79" i="29" s="1"/>
  <c r="N79" i="29"/>
  <c r="M79" i="29"/>
  <c r="Y79" i="29" s="1"/>
  <c r="X78" i="29"/>
  <c r="W78" i="29"/>
  <c r="AB78" i="29" s="1"/>
  <c r="N78" i="29"/>
  <c r="M78" i="29"/>
  <c r="X77" i="29"/>
  <c r="W77" i="29"/>
  <c r="AB77" i="29" s="1"/>
  <c r="N77" i="29"/>
  <c r="M77" i="29"/>
  <c r="Y77" i="29" s="1"/>
  <c r="X76" i="29"/>
  <c r="W76" i="29"/>
  <c r="AB76" i="29" s="1"/>
  <c r="N76" i="29"/>
  <c r="M76" i="29"/>
  <c r="X75" i="29"/>
  <c r="W75" i="29"/>
  <c r="AB75" i="29" s="1"/>
  <c r="N75" i="29"/>
  <c r="M75" i="29"/>
  <c r="Y75" i="29" s="1"/>
  <c r="X74" i="29"/>
  <c r="W74" i="29"/>
  <c r="AB74" i="29" s="1"/>
  <c r="N74" i="29"/>
  <c r="M74" i="29"/>
  <c r="P74" i="29" s="1"/>
  <c r="X73" i="29"/>
  <c r="W73" i="29"/>
  <c r="AB73" i="29" s="1"/>
  <c r="N73" i="29"/>
  <c r="M73" i="29"/>
  <c r="X72" i="29"/>
  <c r="W72" i="29"/>
  <c r="N72" i="29"/>
  <c r="M72" i="29"/>
  <c r="Y72" i="29" s="1"/>
  <c r="X71" i="29"/>
  <c r="W71" i="29"/>
  <c r="AB71" i="29" s="1"/>
  <c r="N71" i="29"/>
  <c r="M71" i="29"/>
  <c r="X70" i="29"/>
  <c r="W70" i="29"/>
  <c r="AB70" i="29" s="1"/>
  <c r="N70" i="29"/>
  <c r="M70" i="29"/>
  <c r="Y70" i="29" s="1"/>
  <c r="X69" i="29"/>
  <c r="W69" i="29"/>
  <c r="N69" i="29"/>
  <c r="M69" i="29"/>
  <c r="X68" i="29"/>
  <c r="W68" i="29"/>
  <c r="AB68" i="29" s="1"/>
  <c r="N68" i="29"/>
  <c r="M68" i="29"/>
  <c r="X67" i="29"/>
  <c r="W67" i="29"/>
  <c r="AB67" i="29" s="1"/>
  <c r="N67" i="29"/>
  <c r="M67" i="29"/>
  <c r="X66" i="29"/>
  <c r="W66" i="29"/>
  <c r="N66" i="29"/>
  <c r="M66" i="29"/>
  <c r="P66" i="29" s="1"/>
  <c r="X65" i="29"/>
  <c r="W65" i="29"/>
  <c r="AB65" i="29" s="1"/>
  <c r="N65" i="29"/>
  <c r="M65" i="29"/>
  <c r="Y65" i="29" s="1"/>
  <c r="X64" i="29"/>
  <c r="W64" i="29"/>
  <c r="AB64" i="29" s="1"/>
  <c r="N64" i="29"/>
  <c r="M64" i="29"/>
  <c r="X63" i="29"/>
  <c r="W63" i="29"/>
  <c r="N63" i="29"/>
  <c r="M63" i="29"/>
  <c r="P63" i="29" s="1"/>
  <c r="X62" i="29"/>
  <c r="W62" i="29"/>
  <c r="AB62" i="29" s="1"/>
  <c r="N62" i="29"/>
  <c r="M62" i="29"/>
  <c r="Y62" i="29" s="1"/>
  <c r="X61" i="29"/>
  <c r="W61" i="29"/>
  <c r="AB61" i="29" s="1"/>
  <c r="N61" i="29"/>
  <c r="M61" i="29"/>
  <c r="P61" i="29" s="1"/>
  <c r="X60" i="29"/>
  <c r="W60" i="29"/>
  <c r="N60" i="29"/>
  <c r="M60" i="29"/>
  <c r="Y60" i="29" s="1"/>
  <c r="X59" i="29"/>
  <c r="W59" i="29"/>
  <c r="AB59" i="29" s="1"/>
  <c r="N59" i="29"/>
  <c r="M59" i="29"/>
  <c r="Y59" i="29" s="1"/>
  <c r="X58" i="29"/>
  <c r="W58" i="29"/>
  <c r="AB58" i="29" s="1"/>
  <c r="N58" i="29"/>
  <c r="M58" i="29"/>
  <c r="P58" i="29" s="1"/>
  <c r="X57" i="29"/>
  <c r="W57" i="29"/>
  <c r="N57" i="29"/>
  <c r="M57" i="29"/>
  <c r="P57" i="29" s="1"/>
  <c r="X56" i="29"/>
  <c r="W56" i="29"/>
  <c r="AB56" i="29" s="1"/>
  <c r="N56" i="29"/>
  <c r="M56" i="29"/>
  <c r="X55" i="29"/>
  <c r="W55" i="29"/>
  <c r="AB55" i="29" s="1"/>
  <c r="N55" i="29"/>
  <c r="M55" i="29"/>
  <c r="Y55" i="29" s="1"/>
  <c r="X54" i="29"/>
  <c r="W54" i="29"/>
  <c r="N54" i="29"/>
  <c r="M54" i="29"/>
  <c r="X53" i="29"/>
  <c r="W53" i="29"/>
  <c r="AB53" i="29" s="1"/>
  <c r="N53" i="29"/>
  <c r="M53" i="29"/>
  <c r="P53" i="29" s="1"/>
  <c r="X52" i="29"/>
  <c r="W52" i="29"/>
  <c r="AB52" i="29" s="1"/>
  <c r="N52" i="29"/>
  <c r="M52" i="29"/>
  <c r="X51" i="29"/>
  <c r="W51" i="29"/>
  <c r="N51" i="29"/>
  <c r="M51" i="29"/>
  <c r="P51" i="29" s="1"/>
  <c r="Y50" i="29"/>
  <c r="X50" i="29"/>
  <c r="W50" i="29"/>
  <c r="AB50" i="29" s="1"/>
  <c r="P50" i="29"/>
  <c r="N50" i="29"/>
  <c r="O50" i="29" s="1"/>
  <c r="Q50" i="29" s="1"/>
  <c r="X49" i="29"/>
  <c r="W49" i="29"/>
  <c r="AB49" i="29" s="1"/>
  <c r="N49" i="29"/>
  <c r="M49" i="29"/>
  <c r="Y49" i="29" s="1"/>
  <c r="X48" i="29"/>
  <c r="W48" i="29"/>
  <c r="AB48" i="29" s="1"/>
  <c r="N48" i="29"/>
  <c r="M48" i="29"/>
  <c r="Y48" i="29" s="1"/>
  <c r="X47" i="29"/>
  <c r="W47" i="29"/>
  <c r="AB47" i="29" s="1"/>
  <c r="N47" i="29"/>
  <c r="M47" i="29"/>
  <c r="P47" i="29" s="1"/>
  <c r="X46" i="29"/>
  <c r="W46" i="29"/>
  <c r="AB46" i="29" s="1"/>
  <c r="N46" i="29"/>
  <c r="M46" i="29"/>
  <c r="Y46" i="29" s="1"/>
  <c r="X45" i="29"/>
  <c r="W45" i="29"/>
  <c r="AB45" i="29" s="1"/>
  <c r="N45" i="29"/>
  <c r="M45" i="29"/>
  <c r="Y45" i="29" s="1"/>
  <c r="AM45" i="29" s="1"/>
  <c r="AN45" i="29" s="1"/>
  <c r="Y44" i="29"/>
  <c r="X44" i="29"/>
  <c r="W44" i="29"/>
  <c r="AB44" i="29" s="1"/>
  <c r="P44" i="29"/>
  <c r="N44" i="29"/>
  <c r="O44" i="29" s="1"/>
  <c r="Q44" i="29" s="1"/>
  <c r="X43" i="29"/>
  <c r="W43" i="29"/>
  <c r="AB43" i="29" s="1"/>
  <c r="N43" i="29"/>
  <c r="M43" i="29"/>
  <c r="Y43" i="29" s="1"/>
  <c r="X42" i="29"/>
  <c r="W42" i="29"/>
  <c r="AB42" i="29" s="1"/>
  <c r="N42" i="29"/>
  <c r="M42" i="29"/>
  <c r="P42" i="29" s="1"/>
  <c r="X38" i="29"/>
  <c r="W38" i="29"/>
  <c r="N38" i="29"/>
  <c r="M38" i="29"/>
  <c r="P38" i="29" s="1"/>
  <c r="X37" i="29"/>
  <c r="W37" i="29"/>
  <c r="AB37" i="29" s="1"/>
  <c r="N37" i="29"/>
  <c r="M37" i="29"/>
  <c r="Y37" i="29" s="1"/>
  <c r="X36" i="29"/>
  <c r="W36" i="29"/>
  <c r="AB36" i="29" s="1"/>
  <c r="N36" i="29"/>
  <c r="M36" i="29"/>
  <c r="P36" i="29" s="1"/>
  <c r="X35" i="29"/>
  <c r="W35" i="29"/>
  <c r="N35" i="29"/>
  <c r="M35" i="29"/>
  <c r="P35" i="29" s="1"/>
  <c r="X34" i="29"/>
  <c r="W34" i="29"/>
  <c r="AB34" i="29" s="1"/>
  <c r="N34" i="29"/>
  <c r="M34" i="29"/>
  <c r="Y34" i="29" s="1"/>
  <c r="X33" i="29"/>
  <c r="W33" i="29"/>
  <c r="AB33" i="29" s="1"/>
  <c r="N33" i="29"/>
  <c r="M33" i="29"/>
  <c r="Y33" i="29" s="1"/>
  <c r="X32" i="29"/>
  <c r="W32" i="29"/>
  <c r="N32" i="29"/>
  <c r="M32" i="29"/>
  <c r="P32" i="29" s="1"/>
  <c r="X31" i="29"/>
  <c r="W31" i="29"/>
  <c r="AB31" i="29" s="1"/>
  <c r="N31" i="29"/>
  <c r="M31" i="29"/>
  <c r="Y31" i="29" s="1"/>
  <c r="X30" i="29"/>
  <c r="W30" i="29"/>
  <c r="AB30" i="29" s="1"/>
  <c r="N30" i="29"/>
  <c r="M30" i="29"/>
  <c r="Y30" i="29" s="1"/>
  <c r="X29" i="29"/>
  <c r="W29" i="29"/>
  <c r="N29" i="29"/>
  <c r="M29" i="29"/>
  <c r="P29" i="29" s="1"/>
  <c r="X28" i="29"/>
  <c r="W28" i="29"/>
  <c r="AB28" i="29" s="1"/>
  <c r="N28" i="29"/>
  <c r="M28" i="29"/>
  <c r="Y28" i="29" s="1"/>
  <c r="X27" i="29"/>
  <c r="W27" i="29"/>
  <c r="AB27" i="29" s="1"/>
  <c r="N27" i="29"/>
  <c r="M27" i="29"/>
  <c r="P27" i="29" s="1"/>
  <c r="X26" i="29"/>
  <c r="W26" i="29"/>
  <c r="N26" i="29"/>
  <c r="M26" i="29"/>
  <c r="P26" i="29" s="1"/>
  <c r="X25" i="29"/>
  <c r="W25" i="29"/>
  <c r="AB25" i="29" s="1"/>
  <c r="N25" i="29"/>
  <c r="M25" i="29"/>
  <c r="Y25" i="29" s="1"/>
  <c r="X24" i="29"/>
  <c r="W24" i="29"/>
  <c r="AB24" i="29" s="1"/>
  <c r="N24" i="29"/>
  <c r="M24" i="29"/>
  <c r="P24" i="29" s="1"/>
  <c r="X23" i="29"/>
  <c r="W23" i="29"/>
  <c r="N23" i="29"/>
  <c r="M23" i="29"/>
  <c r="P23" i="29" s="1"/>
  <c r="X22" i="29"/>
  <c r="W22" i="29"/>
  <c r="AB22" i="29" s="1"/>
  <c r="N22" i="29"/>
  <c r="M22" i="29"/>
  <c r="Y22" i="29" s="1"/>
  <c r="X21" i="29"/>
  <c r="W21" i="29"/>
  <c r="AB21" i="29" s="1"/>
  <c r="N21" i="29"/>
  <c r="M21" i="29"/>
  <c r="Y21" i="29" s="1"/>
  <c r="X20" i="29"/>
  <c r="W20" i="29"/>
  <c r="N20" i="29"/>
  <c r="M20" i="29"/>
  <c r="P20" i="29" s="1"/>
  <c r="X19" i="29"/>
  <c r="W19" i="29"/>
  <c r="AB19" i="29" s="1"/>
  <c r="N19" i="29"/>
  <c r="M19" i="29"/>
  <c r="Y19" i="29" s="1"/>
  <c r="X18" i="29"/>
  <c r="W18" i="29"/>
  <c r="AB18" i="29" s="1"/>
  <c r="N18" i="29"/>
  <c r="M18" i="29"/>
  <c r="P18" i="29" s="1"/>
  <c r="X17" i="29"/>
  <c r="W17" i="29"/>
  <c r="N17" i="29"/>
  <c r="M17" i="29"/>
  <c r="P17" i="29" s="1"/>
  <c r="X16" i="29"/>
  <c r="W16" i="29"/>
  <c r="AB16" i="29" s="1"/>
  <c r="N16" i="29"/>
  <c r="M16" i="29"/>
  <c r="Y16" i="29" s="1"/>
  <c r="X15" i="29"/>
  <c r="W15" i="29"/>
  <c r="AB15" i="29" s="1"/>
  <c r="N15" i="29"/>
  <c r="M15" i="29"/>
  <c r="P15" i="29" s="1"/>
  <c r="X14" i="29"/>
  <c r="W14" i="29"/>
  <c r="N14" i="29"/>
  <c r="M14" i="29"/>
  <c r="P14" i="29" s="1"/>
  <c r="X13" i="29"/>
  <c r="W13" i="29"/>
  <c r="AB13" i="29" s="1"/>
  <c r="N13" i="29"/>
  <c r="M13" i="29"/>
  <c r="Y13" i="29" s="1"/>
  <c r="X12" i="29"/>
  <c r="W12" i="29"/>
  <c r="AB12" i="29" s="1"/>
  <c r="N12" i="29"/>
  <c r="M12" i="29"/>
  <c r="Y12" i="29" s="1"/>
  <c r="X11" i="29"/>
  <c r="W11" i="29"/>
  <c r="N11" i="29"/>
  <c r="M11" i="29"/>
  <c r="P11" i="29" s="1"/>
  <c r="AB7" i="29"/>
  <c r="AS632" i="29"/>
  <c r="AR632" i="29"/>
  <c r="AQ632" i="29"/>
  <c r="AP632" i="29"/>
  <c r="AS102" i="29"/>
  <c r="AR102" i="29"/>
  <c r="AQ102" i="29"/>
  <c r="AP102" i="29"/>
  <c r="AS378" i="29"/>
  <c r="AR378" i="29"/>
  <c r="AQ378" i="29"/>
  <c r="AP378" i="29"/>
  <c r="AS487" i="29"/>
  <c r="AR487" i="29"/>
  <c r="AQ487" i="29"/>
  <c r="AP487" i="29"/>
  <c r="AS99" i="29"/>
  <c r="AR99" i="29"/>
  <c r="AQ99" i="29"/>
  <c r="AP99" i="29"/>
  <c r="AS235" i="29"/>
  <c r="AR235" i="29"/>
  <c r="AQ235" i="29"/>
  <c r="AP235" i="29"/>
  <c r="AS288" i="29"/>
  <c r="AR288" i="29"/>
  <c r="AQ288" i="29"/>
  <c r="AP288" i="29"/>
  <c r="AS419" i="29"/>
  <c r="AR419" i="29"/>
  <c r="AQ419" i="29"/>
  <c r="AP419" i="29"/>
  <c r="AS790" i="29"/>
  <c r="AR790" i="29"/>
  <c r="AQ790" i="29"/>
  <c r="AP790" i="29"/>
  <c r="AS789" i="29"/>
  <c r="AR789" i="29"/>
  <c r="AQ789" i="29"/>
  <c r="AP789" i="29"/>
  <c r="AS575" i="29"/>
  <c r="AR575" i="29"/>
  <c r="AQ575" i="29"/>
  <c r="AP575" i="29"/>
  <c r="AJ552" i="29" l="1"/>
  <c r="AK552" i="29" s="1"/>
  <c r="O560" i="29"/>
  <c r="Q560" i="29" s="1"/>
  <c r="AM728" i="29"/>
  <c r="AN728" i="29" s="1"/>
  <c r="AG712" i="29"/>
  <c r="AH712" i="29" s="1"/>
  <c r="AM877" i="29"/>
  <c r="AN877" i="29" s="1"/>
  <c r="AM617" i="29"/>
  <c r="AN617" i="29" s="1"/>
  <c r="AD766" i="29"/>
  <c r="AE766" i="29" s="1"/>
  <c r="AJ730" i="29"/>
  <c r="AK730" i="29" s="1"/>
  <c r="AJ915" i="29"/>
  <c r="AK915" i="29" s="1"/>
  <c r="AM953" i="29"/>
  <c r="AN953" i="29" s="1"/>
  <c r="AG1043" i="29"/>
  <c r="AH1043" i="29" s="1"/>
  <c r="AG579" i="29"/>
  <c r="AH579" i="29" s="1"/>
  <c r="AM590" i="29"/>
  <c r="AN590" i="29" s="1"/>
  <c r="AM308" i="29"/>
  <c r="AN308" i="29" s="1"/>
  <c r="AM817" i="29"/>
  <c r="AN817" i="29" s="1"/>
  <c r="AJ954" i="29"/>
  <c r="AK954" i="29" s="1"/>
  <c r="AM187" i="29"/>
  <c r="AN187" i="29" s="1"/>
  <c r="O15" i="29"/>
  <c r="Q15" i="29" s="1"/>
  <c r="O1043" i="29"/>
  <c r="Q1043" i="29" s="1"/>
  <c r="AM775" i="29"/>
  <c r="AN775" i="29" s="1"/>
  <c r="AM726" i="29"/>
  <c r="AN726" i="29" s="1"/>
  <c r="AM845" i="29"/>
  <c r="AN845" i="29" s="1"/>
  <c r="O18" i="29"/>
  <c r="Q18" i="29" s="1"/>
  <c r="AM729" i="29"/>
  <c r="AN729" i="29" s="1"/>
  <c r="AM784" i="29"/>
  <c r="AN784" i="29" s="1"/>
  <c r="Z817" i="29"/>
  <c r="AA817" i="29" s="1"/>
  <c r="AD993" i="29"/>
  <c r="AE993" i="29" s="1"/>
  <c r="AM1004" i="29"/>
  <c r="AN1004" i="29" s="1"/>
  <c r="O21" i="29"/>
  <c r="Q21" i="29" s="1"/>
  <c r="AM727" i="29"/>
  <c r="AN727" i="29" s="1"/>
  <c r="AC462" i="29"/>
  <c r="O1046" i="29"/>
  <c r="Q1046" i="29" s="1"/>
  <c r="Z1046" i="29"/>
  <c r="AA1046" i="29" s="1"/>
  <c r="O1047" i="29"/>
  <c r="Q1047" i="29" s="1"/>
  <c r="AC452" i="29"/>
  <c r="AC458" i="29"/>
  <c r="AJ468" i="29"/>
  <c r="AK468" i="29" s="1"/>
  <c r="AJ774" i="29"/>
  <c r="AK774" i="29" s="1"/>
  <c r="O1064" i="29"/>
  <c r="Q1064" i="29" s="1"/>
  <c r="AC1064" i="29"/>
  <c r="AJ79" i="29"/>
  <c r="AK79" i="29" s="1"/>
  <c r="AD1005" i="29"/>
  <c r="AE1005" i="29" s="1"/>
  <c r="AG1044" i="29"/>
  <c r="AH1044" i="29" s="1"/>
  <c r="O316" i="29"/>
  <c r="Q316" i="29" s="1"/>
  <c r="O27" i="29"/>
  <c r="Q27" i="29" s="1"/>
  <c r="O778" i="29"/>
  <c r="Q778" i="29" s="1"/>
  <c r="AD707" i="29"/>
  <c r="AE707" i="29" s="1"/>
  <c r="O1034" i="29"/>
  <c r="Q1034" i="29" s="1"/>
  <c r="AC44" i="29"/>
  <c r="O30" i="29"/>
  <c r="Q30" i="29" s="1"/>
  <c r="AD296" i="29"/>
  <c r="AE296" i="29" s="1"/>
  <c r="O538" i="29"/>
  <c r="Q538" i="29" s="1"/>
  <c r="O1037" i="29"/>
  <c r="Q1037" i="29" s="1"/>
  <c r="AM823" i="29"/>
  <c r="AN823" i="29" s="1"/>
  <c r="O764" i="29"/>
  <c r="Q764" i="29" s="1"/>
  <c r="O428" i="29"/>
  <c r="Q428" i="29" s="1"/>
  <c r="O781" i="29"/>
  <c r="Q781" i="29" s="1"/>
  <c r="O72" i="29"/>
  <c r="Q72" i="29" s="1"/>
  <c r="O680" i="29"/>
  <c r="Q680" i="29" s="1"/>
  <c r="O271" i="29"/>
  <c r="Q271" i="29" s="1"/>
  <c r="O431" i="29"/>
  <c r="Q431" i="29" s="1"/>
  <c r="O355" i="29"/>
  <c r="Q355" i="29" s="1"/>
  <c r="O121" i="29"/>
  <c r="Q121" i="29" s="1"/>
  <c r="O124" i="29"/>
  <c r="Q124" i="29" s="1"/>
  <c r="O154" i="29"/>
  <c r="Q154" i="29" s="1"/>
  <c r="O157" i="29"/>
  <c r="Q157" i="29" s="1"/>
  <c r="AM576" i="29"/>
  <c r="AN576" i="29" s="1"/>
  <c r="O691" i="29"/>
  <c r="Q691" i="29" s="1"/>
  <c r="O697" i="29"/>
  <c r="Q697" i="29" s="1"/>
  <c r="O700" i="29"/>
  <c r="Q700" i="29" s="1"/>
  <c r="O715" i="29"/>
  <c r="Q715" i="29" s="1"/>
  <c r="O718" i="29"/>
  <c r="Q718" i="29" s="1"/>
  <c r="AM868" i="29"/>
  <c r="AN868" i="29" s="1"/>
  <c r="AD965" i="29"/>
  <c r="AE965" i="29" s="1"/>
  <c r="O451" i="29"/>
  <c r="Q451" i="29" s="1"/>
  <c r="O454" i="29"/>
  <c r="Q454" i="29" s="1"/>
  <c r="O457" i="29"/>
  <c r="Q457" i="29" s="1"/>
  <c r="O466" i="29"/>
  <c r="Q466" i="29" s="1"/>
  <c r="O492" i="29"/>
  <c r="Q492" i="29" s="1"/>
  <c r="O509" i="29"/>
  <c r="Q509" i="29" s="1"/>
  <c r="O537" i="29"/>
  <c r="Q537" i="29" s="1"/>
  <c r="AC579" i="29"/>
  <c r="O274" i="29"/>
  <c r="Q274" i="29" s="1"/>
  <c r="AM312" i="29"/>
  <c r="AN312" i="29" s="1"/>
  <c r="AM622" i="29"/>
  <c r="AN622" i="29" s="1"/>
  <c r="AG1003" i="29"/>
  <c r="AH1003" i="29" s="1"/>
  <c r="AG1034" i="29"/>
  <c r="AH1034" i="29" s="1"/>
  <c r="O192" i="29"/>
  <c r="Q192" i="29" s="1"/>
  <c r="AM537" i="29"/>
  <c r="AN537" i="29" s="1"/>
  <c r="AM310" i="29"/>
  <c r="AN310" i="29" s="1"/>
  <c r="O60" i="29"/>
  <c r="Q60" i="29" s="1"/>
  <c r="AD281" i="29"/>
  <c r="AE281" i="29" s="1"/>
  <c r="AD318" i="29"/>
  <c r="AE318" i="29" s="1"/>
  <c r="AG423" i="29"/>
  <c r="AH423" i="29" s="1"/>
  <c r="AG577" i="29"/>
  <c r="AH577" i="29" s="1"/>
  <c r="AJ260" i="29"/>
  <c r="AK260" i="29" s="1"/>
  <c r="AJ837" i="29"/>
  <c r="AK837" i="29" s="1"/>
  <c r="Z607" i="29"/>
  <c r="AA607" i="29" s="1"/>
  <c r="AJ788" i="29"/>
  <c r="AK788" i="29" s="1"/>
  <c r="Z797" i="29"/>
  <c r="AA797" i="29" s="1"/>
  <c r="AJ800" i="29"/>
  <c r="AK800" i="29" s="1"/>
  <c r="AJ803" i="29"/>
  <c r="AK803" i="29" s="1"/>
  <c r="AM237" i="29"/>
  <c r="AN237" i="29" s="1"/>
  <c r="O258" i="29"/>
  <c r="Q258" i="29" s="1"/>
  <c r="AJ292" i="29"/>
  <c r="AK292" i="29" s="1"/>
  <c r="AJ591" i="29"/>
  <c r="AK591" i="29" s="1"/>
  <c r="O812" i="29"/>
  <c r="Q812" i="29" s="1"/>
  <c r="AM872" i="29"/>
  <c r="AN872" i="29" s="1"/>
  <c r="AJ884" i="29"/>
  <c r="AK884" i="29" s="1"/>
  <c r="O635" i="29"/>
  <c r="Q635" i="29" s="1"/>
  <c r="AM672" i="29"/>
  <c r="AN672" i="29" s="1"/>
  <c r="O786" i="29"/>
  <c r="Q786" i="29" s="1"/>
  <c r="O789" i="29"/>
  <c r="Q789" i="29" s="1"/>
  <c r="O795" i="29"/>
  <c r="Q795" i="29" s="1"/>
  <c r="O798" i="29"/>
  <c r="Q798" i="29" s="1"/>
  <c r="O838" i="29"/>
  <c r="Q838" i="29" s="1"/>
  <c r="AD887" i="29"/>
  <c r="AE887" i="29" s="1"/>
  <c r="AC1062" i="29"/>
  <c r="Y24" i="29"/>
  <c r="AJ24" i="29" s="1"/>
  <c r="AK24" i="29" s="1"/>
  <c r="AC543" i="29"/>
  <c r="O369" i="29"/>
  <c r="Q369" i="29" s="1"/>
  <c r="AC590" i="29"/>
  <c r="AC684" i="29"/>
  <c r="O692" i="29"/>
  <c r="Q692" i="29" s="1"/>
  <c r="AM899" i="29"/>
  <c r="AN899" i="29" s="1"/>
  <c r="AG927" i="29"/>
  <c r="AH927" i="29" s="1"/>
  <c r="AJ972" i="29"/>
  <c r="AK972" i="29" s="1"/>
  <c r="AM985" i="29"/>
  <c r="AN985" i="29" s="1"/>
  <c r="O1063" i="29"/>
  <c r="Q1063" i="29" s="1"/>
  <c r="O627" i="29"/>
  <c r="Q627" i="29" s="1"/>
  <c r="O633" i="29"/>
  <c r="Q633" i="29" s="1"/>
  <c r="AM750" i="29"/>
  <c r="AN750" i="29" s="1"/>
  <c r="AC836" i="29"/>
  <c r="AD324" i="29"/>
  <c r="AE324" i="29" s="1"/>
  <c r="Z388" i="29"/>
  <c r="AA388" i="29" s="1"/>
  <c r="AJ714" i="29"/>
  <c r="AK714" i="29" s="1"/>
  <c r="Y826" i="29"/>
  <c r="AJ826" i="29" s="1"/>
  <c r="AK826" i="29" s="1"/>
  <c r="AM911" i="29"/>
  <c r="AN911" i="29" s="1"/>
  <c r="O1014" i="29"/>
  <c r="Q1014" i="29" s="1"/>
  <c r="O1017" i="29"/>
  <c r="Q1017" i="29" s="1"/>
  <c r="O1020" i="29"/>
  <c r="Q1020" i="29" s="1"/>
  <c r="AM311" i="29"/>
  <c r="AN311" i="29" s="1"/>
  <c r="AC569" i="29"/>
  <c r="AC675" i="29"/>
  <c r="AM763" i="29"/>
  <c r="AN763" i="29" s="1"/>
  <c r="AC856" i="29"/>
  <c r="O160" i="29"/>
  <c r="Q160" i="29" s="1"/>
  <c r="Z261" i="29"/>
  <c r="AA261" i="29" s="1"/>
  <c r="AM290" i="29"/>
  <c r="AN290" i="29" s="1"/>
  <c r="AC550" i="29"/>
  <c r="AG708" i="29"/>
  <c r="AH708" i="29" s="1"/>
  <c r="AJ856" i="29"/>
  <c r="AK856" i="29" s="1"/>
  <c r="AD419" i="29"/>
  <c r="AE419" i="29" s="1"/>
  <c r="AG658" i="29"/>
  <c r="AH658" i="29" s="1"/>
  <c r="AG663" i="29"/>
  <c r="AH663" i="29" s="1"/>
  <c r="AD671" i="29"/>
  <c r="AE671" i="29" s="1"/>
  <c r="O83" i="29"/>
  <c r="Q83" i="29" s="1"/>
  <c r="O332" i="29"/>
  <c r="Q332" i="29" s="1"/>
  <c r="O335" i="29"/>
  <c r="Q335" i="29" s="1"/>
  <c r="O338" i="29"/>
  <c r="Q338" i="29" s="1"/>
  <c r="O343" i="29"/>
  <c r="Q343" i="29" s="1"/>
  <c r="O356" i="29"/>
  <c r="Q356" i="29" s="1"/>
  <c r="O359" i="29"/>
  <c r="Q359" i="29" s="1"/>
  <c r="O362" i="29"/>
  <c r="Q362" i="29" s="1"/>
  <c r="AG391" i="29"/>
  <c r="AH391" i="29" s="1"/>
  <c r="O548" i="29"/>
  <c r="Q548" i="29" s="1"/>
  <c r="AG550" i="29"/>
  <c r="AH550" i="29" s="1"/>
  <c r="O671" i="29"/>
  <c r="Q671" i="29" s="1"/>
  <c r="O681" i="29"/>
  <c r="Q681" i="29" s="1"/>
  <c r="O819" i="29"/>
  <c r="Q819" i="29" s="1"/>
  <c r="AC914" i="29"/>
  <c r="AD80" i="29"/>
  <c r="AE80" i="29" s="1"/>
  <c r="AC83" i="29"/>
  <c r="AC259" i="29"/>
  <c r="AM293" i="29"/>
  <c r="AN293" i="29" s="1"/>
  <c r="Z312" i="29"/>
  <c r="AA312" i="29" s="1"/>
  <c r="Z323" i="29"/>
  <c r="AA323" i="29" s="1"/>
  <c r="Z325" i="29"/>
  <c r="AA325" i="29" s="1"/>
  <c r="P362" i="29"/>
  <c r="AG445" i="29"/>
  <c r="AH445" i="29" s="1"/>
  <c r="AG469" i="29"/>
  <c r="AH469" i="29" s="1"/>
  <c r="AG472" i="29"/>
  <c r="AH472" i="29" s="1"/>
  <c r="AG478" i="29"/>
  <c r="AH478" i="29" s="1"/>
  <c r="AC617" i="29"/>
  <c r="Z671" i="29"/>
  <c r="AA671" i="29" s="1"/>
  <c r="AC681" i="29"/>
  <c r="AJ723" i="29"/>
  <c r="AK723" i="29" s="1"/>
  <c r="AC766" i="29"/>
  <c r="AJ809" i="29"/>
  <c r="AK809" i="29" s="1"/>
  <c r="AM914" i="29"/>
  <c r="AN914" i="29" s="1"/>
  <c r="AC1021" i="29"/>
  <c r="O796" i="29"/>
  <c r="Q796" i="29" s="1"/>
  <c r="O46" i="29"/>
  <c r="Q46" i="29" s="1"/>
  <c r="AJ312" i="29"/>
  <c r="AK312" i="29" s="1"/>
  <c r="O497" i="29"/>
  <c r="Q497" i="29" s="1"/>
  <c r="O514" i="29"/>
  <c r="Q514" i="29" s="1"/>
  <c r="O520" i="29"/>
  <c r="Q520" i="29" s="1"/>
  <c r="O525" i="29"/>
  <c r="Q525" i="29" s="1"/>
  <c r="AD767" i="29"/>
  <c r="AE767" i="29" s="1"/>
  <c r="AG899" i="29"/>
  <c r="AH899" i="29" s="1"/>
  <c r="O123" i="29"/>
  <c r="Q123" i="29" s="1"/>
  <c r="O138" i="29"/>
  <c r="Q138" i="29" s="1"/>
  <c r="O23" i="29"/>
  <c r="Q23" i="29" s="1"/>
  <c r="O82" i="29"/>
  <c r="Q82" i="29" s="1"/>
  <c r="AJ117" i="29"/>
  <c r="AK117" i="29" s="1"/>
  <c r="AC132" i="29"/>
  <c r="AC144" i="29"/>
  <c r="AC172" i="29"/>
  <c r="O196" i="29"/>
  <c r="Q196" i="29" s="1"/>
  <c r="O199" i="29"/>
  <c r="Q199" i="29" s="1"/>
  <c r="O336" i="29"/>
  <c r="Q336" i="29" s="1"/>
  <c r="O339" i="29"/>
  <c r="Q339" i="29" s="1"/>
  <c r="AM389" i="29"/>
  <c r="AN389" i="29" s="1"/>
  <c r="O448" i="29"/>
  <c r="Q448" i="29" s="1"/>
  <c r="AJ488" i="29"/>
  <c r="AK488" i="29" s="1"/>
  <c r="O631" i="29"/>
  <c r="Q631" i="29" s="1"/>
  <c r="AD836" i="29"/>
  <c r="AE836" i="29" s="1"/>
  <c r="P126" i="29"/>
  <c r="Z223" i="29"/>
  <c r="AA223" i="29" s="1"/>
  <c r="O754" i="29"/>
  <c r="Q754" i="29" s="1"/>
  <c r="Z809" i="29"/>
  <c r="AA809" i="29" s="1"/>
  <c r="O1032" i="29"/>
  <c r="Q1032" i="29" s="1"/>
  <c r="O1035" i="29"/>
  <c r="Q1035" i="29" s="1"/>
  <c r="O1038" i="29"/>
  <c r="Q1038" i="29" s="1"/>
  <c r="O386" i="29"/>
  <c r="Q386" i="29" s="1"/>
  <c r="O711" i="29"/>
  <c r="Q711" i="29" s="1"/>
  <c r="O68" i="29"/>
  <c r="Q68" i="29" s="1"/>
  <c r="AM223" i="29"/>
  <c r="AN223" i="29" s="1"/>
  <c r="AM252" i="29"/>
  <c r="AN252" i="29" s="1"/>
  <c r="AM448" i="29"/>
  <c r="AN448" i="29" s="1"/>
  <c r="O469" i="29"/>
  <c r="Q469" i="29" s="1"/>
  <c r="AM962" i="29"/>
  <c r="AN962" i="29" s="1"/>
  <c r="Z973" i="29"/>
  <c r="AA973" i="29" s="1"/>
  <c r="Z986" i="29"/>
  <c r="AA986" i="29" s="1"/>
  <c r="O365" i="29"/>
  <c r="Q365" i="29" s="1"/>
  <c r="O427" i="29"/>
  <c r="Q427" i="29" s="1"/>
  <c r="Y354" i="29"/>
  <c r="AC354" i="29" s="1"/>
  <c r="AM454" i="29"/>
  <c r="AN454" i="29" s="1"/>
  <c r="AG945" i="29"/>
  <c r="AH945" i="29" s="1"/>
  <c r="AD973" i="29"/>
  <c r="AE973" i="29" s="1"/>
  <c r="O389" i="29"/>
  <c r="Q389" i="29" s="1"/>
  <c r="O67" i="29"/>
  <c r="Q67" i="29" s="1"/>
  <c r="Z107" i="29"/>
  <c r="AA107" i="29" s="1"/>
  <c r="O209" i="29"/>
  <c r="Q209" i="29" s="1"/>
  <c r="O212" i="29"/>
  <c r="Q212" i="29" s="1"/>
  <c r="O215" i="29"/>
  <c r="Q215" i="29" s="1"/>
  <c r="O218" i="29"/>
  <c r="Q218" i="29" s="1"/>
  <c r="O221" i="29"/>
  <c r="Q221" i="29" s="1"/>
  <c r="O238" i="29"/>
  <c r="Q238" i="29" s="1"/>
  <c r="O241" i="29"/>
  <c r="Q241" i="29" s="1"/>
  <c r="O244" i="29"/>
  <c r="Q244" i="29" s="1"/>
  <c r="O250" i="29"/>
  <c r="Q250" i="29" s="1"/>
  <c r="O279" i="29"/>
  <c r="Q279" i="29" s="1"/>
  <c r="AD313" i="29"/>
  <c r="AE313" i="29" s="1"/>
  <c r="O443" i="29"/>
  <c r="Q443" i="29" s="1"/>
  <c r="Y466" i="29"/>
  <c r="AC466" i="29" s="1"/>
  <c r="O638" i="29"/>
  <c r="Q638" i="29" s="1"/>
  <c r="O644" i="29"/>
  <c r="Q644" i="29" s="1"/>
  <c r="AM768" i="29"/>
  <c r="AN768" i="29" s="1"/>
  <c r="AC200" i="29"/>
  <c r="AC218" i="29"/>
  <c r="O452" i="29"/>
  <c r="Q452" i="29" s="1"/>
  <c r="AM496" i="29"/>
  <c r="AN496" i="29" s="1"/>
  <c r="O659" i="29"/>
  <c r="Q659" i="29" s="1"/>
  <c r="O666" i="29"/>
  <c r="Q666" i="29" s="1"/>
  <c r="AC835" i="29"/>
  <c r="O1061" i="29"/>
  <c r="Q1061" i="29" s="1"/>
  <c r="O70" i="29"/>
  <c r="Q70" i="29" s="1"/>
  <c r="AD60" i="29"/>
  <c r="AE60" i="29" s="1"/>
  <c r="Y74" i="29"/>
  <c r="AG74" i="29" s="1"/>
  <c r="AH74" i="29" s="1"/>
  <c r="AM77" i="29"/>
  <c r="AN77" i="29" s="1"/>
  <c r="AG192" i="29"/>
  <c r="AH192" i="29" s="1"/>
  <c r="AM209" i="29"/>
  <c r="AN209" i="29" s="1"/>
  <c r="AC224" i="29"/>
  <c r="AG311" i="29"/>
  <c r="AH311" i="29" s="1"/>
  <c r="O496" i="29"/>
  <c r="Q496" i="29" s="1"/>
  <c r="AJ501" i="29"/>
  <c r="AK501" i="29" s="1"/>
  <c r="AG513" i="29"/>
  <c r="AH513" i="29" s="1"/>
  <c r="AJ527" i="29"/>
  <c r="AK527" i="29" s="1"/>
  <c r="AJ530" i="29"/>
  <c r="AK530" i="29" s="1"/>
  <c r="AJ538" i="29"/>
  <c r="AK538" i="29" s="1"/>
  <c r="AJ777" i="29"/>
  <c r="AK777" i="29" s="1"/>
  <c r="O810" i="29"/>
  <c r="Q810" i="29" s="1"/>
  <c r="O813" i="29"/>
  <c r="Q813" i="29" s="1"/>
  <c r="AM835" i="29"/>
  <c r="AN835" i="29" s="1"/>
  <c r="AG852" i="29"/>
  <c r="AH852" i="29" s="1"/>
  <c r="Z280" i="29"/>
  <c r="AA280" i="29" s="1"/>
  <c r="P496" i="29"/>
  <c r="Z707" i="29"/>
  <c r="AA707" i="29" s="1"/>
  <c r="AC885" i="29"/>
  <c r="AC987" i="29"/>
  <c r="AM1046" i="29"/>
  <c r="AN1046" i="29" s="1"/>
  <c r="O13" i="29"/>
  <c r="Q13" i="29" s="1"/>
  <c r="AD108" i="29"/>
  <c r="AE108" i="29" s="1"/>
  <c r="AC192" i="29"/>
  <c r="O216" i="29"/>
  <c r="Q216" i="29" s="1"/>
  <c r="AD224" i="29"/>
  <c r="AE224" i="29" s="1"/>
  <c r="O239" i="29"/>
  <c r="Q239" i="29" s="1"/>
  <c r="O280" i="29"/>
  <c r="Q280" i="29" s="1"/>
  <c r="AC325" i="29"/>
  <c r="AD395" i="29"/>
  <c r="AE395" i="29" s="1"/>
  <c r="AJ459" i="29"/>
  <c r="AK459" i="29" s="1"/>
  <c r="AD566" i="29"/>
  <c r="AE566" i="29" s="1"/>
  <c r="Z611" i="29"/>
  <c r="AA611" i="29" s="1"/>
  <c r="O630" i="29"/>
  <c r="Q630" i="29" s="1"/>
  <c r="AM707" i="29"/>
  <c r="AN707" i="29" s="1"/>
  <c r="AG731" i="29"/>
  <c r="AH731" i="29" s="1"/>
  <c r="AJ734" i="29"/>
  <c r="AK734" i="29" s="1"/>
  <c r="AG759" i="29"/>
  <c r="AH759" i="29" s="1"/>
  <c r="O826" i="29"/>
  <c r="Q826" i="29" s="1"/>
  <c r="AG830" i="29"/>
  <c r="AH830" i="29" s="1"/>
  <c r="AM885" i="29"/>
  <c r="AN885" i="29" s="1"/>
  <c r="AM946" i="29"/>
  <c r="AN946" i="29" s="1"/>
  <c r="O1044" i="29"/>
  <c r="Q1044" i="29" s="1"/>
  <c r="AC13" i="29"/>
  <c r="P22" i="29"/>
  <c r="O51" i="29"/>
  <c r="Q51" i="29" s="1"/>
  <c r="Z89" i="29"/>
  <c r="AA89" i="29" s="1"/>
  <c r="O142" i="29"/>
  <c r="Q142" i="29" s="1"/>
  <c r="O148" i="29"/>
  <c r="Q148" i="29" s="1"/>
  <c r="AG216" i="29"/>
  <c r="AH216" i="29" s="1"/>
  <c r="O277" i="29"/>
  <c r="Q277" i="29" s="1"/>
  <c r="AJ295" i="29"/>
  <c r="AK295" i="29" s="1"/>
  <c r="O367" i="29"/>
  <c r="Q367" i="29" s="1"/>
  <c r="O370" i="29"/>
  <c r="Q370" i="29" s="1"/>
  <c r="O388" i="29"/>
  <c r="Q388" i="29" s="1"/>
  <c r="AC395" i="29"/>
  <c r="O489" i="29"/>
  <c r="Q489" i="29" s="1"/>
  <c r="O695" i="29"/>
  <c r="Q695" i="29" s="1"/>
  <c r="AC1040" i="29"/>
  <c r="AC22" i="29"/>
  <c r="O43" i="29"/>
  <c r="Q43" i="29" s="1"/>
  <c r="AJ172" i="29"/>
  <c r="AK172" i="29" s="1"/>
  <c r="AC227" i="29"/>
  <c r="P277" i="29"/>
  <c r="Z370" i="29"/>
  <c r="AA370" i="29" s="1"/>
  <c r="AC388" i="29"/>
  <c r="AM395" i="29"/>
  <c r="AN395" i="29" s="1"/>
  <c r="O455" i="29"/>
  <c r="Q455" i="29" s="1"/>
  <c r="AM467" i="29"/>
  <c r="AN467" i="29" s="1"/>
  <c r="AC542" i="29"/>
  <c r="AC591" i="29"/>
  <c r="Y603" i="29"/>
  <c r="Z603" i="29" s="1"/>
  <c r="AA603" i="29" s="1"/>
  <c r="O701" i="29"/>
  <c r="Q701" i="29" s="1"/>
  <c r="O704" i="29"/>
  <c r="Q704" i="29" s="1"/>
  <c r="O743" i="29"/>
  <c r="Q743" i="29" s="1"/>
  <c r="O779" i="29"/>
  <c r="Q779" i="29" s="1"/>
  <c r="O782" i="29"/>
  <c r="Q782" i="29" s="1"/>
  <c r="AJ785" i="29"/>
  <c r="AK785" i="29" s="1"/>
  <c r="AM836" i="29"/>
  <c r="AN836" i="29" s="1"/>
  <c r="AC910" i="29"/>
  <c r="Z1008" i="29"/>
  <c r="AA1008" i="29" s="1"/>
  <c r="O113" i="29"/>
  <c r="Q113" i="29" s="1"/>
  <c r="O217" i="29"/>
  <c r="Q217" i="29" s="1"/>
  <c r="AJ227" i="29"/>
  <c r="AK227" i="29" s="1"/>
  <c r="AC277" i="29"/>
  <c r="AC305" i="29"/>
  <c r="AM479" i="29"/>
  <c r="AN479" i="29" s="1"/>
  <c r="AC614" i="29"/>
  <c r="Y692" i="29"/>
  <c r="AM692" i="29" s="1"/>
  <c r="AN692" i="29" s="1"/>
  <c r="P704" i="29"/>
  <c r="AJ806" i="29"/>
  <c r="AK806" i="29" s="1"/>
  <c r="AG869" i="29"/>
  <c r="AH869" i="29" s="1"/>
  <c r="AG885" i="29"/>
  <c r="AH885" i="29" s="1"/>
  <c r="AM910" i="29"/>
  <c r="AN910" i="29" s="1"/>
  <c r="Z919" i="29"/>
  <c r="AA919" i="29" s="1"/>
  <c r="AJ43" i="29"/>
  <c r="AK43" i="29" s="1"/>
  <c r="O84" i="29"/>
  <c r="Q84" i="29" s="1"/>
  <c r="AC252" i="29"/>
  <c r="AD305" i="29"/>
  <c r="AE305" i="29" s="1"/>
  <c r="O317" i="29"/>
  <c r="Q317" i="29" s="1"/>
  <c r="O323" i="29"/>
  <c r="Q323" i="29" s="1"/>
  <c r="AD377" i="29"/>
  <c r="AE377" i="29" s="1"/>
  <c r="AD380" i="29"/>
  <c r="AE380" i="29" s="1"/>
  <c r="O444" i="29"/>
  <c r="Q444" i="29" s="1"/>
  <c r="AC589" i="29"/>
  <c r="AJ598" i="29"/>
  <c r="AK598" i="29" s="1"/>
  <c r="AD614" i="29"/>
  <c r="AE614" i="29" s="1"/>
  <c r="O637" i="29"/>
  <c r="Q637" i="29" s="1"/>
  <c r="O640" i="29"/>
  <c r="Q640" i="29" s="1"/>
  <c r="O752" i="29"/>
  <c r="Q752" i="29" s="1"/>
  <c r="O755" i="29"/>
  <c r="Q755" i="29" s="1"/>
  <c r="AC888" i="29"/>
  <c r="AM950" i="29"/>
  <c r="AN950" i="29" s="1"/>
  <c r="AM1028" i="29"/>
  <c r="AN1028" i="29" s="1"/>
  <c r="O1033" i="29"/>
  <c r="Q1033" i="29" s="1"/>
  <c r="O1036" i="29"/>
  <c r="Q1036" i="29" s="1"/>
  <c r="O1039" i="29"/>
  <c r="Q1039" i="29" s="1"/>
  <c r="P84" i="29"/>
  <c r="AD668" i="29"/>
  <c r="AE668" i="29" s="1"/>
  <c r="AC724" i="29"/>
  <c r="AM888" i="29"/>
  <c r="AN888" i="29" s="1"/>
  <c r="AD893" i="29"/>
  <c r="AE893" i="29" s="1"/>
  <c r="AD998" i="29"/>
  <c r="AE998" i="29" s="1"/>
  <c r="AC1036" i="29"/>
  <c r="O55" i="29"/>
  <c r="Q55" i="29" s="1"/>
  <c r="O87" i="29"/>
  <c r="Q87" i="29" s="1"/>
  <c r="Z200" i="29"/>
  <c r="AA200" i="29" s="1"/>
  <c r="AG303" i="29"/>
  <c r="AH303" i="29" s="1"/>
  <c r="O396" i="29"/>
  <c r="Q396" i="29" s="1"/>
  <c r="O422" i="29"/>
  <c r="Q422" i="29" s="1"/>
  <c r="AM510" i="29"/>
  <c r="AN510" i="29" s="1"/>
  <c r="AM572" i="29"/>
  <c r="AN572" i="29" s="1"/>
  <c r="Z579" i="29"/>
  <c r="AA579" i="29" s="1"/>
  <c r="AM724" i="29"/>
  <c r="AN724" i="29" s="1"/>
  <c r="Z786" i="29"/>
  <c r="AA786" i="29" s="1"/>
  <c r="AJ829" i="29"/>
  <c r="AK829" i="29" s="1"/>
  <c r="Z854" i="29"/>
  <c r="AA854" i="29" s="1"/>
  <c r="O114" i="29"/>
  <c r="Q114" i="29" s="1"/>
  <c r="AG252" i="29"/>
  <c r="AH252" i="29" s="1"/>
  <c r="O255" i="29"/>
  <c r="Q255" i="29" s="1"/>
  <c r="AD741" i="29"/>
  <c r="AE741" i="29" s="1"/>
  <c r="Y755" i="29"/>
  <c r="AG755" i="29" s="1"/>
  <c r="AH755" i="29" s="1"/>
  <c r="AG893" i="29"/>
  <c r="AH893" i="29" s="1"/>
  <c r="AG934" i="29"/>
  <c r="AH934" i="29" s="1"/>
  <c r="AJ1013" i="29"/>
  <c r="AK1013" i="29" s="1"/>
  <c r="AM44" i="29"/>
  <c r="AN44" i="29" s="1"/>
  <c r="O47" i="29"/>
  <c r="Q47" i="29" s="1"/>
  <c r="O189" i="29"/>
  <c r="Q189" i="29" s="1"/>
  <c r="O261" i="29"/>
  <c r="Q261" i="29" s="1"/>
  <c r="O264" i="29"/>
  <c r="Q264" i="29" s="1"/>
  <c r="O270" i="29"/>
  <c r="Q270" i="29" s="1"/>
  <c r="AJ396" i="29"/>
  <c r="AK396" i="29" s="1"/>
  <c r="O439" i="29"/>
  <c r="Q439" i="29" s="1"/>
  <c r="O442" i="29"/>
  <c r="Q442" i="29" s="1"/>
  <c r="O445" i="29"/>
  <c r="Q445" i="29" s="1"/>
  <c r="O471" i="29"/>
  <c r="Q471" i="29" s="1"/>
  <c r="O516" i="29"/>
  <c r="Q516" i="29" s="1"/>
  <c r="O524" i="29"/>
  <c r="Q524" i="29" s="1"/>
  <c r="AM543" i="29"/>
  <c r="AN543" i="29" s="1"/>
  <c r="AJ568" i="29"/>
  <c r="AK568" i="29" s="1"/>
  <c r="AG697" i="29"/>
  <c r="AH697" i="29" s="1"/>
  <c r="AC705" i="29"/>
  <c r="AJ724" i="29"/>
  <c r="AK724" i="29" s="1"/>
  <c r="AC741" i="29"/>
  <c r="O816" i="29"/>
  <c r="Q816" i="29" s="1"/>
  <c r="AC50" i="29"/>
  <c r="AD65" i="29"/>
  <c r="AE65" i="29" s="1"/>
  <c r="AC264" i="29"/>
  <c r="AJ306" i="29"/>
  <c r="AK306" i="29" s="1"/>
  <c r="AC311" i="29"/>
  <c r="Y328" i="29"/>
  <c r="AD328" i="29" s="1"/>
  <c r="AE328" i="29" s="1"/>
  <c r="AJ620" i="29"/>
  <c r="AK620" i="29" s="1"/>
  <c r="AM659" i="29"/>
  <c r="AN659" i="29" s="1"/>
  <c r="AM666" i="29"/>
  <c r="AN666" i="29" s="1"/>
  <c r="AG703" i="29"/>
  <c r="AH703" i="29" s="1"/>
  <c r="AG762" i="29"/>
  <c r="AH762" i="29" s="1"/>
  <c r="AG847" i="29"/>
  <c r="AH847" i="29" s="1"/>
  <c r="AC857" i="29"/>
  <c r="Z868" i="29"/>
  <c r="AA868" i="29" s="1"/>
  <c r="AG44" i="29"/>
  <c r="AH44" i="29" s="1"/>
  <c r="P153" i="29"/>
  <c r="Z156" i="29"/>
  <c r="AA156" i="29" s="1"/>
  <c r="AJ192" i="29"/>
  <c r="AK192" i="29" s="1"/>
  <c r="AG259" i="29"/>
  <c r="AH259" i="29" s="1"/>
  <c r="AM445" i="29"/>
  <c r="AN445" i="29" s="1"/>
  <c r="AJ577" i="29"/>
  <c r="AK577" i="29" s="1"/>
  <c r="AD705" i="29"/>
  <c r="AE705" i="29" s="1"/>
  <c r="AG770" i="29"/>
  <c r="AH770" i="29" s="1"/>
  <c r="AG773" i="29"/>
  <c r="AH773" i="29" s="1"/>
  <c r="AC999" i="29"/>
  <c r="Z1044" i="29"/>
  <c r="AA1044" i="29" s="1"/>
  <c r="AG1047" i="29"/>
  <c r="AH1047" i="29" s="1"/>
  <c r="O112" i="29"/>
  <c r="Q112" i="29" s="1"/>
  <c r="AG195" i="29"/>
  <c r="AH195" i="29" s="1"/>
  <c r="O198" i="29"/>
  <c r="Q198" i="29" s="1"/>
  <c r="O248" i="29"/>
  <c r="Q248" i="29" s="1"/>
  <c r="O259" i="29"/>
  <c r="Q259" i="29" s="1"/>
  <c r="AM304" i="29"/>
  <c r="AN304" i="29" s="1"/>
  <c r="AC423" i="29"/>
  <c r="AM425" i="29"/>
  <c r="AN425" i="29" s="1"/>
  <c r="AC457" i="29"/>
  <c r="Y480" i="29"/>
  <c r="AG480" i="29" s="1"/>
  <c r="AH480" i="29" s="1"/>
  <c r="Z552" i="29"/>
  <c r="AA552" i="29" s="1"/>
  <c r="O603" i="29"/>
  <c r="Q603" i="29" s="1"/>
  <c r="AD676" i="29"/>
  <c r="AE676" i="29" s="1"/>
  <c r="AC703" i="29"/>
  <c r="AJ767" i="29"/>
  <c r="AK767" i="29" s="1"/>
  <c r="AM892" i="29"/>
  <c r="AN892" i="29" s="1"/>
  <c r="AJ918" i="29"/>
  <c r="AK918" i="29" s="1"/>
  <c r="AM949" i="29"/>
  <c r="AN949" i="29" s="1"/>
  <c r="AM990" i="29"/>
  <c r="AN990" i="29" s="1"/>
  <c r="AM1044" i="29"/>
  <c r="AN1044" i="29" s="1"/>
  <c r="AJ1062" i="29"/>
  <c r="AK1062" i="29" s="1"/>
  <c r="AC46" i="29"/>
  <c r="AG46" i="29"/>
  <c r="AH46" i="29" s="1"/>
  <c r="O512" i="29"/>
  <c r="Q512" i="29" s="1"/>
  <c r="O506" i="29"/>
  <c r="Q506" i="29" s="1"/>
  <c r="AJ33" i="29"/>
  <c r="AK33" i="29" s="1"/>
  <c r="AC81" i="29"/>
  <c r="AC117" i="29"/>
  <c r="Z126" i="29"/>
  <c r="AA126" i="29" s="1"/>
  <c r="Y157" i="29"/>
  <c r="AG157" i="29" s="1"/>
  <c r="AH157" i="29" s="1"/>
  <c r="AD291" i="29"/>
  <c r="AE291" i="29" s="1"/>
  <c r="AC307" i="29"/>
  <c r="Z309" i="29"/>
  <c r="AA309" i="29" s="1"/>
  <c r="AD396" i="29"/>
  <c r="AE396" i="29" s="1"/>
  <c r="AJ471" i="29"/>
  <c r="AK471" i="29" s="1"/>
  <c r="AC611" i="29"/>
  <c r="Z643" i="29"/>
  <c r="AA643" i="29" s="1"/>
  <c r="AD679" i="29"/>
  <c r="AE679" i="29" s="1"/>
  <c r="AG756" i="29"/>
  <c r="AH756" i="29" s="1"/>
  <c r="Z770" i="29"/>
  <c r="AA770" i="29" s="1"/>
  <c r="Z852" i="29"/>
  <c r="AA852" i="29" s="1"/>
  <c r="AC881" i="29"/>
  <c r="AC978" i="29"/>
  <c r="AC991" i="29"/>
  <c r="O564" i="29"/>
  <c r="Q564" i="29" s="1"/>
  <c r="O16" i="29"/>
  <c r="Q16" i="29" s="1"/>
  <c r="O22" i="29"/>
  <c r="Q22" i="29" s="1"/>
  <c r="AJ70" i="29"/>
  <c r="AK70" i="29" s="1"/>
  <c r="Y114" i="29"/>
  <c r="AG114" i="29" s="1"/>
  <c r="AH114" i="29" s="1"/>
  <c r="AM117" i="29"/>
  <c r="AN117" i="29" s="1"/>
  <c r="Z129" i="29"/>
  <c r="AA129" i="29" s="1"/>
  <c r="Z141" i="29"/>
  <c r="AA141" i="29" s="1"/>
  <c r="Z144" i="29"/>
  <c r="AA144" i="29" s="1"/>
  <c r="Z150" i="29"/>
  <c r="AA150" i="29" s="1"/>
  <c r="AG219" i="29"/>
  <c r="AH219" i="29" s="1"/>
  <c r="AC296" i="29"/>
  <c r="AM309" i="29"/>
  <c r="AN309" i="29" s="1"/>
  <c r="AC424" i="29"/>
  <c r="AM452" i="29"/>
  <c r="AN452" i="29" s="1"/>
  <c r="AM458" i="29"/>
  <c r="AN458" i="29" s="1"/>
  <c r="AG538" i="29"/>
  <c r="AH538" i="29" s="1"/>
  <c r="AC568" i="29"/>
  <c r="O609" i="29"/>
  <c r="Q609" i="29" s="1"/>
  <c r="AM611" i="29"/>
  <c r="AN611" i="29" s="1"/>
  <c r="AM615" i="29"/>
  <c r="AN615" i="29" s="1"/>
  <c r="AC712" i="29"/>
  <c r="AJ729" i="29"/>
  <c r="AK729" i="29" s="1"/>
  <c r="AJ742" i="29"/>
  <c r="AK742" i="29" s="1"/>
  <c r="O814" i="29"/>
  <c r="Q814" i="29" s="1"/>
  <c r="O841" i="29"/>
  <c r="Q841" i="29" s="1"/>
  <c r="AG881" i="29"/>
  <c r="AH881" i="29" s="1"/>
  <c r="AC918" i="29"/>
  <c r="AD978" i="29"/>
  <c r="AE978" i="29" s="1"/>
  <c r="Z1028" i="29"/>
  <c r="AA1028" i="29" s="1"/>
  <c r="Z84" i="29"/>
  <c r="AA84" i="29" s="1"/>
  <c r="AC89" i="29"/>
  <c r="AC92" i="29"/>
  <c r="P107" i="29"/>
  <c r="Y109" i="29"/>
  <c r="AM109" i="29" s="1"/>
  <c r="AN109" i="29" s="1"/>
  <c r="AJ132" i="29"/>
  <c r="AK132" i="29" s="1"/>
  <c r="Y182" i="29"/>
  <c r="Z182" i="29" s="1"/>
  <c r="AA182" i="29" s="1"/>
  <c r="O197" i="29"/>
  <c r="Q197" i="29" s="1"/>
  <c r="Y214" i="29"/>
  <c r="AG214" i="29" s="1"/>
  <c r="AH214" i="29" s="1"/>
  <c r="O249" i="29"/>
  <c r="Q249" i="29" s="1"/>
  <c r="Y273" i="29"/>
  <c r="AJ273" i="29" s="1"/>
  <c r="AK273" i="29" s="1"/>
  <c r="AJ296" i="29"/>
  <c r="AK296" i="29" s="1"/>
  <c r="O322" i="29"/>
  <c r="Q322" i="29" s="1"/>
  <c r="O337" i="29"/>
  <c r="Q337" i="29" s="1"/>
  <c r="O342" i="29"/>
  <c r="Q342" i="29" s="1"/>
  <c r="AC433" i="29"/>
  <c r="O436" i="29"/>
  <c r="Q436" i="29" s="1"/>
  <c r="AC441" i="29"/>
  <c r="AC461" i="29"/>
  <c r="AJ480" i="29"/>
  <c r="AK480" i="29" s="1"/>
  <c r="O494" i="29"/>
  <c r="Q494" i="29" s="1"/>
  <c r="AC501" i="29"/>
  <c r="AJ566" i="29"/>
  <c r="AK566" i="29" s="1"/>
  <c r="Z568" i="29"/>
  <c r="AA568" i="29" s="1"/>
  <c r="Y609" i="29"/>
  <c r="AJ609" i="29" s="1"/>
  <c r="AK609" i="29" s="1"/>
  <c r="AG611" i="29"/>
  <c r="AH611" i="29" s="1"/>
  <c r="O696" i="29"/>
  <c r="Q696" i="29" s="1"/>
  <c r="O699" i="29"/>
  <c r="Q699" i="29" s="1"/>
  <c r="Y701" i="29"/>
  <c r="AM701" i="29" s="1"/>
  <c r="AN701" i="29" s="1"/>
  <c r="O710" i="29"/>
  <c r="Q710" i="29" s="1"/>
  <c r="AC968" i="29"/>
  <c r="AM1021" i="29"/>
  <c r="AN1021" i="29" s="1"/>
  <c r="AD1028" i="29"/>
  <c r="AE1028" i="29" s="1"/>
  <c r="O821" i="29"/>
  <c r="Q821" i="29" s="1"/>
  <c r="O79" i="29"/>
  <c r="Q79" i="29" s="1"/>
  <c r="P156" i="29"/>
  <c r="Y217" i="29"/>
  <c r="AM217" i="29" s="1"/>
  <c r="AN217" i="29" s="1"/>
  <c r="P249" i="29"/>
  <c r="AC310" i="29"/>
  <c r="Z334" i="29"/>
  <c r="AA334" i="29" s="1"/>
  <c r="Z337" i="29"/>
  <c r="AA337" i="29" s="1"/>
  <c r="Y375" i="29"/>
  <c r="AC375" i="29" s="1"/>
  <c r="P436" i="29"/>
  <c r="P469" i="29"/>
  <c r="O472" i="29"/>
  <c r="Q472" i="29" s="1"/>
  <c r="O475" i="29"/>
  <c r="Q475" i="29" s="1"/>
  <c r="Z510" i="29"/>
  <c r="AA510" i="29" s="1"/>
  <c r="O513" i="29"/>
  <c r="Q513" i="29" s="1"/>
  <c r="AM566" i="29"/>
  <c r="AN566" i="29" s="1"/>
  <c r="AD568" i="29"/>
  <c r="AE568" i="29" s="1"/>
  <c r="AC668" i="29"/>
  <c r="O757" i="29"/>
  <c r="Q757" i="29" s="1"/>
  <c r="O762" i="29"/>
  <c r="Q762" i="29" s="1"/>
  <c r="AC788" i="29"/>
  <c r="AD868" i="29"/>
  <c r="AE868" i="29" s="1"/>
  <c r="AD872" i="29"/>
  <c r="AE872" i="29" s="1"/>
  <c r="Z882" i="29"/>
  <c r="AA882" i="29" s="1"/>
  <c r="AJ953" i="29"/>
  <c r="AK953" i="29" s="1"/>
  <c r="O620" i="29"/>
  <c r="Q620" i="29" s="1"/>
  <c r="Y14" i="29"/>
  <c r="AJ14" i="29" s="1"/>
  <c r="AK14" i="29" s="1"/>
  <c r="AJ31" i="29"/>
  <c r="AK31" i="29" s="1"/>
  <c r="O127" i="29"/>
  <c r="Q127" i="29" s="1"/>
  <c r="O133" i="29"/>
  <c r="Q133" i="29" s="1"/>
  <c r="AC156" i="29"/>
  <c r="Y246" i="29"/>
  <c r="Z246" i="29" s="1"/>
  <c r="AA246" i="29" s="1"/>
  <c r="AJ301" i="29"/>
  <c r="AK301" i="29" s="1"/>
  <c r="O420" i="29"/>
  <c r="Q420" i="29" s="1"/>
  <c r="AC436" i="29"/>
  <c r="O456" i="29"/>
  <c r="Q456" i="29" s="1"/>
  <c r="AC513" i="29"/>
  <c r="AM678" i="29"/>
  <c r="AN678" i="29" s="1"/>
  <c r="P757" i="29"/>
  <c r="Z762" i="29"/>
  <c r="AA762" i="29" s="1"/>
  <c r="AM788" i="29"/>
  <c r="AN788" i="29" s="1"/>
  <c r="AJ834" i="29"/>
  <c r="AK834" i="29" s="1"/>
  <c r="O842" i="29"/>
  <c r="Q842" i="29" s="1"/>
  <c r="AG868" i="29"/>
  <c r="AH868" i="29" s="1"/>
  <c r="Z884" i="29"/>
  <c r="AA884" i="29" s="1"/>
  <c r="O387" i="29"/>
  <c r="Q387" i="29" s="1"/>
  <c r="O759" i="29"/>
  <c r="Q759" i="29" s="1"/>
  <c r="AC107" i="29"/>
  <c r="Z169" i="29"/>
  <c r="AA169" i="29" s="1"/>
  <c r="AC197" i="29"/>
  <c r="P274" i="29"/>
  <c r="O434" i="29"/>
  <c r="Q434" i="29" s="1"/>
  <c r="P459" i="29"/>
  <c r="Y494" i="29"/>
  <c r="AC494" i="29" s="1"/>
  <c r="AC510" i="29"/>
  <c r="Z542" i="29"/>
  <c r="AA542" i="29" s="1"/>
  <c r="O556" i="29"/>
  <c r="Q556" i="29" s="1"/>
  <c r="O639" i="29"/>
  <c r="Q639" i="29" s="1"/>
  <c r="O760" i="29"/>
  <c r="Q760" i="29" s="1"/>
  <c r="AM812" i="29"/>
  <c r="AN812" i="29" s="1"/>
  <c r="P819" i="29"/>
  <c r="AJ893" i="29"/>
  <c r="AK893" i="29" s="1"/>
  <c r="AD924" i="29"/>
  <c r="AE924" i="29" s="1"/>
  <c r="AM977" i="29"/>
  <c r="AN977" i="29" s="1"/>
  <c r="Y68" i="29"/>
  <c r="AC68" i="29" s="1"/>
  <c r="AD310" i="29"/>
  <c r="AE310" i="29" s="1"/>
  <c r="Z594" i="29"/>
  <c r="AA594" i="29" s="1"/>
  <c r="P639" i="29"/>
  <c r="AG678" i="29"/>
  <c r="AH678" i="29" s="1"/>
  <c r="AC765" i="29"/>
  <c r="AG1029" i="29"/>
  <c r="AH1029" i="29" s="1"/>
  <c r="O107" i="29"/>
  <c r="Q107" i="29" s="1"/>
  <c r="O246" i="29"/>
  <c r="Q246" i="29" s="1"/>
  <c r="O501" i="29"/>
  <c r="Q501" i="29" s="1"/>
  <c r="AD1002" i="29"/>
  <c r="AE1002" i="29" s="1"/>
  <c r="Y23" i="29"/>
  <c r="AJ23" i="29" s="1"/>
  <c r="AK23" i="29" s="1"/>
  <c r="P60" i="29"/>
  <c r="AD83" i="29"/>
  <c r="AE83" i="29" s="1"/>
  <c r="AM288" i="29"/>
  <c r="AN288" i="29" s="1"/>
  <c r="P323" i="29"/>
  <c r="AJ610" i="29"/>
  <c r="AK610" i="29" s="1"/>
  <c r="AM705" i="29"/>
  <c r="AN705" i="29" s="1"/>
  <c r="O717" i="29"/>
  <c r="Q717" i="29" s="1"/>
  <c r="AD719" i="29"/>
  <c r="AE719" i="29" s="1"/>
  <c r="O763" i="29"/>
  <c r="Q763" i="29" s="1"/>
  <c r="AM765" i="29"/>
  <c r="AN765" i="29" s="1"/>
  <c r="Z927" i="29"/>
  <c r="AA927" i="29" s="1"/>
  <c r="O507" i="29"/>
  <c r="Q507" i="29" s="1"/>
  <c r="AC85" i="29"/>
  <c r="O184" i="29"/>
  <c r="Q184" i="29" s="1"/>
  <c r="AD386" i="29"/>
  <c r="AE386" i="29" s="1"/>
  <c r="Y434" i="29"/>
  <c r="AD434" i="29" s="1"/>
  <c r="AE434" i="29" s="1"/>
  <c r="AM490" i="29"/>
  <c r="AN490" i="29" s="1"/>
  <c r="O527" i="29"/>
  <c r="Q527" i="29" s="1"/>
  <c r="O679" i="29"/>
  <c r="Q679" i="29" s="1"/>
  <c r="AG694" i="29"/>
  <c r="AH694" i="29" s="1"/>
  <c r="P840" i="29"/>
  <c r="AJ1008" i="29"/>
  <c r="AK1008" i="29" s="1"/>
  <c r="O1023" i="29"/>
  <c r="Q1023" i="29" s="1"/>
  <c r="O92" i="29"/>
  <c r="Q92" i="29" s="1"/>
  <c r="O319" i="29"/>
  <c r="Q319" i="29" s="1"/>
  <c r="Y15" i="29"/>
  <c r="AJ15" i="29" s="1"/>
  <c r="AK15" i="29" s="1"/>
  <c r="Y32" i="29"/>
  <c r="AJ32" i="29" s="1"/>
  <c r="AK32" i="29" s="1"/>
  <c r="P72" i="29"/>
  <c r="AM85" i="29"/>
  <c r="AN85" i="29" s="1"/>
  <c r="AG253" i="29"/>
  <c r="AH253" i="29" s="1"/>
  <c r="Z258" i="29"/>
  <c r="AA258" i="29" s="1"/>
  <c r="P280" i="29"/>
  <c r="P318" i="29"/>
  <c r="AG463" i="29"/>
  <c r="AH463" i="29" s="1"/>
  <c r="AC527" i="29"/>
  <c r="P538" i="29"/>
  <c r="AM551" i="29"/>
  <c r="AN551" i="29" s="1"/>
  <c r="Z582" i="29"/>
  <c r="AA582" i="29" s="1"/>
  <c r="Z590" i="29"/>
  <c r="AA590" i="29" s="1"/>
  <c r="O758" i="29"/>
  <c r="Q758" i="29" s="1"/>
  <c r="O761" i="29"/>
  <c r="Q761" i="29" s="1"/>
  <c r="AJ765" i="29"/>
  <c r="AK765" i="29" s="1"/>
  <c r="O770" i="29"/>
  <c r="Q770" i="29" s="1"/>
  <c r="O773" i="29"/>
  <c r="Q773" i="29" s="1"/>
  <c r="AD883" i="29"/>
  <c r="AE883" i="29" s="1"/>
  <c r="AJ894" i="29"/>
  <c r="AK894" i="29" s="1"/>
  <c r="AD925" i="29"/>
  <c r="AE925" i="29" s="1"/>
  <c r="AD927" i="29"/>
  <c r="AE927" i="29" s="1"/>
  <c r="AM993" i="29"/>
  <c r="AN993" i="29" s="1"/>
  <c r="AC62" i="29"/>
  <c r="AB214" i="29"/>
  <c r="O34" i="29"/>
  <c r="Q34" i="29" s="1"/>
  <c r="O53" i="29"/>
  <c r="Q53" i="29" s="1"/>
  <c r="P55" i="29"/>
  <c r="O81" i="29"/>
  <c r="Q81" i="29" s="1"/>
  <c r="AM652" i="29"/>
  <c r="AN652" i="29" s="1"/>
  <c r="AD652" i="29"/>
  <c r="AE652" i="29" s="1"/>
  <c r="AM706" i="29"/>
  <c r="AN706" i="29" s="1"/>
  <c r="AJ706" i="29"/>
  <c r="AK706" i="29" s="1"/>
  <c r="AG706" i="29"/>
  <c r="AH706" i="29" s="1"/>
  <c r="O24" i="29"/>
  <c r="Q24" i="29" s="1"/>
  <c r="O32" i="29"/>
  <c r="Q32" i="29" s="1"/>
  <c r="P34" i="29"/>
  <c r="Y42" i="29"/>
  <c r="AJ42" i="29" s="1"/>
  <c r="AK42" i="29" s="1"/>
  <c r="P65" i="29"/>
  <c r="AD77" i="29"/>
  <c r="AE77" i="29" s="1"/>
  <c r="P81" i="29"/>
  <c r="Z92" i="29"/>
  <c r="AA92" i="29" s="1"/>
  <c r="P118" i="29"/>
  <c r="Y118" i="29"/>
  <c r="AD118" i="29" s="1"/>
  <c r="AE118" i="29" s="1"/>
  <c r="Y268" i="29"/>
  <c r="AM268" i="29" s="1"/>
  <c r="AN268" i="29" s="1"/>
  <c r="P268" i="29"/>
  <c r="AM866" i="29"/>
  <c r="AN866" i="29" s="1"/>
  <c r="AJ866" i="29"/>
  <c r="AK866" i="29" s="1"/>
  <c r="AG866" i="29"/>
  <c r="AH866" i="29" s="1"/>
  <c r="O14" i="29"/>
  <c r="Q14" i="29" s="1"/>
  <c r="P16" i="29"/>
  <c r="Z50" i="29"/>
  <c r="AA50" i="29" s="1"/>
  <c r="P70" i="29"/>
  <c r="AG72" i="29"/>
  <c r="AH72" i="29" s="1"/>
  <c r="P79" i="29"/>
  <c r="AD88" i="29"/>
  <c r="AE88" i="29" s="1"/>
  <c r="Z159" i="29"/>
  <c r="AA159" i="29" s="1"/>
  <c r="AJ159" i="29"/>
  <c r="AK159" i="29" s="1"/>
  <c r="AB577" i="29"/>
  <c r="AC577" i="29" s="1"/>
  <c r="Z577" i="29"/>
  <c r="AA577" i="29" s="1"/>
  <c r="AJ926" i="29"/>
  <c r="AK926" i="29" s="1"/>
  <c r="Z926" i="29"/>
  <c r="AA926" i="29" s="1"/>
  <c r="Y29" i="29"/>
  <c r="AJ29" i="29" s="1"/>
  <c r="AK29" i="29" s="1"/>
  <c r="O63" i="29"/>
  <c r="Q63" i="29" s="1"/>
  <c r="AC70" i="29"/>
  <c r="O75" i="29"/>
  <c r="Q75" i="29" s="1"/>
  <c r="P77" i="29"/>
  <c r="AM83" i="29"/>
  <c r="AN83" i="29" s="1"/>
  <c r="Y90" i="29"/>
  <c r="AG90" i="29" s="1"/>
  <c r="AH90" i="29" s="1"/>
  <c r="AD550" i="29"/>
  <c r="AE550" i="29" s="1"/>
  <c r="AB596" i="29"/>
  <c r="AC596" i="29" s="1"/>
  <c r="Z596" i="29"/>
  <c r="AA596" i="29" s="1"/>
  <c r="AC43" i="29"/>
  <c r="O56" i="29"/>
  <c r="Q56" i="29" s="1"/>
  <c r="AM70" i="29"/>
  <c r="AN70" i="29" s="1"/>
  <c r="P75" i="29"/>
  <c r="AC77" i="29"/>
  <c r="AM79" i="29"/>
  <c r="AN79" i="29" s="1"/>
  <c r="AD85" i="29"/>
  <c r="AE85" i="29" s="1"/>
  <c r="AC88" i="29"/>
  <c r="AM575" i="29"/>
  <c r="AN575" i="29" s="1"/>
  <c r="AJ575" i="29"/>
  <c r="AK575" i="29" s="1"/>
  <c r="Y634" i="29"/>
  <c r="Z634" i="29" s="1"/>
  <c r="AA634" i="29" s="1"/>
  <c r="P634" i="29"/>
  <c r="AJ22" i="29"/>
  <c r="AK22" i="29" s="1"/>
  <c r="O33" i="29"/>
  <c r="Q33" i="29" s="1"/>
  <c r="Y63" i="29"/>
  <c r="AD63" i="29" s="1"/>
  <c r="AE63" i="29" s="1"/>
  <c r="O66" i="29"/>
  <c r="Q66" i="29" s="1"/>
  <c r="AJ82" i="29"/>
  <c r="AK82" i="29" s="1"/>
  <c r="P190" i="29"/>
  <c r="Y190" i="29"/>
  <c r="AM190" i="29" s="1"/>
  <c r="AN190" i="29" s="1"/>
  <c r="Y374" i="29"/>
  <c r="AD374" i="29" s="1"/>
  <c r="AE374" i="29" s="1"/>
  <c r="P374" i="29"/>
  <c r="AJ733" i="29"/>
  <c r="AK733" i="29" s="1"/>
  <c r="AD733" i="29"/>
  <c r="AE733" i="29" s="1"/>
  <c r="O25" i="29"/>
  <c r="Q25" i="29" s="1"/>
  <c r="P33" i="29"/>
  <c r="O49" i="29"/>
  <c r="Q49" i="29" s="1"/>
  <c r="AC59" i="29"/>
  <c r="O80" i="29"/>
  <c r="Q80" i="29" s="1"/>
  <c r="P103" i="29"/>
  <c r="Y103" i="29"/>
  <c r="AM103" i="29" s="1"/>
  <c r="AN103" i="29" s="1"/>
  <c r="AB437" i="29"/>
  <c r="AC437" i="29" s="1"/>
  <c r="Z437" i="29"/>
  <c r="AA437" i="29" s="1"/>
  <c r="P25" i="29"/>
  <c r="Y38" i="29"/>
  <c r="AJ38" i="29" s="1"/>
  <c r="AK38" i="29" s="1"/>
  <c r="AJ46" i="29"/>
  <c r="AK46" i="29" s="1"/>
  <c r="Y56" i="29"/>
  <c r="AC56" i="29" s="1"/>
  <c r="Y61" i="29"/>
  <c r="AJ61" i="29" s="1"/>
  <c r="AK61" i="29" s="1"/>
  <c r="P80" i="29"/>
  <c r="O94" i="29"/>
  <c r="Q94" i="29" s="1"/>
  <c r="O100" i="29"/>
  <c r="Q100" i="29" s="1"/>
  <c r="AB894" i="29"/>
  <c r="AC894" i="29" s="1"/>
  <c r="Z894" i="29"/>
  <c r="AA894" i="29" s="1"/>
  <c r="AJ929" i="29"/>
  <c r="AK929" i="29" s="1"/>
  <c r="AD929" i="29"/>
  <c r="AE929" i="29" s="1"/>
  <c r="Y20" i="29"/>
  <c r="AJ20" i="29" s="1"/>
  <c r="AK20" i="29" s="1"/>
  <c r="O31" i="29"/>
  <c r="Q31" i="29" s="1"/>
  <c r="AD33" i="29"/>
  <c r="AE33" i="29" s="1"/>
  <c r="O36" i="29"/>
  <c r="Q36" i="29" s="1"/>
  <c r="Y66" i="29"/>
  <c r="AD66" i="29" s="1"/>
  <c r="AE66" i="29" s="1"/>
  <c r="AC80" i="29"/>
  <c r="P82" i="29"/>
  <c r="AD302" i="29"/>
  <c r="AE302" i="29" s="1"/>
  <c r="P606" i="29"/>
  <c r="Y606" i="29"/>
  <c r="AJ606" i="29" s="1"/>
  <c r="AK606" i="29" s="1"/>
  <c r="P13" i="29"/>
  <c r="AC31" i="29"/>
  <c r="O42" i="29"/>
  <c r="Q42" i="29" s="1"/>
  <c r="AM80" i="29"/>
  <c r="AN80" i="29" s="1"/>
  <c r="P92" i="29"/>
  <c r="AG300" i="29"/>
  <c r="AH300" i="29" s="1"/>
  <c r="O103" i="29"/>
  <c r="Q103" i="29" s="1"/>
  <c r="O108" i="29"/>
  <c r="Q108" i="29" s="1"/>
  <c r="P113" i="29"/>
  <c r="O118" i="29"/>
  <c r="Q118" i="29" s="1"/>
  <c r="O129" i="29"/>
  <c r="Q129" i="29" s="1"/>
  <c r="Y142" i="29"/>
  <c r="AG142" i="29" s="1"/>
  <c r="AH142" i="29" s="1"/>
  <c r="AC153" i="29"/>
  <c r="Y170" i="29"/>
  <c r="Z170" i="29" s="1"/>
  <c r="AA170" i="29" s="1"/>
  <c r="O173" i="29"/>
  <c r="Q173" i="29" s="1"/>
  <c r="O176" i="29"/>
  <c r="Q176" i="29" s="1"/>
  <c r="O190" i="29"/>
  <c r="Q190" i="29" s="1"/>
  <c r="AM224" i="29"/>
  <c r="AN224" i="29" s="1"/>
  <c r="O236" i="29"/>
  <c r="Q236" i="29" s="1"/>
  <c r="O268" i="29"/>
  <c r="Q268" i="29" s="1"/>
  <c r="AJ310" i="29"/>
  <c r="AK310" i="29" s="1"/>
  <c r="O321" i="29"/>
  <c r="Q321" i="29" s="1"/>
  <c r="O352" i="29"/>
  <c r="Q352" i="29" s="1"/>
  <c r="Y357" i="29"/>
  <c r="AC357" i="29" s="1"/>
  <c r="AC379" i="29"/>
  <c r="O419" i="29"/>
  <c r="Q419" i="29" s="1"/>
  <c r="P439" i="29"/>
  <c r="O460" i="29"/>
  <c r="Q460" i="29" s="1"/>
  <c r="O468" i="29"/>
  <c r="Q468" i="29" s="1"/>
  <c r="AM487" i="29"/>
  <c r="AN487" i="29" s="1"/>
  <c r="P489" i="29"/>
  <c r="P507" i="29"/>
  <c r="Z550" i="29"/>
  <c r="AA550" i="29" s="1"/>
  <c r="AM577" i="29"/>
  <c r="AN577" i="29" s="1"/>
  <c r="AD590" i="29"/>
  <c r="AE590" i="29" s="1"/>
  <c r="AM594" i="29"/>
  <c r="AN594" i="29" s="1"/>
  <c r="AM596" i="29"/>
  <c r="AN596" i="29" s="1"/>
  <c r="O601" i="29"/>
  <c r="Q601" i="29" s="1"/>
  <c r="O606" i="29"/>
  <c r="Q606" i="29" s="1"/>
  <c r="O634" i="29"/>
  <c r="Q634" i="29" s="1"/>
  <c r="O658" i="29"/>
  <c r="Q658" i="29" s="1"/>
  <c r="O670" i="29"/>
  <c r="Q670" i="29" s="1"/>
  <c r="O672" i="29"/>
  <c r="Q672" i="29" s="1"/>
  <c r="AC676" i="29"/>
  <c r="AJ708" i="29"/>
  <c r="AK708" i="29" s="1"/>
  <c r="O714" i="29"/>
  <c r="Q714" i="29" s="1"/>
  <c r="AJ717" i="29"/>
  <c r="AK717" i="29" s="1"/>
  <c r="AG721" i="29"/>
  <c r="AH721" i="29" s="1"/>
  <c r="O749" i="29"/>
  <c r="Q749" i="29" s="1"/>
  <c r="O751" i="29"/>
  <c r="Q751" i="29" s="1"/>
  <c r="O756" i="29"/>
  <c r="Q756" i="29" s="1"/>
  <c r="AM766" i="29"/>
  <c r="AN766" i="29" s="1"/>
  <c r="AG767" i="29"/>
  <c r="AH767" i="29" s="1"/>
  <c r="Y772" i="29"/>
  <c r="AC772" i="29" s="1"/>
  <c r="O808" i="29"/>
  <c r="Q808" i="29" s="1"/>
  <c r="Z823" i="29"/>
  <c r="AA823" i="29" s="1"/>
  <c r="AC829" i="29"/>
  <c r="Z834" i="29"/>
  <c r="AA834" i="29" s="1"/>
  <c r="AC840" i="29"/>
  <c r="O843" i="29"/>
  <c r="Q843" i="29" s="1"/>
  <c r="AC858" i="29"/>
  <c r="Z876" i="29"/>
  <c r="AA876" i="29" s="1"/>
  <c r="Z886" i="29"/>
  <c r="AA886" i="29" s="1"/>
  <c r="AD910" i="29"/>
  <c r="AE910" i="29" s="1"/>
  <c r="Z933" i="29"/>
  <c r="AA933" i="29" s="1"/>
  <c r="AC969" i="29"/>
  <c r="AM973" i="29"/>
  <c r="AN973" i="29" s="1"/>
  <c r="Z979" i="29"/>
  <c r="AA979" i="29" s="1"/>
  <c r="AC1026" i="29"/>
  <c r="AC113" i="29"/>
  <c r="O132" i="29"/>
  <c r="Q132" i="29" s="1"/>
  <c r="O179" i="29"/>
  <c r="Q179" i="29" s="1"/>
  <c r="O182" i="29"/>
  <c r="Q182" i="29" s="1"/>
  <c r="AC236" i="29"/>
  <c r="O273" i="29"/>
  <c r="Q273" i="29" s="1"/>
  <c r="AC382" i="29"/>
  <c r="AC385" i="29"/>
  <c r="AC430" i="29"/>
  <c r="O463" i="29"/>
  <c r="Q463" i="29" s="1"/>
  <c r="AC479" i="29"/>
  <c r="Z507" i="29"/>
  <c r="AA507" i="29" s="1"/>
  <c r="AG590" i="29"/>
  <c r="AH590" i="29" s="1"/>
  <c r="AD616" i="29"/>
  <c r="AE616" i="29" s="1"/>
  <c r="Z658" i="29"/>
  <c r="AA658" i="29" s="1"/>
  <c r="AM676" i="29"/>
  <c r="AN676" i="29" s="1"/>
  <c r="P697" i="29"/>
  <c r="O702" i="29"/>
  <c r="Q702" i="29" s="1"/>
  <c r="AC709" i="29"/>
  <c r="Z719" i="29"/>
  <c r="AA719" i="29" s="1"/>
  <c r="Y760" i="29"/>
  <c r="AM760" i="29" s="1"/>
  <c r="AN760" i="29" s="1"/>
  <c r="AC775" i="29"/>
  <c r="Z777" i="29"/>
  <c r="AA777" i="29" s="1"/>
  <c r="O788" i="29"/>
  <c r="Q788" i="29" s="1"/>
  <c r="AJ791" i="29"/>
  <c r="AK791" i="29" s="1"/>
  <c r="AD819" i="29"/>
  <c r="AE819" i="29" s="1"/>
  <c r="AM829" i="29"/>
  <c r="AN829" i="29" s="1"/>
  <c r="AM834" i="29"/>
  <c r="AN834" i="29" s="1"/>
  <c r="AM840" i="29"/>
  <c r="AN840" i="29" s="1"/>
  <c r="AG858" i="29"/>
  <c r="AH858" i="29" s="1"/>
  <c r="AJ876" i="29"/>
  <c r="AK876" i="29" s="1"/>
  <c r="AC945" i="29"/>
  <c r="Z953" i="29"/>
  <c r="AA953" i="29" s="1"/>
  <c r="AC965" i="29"/>
  <c r="AM969" i="29"/>
  <c r="AN969" i="29" s="1"/>
  <c r="AC977" i="29"/>
  <c r="AC990" i="29"/>
  <c r="AC992" i="29"/>
  <c r="AG996" i="29"/>
  <c r="AH996" i="29" s="1"/>
  <c r="AC1005" i="29"/>
  <c r="AM1026" i="29"/>
  <c r="AN1026" i="29" s="1"/>
  <c r="O106" i="29"/>
  <c r="Q106" i="29" s="1"/>
  <c r="AJ113" i="29"/>
  <c r="AK113" i="29" s="1"/>
  <c r="P132" i="29"/>
  <c r="AM159" i="29"/>
  <c r="AN159" i="29" s="1"/>
  <c r="AD236" i="29"/>
  <c r="AE236" i="29" s="1"/>
  <c r="O242" i="29"/>
  <c r="Q242" i="29" s="1"/>
  <c r="AD288" i="29"/>
  <c r="AE288" i="29" s="1"/>
  <c r="AC299" i="29"/>
  <c r="Y316" i="29"/>
  <c r="AJ316" i="29" s="1"/>
  <c r="AK316" i="29" s="1"/>
  <c r="AM352" i="29"/>
  <c r="AN352" i="29" s="1"/>
  <c r="Z355" i="29"/>
  <c r="AA355" i="29" s="1"/>
  <c r="O361" i="29"/>
  <c r="Q361" i="29" s="1"/>
  <c r="AM385" i="29"/>
  <c r="AN385" i="29" s="1"/>
  <c r="Z424" i="29"/>
  <c r="AA424" i="29" s="1"/>
  <c r="P428" i="29"/>
  <c r="AG468" i="29"/>
  <c r="AH468" i="29" s="1"/>
  <c r="O558" i="29"/>
  <c r="Q558" i="29" s="1"/>
  <c r="AC566" i="29"/>
  <c r="AJ590" i="29"/>
  <c r="AK590" i="29" s="1"/>
  <c r="AD594" i="29"/>
  <c r="AE594" i="29" s="1"/>
  <c r="AD622" i="29"/>
  <c r="AE622" i="29" s="1"/>
  <c r="AM663" i="29"/>
  <c r="AN663" i="29" s="1"/>
  <c r="AD709" i="29"/>
  <c r="AE709" i="29" s="1"/>
  <c r="P717" i="29"/>
  <c r="AM719" i="29"/>
  <c r="AN719" i="29" s="1"/>
  <c r="Z726" i="29"/>
  <c r="AA726" i="29" s="1"/>
  <c r="AC728" i="29"/>
  <c r="Z730" i="29"/>
  <c r="AA730" i="29" s="1"/>
  <c r="O185" i="29"/>
  <c r="Q185" i="29" s="1"/>
  <c r="O220" i="29"/>
  <c r="Q220" i="29" s="1"/>
  <c r="AJ236" i="29"/>
  <c r="AK236" i="29" s="1"/>
  <c r="AC260" i="29"/>
  <c r="O263" i="29"/>
  <c r="Q263" i="29" s="1"/>
  <c r="AC291" i="29"/>
  <c r="AC293" i="29"/>
  <c r="AM295" i="29"/>
  <c r="AN295" i="29" s="1"/>
  <c r="AM299" i="29"/>
  <c r="AN299" i="29" s="1"/>
  <c r="AG312" i="29"/>
  <c r="AH312" i="29" s="1"/>
  <c r="P372" i="29"/>
  <c r="P377" i="29"/>
  <c r="Z391" i="29"/>
  <c r="AA391" i="29" s="1"/>
  <c r="O433" i="29"/>
  <c r="Q433" i="29" s="1"/>
  <c r="AM463" i="29"/>
  <c r="AN463" i="29" s="1"/>
  <c r="P502" i="29"/>
  <c r="O510" i="29"/>
  <c r="Q510" i="29" s="1"/>
  <c r="AJ529" i="29"/>
  <c r="AK529" i="29" s="1"/>
  <c r="AG594" i="29"/>
  <c r="AH594" i="29" s="1"/>
  <c r="AD596" i="29"/>
  <c r="AE596" i="29" s="1"/>
  <c r="O604" i="29"/>
  <c r="Q604" i="29" s="1"/>
  <c r="AG622" i="29"/>
  <c r="AH622" i="29" s="1"/>
  <c r="O629" i="29"/>
  <c r="Q629" i="29" s="1"/>
  <c r="O668" i="29"/>
  <c r="Q668" i="29" s="1"/>
  <c r="O690" i="29"/>
  <c r="Q690" i="29" s="1"/>
  <c r="P700" i="29"/>
  <c r="O747" i="29"/>
  <c r="Q747" i="29" s="1"/>
  <c r="P763" i="29"/>
  <c r="AG766" i="29"/>
  <c r="AH766" i="29" s="1"/>
  <c r="P773" i="29"/>
  <c r="AC791" i="29"/>
  <c r="O794" i="29"/>
  <c r="Q794" i="29" s="1"/>
  <c r="O797" i="29"/>
  <c r="Q797" i="29" s="1"/>
  <c r="O803" i="29"/>
  <c r="Q803" i="29" s="1"/>
  <c r="O820" i="29"/>
  <c r="Q820" i="29" s="1"/>
  <c r="AB823" i="29"/>
  <c r="AC823" i="29" s="1"/>
  <c r="AG834" i="29"/>
  <c r="AH834" i="29" s="1"/>
  <c r="Z863" i="29"/>
  <c r="AA863" i="29" s="1"/>
  <c r="AC876" i="29"/>
  <c r="Z887" i="29"/>
  <c r="AA887" i="29" s="1"/>
  <c r="AC900" i="29"/>
  <c r="AC928" i="29"/>
  <c r="O930" i="29"/>
  <c r="Q930" i="29" s="1"/>
  <c r="AC934" i="29"/>
  <c r="AG969" i="29"/>
  <c r="AH969" i="29" s="1"/>
  <c r="AC982" i="29"/>
  <c r="AM986" i="29"/>
  <c r="AN986" i="29" s="1"/>
  <c r="O1016" i="29"/>
  <c r="Q1016" i="29" s="1"/>
  <c r="O1019" i="29"/>
  <c r="Q1019" i="29" s="1"/>
  <c r="O1022" i="29"/>
  <c r="Q1022" i="29" s="1"/>
  <c r="AG1026" i="29"/>
  <c r="AH1026" i="29" s="1"/>
  <c r="AJ1028" i="29"/>
  <c r="AK1028" i="29" s="1"/>
  <c r="P138" i="29"/>
  <c r="Z317" i="29"/>
  <c r="AA317" i="29" s="1"/>
  <c r="Y321" i="29"/>
  <c r="AD321" i="29" s="1"/>
  <c r="AE321" i="29" s="1"/>
  <c r="P343" i="29"/>
  <c r="Y369" i="29"/>
  <c r="AG369" i="29" s="1"/>
  <c r="AH369" i="29" s="1"/>
  <c r="P380" i="29"/>
  <c r="AD389" i="29"/>
  <c r="AE389" i="29" s="1"/>
  <c r="AM391" i="29"/>
  <c r="AN391" i="29" s="1"/>
  <c r="Z448" i="29"/>
  <c r="AA448" i="29" s="1"/>
  <c r="O495" i="29"/>
  <c r="Q495" i="29" s="1"/>
  <c r="AJ532" i="29"/>
  <c r="AK532" i="29" s="1"/>
  <c r="AD537" i="29"/>
  <c r="AE537" i="29" s="1"/>
  <c r="AM568" i="29"/>
  <c r="AN568" i="29" s="1"/>
  <c r="O572" i="29"/>
  <c r="Q572" i="29" s="1"/>
  <c r="AD577" i="29"/>
  <c r="AE577" i="29" s="1"/>
  <c r="AM579" i="29"/>
  <c r="AN579" i="29" s="1"/>
  <c r="AM589" i="29"/>
  <c r="AN589" i="29" s="1"/>
  <c r="AJ596" i="29"/>
  <c r="AK596" i="29" s="1"/>
  <c r="O599" i="29"/>
  <c r="Q599" i="29" s="1"/>
  <c r="Z617" i="29"/>
  <c r="AA617" i="29" s="1"/>
  <c r="AM627" i="29"/>
  <c r="AN627" i="29" s="1"/>
  <c r="AG676" i="29"/>
  <c r="AH676" i="29" s="1"/>
  <c r="AC719" i="29"/>
  <c r="AM722" i="29"/>
  <c r="AN722" i="29" s="1"/>
  <c r="P759" i="29"/>
  <c r="AJ766" i="29"/>
  <c r="AK766" i="29" s="1"/>
  <c r="Z775" i="29"/>
  <c r="AA775" i="29" s="1"/>
  <c r="AC797" i="29"/>
  <c r="AC800" i="29"/>
  <c r="Z812" i="29"/>
  <c r="AA812" i="29" s="1"/>
  <c r="O847" i="29"/>
  <c r="Q847" i="29" s="1"/>
  <c r="AM852" i="29"/>
  <c r="AN852" i="29" s="1"/>
  <c r="AM854" i="29"/>
  <c r="AN854" i="29" s="1"/>
  <c r="AM863" i="29"/>
  <c r="AN863" i="29" s="1"/>
  <c r="AJ883" i="29"/>
  <c r="AK883" i="29" s="1"/>
  <c r="AM887" i="29"/>
  <c r="AN887" i="29" s="1"/>
  <c r="AG900" i="29"/>
  <c r="AH900" i="29" s="1"/>
  <c r="AC911" i="29"/>
  <c r="Z918" i="29"/>
  <c r="AA918" i="29" s="1"/>
  <c r="AG925" i="29"/>
  <c r="AH925" i="29" s="1"/>
  <c r="AC927" i="29"/>
  <c r="AG928" i="29"/>
  <c r="AH928" i="29" s="1"/>
  <c r="P930" i="29"/>
  <c r="AM934" i="29"/>
  <c r="AN934" i="29" s="1"/>
  <c r="AB953" i="29"/>
  <c r="AC953" i="29" s="1"/>
  <c r="AJ965" i="29"/>
  <c r="AK965" i="29" s="1"/>
  <c r="AM982" i="29"/>
  <c r="AN982" i="29" s="1"/>
  <c r="P141" i="29"/>
  <c r="P169" i="29"/>
  <c r="O193" i="29"/>
  <c r="Q193" i="29" s="1"/>
  <c r="O201" i="29"/>
  <c r="Q201" i="29" s="1"/>
  <c r="O210" i="29"/>
  <c r="Q210" i="29" s="1"/>
  <c r="O251" i="29"/>
  <c r="Q251" i="29" s="1"/>
  <c r="O253" i="29"/>
  <c r="Q253" i="29" s="1"/>
  <c r="O269" i="29"/>
  <c r="Q269" i="29" s="1"/>
  <c r="P271" i="29"/>
  <c r="P281" i="29"/>
  <c r="AD299" i="29"/>
  <c r="AE299" i="29" s="1"/>
  <c r="AD301" i="29"/>
  <c r="AE301" i="29" s="1"/>
  <c r="AJ309" i="29"/>
  <c r="AK309" i="29" s="1"/>
  <c r="AD338" i="29"/>
  <c r="AE338" i="29" s="1"/>
  <c r="P420" i="29"/>
  <c r="AD424" i="29"/>
  <c r="AE424" i="29" s="1"/>
  <c r="Z438" i="29"/>
  <c r="AA438" i="29" s="1"/>
  <c r="Y492" i="29"/>
  <c r="AG492" i="29" s="1"/>
  <c r="AH492" i="29" s="1"/>
  <c r="P527" i="29"/>
  <c r="AM542" i="29"/>
  <c r="AN542" i="29" s="1"/>
  <c r="AG566" i="29"/>
  <c r="AH566" i="29" s="1"/>
  <c r="Z572" i="29"/>
  <c r="AA572" i="29" s="1"/>
  <c r="AC576" i="29"/>
  <c r="AC621" i="29"/>
  <c r="Y637" i="29"/>
  <c r="AD637" i="29" s="1"/>
  <c r="AE637" i="29" s="1"/>
  <c r="AC651" i="29"/>
  <c r="AD678" i="29"/>
  <c r="AE678" i="29" s="1"/>
  <c r="O698" i="29"/>
  <c r="Q698" i="29" s="1"/>
  <c r="O703" i="29"/>
  <c r="Q703" i="29" s="1"/>
  <c r="AG726" i="29"/>
  <c r="AH726" i="29" s="1"/>
  <c r="AD728" i="29"/>
  <c r="AE728" i="29" s="1"/>
  <c r="Z732" i="29"/>
  <c r="AA732" i="29" s="1"/>
  <c r="Y754" i="29"/>
  <c r="AM754" i="29" s="1"/>
  <c r="AN754" i="29" s="1"/>
  <c r="AD775" i="29"/>
  <c r="AE775" i="29" s="1"/>
  <c r="AC786" i="29"/>
  <c r="Z803" i="29"/>
  <c r="AA803" i="29" s="1"/>
  <c r="AG817" i="29"/>
  <c r="AH817" i="29" s="1"/>
  <c r="AC847" i="29"/>
  <c r="Z859" i="29"/>
  <c r="AA859" i="29" s="1"/>
  <c r="AC867" i="29"/>
  <c r="AC915" i="29"/>
  <c r="AD953" i="29"/>
  <c r="AE953" i="29" s="1"/>
  <c r="AC997" i="29"/>
  <c r="AJ999" i="29"/>
  <c r="AK999" i="29" s="1"/>
  <c r="Y127" i="29"/>
  <c r="AD127" i="29" s="1"/>
  <c r="AE127" i="29" s="1"/>
  <c r="Y188" i="29"/>
  <c r="AD188" i="29" s="1"/>
  <c r="AE188" i="29" s="1"/>
  <c r="P193" i="29"/>
  <c r="AC237" i="29"/>
  <c r="P251" i="29"/>
  <c r="Y266" i="29"/>
  <c r="AG266" i="29" s="1"/>
  <c r="AH266" i="29" s="1"/>
  <c r="P269" i="29"/>
  <c r="O276" i="29"/>
  <c r="Q276" i="29" s="1"/>
  <c r="AG289" i="29"/>
  <c r="AH289" i="29" s="1"/>
  <c r="Z291" i="29"/>
  <c r="AA291" i="29" s="1"/>
  <c r="AG299" i="29"/>
  <c r="AH299" i="29" s="1"/>
  <c r="AJ303" i="29"/>
  <c r="AK303" i="29" s="1"/>
  <c r="Z305" i="29"/>
  <c r="AA305" i="29" s="1"/>
  <c r="AD311" i="29"/>
  <c r="AE311" i="29" s="1"/>
  <c r="AC324" i="29"/>
  <c r="P389" i="29"/>
  <c r="AD391" i="29"/>
  <c r="AE391" i="29" s="1"/>
  <c r="AG424" i="29"/>
  <c r="AH424" i="29" s="1"/>
  <c r="P431" i="29"/>
  <c r="AM438" i="29"/>
  <c r="AN438" i="29" s="1"/>
  <c r="O459" i="29"/>
  <c r="Q459" i="29" s="1"/>
  <c r="AC537" i="29"/>
  <c r="Z604" i="29"/>
  <c r="AA604" i="29" s="1"/>
  <c r="O607" i="29"/>
  <c r="Q607" i="29" s="1"/>
  <c r="AD611" i="29"/>
  <c r="AE611" i="29" s="1"/>
  <c r="AG651" i="29"/>
  <c r="AH651" i="29" s="1"/>
  <c r="AJ675" i="29"/>
  <c r="AK675" i="29" s="1"/>
  <c r="AJ676" i="29"/>
  <c r="AK676" i="29" s="1"/>
  <c r="P703" i="29"/>
  <c r="AB707" i="29"/>
  <c r="AC707" i="29" s="1"/>
  <c r="AG719" i="29"/>
  <c r="AH719" i="29" s="1"/>
  <c r="AB730" i="29"/>
  <c r="AC730" i="29" s="1"/>
  <c r="Z741" i="29"/>
  <c r="AA741" i="29" s="1"/>
  <c r="Z750" i="29"/>
  <c r="AA750" i="29" s="1"/>
  <c r="AC784" i="29"/>
  <c r="AG786" i="29"/>
  <c r="AH786" i="29" s="1"/>
  <c r="AJ817" i="29"/>
  <c r="AK817" i="29" s="1"/>
  <c r="AC830" i="29"/>
  <c r="AM847" i="29"/>
  <c r="AN847" i="29" s="1"/>
  <c r="AD852" i="29"/>
  <c r="AE852" i="29" s="1"/>
  <c r="AD854" i="29"/>
  <c r="AE854" i="29" s="1"/>
  <c r="AM859" i="29"/>
  <c r="AN859" i="29" s="1"/>
  <c r="AB863" i="29"/>
  <c r="AC863" i="29" s="1"/>
  <c r="AJ867" i="29"/>
  <c r="AK867" i="29" s="1"/>
  <c r="AC869" i="29"/>
  <c r="AD873" i="29"/>
  <c r="AE873" i="29" s="1"/>
  <c r="AC877" i="29"/>
  <c r="AB887" i="29"/>
  <c r="AC887" i="29" s="1"/>
  <c r="AM889" i="29"/>
  <c r="AN889" i="29" s="1"/>
  <c r="Z892" i="29"/>
  <c r="AA892" i="29" s="1"/>
  <c r="AC899" i="29"/>
  <c r="AM915" i="29"/>
  <c r="AN915" i="29" s="1"/>
  <c r="AJ925" i="29"/>
  <c r="AK925" i="29" s="1"/>
  <c r="Z928" i="29"/>
  <c r="AA928" i="29" s="1"/>
  <c r="AD934" i="29"/>
  <c r="AE934" i="29" s="1"/>
  <c r="Z946" i="29"/>
  <c r="AA946" i="29" s="1"/>
  <c r="AG953" i="29"/>
  <c r="AH953" i="29" s="1"/>
  <c r="AC972" i="29"/>
  <c r="AG974" i="29"/>
  <c r="AH974" i="29" s="1"/>
  <c r="Z993" i="29"/>
  <c r="AA993" i="29" s="1"/>
  <c r="AM997" i="29"/>
  <c r="AN997" i="29" s="1"/>
  <c r="AC1008" i="29"/>
  <c r="Y130" i="29"/>
  <c r="Z130" i="29" s="1"/>
  <c r="AA130" i="29" s="1"/>
  <c r="O136" i="29"/>
  <c r="Q136" i="29" s="1"/>
  <c r="AM141" i="29"/>
  <c r="AN141" i="29" s="1"/>
  <c r="Z153" i="29"/>
  <c r="AA153" i="29" s="1"/>
  <c r="O163" i="29"/>
  <c r="Q163" i="29" s="1"/>
  <c r="P172" i="29"/>
  <c r="AJ189" i="29"/>
  <c r="AK189" i="29" s="1"/>
  <c r="AG201" i="29"/>
  <c r="AH201" i="29" s="1"/>
  <c r="AB223" i="29"/>
  <c r="AC223" i="29" s="1"/>
  <c r="AG454" i="29"/>
  <c r="AH454" i="29" s="1"/>
  <c r="AJ491" i="29"/>
  <c r="AK491" i="29" s="1"/>
  <c r="AD579" i="29"/>
  <c r="AE579" i="29" s="1"/>
  <c r="AD615" i="29"/>
  <c r="AE615" i="29" s="1"/>
  <c r="AD694" i="29"/>
  <c r="AE694" i="29" s="1"/>
  <c r="AC763" i="29"/>
  <c r="O235" i="29"/>
  <c r="Q235" i="29" s="1"/>
  <c r="AG251" i="29"/>
  <c r="AH251" i="29" s="1"/>
  <c r="AC253" i="29"/>
  <c r="AC308" i="29"/>
  <c r="AJ311" i="29"/>
  <c r="AK311" i="29" s="1"/>
  <c r="AG324" i="29"/>
  <c r="AH324" i="29" s="1"/>
  <c r="Y333" i="29"/>
  <c r="AC333" i="29" s="1"/>
  <c r="O354" i="29"/>
  <c r="Q354" i="29" s="1"/>
  <c r="O373" i="29"/>
  <c r="Q373" i="29" s="1"/>
  <c r="O384" i="29"/>
  <c r="Q384" i="29" s="1"/>
  <c r="P427" i="29"/>
  <c r="AB438" i="29"/>
  <c r="AC438" i="29" s="1"/>
  <c r="O441" i="29"/>
  <c r="Q441" i="29" s="1"/>
  <c r="O462" i="29"/>
  <c r="Q462" i="29" s="1"/>
  <c r="O467" i="29"/>
  <c r="Q467" i="29" s="1"/>
  <c r="O491" i="29"/>
  <c r="Q491" i="29" s="1"/>
  <c r="O530" i="29"/>
  <c r="Q530" i="29" s="1"/>
  <c r="AJ537" i="29"/>
  <c r="AK537" i="29" s="1"/>
  <c r="AD551" i="29"/>
  <c r="AE551" i="29" s="1"/>
  <c r="Z565" i="29"/>
  <c r="AA565" i="29" s="1"/>
  <c r="AG568" i="29"/>
  <c r="AH568" i="29" s="1"/>
  <c r="AD597" i="29"/>
  <c r="AE597" i="29" s="1"/>
  <c r="O600" i="29"/>
  <c r="Q600" i="29" s="1"/>
  <c r="AJ611" i="29"/>
  <c r="AK611" i="29" s="1"/>
  <c r="AG615" i="29"/>
  <c r="AH615" i="29" s="1"/>
  <c r="AD617" i="29"/>
  <c r="AE617" i="29" s="1"/>
  <c r="O643" i="29"/>
  <c r="Q643" i="29" s="1"/>
  <c r="O662" i="29"/>
  <c r="Q662" i="29" s="1"/>
  <c r="O669" i="29"/>
  <c r="Q669" i="29" s="1"/>
  <c r="O713" i="29"/>
  <c r="Q713" i="29" s="1"/>
  <c r="O739" i="29"/>
  <c r="Q739" i="29" s="1"/>
  <c r="Z767" i="29"/>
  <c r="AA767" i="29" s="1"/>
  <c r="O776" i="29"/>
  <c r="Q776" i="29" s="1"/>
  <c r="AM779" i="29"/>
  <c r="AN779" i="29" s="1"/>
  <c r="O804" i="29"/>
  <c r="Q804" i="29" s="1"/>
  <c r="Z821" i="29"/>
  <c r="AA821" i="29" s="1"/>
  <c r="AG836" i="29"/>
  <c r="AH836" i="29" s="1"/>
  <c r="O845" i="29"/>
  <c r="Q845" i="29" s="1"/>
  <c r="AM857" i="29"/>
  <c r="AN857" i="29" s="1"/>
  <c r="AJ873" i="29"/>
  <c r="AK873" i="29" s="1"/>
  <c r="AM882" i="29"/>
  <c r="AN882" i="29" s="1"/>
  <c r="AC884" i="29"/>
  <c r="Z910" i="29"/>
  <c r="AA910" i="29" s="1"/>
  <c r="AD915" i="29"/>
  <c r="AE915" i="29" s="1"/>
  <c r="AM919" i="29"/>
  <c r="AN919" i="29" s="1"/>
  <c r="AM924" i="29"/>
  <c r="AN924" i="29" s="1"/>
  <c r="AJ946" i="29"/>
  <c r="AK946" i="29" s="1"/>
  <c r="AC950" i="29"/>
  <c r="Z962" i="29"/>
  <c r="AA962" i="29" s="1"/>
  <c r="AM968" i="29"/>
  <c r="AN968" i="29" s="1"/>
  <c r="AD987" i="29"/>
  <c r="AE987" i="29" s="1"/>
  <c r="AM991" i="29"/>
  <c r="AN991" i="29" s="1"/>
  <c r="AC1004" i="29"/>
  <c r="Y112" i="29"/>
  <c r="AD112" i="29" s="1"/>
  <c r="AE112" i="29" s="1"/>
  <c r="Z117" i="29"/>
  <c r="AA117" i="29" s="1"/>
  <c r="O131" i="29"/>
  <c r="Q131" i="29" s="1"/>
  <c r="Y160" i="29"/>
  <c r="Z160" i="29" s="1"/>
  <c r="AA160" i="29" s="1"/>
  <c r="O170" i="29"/>
  <c r="Q170" i="29" s="1"/>
  <c r="AM172" i="29"/>
  <c r="AN172" i="29" s="1"/>
  <c r="AC189" i="29"/>
  <c r="Y191" i="29"/>
  <c r="AM191" i="29" s="1"/>
  <c r="AN191" i="29" s="1"/>
  <c r="P199" i="29"/>
  <c r="O211" i="29"/>
  <c r="Q211" i="29" s="1"/>
  <c r="O214" i="29"/>
  <c r="Q214" i="29" s="1"/>
  <c r="P216" i="29"/>
  <c r="AM218" i="29"/>
  <c r="AN218" i="29" s="1"/>
  <c r="AM264" i="29"/>
  <c r="AN264" i="29" s="1"/>
  <c r="Z267" i="29"/>
  <c r="AA267" i="29" s="1"/>
  <c r="AC294" i="29"/>
  <c r="Z300" i="29"/>
  <c r="AA300" i="29" s="1"/>
  <c r="AC302" i="29"/>
  <c r="O318" i="29"/>
  <c r="Q318" i="29" s="1"/>
  <c r="AJ324" i="29"/>
  <c r="AK324" i="29" s="1"/>
  <c r="O329" i="29"/>
  <c r="Q329" i="29" s="1"/>
  <c r="Y336" i="29"/>
  <c r="AC336" i="29" s="1"/>
  <c r="AD362" i="29"/>
  <c r="AE362" i="29" s="1"/>
  <c r="P365" i="29"/>
  <c r="AC373" i="29"/>
  <c r="Z376" i="29"/>
  <c r="AA376" i="29" s="1"/>
  <c r="AJ423" i="29"/>
  <c r="AK423" i="29" s="1"/>
  <c r="Y429" i="29"/>
  <c r="AC429" i="29" s="1"/>
  <c r="P441" i="29"/>
  <c r="Z457" i="29"/>
  <c r="AA457" i="29" s="1"/>
  <c r="AC467" i="29"/>
  <c r="O483" i="29"/>
  <c r="Q483" i="29" s="1"/>
  <c r="P491" i="29"/>
  <c r="Z527" i="29"/>
  <c r="AA527" i="29" s="1"/>
  <c r="AC530" i="29"/>
  <c r="AJ542" i="29"/>
  <c r="AK542" i="29" s="1"/>
  <c r="O557" i="29"/>
  <c r="Q557" i="29" s="1"/>
  <c r="AM565" i="29"/>
  <c r="AN565" i="29" s="1"/>
  <c r="Z610" i="29"/>
  <c r="AA610" i="29" s="1"/>
  <c r="AJ617" i="29"/>
  <c r="AK617" i="29" s="1"/>
  <c r="AC643" i="29"/>
  <c r="AB671" i="29"/>
  <c r="AC671" i="29" s="1"/>
  <c r="AC677" i="29"/>
  <c r="O694" i="29"/>
  <c r="Q694" i="29" s="1"/>
  <c r="AG707" i="29"/>
  <c r="AH707" i="29" s="1"/>
  <c r="Z731" i="29"/>
  <c r="AA731" i="29" s="1"/>
  <c r="AC733" i="29"/>
  <c r="AM742" i="29"/>
  <c r="AN742" i="29" s="1"/>
  <c r="AG750" i="29"/>
  <c r="AH750" i="29" s="1"/>
  <c r="AM767" i="29"/>
  <c r="AN767" i="29" s="1"/>
  <c r="O772" i="29"/>
  <c r="Q772" i="29" s="1"/>
  <c r="AD784" i="29"/>
  <c r="AE784" i="29" s="1"/>
  <c r="AD830" i="29"/>
  <c r="AE830" i="29" s="1"/>
  <c r="AC851" i="29"/>
  <c r="AG877" i="29"/>
  <c r="AH877" i="29" s="1"/>
  <c r="AC886" i="29"/>
  <c r="AC892" i="29"/>
  <c r="AD899" i="29"/>
  <c r="AE899" i="29" s="1"/>
  <c r="Z929" i="29"/>
  <c r="AA929" i="29" s="1"/>
  <c r="AC933" i="29"/>
  <c r="AC946" i="29"/>
  <c r="AC979" i="29"/>
  <c r="Z1002" i="29"/>
  <c r="AA1002" i="29" s="1"/>
  <c r="P123" i="29"/>
  <c r="O126" i="29"/>
  <c r="Q126" i="29" s="1"/>
  <c r="AM150" i="29"/>
  <c r="AN150" i="29" s="1"/>
  <c r="AM259" i="29"/>
  <c r="AN259" i="29" s="1"/>
  <c r="O275" i="29"/>
  <c r="Q275" i="29" s="1"/>
  <c r="AG292" i="29"/>
  <c r="AH292" i="29" s="1"/>
  <c r="AM300" i="29"/>
  <c r="AN300" i="29" s="1"/>
  <c r="AM302" i="29"/>
  <c r="AN302" i="29" s="1"/>
  <c r="Z304" i="29"/>
  <c r="AA304" i="29" s="1"/>
  <c r="AG306" i="29"/>
  <c r="AH306" i="29" s="1"/>
  <c r="O371" i="29"/>
  <c r="Q371" i="29" s="1"/>
  <c r="Z379" i="29"/>
  <c r="AA379" i="29" s="1"/>
  <c r="AC454" i="29"/>
  <c r="AC491" i="29"/>
  <c r="AJ507" i="29"/>
  <c r="AK507" i="29" s="1"/>
  <c r="AM550" i="29"/>
  <c r="AN550" i="29" s="1"/>
  <c r="AC567" i="29"/>
  <c r="Z575" i="29"/>
  <c r="AA575" i="29" s="1"/>
  <c r="O582" i="29"/>
  <c r="Q582" i="29" s="1"/>
  <c r="AM610" i="29"/>
  <c r="AN610" i="29" s="1"/>
  <c r="Y640" i="29"/>
  <c r="AJ640" i="29" s="1"/>
  <c r="AK640" i="29" s="1"/>
  <c r="AJ643" i="29"/>
  <c r="AK643" i="29" s="1"/>
  <c r="AC652" i="29"/>
  <c r="AG677" i="29"/>
  <c r="AH677" i="29" s="1"/>
  <c r="AC706" i="29"/>
  <c r="Z708" i="29"/>
  <c r="AA708" i="29" s="1"/>
  <c r="P711" i="29"/>
  <c r="Y718" i="29"/>
  <c r="Z718" i="29" s="1"/>
  <c r="AA718" i="29" s="1"/>
  <c r="Z723" i="29"/>
  <c r="AA723" i="29" s="1"/>
  <c r="AG725" i="29"/>
  <c r="AH725" i="29" s="1"/>
  <c r="AM731" i="29"/>
  <c r="AN731" i="29" s="1"/>
  <c r="AM733" i="29"/>
  <c r="AN733" i="29" s="1"/>
  <c r="O837" i="29"/>
  <c r="Q837" i="29" s="1"/>
  <c r="O840" i="29"/>
  <c r="Q840" i="29" s="1"/>
  <c r="AJ851" i="29"/>
  <c r="AK851" i="29" s="1"/>
  <c r="AC853" i="29"/>
  <c r="AD855" i="29"/>
  <c r="AE855" i="29" s="1"/>
  <c r="AC860" i="29"/>
  <c r="AC866" i="29"/>
  <c r="AD882" i="29"/>
  <c r="AE882" i="29" s="1"/>
  <c r="AG886" i="29"/>
  <c r="AH886" i="29" s="1"/>
  <c r="AD892" i="29"/>
  <c r="AE892" i="29" s="1"/>
  <c r="AG915" i="29"/>
  <c r="AH915" i="29" s="1"/>
  <c r="AD919" i="29"/>
  <c r="AE919" i="29" s="1"/>
  <c r="AC926" i="29"/>
  <c r="AM929" i="29"/>
  <c r="AN929" i="29" s="1"/>
  <c r="AJ933" i="29"/>
  <c r="AK933" i="29" s="1"/>
  <c r="AD946" i="29"/>
  <c r="AE946" i="29" s="1"/>
  <c r="AG950" i="29"/>
  <c r="AH950" i="29" s="1"/>
  <c r="AC954" i="29"/>
  <c r="Z977" i="29"/>
  <c r="AA977" i="29" s="1"/>
  <c r="AJ979" i="29"/>
  <c r="AK979" i="29" s="1"/>
  <c r="AJ987" i="29"/>
  <c r="AK987" i="29" s="1"/>
  <c r="AG991" i="29"/>
  <c r="AH991" i="29" s="1"/>
  <c r="AC998" i="29"/>
  <c r="AM1002" i="29"/>
  <c r="AN1002" i="29" s="1"/>
  <c r="AG12" i="29"/>
  <c r="AH12" i="29" s="1"/>
  <c r="AJ12" i="29"/>
  <c r="AK12" i="29" s="1"/>
  <c r="AJ30" i="29"/>
  <c r="AK30" i="29" s="1"/>
  <c r="AG30" i="29"/>
  <c r="AH30" i="29" s="1"/>
  <c r="AJ21" i="29"/>
  <c r="AK21" i="29" s="1"/>
  <c r="AG21" i="29"/>
  <c r="AH21" i="29" s="1"/>
  <c r="Z256" i="29"/>
  <c r="AA256" i="29" s="1"/>
  <c r="AG256" i="29"/>
  <c r="AH256" i="29" s="1"/>
  <c r="P363" i="29"/>
  <c r="Y363" i="29"/>
  <c r="AJ363" i="29" s="1"/>
  <c r="AK363" i="29" s="1"/>
  <c r="O11" i="29"/>
  <c r="Q11" i="29" s="1"/>
  <c r="Y18" i="29"/>
  <c r="AD18" i="29" s="1"/>
  <c r="AE18" i="29" s="1"/>
  <c r="Y27" i="29"/>
  <c r="AC27" i="29" s="1"/>
  <c r="Y36" i="29"/>
  <c r="AM36" i="29" s="1"/>
  <c r="AN36" i="29" s="1"/>
  <c r="P54" i="29"/>
  <c r="Y54" i="29"/>
  <c r="AD54" i="29" s="1"/>
  <c r="AE54" i="29" s="1"/>
  <c r="AC199" i="29"/>
  <c r="O256" i="29"/>
  <c r="Q256" i="29" s="1"/>
  <c r="AJ49" i="29"/>
  <c r="AK49" i="29" s="1"/>
  <c r="AG49" i="29"/>
  <c r="AH49" i="29" s="1"/>
  <c r="Y519" i="29"/>
  <c r="AG519" i="29" s="1"/>
  <c r="AH519" i="29" s="1"/>
  <c r="P519" i="29"/>
  <c r="O519" i="29"/>
  <c r="Q519" i="29" s="1"/>
  <c r="O17" i="29"/>
  <c r="Q17" i="29" s="1"/>
  <c r="O26" i="29"/>
  <c r="Q26" i="29" s="1"/>
  <c r="P31" i="29"/>
  <c r="AC33" i="29"/>
  <c r="O35" i="29"/>
  <c r="Q35" i="29" s="1"/>
  <c r="P115" i="29"/>
  <c r="Y115" i="29"/>
  <c r="AJ115" i="29" s="1"/>
  <c r="AK115" i="29" s="1"/>
  <c r="P139" i="29"/>
  <c r="Y139" i="29"/>
  <c r="AJ139" i="29" s="1"/>
  <c r="AK139" i="29" s="1"/>
  <c r="AD422" i="29"/>
  <c r="AE422" i="29" s="1"/>
  <c r="AG422" i="29"/>
  <c r="AH422" i="29" s="1"/>
  <c r="AB63" i="29"/>
  <c r="P366" i="29"/>
  <c r="Y366" i="29"/>
  <c r="AG366" i="29" s="1"/>
  <c r="AH366" i="29" s="1"/>
  <c r="Y52" i="29"/>
  <c r="AD52" i="29" s="1"/>
  <c r="AE52" i="29" s="1"/>
  <c r="P52" i="29"/>
  <c r="Y78" i="29"/>
  <c r="AC78" i="29" s="1"/>
  <c r="P78" i="29"/>
  <c r="AB160" i="29"/>
  <c r="Y262" i="29"/>
  <c r="AC262" i="29" s="1"/>
  <c r="P262" i="29"/>
  <c r="Y265" i="29"/>
  <c r="AC265" i="29" s="1"/>
  <c r="P265" i="29"/>
  <c r="AB292" i="29"/>
  <c r="AC292" i="29" s="1"/>
  <c r="Z292" i="29"/>
  <c r="AA292" i="29" s="1"/>
  <c r="Y272" i="29"/>
  <c r="Z272" i="29" s="1"/>
  <c r="AA272" i="29" s="1"/>
  <c r="P272" i="29"/>
  <c r="AB924" i="29"/>
  <c r="AC924" i="29" s="1"/>
  <c r="Z924" i="29"/>
  <c r="AA924" i="29" s="1"/>
  <c r="O52" i="29"/>
  <c r="Q52" i="29" s="1"/>
  <c r="Y64" i="29"/>
  <c r="AJ64" i="29" s="1"/>
  <c r="AK64" i="29" s="1"/>
  <c r="P64" i="29"/>
  <c r="O64" i="29"/>
  <c r="Q64" i="29" s="1"/>
  <c r="Y69" i="29"/>
  <c r="P69" i="29"/>
  <c r="O78" i="29"/>
  <c r="Q78" i="29" s="1"/>
  <c r="Y175" i="29"/>
  <c r="Z175" i="29" s="1"/>
  <c r="AA175" i="29" s="1"/>
  <c r="P175" i="29"/>
  <c r="Y186" i="29"/>
  <c r="Z186" i="29" s="1"/>
  <c r="AA186" i="29" s="1"/>
  <c r="P186" i="29"/>
  <c r="O186" i="29"/>
  <c r="Q186" i="29" s="1"/>
  <c r="Y245" i="29"/>
  <c r="AG245" i="29" s="1"/>
  <c r="AH245" i="29" s="1"/>
  <c r="O245" i="29"/>
  <c r="Q245" i="29" s="1"/>
  <c r="O262" i="29"/>
  <c r="Q262" i="29" s="1"/>
  <c r="Z290" i="29"/>
  <c r="AA290" i="29" s="1"/>
  <c r="AB290" i="29"/>
  <c r="AC290" i="29" s="1"/>
  <c r="Y353" i="29"/>
  <c r="Z353" i="29" s="1"/>
  <c r="AA353" i="29" s="1"/>
  <c r="P353" i="29"/>
  <c r="Y383" i="29"/>
  <c r="AD383" i="29" s="1"/>
  <c r="AE383" i="29" s="1"/>
  <c r="P383" i="29"/>
  <c r="AB538" i="29"/>
  <c r="AC538" i="29" s="1"/>
  <c r="Z538" i="29"/>
  <c r="AA538" i="29" s="1"/>
  <c r="AB598" i="29"/>
  <c r="AC598" i="29" s="1"/>
  <c r="Z598" i="29"/>
  <c r="AA598" i="29" s="1"/>
  <c r="AB631" i="29"/>
  <c r="AC49" i="29"/>
  <c r="Y17" i="29"/>
  <c r="AJ17" i="29" s="1"/>
  <c r="AK17" i="29" s="1"/>
  <c r="O19" i="29"/>
  <c r="Q19" i="29" s="1"/>
  <c r="P21" i="29"/>
  <c r="Y26" i="29"/>
  <c r="AJ26" i="29" s="1"/>
  <c r="AK26" i="29" s="1"/>
  <c r="O28" i="29"/>
  <c r="Q28" i="29" s="1"/>
  <c r="P30" i="29"/>
  <c r="AG33" i="29"/>
  <c r="AH33" i="29" s="1"/>
  <c r="Y35" i="29"/>
  <c r="AJ35" i="29" s="1"/>
  <c r="AK35" i="29" s="1"/>
  <c r="O37" i="29"/>
  <c r="Q37" i="29" s="1"/>
  <c r="Y181" i="29"/>
  <c r="AC181" i="29" s="1"/>
  <c r="P181" i="29"/>
  <c r="AB288" i="29"/>
  <c r="AC288" i="29" s="1"/>
  <c r="Z288" i="29"/>
  <c r="AA288" i="29" s="1"/>
  <c r="P322" i="29"/>
  <c r="Y322" i="29"/>
  <c r="AJ322" i="29" s="1"/>
  <c r="AK322" i="29" s="1"/>
  <c r="P28" i="29"/>
  <c r="AC30" i="29"/>
  <c r="P37" i="29"/>
  <c r="AB57" i="29"/>
  <c r="AB69" i="29"/>
  <c r="Y76" i="29"/>
  <c r="AJ76" i="29" s="1"/>
  <c r="AK76" i="29" s="1"/>
  <c r="P76" i="29"/>
  <c r="P245" i="29"/>
  <c r="AB306" i="29"/>
  <c r="AC306" i="29" s="1"/>
  <c r="Z306" i="29"/>
  <c r="AA306" i="29" s="1"/>
  <c r="P440" i="29"/>
  <c r="Y440" i="29"/>
  <c r="AJ440" i="29" s="1"/>
  <c r="AK440" i="29" s="1"/>
  <c r="O440" i="29"/>
  <c r="Q440" i="29" s="1"/>
  <c r="Y474" i="29"/>
  <c r="AJ474" i="29" s="1"/>
  <c r="AK474" i="29" s="1"/>
  <c r="P474" i="29"/>
  <c r="P891" i="29"/>
  <c r="Y891" i="29"/>
  <c r="AM891" i="29" s="1"/>
  <c r="AN891" i="29" s="1"/>
  <c r="Y147" i="29"/>
  <c r="Z147" i="29" s="1"/>
  <c r="AA147" i="29" s="1"/>
  <c r="P147" i="29"/>
  <c r="P12" i="29"/>
  <c r="AC19" i="29"/>
  <c r="AD21" i="29"/>
  <c r="AE21" i="29" s="1"/>
  <c r="AC28" i="29"/>
  <c r="AD30" i="29"/>
  <c r="AE30" i="29" s="1"/>
  <c r="AC37" i="29"/>
  <c r="Y67" i="29"/>
  <c r="AJ67" i="29" s="1"/>
  <c r="AK67" i="29" s="1"/>
  <c r="P67" i="29"/>
  <c r="O76" i="29"/>
  <c r="Q76" i="29" s="1"/>
  <c r="Y111" i="29"/>
  <c r="P111" i="29"/>
  <c r="AB145" i="29"/>
  <c r="O151" i="29"/>
  <c r="Q151" i="29" s="1"/>
  <c r="O207" i="29"/>
  <c r="Q207" i="29" s="1"/>
  <c r="Y320" i="29"/>
  <c r="Z320" i="29" s="1"/>
  <c r="AA320" i="29" s="1"/>
  <c r="P320" i="29"/>
  <c r="AC12" i="29"/>
  <c r="AJ19" i="29"/>
  <c r="AK19" i="29" s="1"/>
  <c r="AJ28" i="29"/>
  <c r="AK28" i="29" s="1"/>
  <c r="AJ37" i="29"/>
  <c r="AK37" i="29" s="1"/>
  <c r="Y95" i="29"/>
  <c r="Z95" i="29" s="1"/>
  <c r="AA95" i="29" s="1"/>
  <c r="P95" i="29"/>
  <c r="O111" i="29"/>
  <c r="Q111" i="29" s="1"/>
  <c r="Z116" i="29"/>
  <c r="AA116" i="29" s="1"/>
  <c r="AB116" i="29"/>
  <c r="AC116" i="29" s="1"/>
  <c r="Y135" i="29"/>
  <c r="Z135" i="29" s="1"/>
  <c r="AA135" i="29" s="1"/>
  <c r="P135" i="29"/>
  <c r="O278" i="29"/>
  <c r="Q278" i="29" s="1"/>
  <c r="Y278" i="29"/>
  <c r="AD278" i="29" s="1"/>
  <c r="AE278" i="29" s="1"/>
  <c r="P278" i="29"/>
  <c r="Z295" i="29"/>
  <c r="AA295" i="29" s="1"/>
  <c r="AB295" i="29"/>
  <c r="AC295" i="29" s="1"/>
  <c r="Z302" i="29"/>
  <c r="AA302" i="29" s="1"/>
  <c r="O320" i="29"/>
  <c r="Q320" i="29" s="1"/>
  <c r="P351" i="29"/>
  <c r="Y351" i="29"/>
  <c r="AJ351" i="29" s="1"/>
  <c r="AK351" i="29" s="1"/>
  <c r="Y11" i="29"/>
  <c r="AJ11" i="29" s="1"/>
  <c r="AK11" i="29" s="1"/>
  <c r="AC21" i="29"/>
  <c r="AD12" i="29"/>
  <c r="AE12" i="29" s="1"/>
  <c r="Z14" i="29"/>
  <c r="AA14" i="29" s="1"/>
  <c r="Y368" i="29"/>
  <c r="AD368" i="29" s="1"/>
  <c r="AE368" i="29" s="1"/>
  <c r="P368" i="29"/>
  <c r="AB477" i="29"/>
  <c r="Y73" i="29"/>
  <c r="AJ73" i="29" s="1"/>
  <c r="AK73" i="29" s="1"/>
  <c r="P73" i="29"/>
  <c r="O73" i="29"/>
  <c r="Q73" i="29" s="1"/>
  <c r="O12" i="29"/>
  <c r="Q12" i="29" s="1"/>
  <c r="P19" i="29"/>
  <c r="O20" i="29"/>
  <c r="Q20" i="29" s="1"/>
  <c r="O29" i="29"/>
  <c r="Q29" i="29" s="1"/>
  <c r="AJ55" i="29"/>
  <c r="AK55" i="29" s="1"/>
  <c r="AG55" i="29"/>
  <c r="AH55" i="29" s="1"/>
  <c r="Z72" i="29"/>
  <c r="AA72" i="29" s="1"/>
  <c r="AB72" i="29"/>
  <c r="AC72" i="29" s="1"/>
  <c r="AB101" i="29"/>
  <c r="AC101" i="29" s="1"/>
  <c r="Z101" i="29"/>
  <c r="AA101" i="29" s="1"/>
  <c r="Y104" i="29"/>
  <c r="AC104" i="29" s="1"/>
  <c r="P104" i="29"/>
  <c r="O104" i="29"/>
  <c r="Q104" i="29" s="1"/>
  <c r="O109" i="29"/>
  <c r="Q109" i="29" s="1"/>
  <c r="O130" i="29"/>
  <c r="Q130" i="29" s="1"/>
  <c r="Y151" i="29"/>
  <c r="Z151" i="29" s="1"/>
  <c r="AA151" i="29" s="1"/>
  <c r="Y162" i="29"/>
  <c r="Z162" i="29" s="1"/>
  <c r="AA162" i="29" s="1"/>
  <c r="P162" i="29"/>
  <c r="Y205" i="29"/>
  <c r="Z205" i="29" s="1"/>
  <c r="AA205" i="29" s="1"/>
  <c r="P205" i="29"/>
  <c r="Y208" i="29"/>
  <c r="AD208" i="29" s="1"/>
  <c r="AE208" i="29" s="1"/>
  <c r="P208" i="29"/>
  <c r="AG466" i="29"/>
  <c r="AH466" i="29" s="1"/>
  <c r="Z466" i="29"/>
  <c r="AA466" i="29" s="1"/>
  <c r="O383" i="29"/>
  <c r="Q383" i="29" s="1"/>
  <c r="AB496" i="29"/>
  <c r="AC496" i="29" s="1"/>
  <c r="Z496" i="29"/>
  <c r="AA496" i="29" s="1"/>
  <c r="AC55" i="29"/>
  <c r="Y58" i="29"/>
  <c r="Z58" i="29" s="1"/>
  <c r="AA58" i="29" s="1"/>
  <c r="Z60" i="29"/>
  <c r="AA60" i="29" s="1"/>
  <c r="AC65" i="29"/>
  <c r="O69" i="29"/>
  <c r="Q69" i="29" s="1"/>
  <c r="Y94" i="29"/>
  <c r="AJ94" i="29" s="1"/>
  <c r="AK94" i="29" s="1"/>
  <c r="Y99" i="29"/>
  <c r="AG99" i="29" s="1"/>
  <c r="AH99" i="29" s="1"/>
  <c r="AM132" i="29"/>
  <c r="AN132" i="29" s="1"/>
  <c r="O147" i="29"/>
  <c r="Q147" i="29" s="1"/>
  <c r="Y176" i="29"/>
  <c r="AM176" i="29" s="1"/>
  <c r="AN176" i="29" s="1"/>
  <c r="AM199" i="29"/>
  <c r="AN199" i="29" s="1"/>
  <c r="O205" i="29"/>
  <c r="Q205" i="29" s="1"/>
  <c r="O219" i="29"/>
  <c r="Q219" i="29" s="1"/>
  <c r="AM221" i="29"/>
  <c r="AN221" i="29" s="1"/>
  <c r="Z227" i="29"/>
  <c r="AA227" i="29" s="1"/>
  <c r="O247" i="29"/>
  <c r="Q247" i="29" s="1"/>
  <c r="AC249" i="29"/>
  <c r="AC269" i="29"/>
  <c r="Y279" i="29"/>
  <c r="Z279" i="29" s="1"/>
  <c r="AA279" i="29" s="1"/>
  <c r="AB300" i="29"/>
  <c r="AC300" i="29" s="1"/>
  <c r="Z307" i="29"/>
  <c r="AA307" i="29" s="1"/>
  <c r="O353" i="29"/>
  <c r="Q353" i="29" s="1"/>
  <c r="AM355" i="29"/>
  <c r="AN355" i="29" s="1"/>
  <c r="O358" i="29"/>
  <c r="Q358" i="29" s="1"/>
  <c r="Y360" i="29"/>
  <c r="AD360" i="29" s="1"/>
  <c r="AE360" i="29" s="1"/>
  <c r="O363" i="29"/>
  <c r="Q363" i="29" s="1"/>
  <c r="AM370" i="29"/>
  <c r="AN370" i="29" s="1"/>
  <c r="Z373" i="29"/>
  <c r="AA373" i="29" s="1"/>
  <c r="O378" i="29"/>
  <c r="Q378" i="29" s="1"/>
  <c r="AM380" i="29"/>
  <c r="AN380" i="29" s="1"/>
  <c r="Y387" i="29"/>
  <c r="AC387" i="29" s="1"/>
  <c r="AB391" i="29"/>
  <c r="AC391" i="29" s="1"/>
  <c r="O403" i="29"/>
  <c r="Q403" i="29" s="1"/>
  <c r="Y426" i="29"/>
  <c r="Z426" i="29" s="1"/>
  <c r="AA426" i="29" s="1"/>
  <c r="O430" i="29"/>
  <c r="Q430" i="29" s="1"/>
  <c r="Y435" i="29"/>
  <c r="AD435" i="29" s="1"/>
  <c r="AE435" i="29" s="1"/>
  <c r="O608" i="29"/>
  <c r="Q608" i="29" s="1"/>
  <c r="Y636" i="29"/>
  <c r="AM636" i="29" s="1"/>
  <c r="AN636" i="29" s="1"/>
  <c r="P636" i="29"/>
  <c r="Y769" i="29"/>
  <c r="Z769" i="29" s="1"/>
  <c r="AA769" i="29" s="1"/>
  <c r="Z872" i="29"/>
  <c r="AA872" i="29" s="1"/>
  <c r="AB872" i="29"/>
  <c r="AC872" i="29" s="1"/>
  <c r="Y53" i="29"/>
  <c r="Z53" i="29" s="1"/>
  <c r="AA53" i="29" s="1"/>
  <c r="AM55" i="29"/>
  <c r="AN55" i="29" s="1"/>
  <c r="O57" i="29"/>
  <c r="Q57" i="29" s="1"/>
  <c r="AG60" i="29"/>
  <c r="AH60" i="29" s="1"/>
  <c r="O62" i="29"/>
  <c r="Q62" i="29" s="1"/>
  <c r="Z65" i="29"/>
  <c r="AA65" i="29" s="1"/>
  <c r="O71" i="29"/>
  <c r="Q71" i="29" s="1"/>
  <c r="AJ107" i="29"/>
  <c r="AK107" i="29" s="1"/>
  <c r="Y136" i="29"/>
  <c r="Z136" i="29" s="1"/>
  <c r="AA136" i="29" s="1"/>
  <c r="O145" i="29"/>
  <c r="Q145" i="29" s="1"/>
  <c r="AM153" i="29"/>
  <c r="AN153" i="29" s="1"/>
  <c r="Z197" i="29"/>
  <c r="AA197" i="29" s="1"/>
  <c r="AG207" i="29"/>
  <c r="AH207" i="29" s="1"/>
  <c r="AM212" i="29"/>
  <c r="AN212" i="29" s="1"/>
  <c r="O222" i="29"/>
  <c r="Q222" i="29" s="1"/>
  <c r="O240" i="29"/>
  <c r="Q240" i="29" s="1"/>
  <c r="AM249" i="29"/>
  <c r="AN249" i="29" s="1"/>
  <c r="Z253" i="29"/>
  <c r="AA253" i="29" s="1"/>
  <c r="O267" i="29"/>
  <c r="Q267" i="29" s="1"/>
  <c r="AJ269" i="29"/>
  <c r="AK269" i="29" s="1"/>
  <c r="Y275" i="29"/>
  <c r="AJ275" i="29" s="1"/>
  <c r="AK275" i="29" s="1"/>
  <c r="AD277" i="29"/>
  <c r="AE277" i="29" s="1"/>
  <c r="O334" i="29"/>
  <c r="Q334" i="29" s="1"/>
  <c r="Z358" i="29"/>
  <c r="AA358" i="29" s="1"/>
  <c r="O390" i="29"/>
  <c r="Q390" i="29" s="1"/>
  <c r="Z395" i="29"/>
  <c r="AA395" i="29" s="1"/>
  <c r="P403" i="29"/>
  <c r="P430" i="29"/>
  <c r="AM441" i="29"/>
  <c r="AN441" i="29" s="1"/>
  <c r="Y524" i="29"/>
  <c r="AG524" i="29" s="1"/>
  <c r="AH524" i="29" s="1"/>
  <c r="P524" i="29"/>
  <c r="Z622" i="29"/>
  <c r="AA622" i="29" s="1"/>
  <c r="AB622" i="29"/>
  <c r="AC622" i="29" s="1"/>
  <c r="O636" i="29"/>
  <c r="Q636" i="29" s="1"/>
  <c r="Y693" i="29"/>
  <c r="Z693" i="29" s="1"/>
  <c r="AA693" i="29" s="1"/>
  <c r="O783" i="29"/>
  <c r="Q783" i="29" s="1"/>
  <c r="Y783" i="29"/>
  <c r="AG783" i="29" s="1"/>
  <c r="AH783" i="29" s="1"/>
  <c r="P49" i="29"/>
  <c r="O54" i="29"/>
  <c r="Q54" i="29" s="1"/>
  <c r="O59" i="29"/>
  <c r="Q59" i="29" s="1"/>
  <c r="AB60" i="29"/>
  <c r="AC60" i="29" s="1"/>
  <c r="P62" i="29"/>
  <c r="P71" i="29"/>
  <c r="O95" i="29"/>
  <c r="Q95" i="29" s="1"/>
  <c r="O115" i="29"/>
  <c r="Q115" i="29" s="1"/>
  <c r="O135" i="29"/>
  <c r="Q135" i="29" s="1"/>
  <c r="O139" i="29"/>
  <c r="Q139" i="29" s="1"/>
  <c r="P187" i="29"/>
  <c r="O200" i="29"/>
  <c r="Q200" i="29" s="1"/>
  <c r="O208" i="29"/>
  <c r="Q208" i="29" s="1"/>
  <c r="AG210" i="29"/>
  <c r="AH210" i="29" s="1"/>
  <c r="O213" i="29"/>
  <c r="Q213" i="29" s="1"/>
  <c r="O243" i="29"/>
  <c r="Q243" i="29" s="1"/>
  <c r="O265" i="29"/>
  <c r="Q265" i="29" s="1"/>
  <c r="AM267" i="29"/>
  <c r="AN267" i="29" s="1"/>
  <c r="O272" i="29"/>
  <c r="Q272" i="29" s="1"/>
  <c r="P317" i="29"/>
  <c r="O351" i="29"/>
  <c r="Q351" i="29" s="1"/>
  <c r="P356" i="29"/>
  <c r="O366" i="29"/>
  <c r="Q366" i="29" s="1"/>
  <c r="P371" i="29"/>
  <c r="O376" i="29"/>
  <c r="Q376" i="29" s="1"/>
  <c r="Y378" i="29"/>
  <c r="AJ378" i="29" s="1"/>
  <c r="AK378" i="29" s="1"/>
  <c r="P386" i="29"/>
  <c r="AG419" i="29"/>
  <c r="AH419" i="29" s="1"/>
  <c r="AM430" i="29"/>
  <c r="AN430" i="29" s="1"/>
  <c r="Y443" i="29"/>
  <c r="AM443" i="29" s="1"/>
  <c r="AN443" i="29" s="1"/>
  <c r="P46" i="29"/>
  <c r="Y57" i="29"/>
  <c r="AD57" i="29" s="1"/>
  <c r="AE57" i="29" s="1"/>
  <c r="AC82" i="29"/>
  <c r="AG84" i="29"/>
  <c r="AH84" i="29" s="1"/>
  <c r="O86" i="29"/>
  <c r="Q86" i="29" s="1"/>
  <c r="AM88" i="29"/>
  <c r="AN88" i="29" s="1"/>
  <c r="O91" i="29"/>
  <c r="Q91" i="29" s="1"/>
  <c r="Y121" i="29"/>
  <c r="AD121" i="29" s="1"/>
  <c r="AE121" i="29" s="1"/>
  <c r="Y145" i="29"/>
  <c r="Z145" i="29" s="1"/>
  <c r="AA145" i="29" s="1"/>
  <c r="P192" i="29"/>
  <c r="AM258" i="29"/>
  <c r="AN258" i="29" s="1"/>
  <c r="AB304" i="29"/>
  <c r="AC304" i="29" s="1"/>
  <c r="AB309" i="29"/>
  <c r="AC309" i="29" s="1"/>
  <c r="Y339" i="29"/>
  <c r="AJ339" i="29" s="1"/>
  <c r="AK339" i="29" s="1"/>
  <c r="AC376" i="29"/>
  <c r="Y432" i="29"/>
  <c r="AM432" i="29" s="1"/>
  <c r="AN432" i="29" s="1"/>
  <c r="Y465" i="29"/>
  <c r="AJ465" i="29" s="1"/>
  <c r="AK465" i="29" s="1"/>
  <c r="P465" i="29"/>
  <c r="P844" i="29"/>
  <c r="Y844" i="29"/>
  <c r="AG844" i="29" s="1"/>
  <c r="AH844" i="29" s="1"/>
  <c r="O38" i="29"/>
  <c r="Q38" i="29" s="1"/>
  <c r="Y47" i="29"/>
  <c r="AG47" i="29" s="1"/>
  <c r="AH47" i="29" s="1"/>
  <c r="AD49" i="29"/>
  <c r="AE49" i="29" s="1"/>
  <c r="P59" i="29"/>
  <c r="Z62" i="29"/>
  <c r="AA62" i="29" s="1"/>
  <c r="AM82" i="29"/>
  <c r="AN82" i="29" s="1"/>
  <c r="Y100" i="29"/>
  <c r="AJ100" i="29" s="1"/>
  <c r="AK100" i="29" s="1"/>
  <c r="O110" i="29"/>
  <c r="Q110" i="29" s="1"/>
  <c r="AM126" i="29"/>
  <c r="AN126" i="29" s="1"/>
  <c r="P129" i="29"/>
  <c r="P150" i="29"/>
  <c r="Y179" i="29"/>
  <c r="AM179" i="29" s="1"/>
  <c r="AN179" i="29" s="1"/>
  <c r="Z192" i="29"/>
  <c r="AA192" i="29" s="1"/>
  <c r="AM200" i="29"/>
  <c r="AN200" i="29" s="1"/>
  <c r="P220" i="29"/>
  <c r="P248" i="29"/>
  <c r="AB258" i="29"/>
  <c r="AC258" i="29" s="1"/>
  <c r="AD356" i="29"/>
  <c r="AE356" i="29" s="1"/>
  <c r="P359" i="29"/>
  <c r="Y361" i="29"/>
  <c r="AM361" i="29" s="1"/>
  <c r="AN361" i="29" s="1"/>
  <c r="O364" i="29"/>
  <c r="Q364" i="29" s="1"/>
  <c r="AD371" i="29"/>
  <c r="AE371" i="29" s="1"/>
  <c r="AM376" i="29"/>
  <c r="AN376" i="29" s="1"/>
  <c r="O379" i="29"/>
  <c r="Q379" i="29" s="1"/>
  <c r="Y381" i="29"/>
  <c r="AJ381" i="29" s="1"/>
  <c r="AK381" i="29" s="1"/>
  <c r="Y390" i="29"/>
  <c r="AC390" i="29" s="1"/>
  <c r="AM472" i="29"/>
  <c r="AN472" i="29" s="1"/>
  <c r="AB475" i="29"/>
  <c r="O515" i="29"/>
  <c r="Q515" i="29" s="1"/>
  <c r="AB725" i="29"/>
  <c r="AC725" i="29" s="1"/>
  <c r="Z725" i="29"/>
  <c r="AA725" i="29" s="1"/>
  <c r="Y771" i="29"/>
  <c r="AD771" i="29" s="1"/>
  <c r="AE771" i="29" s="1"/>
  <c r="P771" i="29"/>
  <c r="Z44" i="29"/>
  <c r="AA44" i="29" s="1"/>
  <c r="O61" i="29"/>
  <c r="Q61" i="29" s="1"/>
  <c r="Y71" i="29"/>
  <c r="AD71" i="29" s="1"/>
  <c r="AE71" i="29" s="1"/>
  <c r="Z75" i="29"/>
  <c r="AA75" i="29" s="1"/>
  <c r="AB84" i="29"/>
  <c r="AC84" i="29" s="1"/>
  <c r="O89" i="29"/>
  <c r="Q89" i="29" s="1"/>
  <c r="P110" i="29"/>
  <c r="AJ141" i="29"/>
  <c r="AK141" i="29" s="1"/>
  <c r="P196" i="29"/>
  <c r="O206" i="29"/>
  <c r="Q206" i="29" s="1"/>
  <c r="P211" i="29"/>
  <c r="AM215" i="29"/>
  <c r="AN215" i="29" s="1"/>
  <c r="AC220" i="29"/>
  <c r="AM256" i="29"/>
  <c r="AN256" i="29" s="1"/>
  <c r="O281" i="29"/>
  <c r="Q281" i="29" s="1"/>
  <c r="Z296" i="29"/>
  <c r="AA296" i="29" s="1"/>
  <c r="AB312" i="29"/>
  <c r="AC312" i="29" s="1"/>
  <c r="P321" i="29"/>
  <c r="O328" i="29"/>
  <c r="Q328" i="29" s="1"/>
  <c r="AD332" i="29"/>
  <c r="AE332" i="29" s="1"/>
  <c r="P335" i="29"/>
  <c r="AM337" i="29"/>
  <c r="AN337" i="29" s="1"/>
  <c r="Z382" i="29"/>
  <c r="AA382" i="29" s="1"/>
  <c r="AC422" i="29"/>
  <c r="P442" i="29"/>
  <c r="Y460" i="29"/>
  <c r="AG460" i="29" s="1"/>
  <c r="AH460" i="29" s="1"/>
  <c r="P460" i="29"/>
  <c r="AC488" i="29"/>
  <c r="O508" i="29"/>
  <c r="Q508" i="29" s="1"/>
  <c r="Z615" i="29"/>
  <c r="AA615" i="29" s="1"/>
  <c r="AB615" i="29"/>
  <c r="AC615" i="29" s="1"/>
  <c r="O663" i="29"/>
  <c r="Q663" i="29" s="1"/>
  <c r="O771" i="29"/>
  <c r="Q771" i="29" s="1"/>
  <c r="AB889" i="29"/>
  <c r="AC889" i="29" s="1"/>
  <c r="Z889" i="29"/>
  <c r="AA889" i="29" s="1"/>
  <c r="AD46" i="29"/>
  <c r="AE46" i="29" s="1"/>
  <c r="AB54" i="29"/>
  <c r="Z59" i="29"/>
  <c r="AA59" i="29" s="1"/>
  <c r="P68" i="29"/>
  <c r="AG75" i="29"/>
  <c r="AH75" i="29" s="1"/>
  <c r="Y91" i="29"/>
  <c r="AJ91" i="29" s="1"/>
  <c r="AK91" i="29" s="1"/>
  <c r="Z108" i="29"/>
  <c r="AA108" i="29" s="1"/>
  <c r="Z110" i="29"/>
  <c r="AA110" i="29" s="1"/>
  <c r="Z120" i="29"/>
  <c r="AA120" i="29" s="1"/>
  <c r="Y124" i="29"/>
  <c r="AD124" i="29" s="1"/>
  <c r="AE124" i="29" s="1"/>
  <c r="Y133" i="29"/>
  <c r="AG133" i="29" s="1"/>
  <c r="AH133" i="29" s="1"/>
  <c r="Y154" i="29"/>
  <c r="AC154" i="29" s="1"/>
  <c r="P159" i="29"/>
  <c r="Y173" i="29"/>
  <c r="Z173" i="29" s="1"/>
  <c r="AA173" i="29" s="1"/>
  <c r="Z178" i="29"/>
  <c r="AA178" i="29" s="1"/>
  <c r="AC196" i="29"/>
  <c r="Z206" i="29"/>
  <c r="AA206" i="29" s="1"/>
  <c r="AC211" i="29"/>
  <c r="AM220" i="29"/>
  <c r="AN220" i="29" s="1"/>
  <c r="AM238" i="29"/>
  <c r="AN238" i="29" s="1"/>
  <c r="AG248" i="29"/>
  <c r="AH248" i="29" s="1"/>
  <c r="Y263" i="29"/>
  <c r="AJ263" i="29" s="1"/>
  <c r="AK263" i="29" s="1"/>
  <c r="AD274" i="29"/>
  <c r="AE274" i="29" s="1"/>
  <c r="Y319" i="29"/>
  <c r="AM319" i="29" s="1"/>
  <c r="AN319" i="29" s="1"/>
  <c r="Z324" i="29"/>
  <c r="AA324" i="29" s="1"/>
  <c r="Z342" i="29"/>
  <c r="AA342" i="29" s="1"/>
  <c r="AM364" i="29"/>
  <c r="AN364" i="29" s="1"/>
  <c r="O372" i="29"/>
  <c r="Q372" i="29" s="1"/>
  <c r="O377" i="29"/>
  <c r="Q377" i="29" s="1"/>
  <c r="AM379" i="29"/>
  <c r="AN379" i="29" s="1"/>
  <c r="O382" i="29"/>
  <c r="Q382" i="29" s="1"/>
  <c r="Y384" i="29"/>
  <c r="AJ384" i="29" s="1"/>
  <c r="AK384" i="29" s="1"/>
  <c r="AG483" i="29"/>
  <c r="AH483" i="29" s="1"/>
  <c r="Z483" i="29"/>
  <c r="AA483" i="29" s="1"/>
  <c r="Z529" i="29"/>
  <c r="AA529" i="29" s="1"/>
  <c r="AB529" i="29"/>
  <c r="AC529" i="29" s="1"/>
  <c r="Y753" i="29"/>
  <c r="AG753" i="29" s="1"/>
  <c r="AH753" i="29" s="1"/>
  <c r="P753" i="29"/>
  <c r="O753" i="29"/>
  <c r="Q753" i="29" s="1"/>
  <c r="AB815" i="29"/>
  <c r="Y51" i="29"/>
  <c r="AD51" i="29" s="1"/>
  <c r="AE51" i="29" s="1"/>
  <c r="P56" i="29"/>
  <c r="O58" i="29"/>
  <c r="Q58" i="29" s="1"/>
  <c r="AC75" i="29"/>
  <c r="Z81" i="29"/>
  <c r="AA81" i="29" s="1"/>
  <c r="O101" i="29"/>
  <c r="Q101" i="29" s="1"/>
  <c r="Y106" i="29"/>
  <c r="AM106" i="29" s="1"/>
  <c r="AN106" i="29" s="1"/>
  <c r="AJ110" i="29"/>
  <c r="AK110" i="29" s="1"/>
  <c r="O116" i="29"/>
  <c r="Q116" i="29" s="1"/>
  <c r="Z132" i="29"/>
  <c r="AA132" i="29" s="1"/>
  <c r="Z138" i="29"/>
  <c r="AA138" i="29" s="1"/>
  <c r="P144" i="29"/>
  <c r="Z172" i="29"/>
  <c r="AA172" i="29" s="1"/>
  <c r="AB186" i="29"/>
  <c r="O191" i="29"/>
  <c r="Q191" i="29" s="1"/>
  <c r="AM196" i="29"/>
  <c r="AN196" i="29" s="1"/>
  <c r="AM206" i="29"/>
  <c r="AN206" i="29" s="1"/>
  <c r="AM211" i="29"/>
  <c r="AN211" i="29" s="1"/>
  <c r="Z264" i="29"/>
  <c r="AA264" i="29" s="1"/>
  <c r="Y270" i="29"/>
  <c r="Z270" i="29" s="1"/>
  <c r="AA270" i="29" s="1"/>
  <c r="AB272" i="29"/>
  <c r="Y276" i="29"/>
  <c r="AM276" i="29" s="1"/>
  <c r="AN276" i="29" s="1"/>
  <c r="Z385" i="29"/>
  <c r="AA385" i="29" s="1"/>
  <c r="Y642" i="29"/>
  <c r="Z642" i="29" s="1"/>
  <c r="AA642" i="29" s="1"/>
  <c r="P642" i="29"/>
  <c r="Z678" i="29"/>
  <c r="AA678" i="29" s="1"/>
  <c r="AB678" i="29"/>
  <c r="AC678" i="29" s="1"/>
  <c r="P43" i="29"/>
  <c r="AB51" i="29"/>
  <c r="O65" i="29"/>
  <c r="Q65" i="29" s="1"/>
  <c r="AB66" i="29"/>
  <c r="O74" i="29"/>
  <c r="Q74" i="29" s="1"/>
  <c r="AC79" i="29"/>
  <c r="AG81" i="29"/>
  <c r="AH81" i="29" s="1"/>
  <c r="P83" i="29"/>
  <c r="P101" i="29"/>
  <c r="AG108" i="29"/>
  <c r="AH108" i="29" s="1"/>
  <c r="AC110" i="29"/>
  <c r="P116" i="29"/>
  <c r="P120" i="29"/>
  <c r="Z123" i="29"/>
  <c r="AA123" i="29" s="1"/>
  <c r="Y148" i="29"/>
  <c r="AC148" i="29" s="1"/>
  <c r="AJ150" i="29"/>
  <c r="AK150" i="29" s="1"/>
  <c r="Y163" i="29"/>
  <c r="Z163" i="29" s="1"/>
  <c r="AA163" i="29" s="1"/>
  <c r="P178" i="29"/>
  <c r="Y184" i="29"/>
  <c r="AG184" i="29" s="1"/>
  <c r="AH184" i="29" s="1"/>
  <c r="AD192" i="29"/>
  <c r="AE192" i="29" s="1"/>
  <c r="AB206" i="29"/>
  <c r="AC206" i="29" s="1"/>
  <c r="P338" i="29"/>
  <c r="O360" i="29"/>
  <c r="Q360" i="29" s="1"/>
  <c r="AC372" i="29"/>
  <c r="O380" i="29"/>
  <c r="Q380" i="29" s="1"/>
  <c r="O385" i="29"/>
  <c r="Q385" i="29" s="1"/>
  <c r="P433" i="29"/>
  <c r="O435" i="29"/>
  <c r="Q435" i="29" s="1"/>
  <c r="Z441" i="29"/>
  <c r="AA441" i="29" s="1"/>
  <c r="Z478" i="29"/>
  <c r="AA478" i="29" s="1"/>
  <c r="AG489" i="29"/>
  <c r="AH489" i="29" s="1"/>
  <c r="Z489" i="29"/>
  <c r="AA489" i="29" s="1"/>
  <c r="AM633" i="29"/>
  <c r="AN633" i="29" s="1"/>
  <c r="AJ633" i="29"/>
  <c r="AK633" i="29" s="1"/>
  <c r="O642" i="29"/>
  <c r="Q642" i="29" s="1"/>
  <c r="O450" i="29"/>
  <c r="Q450" i="29" s="1"/>
  <c r="O465" i="29"/>
  <c r="Q465" i="29" s="1"/>
  <c r="O474" i="29"/>
  <c r="Q474" i="29" s="1"/>
  <c r="AG510" i="29"/>
  <c r="AH510" i="29" s="1"/>
  <c r="P516" i="29"/>
  <c r="O547" i="29"/>
  <c r="Q547" i="29" s="1"/>
  <c r="AB552" i="29"/>
  <c r="AC552" i="29" s="1"/>
  <c r="P627" i="29"/>
  <c r="P633" i="29"/>
  <c r="O667" i="29"/>
  <c r="Q667" i="29" s="1"/>
  <c r="O693" i="29"/>
  <c r="Q693" i="29" s="1"/>
  <c r="Y698" i="29"/>
  <c r="AD698" i="29" s="1"/>
  <c r="AE698" i="29" s="1"/>
  <c r="Y702" i="29"/>
  <c r="AJ702" i="29" s="1"/>
  <c r="AK702" i="29" s="1"/>
  <c r="AM714" i="29"/>
  <c r="AN714" i="29" s="1"/>
  <c r="AC721" i="29"/>
  <c r="AB723" i="29"/>
  <c r="AC723" i="29" s="1"/>
  <c r="O734" i="29"/>
  <c r="Q734" i="29" s="1"/>
  <c r="Z757" i="29"/>
  <c r="AA757" i="29" s="1"/>
  <c r="AB767" i="29"/>
  <c r="AC767" i="29" s="1"/>
  <c r="O769" i="29"/>
  <c r="Q769" i="29" s="1"/>
  <c r="P782" i="29"/>
  <c r="P786" i="29"/>
  <c r="O801" i="29"/>
  <c r="Q801" i="29" s="1"/>
  <c r="AB803" i="29"/>
  <c r="AC803" i="29" s="1"/>
  <c r="O806" i="29"/>
  <c r="Q806" i="29" s="1"/>
  <c r="O809" i="29"/>
  <c r="Q809" i="29" s="1"/>
  <c r="P843" i="29"/>
  <c r="AJ847" i="29"/>
  <c r="AK847" i="29" s="1"/>
  <c r="AB854" i="29"/>
  <c r="AC854" i="29" s="1"/>
  <c r="Z856" i="29"/>
  <c r="AA856" i="29" s="1"/>
  <c r="Z858" i="29"/>
  <c r="AA858" i="29" s="1"/>
  <c r="O891" i="29"/>
  <c r="Q891" i="29" s="1"/>
  <c r="AB919" i="29"/>
  <c r="AC919" i="29" s="1"/>
  <c r="AC1013" i="29"/>
  <c r="AC1039" i="29"/>
  <c r="O1045" i="29"/>
  <c r="Q1045" i="29" s="1"/>
  <c r="P457" i="29"/>
  <c r="AG459" i="29"/>
  <c r="AH459" i="29" s="1"/>
  <c r="P463" i="29"/>
  <c r="P472" i="29"/>
  <c r="Y475" i="29"/>
  <c r="AG475" i="29" s="1"/>
  <c r="AH475" i="29" s="1"/>
  <c r="Y477" i="29"/>
  <c r="AJ477" i="29" s="1"/>
  <c r="AK477" i="29" s="1"/>
  <c r="AC487" i="29"/>
  <c r="P497" i="29"/>
  <c r="P501" i="29"/>
  <c r="AM507" i="29"/>
  <c r="AN507" i="29" s="1"/>
  <c r="AJ510" i="29"/>
  <c r="AK510" i="29" s="1"/>
  <c r="AB594" i="29"/>
  <c r="AC594" i="29" s="1"/>
  <c r="Y628" i="29"/>
  <c r="Z628" i="29" s="1"/>
  <c r="AA628" i="29" s="1"/>
  <c r="P630" i="29"/>
  <c r="Y631" i="29"/>
  <c r="AJ631" i="29" s="1"/>
  <c r="AK631" i="29" s="1"/>
  <c r="P643" i="29"/>
  <c r="AM658" i="29"/>
  <c r="AN658" i="29" s="1"/>
  <c r="P691" i="29"/>
  <c r="Z712" i="29"/>
  <c r="AA712" i="29" s="1"/>
  <c r="Z766" i="29"/>
  <c r="AA766" i="29" s="1"/>
  <c r="AB777" i="29"/>
  <c r="AC777" i="29" s="1"/>
  <c r="Z830" i="29"/>
  <c r="AA830" i="29" s="1"/>
  <c r="Z836" i="29"/>
  <c r="AA836" i="29" s="1"/>
  <c r="AB882" i="29"/>
  <c r="AC882" i="29" s="1"/>
  <c r="AG1016" i="29"/>
  <c r="AH1016" i="29" s="1"/>
  <c r="AM1036" i="29"/>
  <c r="AN1036" i="29" s="1"/>
  <c r="AC463" i="29"/>
  <c r="AC472" i="29"/>
  <c r="Z633" i="29"/>
  <c r="AA633" i="29" s="1"/>
  <c r="Z675" i="29"/>
  <c r="AA675" i="29" s="1"/>
  <c r="P695" i="29"/>
  <c r="AM734" i="29"/>
  <c r="AN734" i="29" s="1"/>
  <c r="AG741" i="29"/>
  <c r="AH741" i="29" s="1"/>
  <c r="AM809" i="29"/>
  <c r="AN809" i="29" s="1"/>
  <c r="O815" i="29"/>
  <c r="Q815" i="29" s="1"/>
  <c r="Y838" i="29"/>
  <c r="AG838" i="29" s="1"/>
  <c r="AH838" i="29" s="1"/>
  <c r="O1062" i="29"/>
  <c r="Q1062" i="29" s="1"/>
  <c r="P471" i="29"/>
  <c r="AC489" i="29"/>
  <c r="AD496" i="29"/>
  <c r="AE496" i="29" s="1"/>
  <c r="Z501" i="29"/>
  <c r="AA501" i="29" s="1"/>
  <c r="P513" i="29"/>
  <c r="AB603" i="29"/>
  <c r="AG671" i="29"/>
  <c r="AH671" i="29" s="1"/>
  <c r="Y680" i="29"/>
  <c r="AJ680" i="29" s="1"/>
  <c r="AK680" i="29" s="1"/>
  <c r="P715" i="29"/>
  <c r="O722" i="29"/>
  <c r="Q722" i="29" s="1"/>
  <c r="AB754" i="29"/>
  <c r="Z759" i="29"/>
  <c r="AA759" i="29" s="1"/>
  <c r="P762" i="29"/>
  <c r="AB769" i="29"/>
  <c r="O785" i="29"/>
  <c r="Q785" i="29" s="1"/>
  <c r="O787" i="29"/>
  <c r="Q787" i="29" s="1"/>
  <c r="O807" i="29"/>
  <c r="Q807" i="29" s="1"/>
  <c r="AJ812" i="29"/>
  <c r="AK812" i="29" s="1"/>
  <c r="Y841" i="29"/>
  <c r="AC841" i="29" s="1"/>
  <c r="O844" i="29"/>
  <c r="Q844" i="29" s="1"/>
  <c r="Z1004" i="29"/>
  <c r="AA1004" i="29" s="1"/>
  <c r="O1060" i="29"/>
  <c r="Q1060" i="29" s="1"/>
  <c r="AM1062" i="29"/>
  <c r="AN1062" i="29" s="1"/>
  <c r="Z463" i="29"/>
  <c r="AA463" i="29" s="1"/>
  <c r="AC469" i="29"/>
  <c r="Z471" i="29"/>
  <c r="AA471" i="29" s="1"/>
  <c r="Z472" i="29"/>
  <c r="AA472" i="29" s="1"/>
  <c r="AB474" i="29"/>
  <c r="P483" i="29"/>
  <c r="O488" i="29"/>
  <c r="Q488" i="29" s="1"/>
  <c r="AM489" i="29"/>
  <c r="AN489" i="29" s="1"/>
  <c r="AG491" i="29"/>
  <c r="AH491" i="29" s="1"/>
  <c r="P530" i="29"/>
  <c r="AB575" i="29"/>
  <c r="AC575" i="29" s="1"/>
  <c r="AB633" i="29"/>
  <c r="AC633" i="29" s="1"/>
  <c r="Z651" i="29"/>
  <c r="AA651" i="29" s="1"/>
  <c r="AM697" i="29"/>
  <c r="AN697" i="29" s="1"/>
  <c r="Y699" i="29"/>
  <c r="AJ699" i="29" s="1"/>
  <c r="AK699" i="29" s="1"/>
  <c r="AB708" i="29"/>
  <c r="AC708" i="29" s="1"/>
  <c r="AM711" i="29"/>
  <c r="AN711" i="29" s="1"/>
  <c r="AC715" i="29"/>
  <c r="P756" i="29"/>
  <c r="AM759" i="29"/>
  <c r="AN759" i="29" s="1"/>
  <c r="Y776" i="29"/>
  <c r="AM776" i="29" s="1"/>
  <c r="AN776" i="29" s="1"/>
  <c r="Z778" i="29"/>
  <c r="AA778" i="29" s="1"/>
  <c r="Y794" i="29"/>
  <c r="AJ794" i="29" s="1"/>
  <c r="AK794" i="29" s="1"/>
  <c r="Y815" i="29"/>
  <c r="AJ815" i="29" s="1"/>
  <c r="AK815" i="29" s="1"/>
  <c r="Z945" i="29"/>
  <c r="AA945" i="29" s="1"/>
  <c r="AG1062" i="29"/>
  <c r="AH1062" i="29" s="1"/>
  <c r="P462" i="29"/>
  <c r="AM469" i="29"/>
  <c r="AN469" i="29" s="1"/>
  <c r="AG471" i="29"/>
  <c r="AH471" i="29" s="1"/>
  <c r="O478" i="29"/>
  <c r="Q478" i="29" s="1"/>
  <c r="AC483" i="29"/>
  <c r="P488" i="29"/>
  <c r="AG501" i="29"/>
  <c r="AH501" i="29" s="1"/>
  <c r="AD513" i="29"/>
  <c r="AE513" i="29" s="1"/>
  <c r="AG620" i="29"/>
  <c r="AH620" i="29" s="1"/>
  <c r="O657" i="29"/>
  <c r="Q657" i="29" s="1"/>
  <c r="AG715" i="29"/>
  <c r="AH715" i="29" s="1"/>
  <c r="Y751" i="29"/>
  <c r="AM751" i="29" s="1"/>
  <c r="AN751" i="29" s="1"/>
  <c r="AM762" i="29"/>
  <c r="AN762" i="29" s="1"/>
  <c r="Z773" i="29"/>
  <c r="AA773" i="29" s="1"/>
  <c r="AC785" i="29"/>
  <c r="Z454" i="29"/>
  <c r="AA454" i="29" s="1"/>
  <c r="P478" i="29"/>
  <c r="O480" i="29"/>
  <c r="Q480" i="29" s="1"/>
  <c r="AM483" i="29"/>
  <c r="AN483" i="29" s="1"/>
  <c r="P510" i="29"/>
  <c r="P607" i="29"/>
  <c r="AB610" i="29"/>
  <c r="AC610" i="29" s="1"/>
  <c r="AB642" i="29"/>
  <c r="Z668" i="29"/>
  <c r="AA668" i="29" s="1"/>
  <c r="AM703" i="29"/>
  <c r="AN703" i="29" s="1"/>
  <c r="Z733" i="29"/>
  <c r="AA733" i="29" s="1"/>
  <c r="O745" i="29"/>
  <c r="Q745" i="29" s="1"/>
  <c r="AB778" i="29"/>
  <c r="AC778" i="29" s="1"/>
  <c r="P837" i="29"/>
  <c r="Z867" i="29"/>
  <c r="AA867" i="29" s="1"/>
  <c r="O890" i="29"/>
  <c r="Q890" i="29" s="1"/>
  <c r="Z915" i="29"/>
  <c r="AA915" i="29" s="1"/>
  <c r="O1018" i="29"/>
  <c r="Q1018" i="29" s="1"/>
  <c r="O1021" i="29"/>
  <c r="Q1021" i="29" s="1"/>
  <c r="AM462" i="29"/>
  <c r="AN462" i="29" s="1"/>
  <c r="Z469" i="29"/>
  <c r="AA469" i="29" s="1"/>
  <c r="AB471" i="29"/>
  <c r="AC471" i="29" s="1"/>
  <c r="AC478" i="29"/>
  <c r="AG488" i="29"/>
  <c r="AH488" i="29" s="1"/>
  <c r="AG530" i="29"/>
  <c r="AH530" i="29" s="1"/>
  <c r="O533" i="29"/>
  <c r="Q533" i="29" s="1"/>
  <c r="Y600" i="29"/>
  <c r="Z600" i="29" s="1"/>
  <c r="AA600" i="29" s="1"/>
  <c r="P604" i="29"/>
  <c r="Z677" i="29"/>
  <c r="AA677" i="29" s="1"/>
  <c r="Y690" i="29"/>
  <c r="Z690" i="29" s="1"/>
  <c r="AA690" i="29" s="1"/>
  <c r="P694" i="29"/>
  <c r="Z715" i="29"/>
  <c r="AA715" i="29" s="1"/>
  <c r="Y758" i="29"/>
  <c r="AG758" i="29" s="1"/>
  <c r="AH758" i="29" s="1"/>
  <c r="Y764" i="29"/>
  <c r="AG764" i="29" s="1"/>
  <c r="AH764" i="29" s="1"/>
  <c r="P770" i="29"/>
  <c r="P890" i="29"/>
  <c r="Z914" i="29"/>
  <c r="AA914" i="29" s="1"/>
  <c r="P468" i="29"/>
  <c r="O477" i="29"/>
  <c r="Q477" i="29" s="1"/>
  <c r="AM478" i="29"/>
  <c r="AN478" i="29" s="1"/>
  <c r="P533" i="29"/>
  <c r="O628" i="29"/>
  <c r="Q628" i="29" s="1"/>
  <c r="P679" i="29"/>
  <c r="Z694" i="29"/>
  <c r="AA694" i="29" s="1"/>
  <c r="P714" i="29"/>
  <c r="O721" i="29"/>
  <c r="Q721" i="29" s="1"/>
  <c r="AB758" i="29"/>
  <c r="AJ797" i="29"/>
  <c r="AK797" i="29" s="1"/>
  <c r="AM800" i="29"/>
  <c r="AN800" i="29" s="1"/>
  <c r="Z900" i="29"/>
  <c r="AA900" i="29" s="1"/>
  <c r="AB929" i="29"/>
  <c r="AC929" i="29" s="1"/>
  <c r="AB1044" i="29"/>
  <c r="AC1044" i="29" s="1"/>
  <c r="AB1046" i="29"/>
  <c r="AC1046" i="29" s="1"/>
  <c r="O447" i="29"/>
  <c r="Q447" i="29" s="1"/>
  <c r="AM466" i="29"/>
  <c r="AN466" i="29" s="1"/>
  <c r="AB582" i="29"/>
  <c r="AC582" i="29" s="1"/>
  <c r="AG668" i="29"/>
  <c r="AH668" i="29" s="1"/>
  <c r="AM694" i="29"/>
  <c r="AN694" i="29" s="1"/>
  <c r="Y696" i="29"/>
  <c r="Z696" i="29" s="1"/>
  <c r="AA696" i="29" s="1"/>
  <c r="P721" i="29"/>
  <c r="Y745" i="29"/>
  <c r="AJ745" i="29" s="1"/>
  <c r="AK745" i="29" s="1"/>
  <c r="Y761" i="29"/>
  <c r="AG761" i="29" s="1"/>
  <c r="AH761" i="29" s="1"/>
  <c r="AM770" i="29"/>
  <c r="AN770" i="29" s="1"/>
  <c r="Z845" i="29"/>
  <c r="AA845" i="29" s="1"/>
  <c r="O1013" i="29"/>
  <c r="Q1013" i="29" s="1"/>
  <c r="AG16" i="29"/>
  <c r="AH16" i="29" s="1"/>
  <c r="AD16" i="29"/>
  <c r="AE16" i="29" s="1"/>
  <c r="AG25" i="29"/>
  <c r="AH25" i="29" s="1"/>
  <c r="AD25" i="29"/>
  <c r="AE25" i="29" s="1"/>
  <c r="AG34" i="29"/>
  <c r="AH34" i="29" s="1"/>
  <c r="AD34" i="29"/>
  <c r="AE34" i="29" s="1"/>
  <c r="Z86" i="29"/>
  <c r="AA86" i="29" s="1"/>
  <c r="AJ86" i="29"/>
  <c r="AK86" i="29" s="1"/>
  <c r="AD86" i="29"/>
  <c r="AE86" i="29" s="1"/>
  <c r="AD93" i="29"/>
  <c r="AE93" i="29" s="1"/>
  <c r="AG93" i="29"/>
  <c r="AH93" i="29" s="1"/>
  <c r="AC34" i="29"/>
  <c r="AM86" i="29"/>
  <c r="AN86" i="29" s="1"/>
  <c r="AC16" i="29"/>
  <c r="AC25" i="29"/>
  <c r="AJ16" i="29"/>
  <c r="AK16" i="29" s="1"/>
  <c r="AG22" i="29"/>
  <c r="AH22" i="29" s="1"/>
  <c r="AD22" i="29"/>
  <c r="AE22" i="29" s="1"/>
  <c r="AJ25" i="29"/>
  <c r="AK25" i="29" s="1"/>
  <c r="AG31" i="29"/>
  <c r="AH31" i="29" s="1"/>
  <c r="AD31" i="29"/>
  <c r="AE31" i="29" s="1"/>
  <c r="AJ34" i="29"/>
  <c r="AK34" i="29" s="1"/>
  <c r="AG43" i="29"/>
  <c r="AH43" i="29" s="1"/>
  <c r="AD43" i="29"/>
  <c r="AE43" i="29" s="1"/>
  <c r="AC86" i="29"/>
  <c r="AG13" i="29"/>
  <c r="AH13" i="29" s="1"/>
  <c r="AD13" i="29"/>
  <c r="AE13" i="29" s="1"/>
  <c r="Z45" i="29"/>
  <c r="AA45" i="29" s="1"/>
  <c r="Z48" i="29"/>
  <c r="AA48" i="29" s="1"/>
  <c r="AG19" i="29"/>
  <c r="AH19" i="29" s="1"/>
  <c r="AD19" i="29"/>
  <c r="AE19" i="29" s="1"/>
  <c r="AG28" i="29"/>
  <c r="AH28" i="29" s="1"/>
  <c r="AD28" i="29"/>
  <c r="AE28" i="29" s="1"/>
  <c r="AG37" i="29"/>
  <c r="AH37" i="29" s="1"/>
  <c r="AD37" i="29"/>
  <c r="AE37" i="29" s="1"/>
  <c r="AD45" i="29"/>
  <c r="AE45" i="29" s="1"/>
  <c r="AD48" i="29"/>
  <c r="AE48" i="29" s="1"/>
  <c r="AG105" i="29"/>
  <c r="AH105" i="29" s="1"/>
  <c r="AD105" i="29"/>
  <c r="AE105" i="29" s="1"/>
  <c r="AC45" i="29"/>
  <c r="AC48" i="29"/>
  <c r="AJ13" i="29"/>
  <c r="AK13" i="29" s="1"/>
  <c r="AD102" i="29"/>
  <c r="AE102" i="29" s="1"/>
  <c r="AG102" i="29"/>
  <c r="AH102" i="29" s="1"/>
  <c r="O45" i="29"/>
  <c r="Q45" i="29" s="1"/>
  <c r="AG45" i="29"/>
  <c r="AH45" i="29" s="1"/>
  <c r="AM46" i="29"/>
  <c r="AN46" i="29" s="1"/>
  <c r="O48" i="29"/>
  <c r="Q48" i="29" s="1"/>
  <c r="AG48" i="29"/>
  <c r="AH48" i="29" s="1"/>
  <c r="AM49" i="29"/>
  <c r="AN49" i="29" s="1"/>
  <c r="Z85" i="29"/>
  <c r="AA85" i="29" s="1"/>
  <c r="Z88" i="29"/>
  <c r="AA88" i="29" s="1"/>
  <c r="O90" i="29"/>
  <c r="Q90" i="29" s="1"/>
  <c r="O99" i="29"/>
  <c r="Q99" i="29" s="1"/>
  <c r="AJ129" i="29"/>
  <c r="AK129" i="29" s="1"/>
  <c r="P155" i="29"/>
  <c r="O155" i="29"/>
  <c r="Q155" i="29" s="1"/>
  <c r="Y155" i="29"/>
  <c r="Z155" i="29" s="1"/>
  <c r="AA155" i="29" s="1"/>
  <c r="AG247" i="29"/>
  <c r="AH247" i="29" s="1"/>
  <c r="AD247" i="29"/>
  <c r="AE247" i="29" s="1"/>
  <c r="AB11" i="29"/>
  <c r="AM13" i="29"/>
  <c r="AN13" i="29" s="1"/>
  <c r="AB14" i="29"/>
  <c r="AM16" i="29"/>
  <c r="AN16" i="29" s="1"/>
  <c r="AB17" i="29"/>
  <c r="AM19" i="29"/>
  <c r="AN19" i="29" s="1"/>
  <c r="AB20" i="29"/>
  <c r="AM22" i="29"/>
  <c r="AN22" i="29" s="1"/>
  <c r="AB23" i="29"/>
  <c r="AM25" i="29"/>
  <c r="AN25" i="29" s="1"/>
  <c r="AB26" i="29"/>
  <c r="AM28" i="29"/>
  <c r="AN28" i="29" s="1"/>
  <c r="AB29" i="29"/>
  <c r="AM31" i="29"/>
  <c r="AN31" i="29" s="1"/>
  <c r="AB32" i="29"/>
  <c r="AM34" i="29"/>
  <c r="AN34" i="29" s="1"/>
  <c r="AB35" i="29"/>
  <c r="AM37" i="29"/>
  <c r="AN37" i="29" s="1"/>
  <c r="AB38" i="29"/>
  <c r="AM43" i="29"/>
  <c r="AN43" i="29" s="1"/>
  <c r="P45" i="29"/>
  <c r="P48" i="29"/>
  <c r="AD50" i="29"/>
  <c r="AE50" i="29" s="1"/>
  <c r="Z55" i="29"/>
  <c r="AA55" i="29" s="1"/>
  <c r="AD59" i="29"/>
  <c r="AE59" i="29" s="1"/>
  <c r="AJ60" i="29"/>
  <c r="AK60" i="29" s="1"/>
  <c r="AD62" i="29"/>
  <c r="AE62" i="29" s="1"/>
  <c r="Z70" i="29"/>
  <c r="AA70" i="29" s="1"/>
  <c r="AJ72" i="29"/>
  <c r="AK72" i="29" s="1"/>
  <c r="Z73" i="29"/>
  <c r="AA73" i="29" s="1"/>
  <c r="AJ75" i="29"/>
  <c r="AK75" i="29" s="1"/>
  <c r="Z79" i="29"/>
  <c r="AA79" i="29" s="1"/>
  <c r="AJ81" i="29"/>
  <c r="AK81" i="29" s="1"/>
  <c r="Z82" i="29"/>
  <c r="AA82" i="29" s="1"/>
  <c r="AJ84" i="29"/>
  <c r="AK84" i="29" s="1"/>
  <c r="P125" i="29"/>
  <c r="Y125" i="29"/>
  <c r="Z125" i="29" s="1"/>
  <c r="AA125" i="29" s="1"/>
  <c r="P152" i="29"/>
  <c r="O152" i="29"/>
  <c r="Q152" i="29" s="1"/>
  <c r="Y152" i="29"/>
  <c r="AC152" i="29" s="1"/>
  <c r="AM48" i="29"/>
  <c r="AN48" i="29" s="1"/>
  <c r="AD44" i="29"/>
  <c r="AE44" i="29" s="1"/>
  <c r="AJ45" i="29"/>
  <c r="AK45" i="29" s="1"/>
  <c r="Z46" i="29"/>
  <c r="AA46" i="29" s="1"/>
  <c r="AJ48" i="29"/>
  <c r="AK48" i="29" s="1"/>
  <c r="Z49" i="29"/>
  <c r="AA49" i="29" s="1"/>
  <c r="AG86" i="29"/>
  <c r="AH86" i="29" s="1"/>
  <c r="O105" i="29"/>
  <c r="Q105" i="29" s="1"/>
  <c r="AC123" i="29"/>
  <c r="O125" i="29"/>
  <c r="Q125" i="29" s="1"/>
  <c r="AJ126" i="29"/>
  <c r="AK126" i="29" s="1"/>
  <c r="P149" i="29"/>
  <c r="O149" i="29"/>
  <c r="Q149" i="29" s="1"/>
  <c r="Y149" i="29"/>
  <c r="AC149" i="29" s="1"/>
  <c r="AC150" i="29"/>
  <c r="AJ156" i="29"/>
  <c r="AK156" i="29" s="1"/>
  <c r="AJ187" i="29"/>
  <c r="AK187" i="29" s="1"/>
  <c r="Z13" i="29"/>
  <c r="AA13" i="29" s="1"/>
  <c r="AD14" i="29"/>
  <c r="AE14" i="29" s="1"/>
  <c r="Z16" i="29"/>
  <c r="AA16" i="29" s="1"/>
  <c r="Z19" i="29"/>
  <c r="AA19" i="29" s="1"/>
  <c r="Z22" i="29"/>
  <c r="AA22" i="29" s="1"/>
  <c r="Z25" i="29"/>
  <c r="AA25" i="29" s="1"/>
  <c r="Z28" i="29"/>
  <c r="AA28" i="29" s="1"/>
  <c r="Z31" i="29"/>
  <c r="AA31" i="29" s="1"/>
  <c r="Z34" i="29"/>
  <c r="AA34" i="29" s="1"/>
  <c r="Z37" i="29"/>
  <c r="AA37" i="29" s="1"/>
  <c r="Z43" i="29"/>
  <c r="AA43" i="29" s="1"/>
  <c r="AG50" i="29"/>
  <c r="AH50" i="29" s="1"/>
  <c r="AG59" i="29"/>
  <c r="AH59" i="29" s="1"/>
  <c r="AM60" i="29"/>
  <c r="AN60" i="29" s="1"/>
  <c r="AG62" i="29"/>
  <c r="AH62" i="29" s="1"/>
  <c r="AG65" i="29"/>
  <c r="AH65" i="29" s="1"/>
  <c r="AM72" i="29"/>
  <c r="AN72" i="29" s="1"/>
  <c r="AM75" i="29"/>
  <c r="AN75" i="29" s="1"/>
  <c r="O77" i="29"/>
  <c r="Q77" i="29" s="1"/>
  <c r="AG77" i="29"/>
  <c r="AH77" i="29" s="1"/>
  <c r="AG80" i="29"/>
  <c r="AH80" i="29" s="1"/>
  <c r="AM81" i="29"/>
  <c r="AN81" i="29" s="1"/>
  <c r="AG83" i="29"/>
  <c r="AH83" i="29" s="1"/>
  <c r="AM84" i="29"/>
  <c r="AN84" i="29" s="1"/>
  <c r="P86" i="29"/>
  <c r="Y87" i="29"/>
  <c r="AM87" i="29" s="1"/>
  <c r="AN87" i="29" s="1"/>
  <c r="P89" i="29"/>
  <c r="P105" i="29"/>
  <c r="AM123" i="29"/>
  <c r="AN123" i="29" s="1"/>
  <c r="AM144" i="29"/>
  <c r="AN144" i="29" s="1"/>
  <c r="P146" i="29"/>
  <c r="O146" i="29"/>
  <c r="Q146" i="29" s="1"/>
  <c r="Y146" i="29"/>
  <c r="AG146" i="29" s="1"/>
  <c r="AH146" i="29" s="1"/>
  <c r="AJ153" i="29"/>
  <c r="AK153" i="29" s="1"/>
  <c r="P185" i="29"/>
  <c r="Y185" i="29"/>
  <c r="AC185" i="29" s="1"/>
  <c r="Z105" i="29"/>
  <c r="AA105" i="29" s="1"/>
  <c r="P143" i="29"/>
  <c r="O143" i="29"/>
  <c r="Q143" i="29" s="1"/>
  <c r="Y143" i="29"/>
  <c r="AG143" i="29" s="1"/>
  <c r="AH143" i="29" s="1"/>
  <c r="AM12" i="29"/>
  <c r="AN12" i="29" s="1"/>
  <c r="AG14" i="29"/>
  <c r="AH14" i="29" s="1"/>
  <c r="AM21" i="29"/>
  <c r="AN21" i="29" s="1"/>
  <c r="AM30" i="29"/>
  <c r="AN30" i="29" s="1"/>
  <c r="AM33" i="29"/>
  <c r="AN33" i="29" s="1"/>
  <c r="AJ50" i="29"/>
  <c r="AK50" i="29" s="1"/>
  <c r="AD55" i="29"/>
  <c r="AE55" i="29" s="1"/>
  <c r="AJ59" i="29"/>
  <c r="AK59" i="29" s="1"/>
  <c r="AJ62" i="29"/>
  <c r="AK62" i="29" s="1"/>
  <c r="AJ65" i="29"/>
  <c r="AK65" i="29" s="1"/>
  <c r="AD70" i="29"/>
  <c r="AE70" i="29" s="1"/>
  <c r="AJ77" i="29"/>
  <c r="AK77" i="29" s="1"/>
  <c r="AD79" i="29"/>
  <c r="AE79" i="29" s="1"/>
  <c r="AJ80" i="29"/>
  <c r="AK80" i="29" s="1"/>
  <c r="AD82" i="29"/>
  <c r="AE82" i="29" s="1"/>
  <c r="AJ83" i="29"/>
  <c r="AK83" i="29" s="1"/>
  <c r="AJ89" i="29"/>
  <c r="AK89" i="29" s="1"/>
  <c r="AG89" i="29"/>
  <c r="AH89" i="29" s="1"/>
  <c r="AD89" i="29"/>
  <c r="AE89" i="29" s="1"/>
  <c r="AM89" i="29"/>
  <c r="AN89" i="29" s="1"/>
  <c r="AM105" i="29"/>
  <c r="AN105" i="29" s="1"/>
  <c r="AC120" i="29"/>
  <c r="O122" i="29"/>
  <c r="Q122" i="29" s="1"/>
  <c r="AJ123" i="29"/>
  <c r="AK123" i="29" s="1"/>
  <c r="AM138" i="29"/>
  <c r="AN138" i="29" s="1"/>
  <c r="P140" i="29"/>
  <c r="O140" i="29"/>
  <c r="Q140" i="29" s="1"/>
  <c r="Y140" i="29"/>
  <c r="AM140" i="29" s="1"/>
  <c r="AN140" i="29" s="1"/>
  <c r="AC141" i="29"/>
  <c r="AM178" i="29"/>
  <c r="AN178" i="29" s="1"/>
  <c r="P180" i="29"/>
  <c r="O180" i="29"/>
  <c r="Q180" i="29" s="1"/>
  <c r="Y180" i="29"/>
  <c r="AC180" i="29" s="1"/>
  <c r="AJ44" i="29"/>
  <c r="AK44" i="29" s="1"/>
  <c r="AG85" i="29"/>
  <c r="AH85" i="29" s="1"/>
  <c r="O88" i="29"/>
  <c r="Q88" i="29" s="1"/>
  <c r="AG88" i="29"/>
  <c r="AH88" i="29" s="1"/>
  <c r="O93" i="29"/>
  <c r="Q93" i="29" s="1"/>
  <c r="O102" i="29"/>
  <c r="Q102" i="29" s="1"/>
  <c r="AM120" i="29"/>
  <c r="AN120" i="29" s="1"/>
  <c r="P137" i="29"/>
  <c r="O137" i="29"/>
  <c r="Q137" i="29" s="1"/>
  <c r="Y137" i="29"/>
  <c r="AM137" i="29" s="1"/>
  <c r="AN137" i="29" s="1"/>
  <c r="AC138" i="29"/>
  <c r="AJ144" i="29"/>
  <c r="AK144" i="29" s="1"/>
  <c r="P177" i="29"/>
  <c r="O177" i="29"/>
  <c r="Q177" i="29" s="1"/>
  <c r="Y177" i="29"/>
  <c r="Z177" i="29" s="1"/>
  <c r="AA177" i="29" s="1"/>
  <c r="AC178" i="29"/>
  <c r="AB193" i="29"/>
  <c r="AC193" i="29" s="1"/>
  <c r="Z193" i="29"/>
  <c r="AA193" i="29" s="1"/>
  <c r="P122" i="29"/>
  <c r="Y122" i="29"/>
  <c r="AC122" i="29" s="1"/>
  <c r="Z12" i="29"/>
  <c r="AA12" i="29" s="1"/>
  <c r="Z21" i="29"/>
  <c r="AA21" i="29" s="1"/>
  <c r="Z30" i="29"/>
  <c r="AA30" i="29" s="1"/>
  <c r="Z33" i="29"/>
  <c r="AA33" i="29" s="1"/>
  <c r="AM50" i="29"/>
  <c r="AN50" i="29" s="1"/>
  <c r="AM59" i="29"/>
  <c r="AN59" i="29" s="1"/>
  <c r="AM62" i="29"/>
  <c r="AN62" i="29" s="1"/>
  <c r="AM65" i="29"/>
  <c r="AN65" i="29" s="1"/>
  <c r="AG70" i="29"/>
  <c r="AH70" i="29" s="1"/>
  <c r="AG79" i="29"/>
  <c r="AH79" i="29" s="1"/>
  <c r="AG82" i="29"/>
  <c r="AH82" i="29" s="1"/>
  <c r="P88" i="29"/>
  <c r="P93" i="29"/>
  <c r="P102" i="29"/>
  <c r="P119" i="29"/>
  <c r="Y119" i="29"/>
  <c r="AC119" i="29" s="1"/>
  <c r="P134" i="29"/>
  <c r="O134" i="29"/>
  <c r="Q134" i="29" s="1"/>
  <c r="Y134" i="29"/>
  <c r="AC134" i="29" s="1"/>
  <c r="P174" i="29"/>
  <c r="O174" i="29"/>
  <c r="Q174" i="29" s="1"/>
  <c r="Y174" i="29"/>
  <c r="Z174" i="29" s="1"/>
  <c r="AA174" i="29" s="1"/>
  <c r="AJ85" i="29"/>
  <c r="AK85" i="29" s="1"/>
  <c r="AJ88" i="29"/>
  <c r="AK88" i="29" s="1"/>
  <c r="Z93" i="29"/>
  <c r="AA93" i="29" s="1"/>
  <c r="Z102" i="29"/>
  <c r="AA102" i="29" s="1"/>
  <c r="O119" i="29"/>
  <c r="Q119" i="29" s="1"/>
  <c r="AJ120" i="29"/>
  <c r="AK120" i="29" s="1"/>
  <c r="P131" i="29"/>
  <c r="Y131" i="29"/>
  <c r="AM131" i="29" s="1"/>
  <c r="AN131" i="29" s="1"/>
  <c r="AJ138" i="29"/>
  <c r="AK138" i="29" s="1"/>
  <c r="AM169" i="29"/>
  <c r="AN169" i="29" s="1"/>
  <c r="P171" i="29"/>
  <c r="O171" i="29"/>
  <c r="Q171" i="29" s="1"/>
  <c r="Y171" i="29"/>
  <c r="AC171" i="29" s="1"/>
  <c r="AJ178" i="29"/>
  <c r="AK178" i="29" s="1"/>
  <c r="AD72" i="29"/>
  <c r="AE72" i="29" s="1"/>
  <c r="AD75" i="29"/>
  <c r="AE75" i="29" s="1"/>
  <c r="Z77" i="29"/>
  <c r="AA77" i="29" s="1"/>
  <c r="Z80" i="29"/>
  <c r="AA80" i="29" s="1"/>
  <c r="AD81" i="29"/>
  <c r="AE81" i="29" s="1"/>
  <c r="Z83" i="29"/>
  <c r="AA83" i="29" s="1"/>
  <c r="AD84" i="29"/>
  <c r="AE84" i="29" s="1"/>
  <c r="AM93" i="29"/>
  <c r="AN93" i="29" s="1"/>
  <c r="AM102" i="29"/>
  <c r="AN102" i="29" s="1"/>
  <c r="P108" i="29"/>
  <c r="AM129" i="29"/>
  <c r="AN129" i="29" s="1"/>
  <c r="P168" i="29"/>
  <c r="O168" i="29"/>
  <c r="Q168" i="29" s="1"/>
  <c r="Y168" i="29"/>
  <c r="AM168" i="29" s="1"/>
  <c r="AN168" i="29" s="1"/>
  <c r="AC169" i="29"/>
  <c r="AD187" i="29"/>
  <c r="AE187" i="29" s="1"/>
  <c r="Z187" i="29"/>
  <c r="AA187" i="29" s="1"/>
  <c r="P128" i="29"/>
  <c r="Y128" i="29"/>
  <c r="AM128" i="29" s="1"/>
  <c r="AN128" i="29" s="1"/>
  <c r="AC129" i="29"/>
  <c r="P161" i="29"/>
  <c r="O161" i="29"/>
  <c r="Q161" i="29" s="1"/>
  <c r="Y161" i="29"/>
  <c r="AC161" i="29" s="1"/>
  <c r="Y183" i="29"/>
  <c r="AD183" i="29" s="1"/>
  <c r="AE183" i="29" s="1"/>
  <c r="P183" i="29"/>
  <c r="O183" i="29"/>
  <c r="Q183" i="29" s="1"/>
  <c r="AJ92" i="29"/>
  <c r="AK92" i="29" s="1"/>
  <c r="AJ101" i="29"/>
  <c r="AK101" i="29" s="1"/>
  <c r="AM108" i="29"/>
  <c r="AN108" i="29" s="1"/>
  <c r="Z113" i="29"/>
  <c r="AA113" i="29" s="1"/>
  <c r="AJ116" i="29"/>
  <c r="AK116" i="29" s="1"/>
  <c r="AC126" i="29"/>
  <c r="O128" i="29"/>
  <c r="Q128" i="29" s="1"/>
  <c r="AM156" i="29"/>
  <c r="AN156" i="29" s="1"/>
  <c r="P158" i="29"/>
  <c r="O158" i="29"/>
  <c r="Q158" i="29" s="1"/>
  <c r="Y158" i="29"/>
  <c r="AG158" i="29" s="1"/>
  <c r="AH158" i="29" s="1"/>
  <c r="AC159" i="29"/>
  <c r="AJ169" i="29"/>
  <c r="AK169" i="29" s="1"/>
  <c r="AB90" i="29"/>
  <c r="AM92" i="29"/>
  <c r="AN92" i="29" s="1"/>
  <c r="AB93" i="29"/>
  <c r="AC93" i="29" s="1"/>
  <c r="AB99" i="29"/>
  <c r="AM101" i="29"/>
  <c r="AN101" i="29" s="1"/>
  <c r="AB102" i="29"/>
  <c r="AC102" i="29" s="1"/>
  <c r="AB105" i="29"/>
  <c r="AC105" i="29" s="1"/>
  <c r="AM107" i="29"/>
  <c r="AN107" i="29" s="1"/>
  <c r="AB108" i="29"/>
  <c r="AC108" i="29" s="1"/>
  <c r="AM110" i="29"/>
  <c r="AN110" i="29" s="1"/>
  <c r="AM113" i="29"/>
  <c r="AN113" i="29" s="1"/>
  <c r="AB114" i="29"/>
  <c r="AM116" i="29"/>
  <c r="AN116" i="29" s="1"/>
  <c r="P189" i="29"/>
  <c r="O194" i="29"/>
  <c r="Q194" i="29" s="1"/>
  <c r="AC244" i="29"/>
  <c r="AM261" i="29"/>
  <c r="AN261" i="29" s="1"/>
  <c r="AC271" i="29"/>
  <c r="AC301" i="29"/>
  <c r="AB303" i="29"/>
  <c r="AC303" i="29" s="1"/>
  <c r="Z303" i="29"/>
  <c r="AA303" i="29" s="1"/>
  <c r="AD117" i="29"/>
  <c r="AE117" i="29" s="1"/>
  <c r="AD120" i="29"/>
  <c r="AE120" i="29" s="1"/>
  <c r="AD123" i="29"/>
  <c r="AE123" i="29" s="1"/>
  <c r="AD126" i="29"/>
  <c r="AE126" i="29" s="1"/>
  <c r="AD129" i="29"/>
  <c r="AE129" i="29" s="1"/>
  <c r="AD132" i="29"/>
  <c r="AE132" i="29" s="1"/>
  <c r="AD138" i="29"/>
  <c r="AE138" i="29" s="1"/>
  <c r="AD141" i="29"/>
  <c r="AE141" i="29" s="1"/>
  <c r="AD144" i="29"/>
  <c r="AE144" i="29" s="1"/>
  <c r="AD150" i="29"/>
  <c r="AE150" i="29" s="1"/>
  <c r="AD153" i="29"/>
  <c r="AE153" i="29" s="1"/>
  <c r="AD156" i="29"/>
  <c r="AE156" i="29" s="1"/>
  <c r="AD159" i="29"/>
  <c r="AE159" i="29" s="1"/>
  <c r="AD169" i="29"/>
  <c r="AE169" i="29" s="1"/>
  <c r="AD172" i="29"/>
  <c r="AE172" i="29" s="1"/>
  <c r="AD178" i="29"/>
  <c r="AE178" i="29" s="1"/>
  <c r="AG187" i="29"/>
  <c r="AH187" i="29" s="1"/>
  <c r="AB213" i="29"/>
  <c r="AC213" i="29" s="1"/>
  <c r="Z213" i="29"/>
  <c r="AA213" i="29" s="1"/>
  <c r="AB242" i="29"/>
  <c r="AC242" i="29" s="1"/>
  <c r="Z242" i="29"/>
  <c r="AA242" i="29" s="1"/>
  <c r="AM244" i="29"/>
  <c r="AN244" i="29" s="1"/>
  <c r="AB248" i="29"/>
  <c r="AC248" i="29" s="1"/>
  <c r="Z248" i="29"/>
  <c r="AA248" i="29" s="1"/>
  <c r="AM255" i="29"/>
  <c r="AN255" i="29" s="1"/>
  <c r="AD271" i="29"/>
  <c r="AE271" i="29" s="1"/>
  <c r="AC280" i="29"/>
  <c r="Z189" i="29"/>
  <c r="AA189" i="29" s="1"/>
  <c r="AM192" i="29"/>
  <c r="AN192" i="29" s="1"/>
  <c r="AB198" i="29"/>
  <c r="AC198" i="29" s="1"/>
  <c r="Z198" i="29"/>
  <c r="AA198" i="29" s="1"/>
  <c r="AG213" i="29"/>
  <c r="AH213" i="29" s="1"/>
  <c r="AG242" i="29"/>
  <c r="AH242" i="29" s="1"/>
  <c r="AC250" i="29"/>
  <c r="AC255" i="29"/>
  <c r="AD280" i="29"/>
  <c r="AE280" i="29" s="1"/>
  <c r="AG308" i="29"/>
  <c r="AH308" i="29" s="1"/>
  <c r="AD308" i="29"/>
  <c r="AE308" i="29" s="1"/>
  <c r="AJ308" i="29"/>
  <c r="AK308" i="29" s="1"/>
  <c r="AC317" i="29"/>
  <c r="AC323" i="29"/>
  <c r="AG117" i="29"/>
  <c r="AH117" i="29" s="1"/>
  <c r="O120" i="29"/>
  <c r="Q120" i="29" s="1"/>
  <c r="AG120" i="29"/>
  <c r="AH120" i="29" s="1"/>
  <c r="AG123" i="29"/>
  <c r="AH123" i="29" s="1"/>
  <c r="AG126" i="29"/>
  <c r="AH126" i="29" s="1"/>
  <c r="AG129" i="29"/>
  <c r="AH129" i="29" s="1"/>
  <c r="AG132" i="29"/>
  <c r="AH132" i="29" s="1"/>
  <c r="AG138" i="29"/>
  <c r="AH138" i="29" s="1"/>
  <c r="O141" i="29"/>
  <c r="Q141" i="29" s="1"/>
  <c r="AG141" i="29"/>
  <c r="AH141" i="29" s="1"/>
  <c r="O144" i="29"/>
  <c r="Q144" i="29" s="1"/>
  <c r="AG144" i="29"/>
  <c r="AH144" i="29" s="1"/>
  <c r="O150" i="29"/>
  <c r="Q150" i="29" s="1"/>
  <c r="AG150" i="29"/>
  <c r="AH150" i="29" s="1"/>
  <c r="O153" i="29"/>
  <c r="Q153" i="29" s="1"/>
  <c r="AG153" i="29"/>
  <c r="AH153" i="29" s="1"/>
  <c r="O156" i="29"/>
  <c r="Q156" i="29" s="1"/>
  <c r="AG156" i="29"/>
  <c r="AH156" i="29" s="1"/>
  <c r="O159" i="29"/>
  <c r="Q159" i="29" s="1"/>
  <c r="AG159" i="29"/>
  <c r="AH159" i="29" s="1"/>
  <c r="O162" i="29"/>
  <c r="Q162" i="29" s="1"/>
  <c r="O169" i="29"/>
  <c r="Q169" i="29" s="1"/>
  <c r="AG169" i="29"/>
  <c r="AH169" i="29" s="1"/>
  <c r="O172" i="29"/>
  <c r="Q172" i="29" s="1"/>
  <c r="AG172" i="29"/>
  <c r="AH172" i="29" s="1"/>
  <c r="O175" i="29"/>
  <c r="Q175" i="29" s="1"/>
  <c r="O178" i="29"/>
  <c r="Q178" i="29" s="1"/>
  <c r="AG178" i="29"/>
  <c r="AH178" i="29" s="1"/>
  <c r="O181" i="29"/>
  <c r="Q181" i="29" s="1"/>
  <c r="O187" i="29"/>
  <c r="Q187" i="29" s="1"/>
  <c r="AM189" i="29"/>
  <c r="AN189" i="29" s="1"/>
  <c r="AG198" i="29"/>
  <c r="AH198" i="29" s="1"/>
  <c r="AB207" i="29"/>
  <c r="AC207" i="29" s="1"/>
  <c r="Z207" i="29"/>
  <c r="AA207" i="29" s="1"/>
  <c r="AC209" i="29"/>
  <c r="AC215" i="29"/>
  <c r="AB219" i="29"/>
  <c r="AC219" i="29" s="1"/>
  <c r="Z219" i="29"/>
  <c r="AA219" i="29" s="1"/>
  <c r="AC221" i="29"/>
  <c r="AC238" i="29"/>
  <c r="AM250" i="29"/>
  <c r="AN250" i="29" s="1"/>
  <c r="AD317" i="29"/>
  <c r="AE317" i="29" s="1"/>
  <c r="AD323" i="29"/>
  <c r="AE323" i="29" s="1"/>
  <c r="AD92" i="29"/>
  <c r="AE92" i="29" s="1"/>
  <c r="AJ93" i="29"/>
  <c r="AK93" i="29" s="1"/>
  <c r="AD101" i="29"/>
  <c r="AE101" i="29" s="1"/>
  <c r="AJ102" i="29"/>
  <c r="AK102" i="29" s="1"/>
  <c r="AJ105" i="29"/>
  <c r="AK105" i="29" s="1"/>
  <c r="AD107" i="29"/>
  <c r="AE107" i="29" s="1"/>
  <c r="AJ108" i="29"/>
  <c r="AK108" i="29" s="1"/>
  <c r="AD110" i="29"/>
  <c r="AE110" i="29" s="1"/>
  <c r="AD113" i="29"/>
  <c r="AE113" i="29" s="1"/>
  <c r="AD116" i="29"/>
  <c r="AE116" i="29" s="1"/>
  <c r="AC187" i="29"/>
  <c r="AJ193" i="29"/>
  <c r="AK193" i="29" s="1"/>
  <c r="AG193" i="29"/>
  <c r="AH193" i="29" s="1"/>
  <c r="AD193" i="29"/>
  <c r="AE193" i="29" s="1"/>
  <c r="AM193" i="29"/>
  <c r="AN193" i="29" s="1"/>
  <c r="AB195" i="29"/>
  <c r="AC195" i="29" s="1"/>
  <c r="Z195" i="29"/>
  <c r="AA195" i="29" s="1"/>
  <c r="Z241" i="29"/>
  <c r="AA241" i="29" s="1"/>
  <c r="AG294" i="29"/>
  <c r="AH294" i="29" s="1"/>
  <c r="AD294" i="29"/>
  <c r="AE294" i="29" s="1"/>
  <c r="AJ294" i="29"/>
  <c r="AK294" i="29" s="1"/>
  <c r="AD189" i="29"/>
  <c r="AE189" i="29" s="1"/>
  <c r="AM241" i="29"/>
  <c r="AN241" i="29" s="1"/>
  <c r="AB245" i="29"/>
  <c r="AC247" i="29"/>
  <c r="AC281" i="29"/>
  <c r="AB362" i="29"/>
  <c r="AC362" i="29" s="1"/>
  <c r="Z362" i="29"/>
  <c r="AA362" i="29" s="1"/>
  <c r="AG92" i="29"/>
  <c r="AH92" i="29" s="1"/>
  <c r="AG101" i="29"/>
  <c r="AH101" i="29" s="1"/>
  <c r="AG107" i="29"/>
  <c r="AH107" i="29" s="1"/>
  <c r="AG110" i="29"/>
  <c r="AH110" i="29" s="1"/>
  <c r="AG113" i="29"/>
  <c r="AH113" i="29" s="1"/>
  <c r="AG116" i="29"/>
  <c r="AH116" i="29" s="1"/>
  <c r="O188" i="29"/>
  <c r="Q188" i="29" s="1"/>
  <c r="AB210" i="29"/>
  <c r="AC210" i="29" s="1"/>
  <c r="Z210" i="29"/>
  <c r="AA210" i="29" s="1"/>
  <c r="AC212" i="29"/>
  <c r="AB222" i="29"/>
  <c r="Y235" i="29"/>
  <c r="AD235" i="29" s="1"/>
  <c r="AE235" i="29" s="1"/>
  <c r="P235" i="29"/>
  <c r="AB239" i="29"/>
  <c r="AC239" i="29" s="1"/>
  <c r="Z239" i="29"/>
  <c r="AA239" i="29" s="1"/>
  <c r="AC241" i="29"/>
  <c r="AM247" i="29"/>
  <c r="AN247" i="29" s="1"/>
  <c r="AB251" i="29"/>
  <c r="AC251" i="29" s="1"/>
  <c r="Z251" i="29"/>
  <c r="AA251" i="29" s="1"/>
  <c r="AC256" i="29"/>
  <c r="AJ281" i="29"/>
  <c r="AK281" i="29" s="1"/>
  <c r="AB289" i="29"/>
  <c r="AC289" i="29" s="1"/>
  <c r="Z289" i="29"/>
  <c r="AA289" i="29" s="1"/>
  <c r="AM294" i="29"/>
  <c r="AN294" i="29" s="1"/>
  <c r="AG189" i="29"/>
  <c r="AH189" i="29" s="1"/>
  <c r="AB201" i="29"/>
  <c r="AC201" i="29" s="1"/>
  <c r="Z201" i="29"/>
  <c r="AA201" i="29" s="1"/>
  <c r="AB216" i="29"/>
  <c r="AC216" i="29" s="1"/>
  <c r="Z216" i="29"/>
  <c r="AA216" i="29" s="1"/>
  <c r="AG239" i="29"/>
  <c r="AH239" i="29" s="1"/>
  <c r="AC274" i="29"/>
  <c r="Z301" i="29"/>
  <c r="AA301" i="29" s="1"/>
  <c r="AJ313" i="29"/>
  <c r="AK313" i="29" s="1"/>
  <c r="AJ318" i="29"/>
  <c r="AK318" i="29" s="1"/>
  <c r="AG244" i="29"/>
  <c r="AH244" i="29" s="1"/>
  <c r="AD244" i="29"/>
  <c r="AE244" i="29" s="1"/>
  <c r="Y194" i="29"/>
  <c r="AD194" i="29" s="1"/>
  <c r="AE194" i="29" s="1"/>
  <c r="P194" i="29"/>
  <c r="AC313" i="29"/>
  <c r="AC318" i="29"/>
  <c r="AB328" i="29"/>
  <c r="AB194" i="29"/>
  <c r="P198" i="29"/>
  <c r="P201" i="29"/>
  <c r="P207" i="29"/>
  <c r="P210" i="29"/>
  <c r="P213" i="29"/>
  <c r="P219" i="29"/>
  <c r="P222" i="29"/>
  <c r="AM227" i="29"/>
  <c r="AN227" i="29" s="1"/>
  <c r="AB235" i="29"/>
  <c r="AG236" i="29"/>
  <c r="AH236" i="29" s="1"/>
  <c r="P239" i="29"/>
  <c r="Y240" i="29"/>
  <c r="AM240" i="29" s="1"/>
  <c r="AN240" i="29" s="1"/>
  <c r="P242" i="29"/>
  <c r="Y243" i="29"/>
  <c r="AM243" i="29" s="1"/>
  <c r="AN243" i="29" s="1"/>
  <c r="Z252" i="29"/>
  <c r="AA252" i="29" s="1"/>
  <c r="AD253" i="29"/>
  <c r="AE253" i="29" s="1"/>
  <c r="Z255" i="29"/>
  <c r="AA255" i="29" s="1"/>
  <c r="AD256" i="29"/>
  <c r="AE256" i="29" s="1"/>
  <c r="AD259" i="29"/>
  <c r="AE259" i="29" s="1"/>
  <c r="AM292" i="29"/>
  <c r="AN292" i="29" s="1"/>
  <c r="AG296" i="29"/>
  <c r="AH296" i="29" s="1"/>
  <c r="AD300" i="29"/>
  <c r="AE300" i="29" s="1"/>
  <c r="AM306" i="29"/>
  <c r="AN306" i="29" s="1"/>
  <c r="AG310" i="29"/>
  <c r="AH310" i="29" s="1"/>
  <c r="AD312" i="29"/>
  <c r="AE312" i="29" s="1"/>
  <c r="AM324" i="29"/>
  <c r="AN324" i="29" s="1"/>
  <c r="Y329" i="29"/>
  <c r="AC329" i="29" s="1"/>
  <c r="AB335" i="29"/>
  <c r="AC335" i="29" s="1"/>
  <c r="Z335" i="29"/>
  <c r="AA335" i="29" s="1"/>
  <c r="AD365" i="29"/>
  <c r="AE365" i="29" s="1"/>
  <c r="Z367" i="29"/>
  <c r="AA367" i="29" s="1"/>
  <c r="AB374" i="29"/>
  <c r="AB383" i="29"/>
  <c r="AM388" i="29"/>
  <c r="AN388" i="29" s="1"/>
  <c r="AM396" i="29"/>
  <c r="AN396" i="29" s="1"/>
  <c r="AC427" i="29"/>
  <c r="AB439" i="29"/>
  <c r="AC439" i="29" s="1"/>
  <c r="Z439" i="29"/>
  <c r="AA439" i="29" s="1"/>
  <c r="AB442" i="29"/>
  <c r="AC442" i="29" s="1"/>
  <c r="Z442" i="29"/>
  <c r="AA442" i="29" s="1"/>
  <c r="Z451" i="29"/>
  <c r="AA451" i="29" s="1"/>
  <c r="AG451" i="29"/>
  <c r="AH451" i="29" s="1"/>
  <c r="AJ195" i="29"/>
  <c r="AK195" i="29" s="1"/>
  <c r="Z196" i="29"/>
  <c r="AA196" i="29" s="1"/>
  <c r="AD197" i="29"/>
  <c r="AE197" i="29" s="1"/>
  <c r="AJ198" i="29"/>
  <c r="AK198" i="29" s="1"/>
  <c r="Z199" i="29"/>
  <c r="AA199" i="29" s="1"/>
  <c r="AD200" i="29"/>
  <c r="AE200" i="29" s="1"/>
  <c r="AJ201" i="29"/>
  <c r="AK201" i="29" s="1"/>
  <c r="AD206" i="29"/>
  <c r="AE206" i="29" s="1"/>
  <c r="AJ207" i="29"/>
  <c r="AK207" i="29" s="1"/>
  <c r="AD209" i="29"/>
  <c r="AE209" i="29" s="1"/>
  <c r="AJ210" i="29"/>
  <c r="AK210" i="29" s="1"/>
  <c r="Z211" i="29"/>
  <c r="AA211" i="29" s="1"/>
  <c r="AD212" i="29"/>
  <c r="AE212" i="29" s="1"/>
  <c r="AJ213" i="29"/>
  <c r="AK213" i="29" s="1"/>
  <c r="AD215" i="29"/>
  <c r="AE215" i="29" s="1"/>
  <c r="AJ216" i="29"/>
  <c r="AK216" i="29" s="1"/>
  <c r="AD218" i="29"/>
  <c r="AE218" i="29" s="1"/>
  <c r="AJ219" i="29"/>
  <c r="AK219" i="29" s="1"/>
  <c r="Z220" i="29"/>
  <c r="AA220" i="29" s="1"/>
  <c r="AD221" i="29"/>
  <c r="AE221" i="29" s="1"/>
  <c r="AG224" i="29"/>
  <c r="AH224" i="29" s="1"/>
  <c r="P236" i="29"/>
  <c r="Z237" i="29"/>
  <c r="AA237" i="29" s="1"/>
  <c r="AD238" i="29"/>
  <c r="AE238" i="29" s="1"/>
  <c r="AJ239" i="29"/>
  <c r="AK239" i="29" s="1"/>
  <c r="AD241" i="29"/>
  <c r="AE241" i="29" s="1"/>
  <c r="AJ242" i="29"/>
  <c r="AK242" i="29" s="1"/>
  <c r="AJ248" i="29"/>
  <c r="AK248" i="29" s="1"/>
  <c r="Z249" i="29"/>
  <c r="AA249" i="29" s="1"/>
  <c r="AD250" i="29"/>
  <c r="AE250" i="29" s="1"/>
  <c r="AJ251" i="29"/>
  <c r="AK251" i="29" s="1"/>
  <c r="AM260" i="29"/>
  <c r="AN260" i="29" s="1"/>
  <c r="AB261" i="29"/>
  <c r="AC261" i="29" s="1"/>
  <c r="AB267" i="29"/>
  <c r="AC267" i="29" s="1"/>
  <c r="AM269" i="29"/>
  <c r="AN269" i="29" s="1"/>
  <c r="AB270" i="29"/>
  <c r="AG271" i="29"/>
  <c r="AH271" i="29" s="1"/>
  <c r="AB273" i="29"/>
  <c r="AG274" i="29"/>
  <c r="AH274" i="29" s="1"/>
  <c r="AB276" i="29"/>
  <c r="AG277" i="29"/>
  <c r="AH277" i="29" s="1"/>
  <c r="AG280" i="29"/>
  <c r="AH280" i="29" s="1"/>
  <c r="AM281" i="29"/>
  <c r="AN281" i="29" s="1"/>
  <c r="AJ289" i="29"/>
  <c r="AK289" i="29" s="1"/>
  <c r="AG291" i="29"/>
  <c r="AH291" i="29" s="1"/>
  <c r="AD293" i="29"/>
  <c r="AE293" i="29" s="1"/>
  <c r="Z299" i="29"/>
  <c r="AA299" i="29" s="1"/>
  <c r="AM301" i="29"/>
  <c r="AN301" i="29" s="1"/>
  <c r="AG305" i="29"/>
  <c r="AH305" i="29" s="1"/>
  <c r="AD307" i="29"/>
  <c r="AE307" i="29" s="1"/>
  <c r="Z311" i="29"/>
  <c r="AA311" i="29" s="1"/>
  <c r="AM313" i="29"/>
  <c r="AN313" i="29" s="1"/>
  <c r="AG317" i="29"/>
  <c r="AH317" i="29" s="1"/>
  <c r="AM318" i="29"/>
  <c r="AN318" i="29" s="1"/>
  <c r="AG323" i="29"/>
  <c r="AH323" i="29" s="1"/>
  <c r="AD325" i="29"/>
  <c r="AE325" i="29" s="1"/>
  <c r="AD335" i="29"/>
  <c r="AE335" i="29" s="1"/>
  <c r="AB353" i="29"/>
  <c r="AC353" i="29" s="1"/>
  <c r="AM367" i="29"/>
  <c r="AN367" i="29" s="1"/>
  <c r="AG396" i="29"/>
  <c r="AH396" i="29" s="1"/>
  <c r="AM433" i="29"/>
  <c r="AN433" i="29" s="1"/>
  <c r="AM436" i="29"/>
  <c r="AN436" i="29" s="1"/>
  <c r="AM439" i="29"/>
  <c r="AN439" i="29" s="1"/>
  <c r="AM442" i="29"/>
  <c r="AN442" i="29" s="1"/>
  <c r="P500" i="29"/>
  <c r="Y500" i="29"/>
  <c r="AD500" i="29" s="1"/>
  <c r="AE500" i="29" s="1"/>
  <c r="AM195" i="29"/>
  <c r="AN195" i="29" s="1"/>
  <c r="AG197" i="29"/>
  <c r="AH197" i="29" s="1"/>
  <c r="AM198" i="29"/>
  <c r="AN198" i="29" s="1"/>
  <c r="AG200" i="29"/>
  <c r="AH200" i="29" s="1"/>
  <c r="AM201" i="29"/>
  <c r="AN201" i="29" s="1"/>
  <c r="AG206" i="29"/>
  <c r="AH206" i="29" s="1"/>
  <c r="AM207" i="29"/>
  <c r="AN207" i="29" s="1"/>
  <c r="AG209" i="29"/>
  <c r="AH209" i="29" s="1"/>
  <c r="AM210" i="29"/>
  <c r="AN210" i="29" s="1"/>
  <c r="AG212" i="29"/>
  <c r="AH212" i="29" s="1"/>
  <c r="AM213" i="29"/>
  <c r="AN213" i="29" s="1"/>
  <c r="AG215" i="29"/>
  <c r="AH215" i="29" s="1"/>
  <c r="AM216" i="29"/>
  <c r="AN216" i="29" s="1"/>
  <c r="AG218" i="29"/>
  <c r="AH218" i="29" s="1"/>
  <c r="AM219" i="29"/>
  <c r="AN219" i="29" s="1"/>
  <c r="AG221" i="29"/>
  <c r="AH221" i="29" s="1"/>
  <c r="AJ224" i="29"/>
  <c r="AK224" i="29" s="1"/>
  <c r="AG238" i="29"/>
  <c r="AH238" i="29" s="1"/>
  <c r="AM239" i="29"/>
  <c r="AN239" i="29" s="1"/>
  <c r="AG241" i="29"/>
  <c r="AH241" i="29" s="1"/>
  <c r="AM242" i="29"/>
  <c r="AN242" i="29" s="1"/>
  <c r="AM248" i="29"/>
  <c r="AN248" i="29" s="1"/>
  <c r="AG250" i="29"/>
  <c r="AH250" i="29" s="1"/>
  <c r="AM251" i="29"/>
  <c r="AN251" i="29" s="1"/>
  <c r="P253" i="29"/>
  <c r="Y254" i="29"/>
  <c r="AC254" i="29" s="1"/>
  <c r="P256" i="29"/>
  <c r="Y257" i="29"/>
  <c r="AC257" i="29" s="1"/>
  <c r="P259" i="29"/>
  <c r="Z260" i="29"/>
  <c r="AA260" i="29" s="1"/>
  <c r="AD261" i="29"/>
  <c r="AE261" i="29" s="1"/>
  <c r="AD264" i="29"/>
  <c r="AE264" i="29" s="1"/>
  <c r="AD267" i="29"/>
  <c r="AE267" i="29" s="1"/>
  <c r="Z269" i="29"/>
  <c r="AA269" i="29" s="1"/>
  <c r="AJ271" i="29"/>
  <c r="AK271" i="29" s="1"/>
  <c r="AJ274" i="29"/>
  <c r="AK274" i="29" s="1"/>
  <c r="AJ277" i="29"/>
  <c r="AK277" i="29" s="1"/>
  <c r="AJ280" i="29"/>
  <c r="AK280" i="29" s="1"/>
  <c r="Z281" i="29"/>
  <c r="AA281" i="29" s="1"/>
  <c r="AM289" i="29"/>
  <c r="AN289" i="29" s="1"/>
  <c r="AJ291" i="29"/>
  <c r="AK291" i="29" s="1"/>
  <c r="AG293" i="29"/>
  <c r="AH293" i="29" s="1"/>
  <c r="AD295" i="29"/>
  <c r="AE295" i="29" s="1"/>
  <c r="AM303" i="29"/>
  <c r="AN303" i="29" s="1"/>
  <c r="AJ305" i="29"/>
  <c r="AK305" i="29" s="1"/>
  <c r="AG307" i="29"/>
  <c r="AH307" i="29" s="1"/>
  <c r="AD309" i="29"/>
  <c r="AE309" i="29" s="1"/>
  <c r="Z313" i="29"/>
  <c r="AA313" i="29" s="1"/>
  <c r="AJ317" i="29"/>
  <c r="AK317" i="29" s="1"/>
  <c r="Z318" i="29"/>
  <c r="AA318" i="29" s="1"/>
  <c r="AD322" i="29"/>
  <c r="AE322" i="29" s="1"/>
  <c r="AJ323" i="29"/>
  <c r="AK323" i="29" s="1"/>
  <c r="AG325" i="29"/>
  <c r="AH325" i="29" s="1"/>
  <c r="P332" i="29"/>
  <c r="Z364" i="29"/>
  <c r="AA364" i="29" s="1"/>
  <c r="AB371" i="29"/>
  <c r="AC371" i="29" s="1"/>
  <c r="Z371" i="29"/>
  <c r="AA371" i="29" s="1"/>
  <c r="AC420" i="29"/>
  <c r="AD446" i="29"/>
  <c r="AE446" i="29" s="1"/>
  <c r="Z446" i="29"/>
  <c r="AA446" i="29" s="1"/>
  <c r="AJ446" i="29"/>
  <c r="AK446" i="29" s="1"/>
  <c r="AG446" i="29"/>
  <c r="AH446" i="29" s="1"/>
  <c r="AM446" i="29"/>
  <c r="AN446" i="29" s="1"/>
  <c r="AD476" i="29"/>
  <c r="AE476" i="29" s="1"/>
  <c r="AJ476" i="29"/>
  <c r="AK476" i="29" s="1"/>
  <c r="AG476" i="29"/>
  <c r="AH476" i="29" s="1"/>
  <c r="AM476" i="29"/>
  <c r="AN476" i="29" s="1"/>
  <c r="P197" i="29"/>
  <c r="P200" i="29"/>
  <c r="P206" i="29"/>
  <c r="P209" i="29"/>
  <c r="P212" i="29"/>
  <c r="P215" i="29"/>
  <c r="P218" i="29"/>
  <c r="P221" i="29"/>
  <c r="Y222" i="29"/>
  <c r="AG222" i="29" s="1"/>
  <c r="AH222" i="29" s="1"/>
  <c r="AD223" i="29"/>
  <c r="AE223" i="29" s="1"/>
  <c r="AM236" i="29"/>
  <c r="AN236" i="29" s="1"/>
  <c r="P238" i="29"/>
  <c r="P241" i="29"/>
  <c r="P244" i="29"/>
  <c r="P247" i="29"/>
  <c r="P250" i="29"/>
  <c r="AD252" i="29"/>
  <c r="AE252" i="29" s="1"/>
  <c r="AJ253" i="29"/>
  <c r="AK253" i="29" s="1"/>
  <c r="AD255" i="29"/>
  <c r="AE255" i="29" s="1"/>
  <c r="AJ256" i="29"/>
  <c r="AK256" i="29" s="1"/>
  <c r="AD258" i="29"/>
  <c r="AE258" i="29" s="1"/>
  <c r="AJ259" i="29"/>
  <c r="AK259" i="29" s="1"/>
  <c r="AG288" i="29"/>
  <c r="AH288" i="29" s="1"/>
  <c r="AD290" i="29"/>
  <c r="AE290" i="29" s="1"/>
  <c r="Z294" i="29"/>
  <c r="AA294" i="29" s="1"/>
  <c r="AM296" i="29"/>
  <c r="AN296" i="29" s="1"/>
  <c r="AJ300" i="29"/>
  <c r="AK300" i="29" s="1"/>
  <c r="AG302" i="29"/>
  <c r="AH302" i="29" s="1"/>
  <c r="AD304" i="29"/>
  <c r="AE304" i="29" s="1"/>
  <c r="Z308" i="29"/>
  <c r="AA308" i="29" s="1"/>
  <c r="AB332" i="29"/>
  <c r="AC332" i="29" s="1"/>
  <c r="Z332" i="29"/>
  <c r="AA332" i="29" s="1"/>
  <c r="AB380" i="29"/>
  <c r="AC380" i="29" s="1"/>
  <c r="Z380" i="29"/>
  <c r="AA380" i="29" s="1"/>
  <c r="AG420" i="29"/>
  <c r="AH420" i="29" s="1"/>
  <c r="AD420" i="29"/>
  <c r="AE420" i="29" s="1"/>
  <c r="AJ420" i="29"/>
  <c r="AK420" i="29" s="1"/>
  <c r="Z700" i="29"/>
  <c r="AA700" i="29" s="1"/>
  <c r="AD700" i="29"/>
  <c r="AE700" i="29" s="1"/>
  <c r="AG700" i="29"/>
  <c r="AH700" i="29" s="1"/>
  <c r="AD196" i="29"/>
  <c r="AE196" i="29" s="1"/>
  <c r="AJ197" i="29"/>
  <c r="AK197" i="29" s="1"/>
  <c r="AD199" i="29"/>
  <c r="AE199" i="29" s="1"/>
  <c r="AJ200" i="29"/>
  <c r="AK200" i="29" s="1"/>
  <c r="AJ206" i="29"/>
  <c r="AK206" i="29" s="1"/>
  <c r="AJ209" i="29"/>
  <c r="AK209" i="29" s="1"/>
  <c r="AD211" i="29"/>
  <c r="AE211" i="29" s="1"/>
  <c r="AJ212" i="29"/>
  <c r="AK212" i="29" s="1"/>
  <c r="AJ215" i="29"/>
  <c r="AK215" i="29" s="1"/>
  <c r="AJ218" i="29"/>
  <c r="AK218" i="29" s="1"/>
  <c r="AD220" i="29"/>
  <c r="AE220" i="29" s="1"/>
  <c r="AJ221" i="29"/>
  <c r="AK221" i="29" s="1"/>
  <c r="AD237" i="29"/>
  <c r="AE237" i="29" s="1"/>
  <c r="AJ238" i="29"/>
  <c r="AK238" i="29" s="1"/>
  <c r="AJ241" i="29"/>
  <c r="AK241" i="29" s="1"/>
  <c r="AJ244" i="29"/>
  <c r="AK244" i="29" s="1"/>
  <c r="AJ247" i="29"/>
  <c r="AK247" i="29" s="1"/>
  <c r="AD249" i="29"/>
  <c r="AE249" i="29" s="1"/>
  <c r="AJ250" i="29"/>
  <c r="AK250" i="29" s="1"/>
  <c r="AG261" i="29"/>
  <c r="AH261" i="29" s="1"/>
  <c r="AG264" i="29"/>
  <c r="AH264" i="29" s="1"/>
  <c r="AG267" i="29"/>
  <c r="AH267" i="29" s="1"/>
  <c r="AM271" i="29"/>
  <c r="AN271" i="29" s="1"/>
  <c r="AM274" i="29"/>
  <c r="AN274" i="29" s="1"/>
  <c r="AM277" i="29"/>
  <c r="AN277" i="29" s="1"/>
  <c r="AM280" i="29"/>
  <c r="AN280" i="29" s="1"/>
  <c r="AM291" i="29"/>
  <c r="AN291" i="29" s="1"/>
  <c r="AJ293" i="29"/>
  <c r="AK293" i="29" s="1"/>
  <c r="AG295" i="29"/>
  <c r="AH295" i="29" s="1"/>
  <c r="AM305" i="29"/>
  <c r="AN305" i="29" s="1"/>
  <c r="AJ307" i="29"/>
  <c r="AK307" i="29" s="1"/>
  <c r="AG309" i="29"/>
  <c r="AH309" i="29" s="1"/>
  <c r="AM317" i="29"/>
  <c r="AN317" i="29" s="1"/>
  <c r="AG322" i="29"/>
  <c r="AH322" i="29" s="1"/>
  <c r="AM323" i="29"/>
  <c r="AN323" i="29" s="1"/>
  <c r="AJ325" i="29"/>
  <c r="AK325" i="29" s="1"/>
  <c r="AB343" i="29"/>
  <c r="AC343" i="29" s="1"/>
  <c r="Z343" i="29"/>
  <c r="AA343" i="29" s="1"/>
  <c r="AB359" i="29"/>
  <c r="AC359" i="29" s="1"/>
  <c r="Z359" i="29"/>
  <c r="AA359" i="29" s="1"/>
  <c r="Z420" i="29"/>
  <c r="AA420" i="29" s="1"/>
  <c r="AG223" i="29"/>
  <c r="AH223" i="29" s="1"/>
  <c r="AD227" i="29"/>
  <c r="AE227" i="29" s="1"/>
  <c r="Z236" i="29"/>
  <c r="AA236" i="29" s="1"/>
  <c r="AM253" i="29"/>
  <c r="AN253" i="29" s="1"/>
  <c r="AG255" i="29"/>
  <c r="AH255" i="29" s="1"/>
  <c r="AG258" i="29"/>
  <c r="AH258" i="29" s="1"/>
  <c r="P261" i="29"/>
  <c r="P264" i="29"/>
  <c r="P267" i="29"/>
  <c r="AJ288" i="29"/>
  <c r="AK288" i="29" s="1"/>
  <c r="AG290" i="29"/>
  <c r="AH290" i="29" s="1"/>
  <c r="AD292" i="29"/>
  <c r="AE292" i="29" s="1"/>
  <c r="AJ302" i="29"/>
  <c r="AK302" i="29" s="1"/>
  <c r="AG304" i="29"/>
  <c r="AH304" i="29" s="1"/>
  <c r="AD306" i="29"/>
  <c r="AE306" i="29" s="1"/>
  <c r="Z310" i="29"/>
  <c r="AA310" i="29" s="1"/>
  <c r="AM334" i="29"/>
  <c r="AN334" i="29" s="1"/>
  <c r="AD343" i="29"/>
  <c r="AE343" i="29" s="1"/>
  <c r="Z352" i="29"/>
  <c r="AA352" i="29" s="1"/>
  <c r="AD359" i="29"/>
  <c r="AE359" i="29" s="1"/>
  <c r="AM373" i="29"/>
  <c r="AN373" i="29" s="1"/>
  <c r="AM382" i="29"/>
  <c r="AN382" i="29" s="1"/>
  <c r="AB389" i="29"/>
  <c r="AC389" i="29" s="1"/>
  <c r="Z389" i="29"/>
  <c r="AA389" i="29" s="1"/>
  <c r="AC403" i="29"/>
  <c r="AM420" i="29"/>
  <c r="AN420" i="29" s="1"/>
  <c r="AM422" i="29"/>
  <c r="AN422" i="29" s="1"/>
  <c r="AB425" i="29"/>
  <c r="AC425" i="29" s="1"/>
  <c r="Z425" i="29"/>
  <c r="AA425" i="29" s="1"/>
  <c r="AD464" i="29"/>
  <c r="AE464" i="29" s="1"/>
  <c r="AJ464" i="29"/>
  <c r="AK464" i="29" s="1"/>
  <c r="AG464" i="29"/>
  <c r="AH464" i="29" s="1"/>
  <c r="AM464" i="29"/>
  <c r="AN464" i="29" s="1"/>
  <c r="AD473" i="29"/>
  <c r="AE473" i="29" s="1"/>
  <c r="AJ473" i="29"/>
  <c r="AK473" i="29" s="1"/>
  <c r="AG473" i="29"/>
  <c r="AH473" i="29" s="1"/>
  <c r="AM473" i="29"/>
  <c r="AN473" i="29" s="1"/>
  <c r="Y531" i="29"/>
  <c r="AJ531" i="29" s="1"/>
  <c r="AK531" i="29" s="1"/>
  <c r="P531" i="29"/>
  <c r="O531" i="29"/>
  <c r="Q531" i="29" s="1"/>
  <c r="AG196" i="29"/>
  <c r="AH196" i="29" s="1"/>
  <c r="AM197" i="29"/>
  <c r="AN197" i="29" s="1"/>
  <c r="AG199" i="29"/>
  <c r="AH199" i="29" s="1"/>
  <c r="AG211" i="29"/>
  <c r="AH211" i="29" s="1"/>
  <c r="AG220" i="29"/>
  <c r="AH220" i="29" s="1"/>
  <c r="Z224" i="29"/>
  <c r="AA224" i="29" s="1"/>
  <c r="AG237" i="29"/>
  <c r="AH237" i="29" s="1"/>
  <c r="AG249" i="29"/>
  <c r="AH249" i="29" s="1"/>
  <c r="P255" i="29"/>
  <c r="P258" i="29"/>
  <c r="AD260" i="29"/>
  <c r="AE260" i="29" s="1"/>
  <c r="AJ261" i="29"/>
  <c r="AK261" i="29" s="1"/>
  <c r="AJ264" i="29"/>
  <c r="AK264" i="29" s="1"/>
  <c r="AJ267" i="29"/>
  <c r="AK267" i="29" s="1"/>
  <c r="AD269" i="29"/>
  <c r="AE269" i="29" s="1"/>
  <c r="Z271" i="29"/>
  <c r="AA271" i="29" s="1"/>
  <c r="AD272" i="29"/>
  <c r="AE272" i="29" s="1"/>
  <c r="Z274" i="29"/>
  <c r="AA274" i="29" s="1"/>
  <c r="Z277" i="29"/>
  <c r="AA277" i="29" s="1"/>
  <c r="AM307" i="29"/>
  <c r="AN307" i="29" s="1"/>
  <c r="AM325" i="29"/>
  <c r="AN325" i="29" s="1"/>
  <c r="AB368" i="29"/>
  <c r="AB394" i="29"/>
  <c r="AC394" i="29" s="1"/>
  <c r="Z394" i="29"/>
  <c r="AA394" i="29" s="1"/>
  <c r="AG403" i="29"/>
  <c r="AH403" i="29" s="1"/>
  <c r="AD403" i="29"/>
  <c r="AE403" i="29" s="1"/>
  <c r="AJ403" i="29"/>
  <c r="AK403" i="29" s="1"/>
  <c r="Y421" i="29"/>
  <c r="AG421" i="29" s="1"/>
  <c r="AH421" i="29" s="1"/>
  <c r="P421" i="29"/>
  <c r="Z427" i="29"/>
  <c r="AA427" i="29" s="1"/>
  <c r="AJ427" i="29"/>
  <c r="AK427" i="29" s="1"/>
  <c r="AG427" i="29"/>
  <c r="AH427" i="29" s="1"/>
  <c r="AD427" i="29"/>
  <c r="AE427" i="29" s="1"/>
  <c r="AB428" i="29"/>
  <c r="AC428" i="29" s="1"/>
  <c r="Z428" i="29"/>
  <c r="AA428" i="29" s="1"/>
  <c r="AJ223" i="29"/>
  <c r="AK223" i="29" s="1"/>
  <c r="AG227" i="29"/>
  <c r="AH227" i="29" s="1"/>
  <c r="AJ252" i="29"/>
  <c r="AK252" i="29" s="1"/>
  <c r="AJ255" i="29"/>
  <c r="AK255" i="29" s="1"/>
  <c r="AJ258" i="29"/>
  <c r="AK258" i="29" s="1"/>
  <c r="Z259" i="29"/>
  <c r="AA259" i="29" s="1"/>
  <c r="AJ290" i="29"/>
  <c r="AK290" i="29" s="1"/>
  <c r="AJ304" i="29"/>
  <c r="AK304" i="29" s="1"/>
  <c r="AJ354" i="29"/>
  <c r="AK354" i="29" s="1"/>
  <c r="AB377" i="29"/>
  <c r="AC377" i="29" s="1"/>
  <c r="Z377" i="29"/>
  <c r="AA377" i="29" s="1"/>
  <c r="AB386" i="29"/>
  <c r="AC386" i="29" s="1"/>
  <c r="Z386" i="29"/>
  <c r="AA386" i="29" s="1"/>
  <c r="AM394" i="29"/>
  <c r="AN394" i="29" s="1"/>
  <c r="Z403" i="29"/>
  <c r="AA403" i="29" s="1"/>
  <c r="AC419" i="29"/>
  <c r="O421" i="29"/>
  <c r="Q421" i="29" s="1"/>
  <c r="AJ422" i="29"/>
  <c r="AK422" i="29" s="1"/>
  <c r="AG425" i="29"/>
  <c r="AH425" i="29" s="1"/>
  <c r="AD425" i="29"/>
  <c r="AE425" i="29" s="1"/>
  <c r="AJ425" i="29"/>
  <c r="AK425" i="29" s="1"/>
  <c r="AM428" i="29"/>
  <c r="AN428" i="29" s="1"/>
  <c r="Z430" i="29"/>
  <c r="AA430" i="29" s="1"/>
  <c r="AJ430" i="29"/>
  <c r="AK430" i="29" s="1"/>
  <c r="AD430" i="29"/>
  <c r="AE430" i="29" s="1"/>
  <c r="AB431" i="29"/>
  <c r="AC431" i="29" s="1"/>
  <c r="Z431" i="29"/>
  <c r="AA431" i="29" s="1"/>
  <c r="AG437" i="29"/>
  <c r="AH437" i="29" s="1"/>
  <c r="AD437" i="29"/>
  <c r="AE437" i="29" s="1"/>
  <c r="AJ437" i="29"/>
  <c r="AK437" i="29" s="1"/>
  <c r="AC440" i="29"/>
  <c r="AD195" i="29"/>
  <c r="AE195" i="29" s="1"/>
  <c r="AJ196" i="29"/>
  <c r="AK196" i="29" s="1"/>
  <c r="AD198" i="29"/>
  <c r="AE198" i="29" s="1"/>
  <c r="AJ199" i="29"/>
  <c r="AK199" i="29" s="1"/>
  <c r="AD201" i="29"/>
  <c r="AE201" i="29" s="1"/>
  <c r="AD207" i="29"/>
  <c r="AE207" i="29" s="1"/>
  <c r="Z209" i="29"/>
  <c r="AA209" i="29" s="1"/>
  <c r="AD210" i="29"/>
  <c r="AE210" i="29" s="1"/>
  <c r="AJ211" i="29"/>
  <c r="AK211" i="29" s="1"/>
  <c r="Z212" i="29"/>
  <c r="AA212" i="29" s="1"/>
  <c r="AD213" i="29"/>
  <c r="AE213" i="29" s="1"/>
  <c r="Z215" i="29"/>
  <c r="AA215" i="29" s="1"/>
  <c r="AD216" i="29"/>
  <c r="AE216" i="29" s="1"/>
  <c r="Z218" i="29"/>
  <c r="AA218" i="29" s="1"/>
  <c r="AD219" i="29"/>
  <c r="AE219" i="29" s="1"/>
  <c r="AJ220" i="29"/>
  <c r="AK220" i="29" s="1"/>
  <c r="Z221" i="29"/>
  <c r="AA221" i="29" s="1"/>
  <c r="AJ237" i="29"/>
  <c r="AK237" i="29" s="1"/>
  <c r="Z238" i="29"/>
  <c r="AA238" i="29" s="1"/>
  <c r="AD239" i="29"/>
  <c r="AE239" i="29" s="1"/>
  <c r="AD242" i="29"/>
  <c r="AE242" i="29" s="1"/>
  <c r="Z244" i="29"/>
  <c r="AA244" i="29" s="1"/>
  <c r="Z247" i="29"/>
  <c r="AA247" i="29" s="1"/>
  <c r="AD248" i="29"/>
  <c r="AE248" i="29" s="1"/>
  <c r="AJ249" i="29"/>
  <c r="AK249" i="29" s="1"/>
  <c r="Z250" i="29"/>
  <c r="AA250" i="29" s="1"/>
  <c r="AD251" i="29"/>
  <c r="AE251" i="29" s="1"/>
  <c r="AG260" i="29"/>
  <c r="AH260" i="29" s="1"/>
  <c r="O266" i="29"/>
  <c r="Q266" i="29" s="1"/>
  <c r="AG269" i="29"/>
  <c r="AH269" i="29" s="1"/>
  <c r="AG281" i="29"/>
  <c r="AH281" i="29" s="1"/>
  <c r="AD289" i="29"/>
  <c r="AE289" i="29" s="1"/>
  <c r="Z293" i="29"/>
  <c r="AA293" i="29" s="1"/>
  <c r="AJ299" i="29"/>
  <c r="AK299" i="29" s="1"/>
  <c r="AG301" i="29"/>
  <c r="AH301" i="29" s="1"/>
  <c r="AD303" i="29"/>
  <c r="AE303" i="29" s="1"/>
  <c r="AG313" i="29"/>
  <c r="AH313" i="29" s="1"/>
  <c r="AG318" i="29"/>
  <c r="AH318" i="29" s="1"/>
  <c r="AM322" i="29"/>
  <c r="AN322" i="29" s="1"/>
  <c r="AB338" i="29"/>
  <c r="AC338" i="29" s="1"/>
  <c r="Z338" i="29"/>
  <c r="AA338" i="29" s="1"/>
  <c r="AB356" i="29"/>
  <c r="AC356" i="29" s="1"/>
  <c r="Z356" i="29"/>
  <c r="AA356" i="29" s="1"/>
  <c r="AM377" i="29"/>
  <c r="AN377" i="29" s="1"/>
  <c r="AM386" i="29"/>
  <c r="AN386" i="29" s="1"/>
  <c r="AG394" i="29"/>
  <c r="AH394" i="29" s="1"/>
  <c r="AD394" i="29"/>
  <c r="AE394" i="29" s="1"/>
  <c r="AJ394" i="29"/>
  <c r="AK394" i="29" s="1"/>
  <c r="AM403" i="29"/>
  <c r="AN403" i="29" s="1"/>
  <c r="AM419" i="29"/>
  <c r="AN419" i="29" s="1"/>
  <c r="AG428" i="29"/>
  <c r="AH428" i="29" s="1"/>
  <c r="AD428" i="29"/>
  <c r="AE428" i="29" s="1"/>
  <c r="AJ428" i="29"/>
  <c r="AK428" i="29" s="1"/>
  <c r="AM431" i="29"/>
  <c r="AN431" i="29" s="1"/>
  <c r="Z433" i="29"/>
  <c r="AA433" i="29" s="1"/>
  <c r="AJ433" i="29"/>
  <c r="AK433" i="29" s="1"/>
  <c r="AD433" i="29"/>
  <c r="AE433" i="29" s="1"/>
  <c r="AB434" i="29"/>
  <c r="Z436" i="29"/>
  <c r="AA436" i="29" s="1"/>
  <c r="AJ436" i="29"/>
  <c r="AK436" i="29" s="1"/>
  <c r="AD436" i="29"/>
  <c r="AE436" i="29" s="1"/>
  <c r="AD439" i="29"/>
  <c r="AE439" i="29" s="1"/>
  <c r="AG439" i="29"/>
  <c r="AH439" i="29" s="1"/>
  <c r="AG440" i="29"/>
  <c r="AH440" i="29" s="1"/>
  <c r="AD442" i="29"/>
  <c r="AE442" i="29" s="1"/>
  <c r="AG442" i="29"/>
  <c r="AH442" i="29" s="1"/>
  <c r="O254" i="29"/>
  <c r="Q254" i="29" s="1"/>
  <c r="O257" i="29"/>
  <c r="Q257" i="29" s="1"/>
  <c r="Y404" i="29"/>
  <c r="AG404" i="29" s="1"/>
  <c r="AH404" i="29" s="1"/>
  <c r="P404" i="29"/>
  <c r="AG431" i="29"/>
  <c r="AH431" i="29" s="1"/>
  <c r="AD431" i="29"/>
  <c r="AE431" i="29" s="1"/>
  <c r="AJ431" i="29"/>
  <c r="AK431" i="29" s="1"/>
  <c r="AM342" i="29"/>
  <c r="AN342" i="29" s="1"/>
  <c r="AM358" i="29"/>
  <c r="AN358" i="29" s="1"/>
  <c r="AB365" i="29"/>
  <c r="AC365" i="29" s="1"/>
  <c r="Z365" i="29"/>
  <c r="AA365" i="29" s="1"/>
  <c r="AJ372" i="29"/>
  <c r="AK372" i="29" s="1"/>
  <c r="AC396" i="29"/>
  <c r="O404" i="29"/>
  <c r="Q404" i="29" s="1"/>
  <c r="AJ419" i="29"/>
  <c r="AK419" i="29" s="1"/>
  <c r="AM427" i="29"/>
  <c r="AN427" i="29" s="1"/>
  <c r="AM437" i="29"/>
  <c r="AN437" i="29" s="1"/>
  <c r="AC455" i="29"/>
  <c r="AJ497" i="29"/>
  <c r="AK497" i="29" s="1"/>
  <c r="AG497" i="29"/>
  <c r="AH497" i="29" s="1"/>
  <c r="AD497" i="29"/>
  <c r="AE497" i="29" s="1"/>
  <c r="AM497" i="29"/>
  <c r="AN497" i="29" s="1"/>
  <c r="AD479" i="29"/>
  <c r="AE479" i="29" s="1"/>
  <c r="AJ479" i="29"/>
  <c r="AK479" i="29" s="1"/>
  <c r="AG479" i="29"/>
  <c r="AH479" i="29" s="1"/>
  <c r="AB502" i="29"/>
  <c r="AC502" i="29" s="1"/>
  <c r="Z502" i="29"/>
  <c r="AA502" i="29" s="1"/>
  <c r="AG332" i="29"/>
  <c r="AH332" i="29" s="1"/>
  <c r="AM333" i="29"/>
  <c r="AN333" i="29" s="1"/>
  <c r="AB334" i="29"/>
  <c r="AC334" i="29" s="1"/>
  <c r="AG335" i="29"/>
  <c r="AH335" i="29" s="1"/>
  <c r="AB337" i="29"/>
  <c r="AC337" i="29" s="1"/>
  <c r="AG338" i="29"/>
  <c r="AH338" i="29" s="1"/>
  <c r="AB342" i="29"/>
  <c r="AC342" i="29" s="1"/>
  <c r="AG343" i="29"/>
  <c r="AH343" i="29" s="1"/>
  <c r="AB352" i="29"/>
  <c r="AC352" i="29" s="1"/>
  <c r="AM354" i="29"/>
  <c r="AN354" i="29" s="1"/>
  <c r="AB355" i="29"/>
  <c r="AC355" i="29" s="1"/>
  <c r="AG356" i="29"/>
  <c r="AH356" i="29" s="1"/>
  <c r="AB358" i="29"/>
  <c r="AC358" i="29" s="1"/>
  <c r="AG359" i="29"/>
  <c r="AH359" i="29" s="1"/>
  <c r="AB361" i="29"/>
  <c r="AG362" i="29"/>
  <c r="AH362" i="29" s="1"/>
  <c r="AB364" i="29"/>
  <c r="AC364" i="29" s="1"/>
  <c r="AG365" i="29"/>
  <c r="AH365" i="29" s="1"/>
  <c r="AB367" i="29"/>
  <c r="AC367" i="29" s="1"/>
  <c r="O368" i="29"/>
  <c r="Q368" i="29" s="1"/>
  <c r="AB370" i="29"/>
  <c r="AC370" i="29" s="1"/>
  <c r="AG371" i="29"/>
  <c r="AH371" i="29" s="1"/>
  <c r="AM372" i="29"/>
  <c r="AN372" i="29" s="1"/>
  <c r="O374" i="29"/>
  <c r="Q374" i="29" s="1"/>
  <c r="AG377" i="29"/>
  <c r="AH377" i="29" s="1"/>
  <c r="AG380" i="29"/>
  <c r="AH380" i="29" s="1"/>
  <c r="AG386" i="29"/>
  <c r="AH386" i="29" s="1"/>
  <c r="AG389" i="29"/>
  <c r="AH389" i="29" s="1"/>
  <c r="AM423" i="29"/>
  <c r="AN423" i="29" s="1"/>
  <c r="AM440" i="29"/>
  <c r="AN440" i="29" s="1"/>
  <c r="AD452" i="29"/>
  <c r="AE452" i="29" s="1"/>
  <c r="AJ452" i="29"/>
  <c r="AK452" i="29" s="1"/>
  <c r="AG452" i="29"/>
  <c r="AH452" i="29" s="1"/>
  <c r="AC464" i="29"/>
  <c r="AC476" i="29"/>
  <c r="AC497" i="29"/>
  <c r="AJ533" i="29"/>
  <c r="AK533" i="29" s="1"/>
  <c r="Z533" i="29"/>
  <c r="AA533" i="29" s="1"/>
  <c r="AJ332" i="29"/>
  <c r="AK332" i="29" s="1"/>
  <c r="AD334" i="29"/>
  <c r="AE334" i="29" s="1"/>
  <c r="AJ335" i="29"/>
  <c r="AK335" i="29" s="1"/>
  <c r="AD337" i="29"/>
  <c r="AE337" i="29" s="1"/>
  <c r="AJ338" i="29"/>
  <c r="AK338" i="29" s="1"/>
  <c r="AD342" i="29"/>
  <c r="AE342" i="29" s="1"/>
  <c r="AJ343" i="29"/>
  <c r="AK343" i="29" s="1"/>
  <c r="AD352" i="29"/>
  <c r="AE352" i="29" s="1"/>
  <c r="Z354" i="29"/>
  <c r="AA354" i="29" s="1"/>
  <c r="AD355" i="29"/>
  <c r="AE355" i="29" s="1"/>
  <c r="AJ356" i="29"/>
  <c r="AK356" i="29" s="1"/>
  <c r="AD358" i="29"/>
  <c r="AE358" i="29" s="1"/>
  <c r="AJ359" i="29"/>
  <c r="AK359" i="29" s="1"/>
  <c r="AJ362" i="29"/>
  <c r="AK362" i="29" s="1"/>
  <c r="AD364" i="29"/>
  <c r="AE364" i="29" s="1"/>
  <c r="AJ365" i="29"/>
  <c r="AK365" i="29" s="1"/>
  <c r="AD367" i="29"/>
  <c r="AE367" i="29" s="1"/>
  <c r="AD370" i="29"/>
  <c r="AE370" i="29" s="1"/>
  <c r="AJ371" i="29"/>
  <c r="AK371" i="29" s="1"/>
  <c r="Z372" i="29"/>
  <c r="AA372" i="29" s="1"/>
  <c r="AD373" i="29"/>
  <c r="AE373" i="29" s="1"/>
  <c r="AD376" i="29"/>
  <c r="AE376" i="29" s="1"/>
  <c r="AJ377" i="29"/>
  <c r="AK377" i="29" s="1"/>
  <c r="AD379" i="29"/>
  <c r="AE379" i="29" s="1"/>
  <c r="AJ380" i="29"/>
  <c r="AK380" i="29" s="1"/>
  <c r="AD382" i="29"/>
  <c r="AE382" i="29" s="1"/>
  <c r="AD385" i="29"/>
  <c r="AE385" i="29" s="1"/>
  <c r="AJ386" i="29"/>
  <c r="AK386" i="29" s="1"/>
  <c r="AD388" i="29"/>
  <c r="AE388" i="29" s="1"/>
  <c r="AJ389" i="29"/>
  <c r="AK389" i="29" s="1"/>
  <c r="P396" i="29"/>
  <c r="P419" i="29"/>
  <c r="P422" i="29"/>
  <c r="Z423" i="29"/>
  <c r="AA423" i="29" s="1"/>
  <c r="AG430" i="29"/>
  <c r="AH430" i="29" s="1"/>
  <c r="AG433" i="29"/>
  <c r="AH433" i="29" s="1"/>
  <c r="AG436" i="29"/>
  <c r="AH436" i="29" s="1"/>
  <c r="AD438" i="29"/>
  <c r="AE438" i="29" s="1"/>
  <c r="AJ439" i="29"/>
  <c r="AK439" i="29" s="1"/>
  <c r="Z440" i="29"/>
  <c r="AA440" i="29" s="1"/>
  <c r="AD441" i="29"/>
  <c r="AE441" i="29" s="1"/>
  <c r="AJ442" i="29"/>
  <c r="AK442" i="29" s="1"/>
  <c r="AC448" i="29"/>
  <c r="Z468" i="29"/>
  <c r="AA468" i="29" s="1"/>
  <c r="AC473" i="29"/>
  <c r="AM332" i="29"/>
  <c r="AN332" i="29" s="1"/>
  <c r="AG334" i="29"/>
  <c r="AH334" i="29" s="1"/>
  <c r="AM335" i="29"/>
  <c r="AN335" i="29" s="1"/>
  <c r="AG337" i="29"/>
  <c r="AH337" i="29" s="1"/>
  <c r="AM338" i="29"/>
  <c r="AN338" i="29" s="1"/>
  <c r="AG342" i="29"/>
  <c r="AH342" i="29" s="1"/>
  <c r="AM343" i="29"/>
  <c r="AN343" i="29" s="1"/>
  <c r="AG352" i="29"/>
  <c r="AH352" i="29" s="1"/>
  <c r="AG355" i="29"/>
  <c r="AH355" i="29" s="1"/>
  <c r="AM356" i="29"/>
  <c r="AN356" i="29" s="1"/>
  <c r="AG358" i="29"/>
  <c r="AH358" i="29" s="1"/>
  <c r="AM359" i="29"/>
  <c r="AN359" i="29" s="1"/>
  <c r="AM362" i="29"/>
  <c r="AN362" i="29" s="1"/>
  <c r="AG364" i="29"/>
  <c r="AH364" i="29" s="1"/>
  <c r="AM365" i="29"/>
  <c r="AN365" i="29" s="1"/>
  <c r="AG367" i="29"/>
  <c r="AH367" i="29" s="1"/>
  <c r="AG370" i="29"/>
  <c r="AH370" i="29" s="1"/>
  <c r="AM371" i="29"/>
  <c r="AN371" i="29" s="1"/>
  <c r="AG373" i="29"/>
  <c r="AH373" i="29" s="1"/>
  <c r="AG376" i="29"/>
  <c r="AH376" i="29" s="1"/>
  <c r="AG379" i="29"/>
  <c r="AH379" i="29" s="1"/>
  <c r="AG382" i="29"/>
  <c r="AH382" i="29" s="1"/>
  <c r="AG385" i="29"/>
  <c r="AH385" i="29" s="1"/>
  <c r="AG388" i="29"/>
  <c r="AH388" i="29" s="1"/>
  <c r="AG438" i="29"/>
  <c r="AH438" i="29" s="1"/>
  <c r="AG441" i="29"/>
  <c r="AH441" i="29" s="1"/>
  <c r="AC446" i="29"/>
  <c r="AG448" i="29"/>
  <c r="AH448" i="29" s="1"/>
  <c r="AD455" i="29"/>
  <c r="AE455" i="29" s="1"/>
  <c r="AJ455" i="29"/>
  <c r="AK455" i="29" s="1"/>
  <c r="AG455" i="29"/>
  <c r="AH455" i="29" s="1"/>
  <c r="AM457" i="29"/>
  <c r="AN457" i="29" s="1"/>
  <c r="AC459" i="29"/>
  <c r="AC468" i="29"/>
  <c r="AC470" i="29"/>
  <c r="AC493" i="29"/>
  <c r="O500" i="29"/>
  <c r="Q500" i="29" s="1"/>
  <c r="P334" i="29"/>
  <c r="P337" i="29"/>
  <c r="P342" i="29"/>
  <c r="P352" i="29"/>
  <c r="P355" i="29"/>
  <c r="P358" i="29"/>
  <c r="P364" i="29"/>
  <c r="P367" i="29"/>
  <c r="P370" i="29"/>
  <c r="P373" i="29"/>
  <c r="P376" i="29"/>
  <c r="P379" i="29"/>
  <c r="P382" i="29"/>
  <c r="P385" i="29"/>
  <c r="P388" i="29"/>
  <c r="AJ391" i="29"/>
  <c r="AK391" i="29" s="1"/>
  <c r="AG395" i="29"/>
  <c r="AH395" i="29" s="1"/>
  <c r="AJ424" i="29"/>
  <c r="AK424" i="29" s="1"/>
  <c r="AM455" i="29"/>
  <c r="AN455" i="29" s="1"/>
  <c r="AG457" i="29"/>
  <c r="AH457" i="29" s="1"/>
  <c r="AD461" i="29"/>
  <c r="AE461" i="29" s="1"/>
  <c r="AJ461" i="29"/>
  <c r="AK461" i="29" s="1"/>
  <c r="AG461" i="29"/>
  <c r="AH461" i="29" s="1"/>
  <c r="AD470" i="29"/>
  <c r="AE470" i="29" s="1"/>
  <c r="AJ470" i="29"/>
  <c r="AK470" i="29" s="1"/>
  <c r="AG470" i="29"/>
  <c r="AH470" i="29" s="1"/>
  <c r="AD493" i="29"/>
  <c r="AE493" i="29" s="1"/>
  <c r="AJ493" i="29"/>
  <c r="AK493" i="29" s="1"/>
  <c r="AG493" i="29"/>
  <c r="AH493" i="29" s="1"/>
  <c r="AJ334" i="29"/>
  <c r="AK334" i="29" s="1"/>
  <c r="AJ337" i="29"/>
  <c r="AK337" i="29" s="1"/>
  <c r="AJ342" i="29"/>
  <c r="AK342" i="29" s="1"/>
  <c r="AJ352" i="29"/>
  <c r="AK352" i="29" s="1"/>
  <c r="AD354" i="29"/>
  <c r="AE354" i="29" s="1"/>
  <c r="AJ355" i="29"/>
  <c r="AK355" i="29" s="1"/>
  <c r="AJ358" i="29"/>
  <c r="AK358" i="29" s="1"/>
  <c r="AJ364" i="29"/>
  <c r="AK364" i="29" s="1"/>
  <c r="AJ367" i="29"/>
  <c r="AK367" i="29" s="1"/>
  <c r="AJ370" i="29"/>
  <c r="AK370" i="29" s="1"/>
  <c r="AD372" i="29"/>
  <c r="AE372" i="29" s="1"/>
  <c r="AJ373" i="29"/>
  <c r="AK373" i="29" s="1"/>
  <c r="AJ376" i="29"/>
  <c r="AK376" i="29" s="1"/>
  <c r="AJ379" i="29"/>
  <c r="AK379" i="29" s="1"/>
  <c r="AJ382" i="29"/>
  <c r="AK382" i="29" s="1"/>
  <c r="AJ385" i="29"/>
  <c r="AK385" i="29" s="1"/>
  <c r="AJ388" i="29"/>
  <c r="AK388" i="29" s="1"/>
  <c r="AD423" i="29"/>
  <c r="AE423" i="29" s="1"/>
  <c r="O426" i="29"/>
  <c r="Q426" i="29" s="1"/>
  <c r="O429" i="29"/>
  <c r="Q429" i="29" s="1"/>
  <c r="O432" i="29"/>
  <c r="Q432" i="29" s="1"/>
  <c r="AJ438" i="29"/>
  <c r="AK438" i="29" s="1"/>
  <c r="AD440" i="29"/>
  <c r="AE440" i="29" s="1"/>
  <c r="AJ441" i="29"/>
  <c r="AK441" i="29" s="1"/>
  <c r="AC451" i="29"/>
  <c r="AM461" i="29"/>
  <c r="AN461" i="29" s="1"/>
  <c r="AM470" i="29"/>
  <c r="AN470" i="29" s="1"/>
  <c r="AC490" i="29"/>
  <c r="AM493" i="29"/>
  <c r="AN493" i="29" s="1"/>
  <c r="AM516" i="29"/>
  <c r="AN516" i="29" s="1"/>
  <c r="AJ395" i="29"/>
  <c r="AK395" i="29" s="1"/>
  <c r="Z396" i="29"/>
  <c r="AA396" i="29" s="1"/>
  <c r="Z419" i="29"/>
  <c r="AA419" i="29" s="1"/>
  <c r="Z422" i="29"/>
  <c r="AA422" i="29" s="1"/>
  <c r="AM424" i="29"/>
  <c r="AN424" i="29" s="1"/>
  <c r="AC449" i="29"/>
  <c r="AM451" i="29"/>
  <c r="AN451" i="29" s="1"/>
  <c r="AJ462" i="29"/>
  <c r="AK462" i="29" s="1"/>
  <c r="AG462" i="29"/>
  <c r="AH462" i="29" s="1"/>
  <c r="AD462" i="29"/>
  <c r="AE462" i="29" s="1"/>
  <c r="Z462" i="29"/>
  <c r="AA462" i="29" s="1"/>
  <c r="AD490" i="29"/>
  <c r="AE490" i="29" s="1"/>
  <c r="AJ490" i="29"/>
  <c r="AK490" i="29" s="1"/>
  <c r="AG490" i="29"/>
  <c r="AH490" i="29" s="1"/>
  <c r="AJ556" i="29"/>
  <c r="AK556" i="29" s="1"/>
  <c r="AD556" i="29"/>
  <c r="AE556" i="29" s="1"/>
  <c r="AG556" i="29"/>
  <c r="AH556" i="29" s="1"/>
  <c r="O333" i="29"/>
  <c r="Q333" i="29" s="1"/>
  <c r="AG354" i="29"/>
  <c r="AH354" i="29" s="1"/>
  <c r="O357" i="29"/>
  <c r="Q357" i="29" s="1"/>
  <c r="AG372" i="29"/>
  <c r="AH372" i="29" s="1"/>
  <c r="O375" i="29"/>
  <c r="Q375" i="29" s="1"/>
  <c r="O381" i="29"/>
  <c r="Q381" i="29" s="1"/>
  <c r="AD449" i="29"/>
  <c r="AE449" i="29" s="1"/>
  <c r="AJ449" i="29"/>
  <c r="AK449" i="29" s="1"/>
  <c r="AG449" i="29"/>
  <c r="AH449" i="29" s="1"/>
  <c r="AD502" i="29"/>
  <c r="AE502" i="29" s="1"/>
  <c r="AM502" i="29"/>
  <c r="AN502" i="29" s="1"/>
  <c r="Z445" i="29"/>
  <c r="AA445" i="29" s="1"/>
  <c r="AM449" i="29"/>
  <c r="AN449" i="29" s="1"/>
  <c r="AD458" i="29"/>
  <c r="AE458" i="29" s="1"/>
  <c r="AJ458" i="29"/>
  <c r="AK458" i="29" s="1"/>
  <c r="AG458" i="29"/>
  <c r="AH458" i="29" s="1"/>
  <c r="AD467" i="29"/>
  <c r="AE467" i="29" s="1"/>
  <c r="AJ467" i="29"/>
  <c r="AK467" i="29" s="1"/>
  <c r="AG467" i="29"/>
  <c r="AH467" i="29" s="1"/>
  <c r="AD487" i="29"/>
  <c r="AE487" i="29" s="1"/>
  <c r="AJ487" i="29"/>
  <c r="AK487" i="29" s="1"/>
  <c r="AG487" i="29"/>
  <c r="AH487" i="29" s="1"/>
  <c r="Y523" i="29"/>
  <c r="AC523" i="29" s="1"/>
  <c r="P523" i="29"/>
  <c r="O523" i="29"/>
  <c r="Q523" i="29" s="1"/>
  <c r="AG549" i="29"/>
  <c r="AH549" i="29" s="1"/>
  <c r="AD549" i="29"/>
  <c r="AE549" i="29" s="1"/>
  <c r="AJ549" i="29"/>
  <c r="AK549" i="29" s="1"/>
  <c r="AJ548" i="29"/>
  <c r="AK548" i="29" s="1"/>
  <c r="AD548" i="29"/>
  <c r="AE548" i="29" s="1"/>
  <c r="AG548" i="29"/>
  <c r="AH548" i="29" s="1"/>
  <c r="AB445" i="29"/>
  <c r="AC445" i="29" s="1"/>
  <c r="O446" i="29"/>
  <c r="Q446" i="29" s="1"/>
  <c r="O449" i="29"/>
  <c r="Q449" i="29" s="1"/>
  <c r="O458" i="29"/>
  <c r="Q458" i="29" s="1"/>
  <c r="AM459" i="29"/>
  <c r="AN459" i="29" s="1"/>
  <c r="O461" i="29"/>
  <c r="Q461" i="29" s="1"/>
  <c r="O464" i="29"/>
  <c r="Q464" i="29" s="1"/>
  <c r="AM468" i="29"/>
  <c r="AN468" i="29" s="1"/>
  <c r="O470" i="29"/>
  <c r="Q470" i="29" s="1"/>
  <c r="AM471" i="29"/>
  <c r="AN471" i="29" s="1"/>
  <c r="O473" i="29"/>
  <c r="Q473" i="29" s="1"/>
  <c r="O476" i="29"/>
  <c r="Q476" i="29" s="1"/>
  <c r="O479" i="29"/>
  <c r="Q479" i="29" s="1"/>
  <c r="O487" i="29"/>
  <c r="Q487" i="29" s="1"/>
  <c r="AM488" i="29"/>
  <c r="AN488" i="29" s="1"/>
  <c r="O490" i="29"/>
  <c r="Q490" i="29" s="1"/>
  <c r="AM491" i="29"/>
  <c r="AN491" i="29" s="1"/>
  <c r="O493" i="29"/>
  <c r="Q493" i="29" s="1"/>
  <c r="AB507" i="29"/>
  <c r="AC507" i="29" s="1"/>
  <c r="AC516" i="29"/>
  <c r="Y518" i="29"/>
  <c r="AM518" i="29" s="1"/>
  <c r="AN518" i="29" s="1"/>
  <c r="P518" i="29"/>
  <c r="O518" i="29"/>
  <c r="Q518" i="29" s="1"/>
  <c r="Y444" i="29"/>
  <c r="AJ444" i="29" s="1"/>
  <c r="AK444" i="29" s="1"/>
  <c r="P446" i="29"/>
  <c r="Y447" i="29"/>
  <c r="AJ447" i="29" s="1"/>
  <c r="AK447" i="29" s="1"/>
  <c r="P449" i="29"/>
  <c r="Y450" i="29"/>
  <c r="AJ450" i="29" s="1"/>
  <c r="AK450" i="29" s="1"/>
  <c r="P452" i="29"/>
  <c r="Y453" i="29"/>
  <c r="AJ453" i="29" s="1"/>
  <c r="AK453" i="29" s="1"/>
  <c r="P455" i="29"/>
  <c r="Y456" i="29"/>
  <c r="AJ456" i="29" s="1"/>
  <c r="AK456" i="29" s="1"/>
  <c r="P458" i="29"/>
  <c r="P461" i="29"/>
  <c r="P464" i="29"/>
  <c r="P467" i="29"/>
  <c r="P470" i="29"/>
  <c r="P473" i="29"/>
  <c r="P476" i="29"/>
  <c r="P479" i="29"/>
  <c r="P487" i="29"/>
  <c r="P490" i="29"/>
  <c r="P493" i="29"/>
  <c r="AG507" i="29"/>
  <c r="AH507" i="29" s="1"/>
  <c r="AJ516" i="29"/>
  <c r="AK516" i="29" s="1"/>
  <c r="AC532" i="29"/>
  <c r="AD639" i="29"/>
  <c r="AE639" i="29" s="1"/>
  <c r="AC639" i="29"/>
  <c r="AG639" i="29"/>
  <c r="AH639" i="29" s="1"/>
  <c r="AM639" i="29"/>
  <c r="AN639" i="29" s="1"/>
  <c r="AJ639" i="29"/>
  <c r="AK639" i="29" s="1"/>
  <c r="AD445" i="29"/>
  <c r="AE445" i="29" s="1"/>
  <c r="AD448" i="29"/>
  <c r="AE448" i="29" s="1"/>
  <c r="AD451" i="29"/>
  <c r="AE451" i="29" s="1"/>
  <c r="AD454" i="29"/>
  <c r="AE454" i="29" s="1"/>
  <c r="AD457" i="29"/>
  <c r="AE457" i="29" s="1"/>
  <c r="Z459" i="29"/>
  <c r="AA459" i="29" s="1"/>
  <c r="AD463" i="29"/>
  <c r="AE463" i="29" s="1"/>
  <c r="AD469" i="29"/>
  <c r="AE469" i="29" s="1"/>
  <c r="AD472" i="29"/>
  <c r="AE472" i="29" s="1"/>
  <c r="AD478" i="29"/>
  <c r="AE478" i="29" s="1"/>
  <c r="AD483" i="29"/>
  <c r="AE483" i="29" s="1"/>
  <c r="Z488" i="29"/>
  <c r="AA488" i="29" s="1"/>
  <c r="AD489" i="29"/>
  <c r="AE489" i="29" s="1"/>
  <c r="Z491" i="29"/>
  <c r="AA491" i="29" s="1"/>
  <c r="AD501" i="29"/>
  <c r="AE501" i="29" s="1"/>
  <c r="O502" i="29"/>
  <c r="Q502" i="29" s="1"/>
  <c r="AD510" i="29"/>
  <c r="AE510" i="29" s="1"/>
  <c r="Y511" i="29"/>
  <c r="Z511" i="29" s="1"/>
  <c r="AA511" i="29" s="1"/>
  <c r="Z513" i="29"/>
  <c r="AA513" i="29" s="1"/>
  <c r="Z530" i="29"/>
  <c r="AA530" i="29" s="1"/>
  <c r="AM532" i="29"/>
  <c r="AN532" i="29" s="1"/>
  <c r="AC549" i="29"/>
  <c r="AC557" i="29"/>
  <c r="Y506" i="29"/>
  <c r="Z506" i="29" s="1"/>
  <c r="AA506" i="29" s="1"/>
  <c r="P506" i="29"/>
  <c r="Y517" i="29"/>
  <c r="AC517" i="29" s="1"/>
  <c r="P517" i="29"/>
  <c r="Y528" i="29"/>
  <c r="AM528" i="29" s="1"/>
  <c r="AN528" i="29" s="1"/>
  <c r="P528" i="29"/>
  <c r="AM549" i="29"/>
  <c r="AN549" i="29" s="1"/>
  <c r="AM557" i="29"/>
  <c r="AN557" i="29" s="1"/>
  <c r="AD557" i="29"/>
  <c r="AE557" i="29" s="1"/>
  <c r="Z557" i="29"/>
  <c r="AA557" i="29" s="1"/>
  <c r="AJ557" i="29"/>
  <c r="AK557" i="29" s="1"/>
  <c r="AG557" i="29"/>
  <c r="AH557" i="29" s="1"/>
  <c r="P445" i="29"/>
  <c r="P448" i="29"/>
  <c r="P451" i="29"/>
  <c r="P454" i="29"/>
  <c r="AJ502" i="29"/>
  <c r="AK502" i="29" s="1"/>
  <c r="AJ513" i="29"/>
  <c r="AK513" i="29" s="1"/>
  <c r="Y515" i="29"/>
  <c r="AD515" i="29" s="1"/>
  <c r="AE515" i="29" s="1"/>
  <c r="P515" i="29"/>
  <c r="O517" i="29"/>
  <c r="Q517" i="29" s="1"/>
  <c r="O528" i="29"/>
  <c r="Q528" i="29" s="1"/>
  <c r="AJ445" i="29"/>
  <c r="AK445" i="29" s="1"/>
  <c r="AJ448" i="29"/>
  <c r="AK448" i="29" s="1"/>
  <c r="Z449" i="29"/>
  <c r="AA449" i="29" s="1"/>
  <c r="AJ451" i="29"/>
  <c r="AK451" i="29" s="1"/>
  <c r="Z452" i="29"/>
  <c r="AA452" i="29" s="1"/>
  <c r="AJ454" i="29"/>
  <c r="AK454" i="29" s="1"/>
  <c r="Z455" i="29"/>
  <c r="AA455" i="29" s="1"/>
  <c r="AJ457" i="29"/>
  <c r="AK457" i="29" s="1"/>
  <c r="Z458" i="29"/>
  <c r="AA458" i="29" s="1"/>
  <c r="AD459" i="29"/>
  <c r="AE459" i="29" s="1"/>
  <c r="Z461" i="29"/>
  <c r="AA461" i="29" s="1"/>
  <c r="AJ463" i="29"/>
  <c r="AK463" i="29" s="1"/>
  <c r="Z464" i="29"/>
  <c r="AA464" i="29" s="1"/>
  <c r="AJ466" i="29"/>
  <c r="AK466" i="29" s="1"/>
  <c r="Z467" i="29"/>
  <c r="AA467" i="29" s="1"/>
  <c r="AD468" i="29"/>
  <c r="AE468" i="29" s="1"/>
  <c r="AJ469" i="29"/>
  <c r="AK469" i="29" s="1"/>
  <c r="Z470" i="29"/>
  <c r="AA470" i="29" s="1"/>
  <c r="AD471" i="29"/>
  <c r="AE471" i="29" s="1"/>
  <c r="AJ472" i="29"/>
  <c r="AK472" i="29" s="1"/>
  <c r="Z473" i="29"/>
  <c r="AA473" i="29" s="1"/>
  <c r="Z476" i="29"/>
  <c r="AA476" i="29" s="1"/>
  <c r="AJ478" i="29"/>
  <c r="AK478" i="29" s="1"/>
  <c r="Z479" i="29"/>
  <c r="AA479" i="29" s="1"/>
  <c r="AJ483" i="29"/>
  <c r="AK483" i="29" s="1"/>
  <c r="Z487" i="29"/>
  <c r="AA487" i="29" s="1"/>
  <c r="AD488" i="29"/>
  <c r="AE488" i="29" s="1"/>
  <c r="AJ489" i="29"/>
  <c r="AK489" i="29" s="1"/>
  <c r="Z490" i="29"/>
  <c r="AA490" i="29" s="1"/>
  <c r="AD491" i="29"/>
  <c r="AE491" i="29" s="1"/>
  <c r="Z493" i="29"/>
  <c r="AA493" i="29" s="1"/>
  <c r="AG496" i="29"/>
  <c r="AH496" i="29" s="1"/>
  <c r="Z497" i="29"/>
  <c r="AA497" i="29" s="1"/>
  <c r="AM513" i="29"/>
  <c r="AN513" i="29" s="1"/>
  <c r="AB551" i="29"/>
  <c r="AC551" i="29" s="1"/>
  <c r="Z551" i="29"/>
  <c r="AA551" i="29" s="1"/>
  <c r="AB616" i="29"/>
  <c r="AC616" i="29" s="1"/>
  <c r="Z616" i="29"/>
  <c r="AA616" i="29" s="1"/>
  <c r="Y495" i="29"/>
  <c r="Z495" i="29" s="1"/>
  <c r="AA495" i="29" s="1"/>
  <c r="Y509" i="29"/>
  <c r="AJ509" i="29" s="1"/>
  <c r="AK509" i="29" s="1"/>
  <c r="P509" i="29"/>
  <c r="Y514" i="29"/>
  <c r="AJ514" i="29" s="1"/>
  <c r="AK514" i="29" s="1"/>
  <c r="P514" i="29"/>
  <c r="Y520" i="29"/>
  <c r="AM520" i="29" s="1"/>
  <c r="AN520" i="29" s="1"/>
  <c r="P520" i="29"/>
  <c r="Z548" i="29"/>
  <c r="AA548" i="29" s="1"/>
  <c r="Z556" i="29"/>
  <c r="AA556" i="29" s="1"/>
  <c r="O453" i="29"/>
  <c r="Q453" i="29" s="1"/>
  <c r="AJ496" i="29"/>
  <c r="AK496" i="29" s="1"/>
  <c r="Y512" i="29"/>
  <c r="Z512" i="29" s="1"/>
  <c r="AA512" i="29" s="1"/>
  <c r="P512" i="29"/>
  <c r="Y526" i="29"/>
  <c r="AD526" i="29" s="1"/>
  <c r="AE526" i="29" s="1"/>
  <c r="P526" i="29"/>
  <c r="O526" i="29"/>
  <c r="Q526" i="29" s="1"/>
  <c r="AG533" i="29"/>
  <c r="AH533" i="29" s="1"/>
  <c r="AD543" i="29"/>
  <c r="AE543" i="29" s="1"/>
  <c r="Z543" i="29"/>
  <c r="AA543" i="29" s="1"/>
  <c r="AJ543" i="29"/>
  <c r="AK543" i="29" s="1"/>
  <c r="AG543" i="29"/>
  <c r="AH543" i="29" s="1"/>
  <c r="AM548" i="29"/>
  <c r="AN548" i="29" s="1"/>
  <c r="AM556" i="29"/>
  <c r="AN556" i="29" s="1"/>
  <c r="AC548" i="29"/>
  <c r="AC556" i="29"/>
  <c r="AD507" i="29"/>
  <c r="AE507" i="29" s="1"/>
  <c r="AG516" i="29"/>
  <c r="AH516" i="29" s="1"/>
  <c r="AD516" i="29"/>
  <c r="AE516" i="29" s="1"/>
  <c r="AC533" i="29"/>
  <c r="Y602" i="29"/>
  <c r="AC602" i="29" s="1"/>
  <c r="P602" i="29"/>
  <c r="O602" i="29"/>
  <c r="Q602" i="29" s="1"/>
  <c r="AD630" i="29"/>
  <c r="AE630" i="29" s="1"/>
  <c r="AG630" i="29"/>
  <c r="AH630" i="29" s="1"/>
  <c r="AM630" i="29"/>
  <c r="AN630" i="29" s="1"/>
  <c r="AJ630" i="29"/>
  <c r="AK630" i="29" s="1"/>
  <c r="AM501" i="29"/>
  <c r="AN501" i="29" s="1"/>
  <c r="AG502" i="29"/>
  <c r="AH502" i="29" s="1"/>
  <c r="Y508" i="29"/>
  <c r="AM508" i="29" s="1"/>
  <c r="AN508" i="29" s="1"/>
  <c r="O511" i="29"/>
  <c r="Q511" i="29" s="1"/>
  <c r="Z516" i="29"/>
  <c r="AA516" i="29" s="1"/>
  <c r="Y525" i="29"/>
  <c r="AM525" i="29" s="1"/>
  <c r="AN525" i="29" s="1"/>
  <c r="P525" i="29"/>
  <c r="AG527" i="29"/>
  <c r="AH527" i="29" s="1"/>
  <c r="Y534" i="29"/>
  <c r="AJ534" i="29" s="1"/>
  <c r="AK534" i="29" s="1"/>
  <c r="P534" i="29"/>
  <c r="O534" i="29"/>
  <c r="Q534" i="29" s="1"/>
  <c r="AD529" i="29"/>
  <c r="AE529" i="29" s="1"/>
  <c r="AD532" i="29"/>
  <c r="AE532" i="29" s="1"/>
  <c r="AM552" i="29"/>
  <c r="AN552" i="29" s="1"/>
  <c r="AD627" i="29"/>
  <c r="AE627" i="29" s="1"/>
  <c r="AG627" i="29"/>
  <c r="AH627" i="29" s="1"/>
  <c r="AD636" i="29"/>
  <c r="AE636" i="29" s="1"/>
  <c r="AG636" i="29"/>
  <c r="AH636" i="29" s="1"/>
  <c r="Y547" i="29"/>
  <c r="AM547" i="29" s="1"/>
  <c r="AN547" i="29" s="1"/>
  <c r="AG551" i="29"/>
  <c r="AH551" i="29" s="1"/>
  <c r="P557" i="29"/>
  <c r="AJ614" i="29"/>
  <c r="AK614" i="29" s="1"/>
  <c r="AG614" i="29"/>
  <c r="AH614" i="29" s="1"/>
  <c r="AM527" i="29"/>
  <c r="AN527" i="29" s="1"/>
  <c r="O529" i="29"/>
  <c r="Q529" i="29" s="1"/>
  <c r="AG529" i="29"/>
  <c r="AH529" i="29" s="1"/>
  <c r="AM530" i="29"/>
  <c r="AN530" i="29" s="1"/>
  <c r="O532" i="29"/>
  <c r="Q532" i="29" s="1"/>
  <c r="AG532" i="29"/>
  <c r="AH532" i="29" s="1"/>
  <c r="AM533" i="29"/>
  <c r="AN533" i="29" s="1"/>
  <c r="AG537" i="29"/>
  <c r="AH537" i="29" s="1"/>
  <c r="AM538" i="29"/>
  <c r="AN538" i="29" s="1"/>
  <c r="Y559" i="29"/>
  <c r="AC559" i="29" s="1"/>
  <c r="P559" i="29"/>
  <c r="AB597" i="29"/>
  <c r="AC597" i="29" s="1"/>
  <c r="Z597" i="29"/>
  <c r="AA597" i="29" s="1"/>
  <c r="AC627" i="29"/>
  <c r="Y629" i="29"/>
  <c r="AM629" i="29" s="1"/>
  <c r="AN629" i="29" s="1"/>
  <c r="P629" i="29"/>
  <c r="AC636" i="29"/>
  <c r="Y638" i="29"/>
  <c r="AC638" i="29" s="1"/>
  <c r="P638" i="29"/>
  <c r="P529" i="29"/>
  <c r="P532" i="29"/>
  <c r="P537" i="29"/>
  <c r="AD542" i="29"/>
  <c r="AE542" i="29" s="1"/>
  <c r="AJ551" i="29"/>
  <c r="AK551" i="29" s="1"/>
  <c r="O559" i="29"/>
  <c r="Q559" i="29" s="1"/>
  <c r="Y599" i="29"/>
  <c r="AC599" i="29" s="1"/>
  <c r="P599" i="29"/>
  <c r="AJ604" i="29"/>
  <c r="AK604" i="29" s="1"/>
  <c r="AJ627" i="29"/>
  <c r="AK627" i="29" s="1"/>
  <c r="Z630" i="29"/>
  <c r="AA630" i="29" s="1"/>
  <c r="AJ636" i="29"/>
  <c r="AK636" i="29" s="1"/>
  <c r="Z639" i="29"/>
  <c r="AA639" i="29" s="1"/>
  <c r="AG542" i="29"/>
  <c r="AH542" i="29" s="1"/>
  <c r="P548" i="29"/>
  <c r="Z549" i="29"/>
  <c r="AA549" i="29" s="1"/>
  <c r="P556" i="29"/>
  <c r="AJ569" i="29"/>
  <c r="AK569" i="29" s="1"/>
  <c r="AD582" i="29"/>
  <c r="AE582" i="29" s="1"/>
  <c r="AG582" i="29"/>
  <c r="AH582" i="29" s="1"/>
  <c r="AC604" i="29"/>
  <c r="AJ607" i="29"/>
  <c r="AK607" i="29" s="1"/>
  <c r="AG616" i="29"/>
  <c r="AH616" i="29" s="1"/>
  <c r="AD621" i="29"/>
  <c r="AE621" i="29" s="1"/>
  <c r="AM529" i="29"/>
  <c r="AN529" i="29" s="1"/>
  <c r="AD552" i="29"/>
  <c r="AE552" i="29" s="1"/>
  <c r="Y605" i="29"/>
  <c r="AC605" i="29" s="1"/>
  <c r="P605" i="29"/>
  <c r="Z620" i="29"/>
  <c r="AA620" i="29" s="1"/>
  <c r="AD620" i="29"/>
  <c r="AE620" i="29" s="1"/>
  <c r="AJ621" i="29"/>
  <c r="AK621" i="29" s="1"/>
  <c r="AG621" i="29"/>
  <c r="AH621" i="29" s="1"/>
  <c r="AC630" i="29"/>
  <c r="Y632" i="29"/>
  <c r="AM632" i="29" s="1"/>
  <c r="AN632" i="29" s="1"/>
  <c r="P632" i="29"/>
  <c r="Y641" i="29"/>
  <c r="AC641" i="29" s="1"/>
  <c r="P641" i="29"/>
  <c r="AJ582" i="29"/>
  <c r="AK582" i="29" s="1"/>
  <c r="AD606" i="29"/>
  <c r="AE606" i="29" s="1"/>
  <c r="AC607" i="29"/>
  <c r="AD691" i="29"/>
  <c r="AE691" i="29" s="1"/>
  <c r="AG691" i="29"/>
  <c r="AH691" i="29" s="1"/>
  <c r="AD527" i="29"/>
  <c r="AE527" i="29" s="1"/>
  <c r="AD530" i="29"/>
  <c r="AE530" i="29" s="1"/>
  <c r="Z532" i="29"/>
  <c r="AA532" i="29" s="1"/>
  <c r="AD533" i="29"/>
  <c r="AE533" i="29" s="1"/>
  <c r="Z537" i="29"/>
  <c r="AA537" i="29" s="1"/>
  <c r="AD538" i="29"/>
  <c r="AE538" i="29" s="1"/>
  <c r="AJ550" i="29"/>
  <c r="AK550" i="29" s="1"/>
  <c r="AG552" i="29"/>
  <c r="AH552" i="29" s="1"/>
  <c r="AD575" i="29"/>
  <c r="AE575" i="29" s="1"/>
  <c r="AG575" i="29"/>
  <c r="AH575" i="29" s="1"/>
  <c r="AM582" i="29"/>
  <c r="AN582" i="29" s="1"/>
  <c r="O605" i="29"/>
  <c r="Q605" i="29" s="1"/>
  <c r="Y608" i="29"/>
  <c r="P608" i="29"/>
  <c r="O632" i="29"/>
  <c r="Q632" i="29" s="1"/>
  <c r="AD633" i="29"/>
  <c r="AE633" i="29" s="1"/>
  <c r="AG633" i="29"/>
  <c r="AH633" i="29" s="1"/>
  <c r="O641" i="29"/>
  <c r="Q641" i="29" s="1"/>
  <c r="Y560" i="29"/>
  <c r="AC560" i="29" s="1"/>
  <c r="P560" i="29"/>
  <c r="AB649" i="29"/>
  <c r="AC649" i="29" s="1"/>
  <c r="Z649" i="29"/>
  <c r="AA649" i="29" s="1"/>
  <c r="AC578" i="29"/>
  <c r="AB595" i="29"/>
  <c r="AC595" i="29" s="1"/>
  <c r="Z595" i="29"/>
  <c r="AA595" i="29" s="1"/>
  <c r="AC620" i="29"/>
  <c r="Y635" i="29"/>
  <c r="AC635" i="29" s="1"/>
  <c r="P635" i="29"/>
  <c r="Y644" i="29"/>
  <c r="AC644" i="29" s="1"/>
  <c r="P644" i="29"/>
  <c r="AM649" i="29"/>
  <c r="AN649" i="29" s="1"/>
  <c r="AM567" i="29"/>
  <c r="AN567" i="29" s="1"/>
  <c r="AJ578" i="29"/>
  <c r="AK578" i="29" s="1"/>
  <c r="AG595" i="29"/>
  <c r="AH595" i="29" s="1"/>
  <c r="AM620" i="29"/>
  <c r="AN620" i="29" s="1"/>
  <c r="Z627" i="29"/>
  <c r="AA627" i="29" s="1"/>
  <c r="Z636" i="29"/>
  <c r="AA636" i="29" s="1"/>
  <c r="AG649" i="29"/>
  <c r="AH649" i="29" s="1"/>
  <c r="AD649" i="29"/>
  <c r="AE649" i="29" s="1"/>
  <c r="AB659" i="29"/>
  <c r="AC659" i="29" s="1"/>
  <c r="Z659" i="29"/>
  <c r="AA659" i="29" s="1"/>
  <c r="AM598" i="29"/>
  <c r="AN598" i="29" s="1"/>
  <c r="AM604" i="29"/>
  <c r="AN604" i="29" s="1"/>
  <c r="AM607" i="29"/>
  <c r="AN607" i="29" s="1"/>
  <c r="AM643" i="29"/>
  <c r="AN643" i="29" s="1"/>
  <c r="AD666" i="29"/>
  <c r="AE666" i="29" s="1"/>
  <c r="AJ666" i="29"/>
  <c r="AK666" i="29" s="1"/>
  <c r="AG666" i="29"/>
  <c r="AH666" i="29" s="1"/>
  <c r="Y716" i="29"/>
  <c r="AD716" i="29" s="1"/>
  <c r="AE716" i="29" s="1"/>
  <c r="P716" i="29"/>
  <c r="AB565" i="29"/>
  <c r="AC565" i="29" s="1"/>
  <c r="Z567" i="29"/>
  <c r="AA567" i="29" s="1"/>
  <c r="AM569" i="29"/>
  <c r="AN569" i="29" s="1"/>
  <c r="AB572" i="29"/>
  <c r="AC572" i="29" s="1"/>
  <c r="Z576" i="29"/>
  <c r="AA576" i="29" s="1"/>
  <c r="AM578" i="29"/>
  <c r="AN578" i="29" s="1"/>
  <c r="P582" i="29"/>
  <c r="Z589" i="29"/>
  <c r="AA589" i="29" s="1"/>
  <c r="AM591" i="29"/>
  <c r="AN591" i="29" s="1"/>
  <c r="AJ595" i="29"/>
  <c r="AK595" i="29" s="1"/>
  <c r="AG597" i="29"/>
  <c r="AH597" i="29" s="1"/>
  <c r="Y601" i="29"/>
  <c r="Z601" i="29" s="1"/>
  <c r="AA601" i="29" s="1"/>
  <c r="AM614" i="29"/>
  <c r="AN614" i="29" s="1"/>
  <c r="AJ616" i="29"/>
  <c r="AK616" i="29" s="1"/>
  <c r="AM621" i="29"/>
  <c r="AN621" i="29" s="1"/>
  <c r="AJ649" i="29"/>
  <c r="AK649" i="29" s="1"/>
  <c r="AM668" i="29"/>
  <c r="AN668" i="29" s="1"/>
  <c r="Z711" i="29"/>
  <c r="AA711" i="29" s="1"/>
  <c r="AJ711" i="29"/>
  <c r="AK711" i="29" s="1"/>
  <c r="AG711" i="29"/>
  <c r="AH711" i="29" s="1"/>
  <c r="AD711" i="29"/>
  <c r="AE711" i="29" s="1"/>
  <c r="AC714" i="29"/>
  <c r="O716" i="29"/>
  <c r="Q716" i="29" s="1"/>
  <c r="Y558" i="29"/>
  <c r="AD558" i="29" s="1"/>
  <c r="AE558" i="29" s="1"/>
  <c r="Y564" i="29"/>
  <c r="AM564" i="29" s="1"/>
  <c r="AN564" i="29" s="1"/>
  <c r="AD565" i="29"/>
  <c r="AE565" i="29" s="1"/>
  <c r="Z569" i="29"/>
  <c r="AA569" i="29" s="1"/>
  <c r="AD572" i="29"/>
  <c r="AE572" i="29" s="1"/>
  <c r="Z578" i="29"/>
  <c r="AA578" i="29" s="1"/>
  <c r="Z591" i="29"/>
  <c r="AA591" i="29" s="1"/>
  <c r="AM595" i="29"/>
  <c r="AN595" i="29" s="1"/>
  <c r="AJ597" i="29"/>
  <c r="AK597" i="29" s="1"/>
  <c r="Z614" i="29"/>
  <c r="AA614" i="29" s="1"/>
  <c r="AM616" i="29"/>
  <c r="AN616" i="29" s="1"/>
  <c r="P620" i="29"/>
  <c r="Z621" i="29"/>
  <c r="AA621" i="29" s="1"/>
  <c r="AD659" i="29"/>
  <c r="AE659" i="29" s="1"/>
  <c r="AJ659" i="29"/>
  <c r="AK659" i="29" s="1"/>
  <c r="AG659" i="29"/>
  <c r="AH659" i="29" s="1"/>
  <c r="Z663" i="29"/>
  <c r="AA663" i="29" s="1"/>
  <c r="Y713" i="29"/>
  <c r="AD713" i="29" s="1"/>
  <c r="AE713" i="29" s="1"/>
  <c r="P713" i="29"/>
  <c r="AG565" i="29"/>
  <c r="AH565" i="29" s="1"/>
  <c r="AD567" i="29"/>
  <c r="AE567" i="29" s="1"/>
  <c r="AG572" i="29"/>
  <c r="AH572" i="29" s="1"/>
  <c r="AD576" i="29"/>
  <c r="AE576" i="29" s="1"/>
  <c r="AD589" i="29"/>
  <c r="AE589" i="29" s="1"/>
  <c r="AM597" i="29"/>
  <c r="AN597" i="29" s="1"/>
  <c r="AD610" i="29"/>
  <c r="AE610" i="29" s="1"/>
  <c r="AC663" i="29"/>
  <c r="AB672" i="29"/>
  <c r="AC672" i="29" s="1"/>
  <c r="Z672" i="29"/>
  <c r="AA672" i="29" s="1"/>
  <c r="AD684" i="29"/>
  <c r="AE684" i="29" s="1"/>
  <c r="AJ684" i="29"/>
  <c r="AK684" i="29" s="1"/>
  <c r="AG684" i="29"/>
  <c r="AH684" i="29" s="1"/>
  <c r="Z566" i="29"/>
  <c r="AA566" i="29" s="1"/>
  <c r="P572" i="29"/>
  <c r="AJ579" i="29"/>
  <c r="AK579" i="29" s="1"/>
  <c r="AJ594" i="29"/>
  <c r="AK594" i="29" s="1"/>
  <c r="AG596" i="29"/>
  <c r="AH596" i="29" s="1"/>
  <c r="AD598" i="29"/>
  <c r="AE598" i="29" s="1"/>
  <c r="AD604" i="29"/>
  <c r="AE604" i="29" s="1"/>
  <c r="AD607" i="29"/>
  <c r="AE607" i="29" s="1"/>
  <c r="AJ615" i="29"/>
  <c r="AK615" i="29" s="1"/>
  <c r="AG617" i="29"/>
  <c r="AH617" i="29" s="1"/>
  <c r="AJ622" i="29"/>
  <c r="AK622" i="29" s="1"/>
  <c r="AD643" i="29"/>
  <c r="AE643" i="29" s="1"/>
  <c r="AB654" i="29"/>
  <c r="AC654" i="29" s="1"/>
  <c r="Z654" i="29"/>
  <c r="AA654" i="29" s="1"/>
  <c r="AD672" i="29"/>
  <c r="AE672" i="29" s="1"/>
  <c r="AJ672" i="29"/>
  <c r="AK672" i="29" s="1"/>
  <c r="AG672" i="29"/>
  <c r="AH672" i="29" s="1"/>
  <c r="Z691" i="29"/>
  <c r="AA691" i="29" s="1"/>
  <c r="Z697" i="29"/>
  <c r="AA697" i="29" s="1"/>
  <c r="AD697" i="29"/>
  <c r="AE697" i="29" s="1"/>
  <c r="AC700" i="29"/>
  <c r="AG709" i="29"/>
  <c r="AH709" i="29" s="1"/>
  <c r="Z709" i="29"/>
  <c r="AA709" i="29" s="1"/>
  <c r="AJ709" i="29"/>
  <c r="AK709" i="29" s="1"/>
  <c r="AC711" i="29"/>
  <c r="AG717" i="29"/>
  <c r="AH717" i="29" s="1"/>
  <c r="AD717" i="29"/>
  <c r="AE717" i="29" s="1"/>
  <c r="AD748" i="29"/>
  <c r="AE748" i="29" s="1"/>
  <c r="AJ748" i="29"/>
  <c r="AK748" i="29" s="1"/>
  <c r="AG748" i="29"/>
  <c r="AH748" i="29" s="1"/>
  <c r="AM748" i="29"/>
  <c r="AN748" i="29" s="1"/>
  <c r="AJ565" i="29"/>
  <c r="AK565" i="29" s="1"/>
  <c r="AG567" i="29"/>
  <c r="AH567" i="29" s="1"/>
  <c r="AD569" i="29"/>
  <c r="AE569" i="29" s="1"/>
  <c r="AJ572" i="29"/>
  <c r="AK572" i="29" s="1"/>
  <c r="AG576" i="29"/>
  <c r="AH576" i="29" s="1"/>
  <c r="AD578" i="29"/>
  <c r="AE578" i="29" s="1"/>
  <c r="AG589" i="29"/>
  <c r="AH589" i="29" s="1"/>
  <c r="AD591" i="29"/>
  <c r="AE591" i="29" s="1"/>
  <c r="AG610" i="29"/>
  <c r="AH610" i="29" s="1"/>
  <c r="AD654" i="29"/>
  <c r="AE654" i="29" s="1"/>
  <c r="AJ654" i="29"/>
  <c r="AK654" i="29" s="1"/>
  <c r="AG654" i="29"/>
  <c r="AH654" i="29" s="1"/>
  <c r="AM684" i="29"/>
  <c r="AN684" i="29" s="1"/>
  <c r="AM691" i="29"/>
  <c r="AN691" i="29" s="1"/>
  <c r="AM700" i="29"/>
  <c r="AN700" i="29" s="1"/>
  <c r="AG598" i="29"/>
  <c r="AH598" i="29" s="1"/>
  <c r="AG604" i="29"/>
  <c r="AH604" i="29" s="1"/>
  <c r="AG607" i="29"/>
  <c r="AH607" i="29" s="1"/>
  <c r="AG643" i="29"/>
  <c r="AH643" i="29" s="1"/>
  <c r="AB669" i="29"/>
  <c r="AC669" i="29" s="1"/>
  <c r="Z669" i="29"/>
  <c r="AA669" i="29" s="1"/>
  <c r="Z681" i="29"/>
  <c r="AA681" i="29" s="1"/>
  <c r="AG681" i="29"/>
  <c r="AH681" i="29" s="1"/>
  <c r="AD681" i="29"/>
  <c r="AE681" i="29" s="1"/>
  <c r="AC695" i="29"/>
  <c r="AC704" i="29"/>
  <c r="AC720" i="29"/>
  <c r="AJ567" i="29"/>
  <c r="AK567" i="29" s="1"/>
  <c r="AG569" i="29"/>
  <c r="AH569" i="29" s="1"/>
  <c r="AJ576" i="29"/>
  <c r="AK576" i="29" s="1"/>
  <c r="AG578" i="29"/>
  <c r="AH578" i="29" s="1"/>
  <c r="AJ589" i="29"/>
  <c r="AK589" i="29" s="1"/>
  <c r="AG591" i="29"/>
  <c r="AH591" i="29" s="1"/>
  <c r="AD595" i="29"/>
  <c r="AE595" i="29" s="1"/>
  <c r="Z650" i="29"/>
  <c r="AA650" i="29" s="1"/>
  <c r="AB650" i="29"/>
  <c r="AC650" i="29" s="1"/>
  <c r="AD669" i="29"/>
  <c r="AE669" i="29" s="1"/>
  <c r="AJ669" i="29"/>
  <c r="AK669" i="29" s="1"/>
  <c r="AG669" i="29"/>
  <c r="AH669" i="29" s="1"/>
  <c r="AD695" i="29"/>
  <c r="AE695" i="29" s="1"/>
  <c r="AJ695" i="29"/>
  <c r="AK695" i="29" s="1"/>
  <c r="AG695" i="29"/>
  <c r="AH695" i="29" s="1"/>
  <c r="AD704" i="29"/>
  <c r="AE704" i="29" s="1"/>
  <c r="AJ704" i="29"/>
  <c r="AK704" i="29" s="1"/>
  <c r="AG704" i="29"/>
  <c r="AH704" i="29" s="1"/>
  <c r="AG714" i="29"/>
  <c r="AH714" i="29" s="1"/>
  <c r="AD714" i="29"/>
  <c r="AE714" i="29" s="1"/>
  <c r="AD720" i="29"/>
  <c r="AE720" i="29" s="1"/>
  <c r="AJ720" i="29"/>
  <c r="AK720" i="29" s="1"/>
  <c r="AG720" i="29"/>
  <c r="AH720" i="29" s="1"/>
  <c r="AM650" i="29"/>
  <c r="AN650" i="29" s="1"/>
  <c r="AM654" i="29"/>
  <c r="AN654" i="29" s="1"/>
  <c r="AM671" i="29"/>
  <c r="AN671" i="29" s="1"/>
  <c r="AB679" i="29"/>
  <c r="AC679" i="29" s="1"/>
  <c r="Z679" i="29"/>
  <c r="AA679" i="29" s="1"/>
  <c r="AC697" i="29"/>
  <c r="Z703" i="29"/>
  <c r="AA703" i="29" s="1"/>
  <c r="AD703" i="29"/>
  <c r="AE703" i="29" s="1"/>
  <c r="AC717" i="29"/>
  <c r="AB666" i="29"/>
  <c r="AC666" i="29" s="1"/>
  <c r="Z666" i="29"/>
  <c r="AA666" i="29" s="1"/>
  <c r="AM669" i="29"/>
  <c r="AN669" i="29" s="1"/>
  <c r="AM681" i="29"/>
  <c r="AN681" i="29" s="1"/>
  <c r="AM695" i="29"/>
  <c r="AN695" i="29" s="1"/>
  <c r="AM704" i="29"/>
  <c r="AN704" i="29" s="1"/>
  <c r="AM717" i="29"/>
  <c r="AN717" i="29" s="1"/>
  <c r="AM720" i="29"/>
  <c r="AN720" i="29" s="1"/>
  <c r="Z652" i="29"/>
  <c r="AA652" i="29" s="1"/>
  <c r="AM675" i="29"/>
  <c r="AN675" i="29" s="1"/>
  <c r="AJ677" i="29"/>
  <c r="AK677" i="29" s="1"/>
  <c r="AB691" i="29"/>
  <c r="AC691" i="29" s="1"/>
  <c r="AM693" i="29"/>
  <c r="AN693" i="29" s="1"/>
  <c r="AB694" i="29"/>
  <c r="AC694" i="29" s="1"/>
  <c r="AD706" i="29"/>
  <c r="AE706" i="29" s="1"/>
  <c r="AM708" i="29"/>
  <c r="AN708" i="29" s="1"/>
  <c r="Y710" i="29"/>
  <c r="Z710" i="29" s="1"/>
  <c r="AA710" i="29" s="1"/>
  <c r="AJ712" i="29"/>
  <c r="AK712" i="29" s="1"/>
  <c r="AJ715" i="29"/>
  <c r="AK715" i="29" s="1"/>
  <c r="AM721" i="29"/>
  <c r="AN721" i="29" s="1"/>
  <c r="AJ721" i="29"/>
  <c r="AK721" i="29" s="1"/>
  <c r="AD721" i="29"/>
  <c r="AE721" i="29" s="1"/>
  <c r="O744" i="29"/>
  <c r="Q744" i="29" s="1"/>
  <c r="AC774" i="29"/>
  <c r="AJ651" i="29"/>
  <c r="AK651" i="29" s="1"/>
  <c r="AB658" i="29"/>
  <c r="AC658" i="29" s="1"/>
  <c r="AG679" i="29"/>
  <c r="AH679" i="29" s="1"/>
  <c r="Z705" i="29"/>
  <c r="AA705" i="29" s="1"/>
  <c r="Z721" i="29"/>
  <c r="AA721" i="29" s="1"/>
  <c r="AC732" i="29"/>
  <c r="Y740" i="29"/>
  <c r="AC740" i="29" s="1"/>
  <c r="P740" i="29"/>
  <c r="AB742" i="29"/>
  <c r="AC742" i="29" s="1"/>
  <c r="Z742" i="29"/>
  <c r="AA742" i="29" s="1"/>
  <c r="AB779" i="29"/>
  <c r="AC779" i="29" s="1"/>
  <c r="Z779" i="29"/>
  <c r="AA779" i="29" s="1"/>
  <c r="AD650" i="29"/>
  <c r="AE650" i="29" s="1"/>
  <c r="Y657" i="29"/>
  <c r="AC657" i="29" s="1"/>
  <c r="P659" i="29"/>
  <c r="Y662" i="29"/>
  <c r="AM662" i="29" s="1"/>
  <c r="AN662" i="29" s="1"/>
  <c r="P666" i="29"/>
  <c r="Y667" i="29"/>
  <c r="AM667" i="29" s="1"/>
  <c r="AN667" i="29" s="1"/>
  <c r="P669" i="29"/>
  <c r="Y670" i="29"/>
  <c r="AJ670" i="29" s="1"/>
  <c r="AK670" i="29" s="1"/>
  <c r="P672" i="29"/>
  <c r="AM677" i="29"/>
  <c r="AN677" i="29" s="1"/>
  <c r="AM712" i="29"/>
  <c r="AN712" i="29" s="1"/>
  <c r="AM715" i="29"/>
  <c r="AN715" i="29" s="1"/>
  <c r="O740" i="29"/>
  <c r="Q740" i="29" s="1"/>
  <c r="AB776" i="29"/>
  <c r="AJ778" i="29"/>
  <c r="AK778" i="29" s="1"/>
  <c r="AD778" i="29"/>
  <c r="AE778" i="29" s="1"/>
  <c r="AD779" i="29"/>
  <c r="AE779" i="29" s="1"/>
  <c r="AJ779" i="29"/>
  <c r="AK779" i="29" s="1"/>
  <c r="AG779" i="29"/>
  <c r="AH779" i="29" s="1"/>
  <c r="AM651" i="29"/>
  <c r="AN651" i="29" s="1"/>
  <c r="AD658" i="29"/>
  <c r="AE658" i="29" s="1"/>
  <c r="AD663" i="29"/>
  <c r="AE663" i="29" s="1"/>
  <c r="AJ679" i="29"/>
  <c r="AK679" i="29" s="1"/>
  <c r="AM709" i="29"/>
  <c r="AN709" i="29" s="1"/>
  <c r="AB734" i="29"/>
  <c r="AC734" i="29" s="1"/>
  <c r="Z734" i="29"/>
  <c r="AA734" i="29" s="1"/>
  <c r="AB748" i="29"/>
  <c r="AC748" i="29" s="1"/>
  <c r="Z748" i="29"/>
  <c r="AA748" i="29" s="1"/>
  <c r="AM773" i="29"/>
  <c r="AN773" i="29" s="1"/>
  <c r="AM679" i="29"/>
  <c r="AN679" i="29" s="1"/>
  <c r="AD757" i="29"/>
  <c r="AE757" i="29" s="1"/>
  <c r="AJ757" i="29"/>
  <c r="AK757" i="29" s="1"/>
  <c r="AG757" i="29"/>
  <c r="AH757" i="29" s="1"/>
  <c r="AJ650" i="29"/>
  <c r="AK650" i="29" s="1"/>
  <c r="AG652" i="29"/>
  <c r="AH652" i="29" s="1"/>
  <c r="P658" i="29"/>
  <c r="P663" i="29"/>
  <c r="P668" i="29"/>
  <c r="P671" i="29"/>
  <c r="AD675" i="29"/>
  <c r="AE675" i="29" s="1"/>
  <c r="P681" i="29"/>
  <c r="Z684" i="29"/>
  <c r="AA684" i="29" s="1"/>
  <c r="AJ691" i="29"/>
  <c r="AK691" i="29" s="1"/>
  <c r="AD693" i="29"/>
  <c r="AE693" i="29" s="1"/>
  <c r="AJ694" i="29"/>
  <c r="AK694" i="29" s="1"/>
  <c r="Z695" i="29"/>
  <c r="AA695" i="29" s="1"/>
  <c r="AJ697" i="29"/>
  <c r="AK697" i="29" s="1"/>
  <c r="AJ700" i="29"/>
  <c r="AK700" i="29" s="1"/>
  <c r="AJ703" i="29"/>
  <c r="AK703" i="29" s="1"/>
  <c r="Z704" i="29"/>
  <c r="AA704" i="29" s="1"/>
  <c r="AD708" i="29"/>
  <c r="AE708" i="29" s="1"/>
  <c r="Z720" i="29"/>
  <c r="AA720" i="29" s="1"/>
  <c r="AM778" i="29"/>
  <c r="AN778" i="29" s="1"/>
  <c r="AJ658" i="29"/>
  <c r="AK658" i="29" s="1"/>
  <c r="AJ663" i="29"/>
  <c r="AK663" i="29" s="1"/>
  <c r="AJ668" i="29"/>
  <c r="AK668" i="29" s="1"/>
  <c r="AJ671" i="29"/>
  <c r="AK671" i="29" s="1"/>
  <c r="AJ678" i="29"/>
  <c r="AK678" i="29" s="1"/>
  <c r="AJ681" i="29"/>
  <c r="AK681" i="29" s="1"/>
  <c r="AG705" i="29"/>
  <c r="AH705" i="29" s="1"/>
  <c r="AJ707" i="29"/>
  <c r="AK707" i="29" s="1"/>
  <c r="AJ719" i="29"/>
  <c r="AK719" i="29" s="1"/>
  <c r="AB722" i="29"/>
  <c r="AC722" i="29" s="1"/>
  <c r="Z722" i="29"/>
  <c r="AA722" i="29" s="1"/>
  <c r="Y747" i="29"/>
  <c r="P747" i="29"/>
  <c r="AC757" i="29"/>
  <c r="AJ652" i="29"/>
  <c r="AK652" i="29" s="1"/>
  <c r="AG675" i="29"/>
  <c r="AH675" i="29" s="1"/>
  <c r="AD677" i="29"/>
  <c r="AE677" i="29" s="1"/>
  <c r="AG693" i="29"/>
  <c r="AH693" i="29" s="1"/>
  <c r="Z706" i="29"/>
  <c r="AA706" i="29" s="1"/>
  <c r="AD712" i="29"/>
  <c r="AE712" i="29" s="1"/>
  <c r="Z714" i="29"/>
  <c r="AA714" i="29" s="1"/>
  <c r="AD715" i="29"/>
  <c r="AE715" i="29" s="1"/>
  <c r="Z717" i="29"/>
  <c r="AA717" i="29" s="1"/>
  <c r="AD722" i="29"/>
  <c r="AE722" i="29" s="1"/>
  <c r="AJ722" i="29"/>
  <c r="AK722" i="29" s="1"/>
  <c r="AG722" i="29"/>
  <c r="AH722" i="29" s="1"/>
  <c r="AC727" i="29"/>
  <c r="AB745" i="29"/>
  <c r="Z756" i="29"/>
  <c r="AA756" i="29" s="1"/>
  <c r="AM757" i="29"/>
  <c r="AN757" i="29" s="1"/>
  <c r="Z763" i="29"/>
  <c r="AA763" i="29" s="1"/>
  <c r="Z768" i="29"/>
  <c r="AA768" i="29" s="1"/>
  <c r="AD651" i="29"/>
  <c r="AE651" i="29" s="1"/>
  <c r="Z676" i="29"/>
  <c r="AA676" i="29" s="1"/>
  <c r="AJ705" i="29"/>
  <c r="AK705" i="29" s="1"/>
  <c r="AD727" i="29"/>
  <c r="AE727" i="29" s="1"/>
  <c r="AJ727" i="29"/>
  <c r="AK727" i="29" s="1"/>
  <c r="AG727" i="29"/>
  <c r="AH727" i="29" s="1"/>
  <c r="AM756" i="29"/>
  <c r="AN756" i="29" s="1"/>
  <c r="AD763" i="29"/>
  <c r="AE763" i="29" s="1"/>
  <c r="AJ763" i="29"/>
  <c r="AK763" i="29" s="1"/>
  <c r="AG763" i="29"/>
  <c r="AH763" i="29" s="1"/>
  <c r="AD768" i="29"/>
  <c r="AE768" i="29" s="1"/>
  <c r="AJ768" i="29"/>
  <c r="AK768" i="29" s="1"/>
  <c r="AG768" i="29"/>
  <c r="AH768" i="29" s="1"/>
  <c r="AG774" i="29"/>
  <c r="AH774" i="29" s="1"/>
  <c r="AG778" i="29"/>
  <c r="AH778" i="29" s="1"/>
  <c r="Y802" i="29"/>
  <c r="AD802" i="29" s="1"/>
  <c r="AE802" i="29" s="1"/>
  <c r="P802" i="29"/>
  <c r="AG732" i="29"/>
  <c r="AH732" i="29" s="1"/>
  <c r="AB729" i="29"/>
  <c r="AC729" i="29" s="1"/>
  <c r="Z729" i="29"/>
  <c r="AA729" i="29" s="1"/>
  <c r="Y744" i="29"/>
  <c r="AG744" i="29" s="1"/>
  <c r="AH744" i="29" s="1"/>
  <c r="P744" i="29"/>
  <c r="AC768" i="29"/>
  <c r="Z774" i="29"/>
  <c r="AA774" i="29" s="1"/>
  <c r="AM723" i="29"/>
  <c r="AN723" i="29" s="1"/>
  <c r="AJ725" i="29"/>
  <c r="AK725" i="29" s="1"/>
  <c r="AD729" i="29"/>
  <c r="AE729" i="29" s="1"/>
  <c r="AB731" i="29"/>
  <c r="AC731" i="29" s="1"/>
  <c r="AD734" i="29"/>
  <c r="AE734" i="29" s="1"/>
  <c r="AJ741" i="29"/>
  <c r="AK741" i="29" s="1"/>
  <c r="AD742" i="29"/>
  <c r="AE742" i="29" s="1"/>
  <c r="AB750" i="29"/>
  <c r="AC750" i="29" s="1"/>
  <c r="AB753" i="29"/>
  <c r="AB756" i="29"/>
  <c r="AC756" i="29" s="1"/>
  <c r="AB759" i="29"/>
  <c r="AC759" i="29" s="1"/>
  <c r="AB762" i="29"/>
  <c r="AC762" i="29" s="1"/>
  <c r="AB770" i="29"/>
  <c r="AC770" i="29" s="1"/>
  <c r="AB773" i="29"/>
  <c r="AC773" i="29" s="1"/>
  <c r="Y780" i="29"/>
  <c r="Z780" i="29" s="1"/>
  <c r="AA780" i="29" s="1"/>
  <c r="AD724" i="29"/>
  <c r="AE724" i="29" s="1"/>
  <c r="AB726" i="29"/>
  <c r="AC726" i="29" s="1"/>
  <c r="Z728" i="29"/>
  <c r="AA728" i="29" s="1"/>
  <c r="AM730" i="29"/>
  <c r="AN730" i="29" s="1"/>
  <c r="AJ732" i="29"/>
  <c r="AK732" i="29" s="1"/>
  <c r="Y752" i="29"/>
  <c r="AG752" i="29" s="1"/>
  <c r="AH752" i="29" s="1"/>
  <c r="AD765" i="29"/>
  <c r="AE765" i="29" s="1"/>
  <c r="AM777" i="29"/>
  <c r="AN777" i="29" s="1"/>
  <c r="Y799" i="29"/>
  <c r="AD799" i="29" s="1"/>
  <c r="AE799" i="29" s="1"/>
  <c r="P799" i="29"/>
  <c r="P722" i="29"/>
  <c r="AM725" i="29"/>
  <c r="AN725" i="29" s="1"/>
  <c r="AG729" i="29"/>
  <c r="AH729" i="29" s="1"/>
  <c r="AD731" i="29"/>
  <c r="AE731" i="29" s="1"/>
  <c r="AG734" i="29"/>
  <c r="AH734" i="29" s="1"/>
  <c r="AM741" i="29"/>
  <c r="AN741" i="29" s="1"/>
  <c r="AG742" i="29"/>
  <c r="AH742" i="29" s="1"/>
  <c r="Y749" i="29"/>
  <c r="AD749" i="29" s="1"/>
  <c r="AE749" i="29" s="1"/>
  <c r="AD750" i="29"/>
  <c r="AE750" i="29" s="1"/>
  <c r="AD756" i="29"/>
  <c r="AE756" i="29" s="1"/>
  <c r="AD759" i="29"/>
  <c r="AE759" i="29" s="1"/>
  <c r="AD762" i="29"/>
  <c r="AE762" i="29" s="1"/>
  <c r="AD770" i="29"/>
  <c r="AE770" i="29" s="1"/>
  <c r="AD773" i="29"/>
  <c r="AE773" i="29" s="1"/>
  <c r="P779" i="29"/>
  <c r="O799" i="29"/>
  <c r="Q799" i="29" s="1"/>
  <c r="AM803" i="29"/>
  <c r="AN803" i="29" s="1"/>
  <c r="AD835" i="29"/>
  <c r="AE835" i="29" s="1"/>
  <c r="Z835" i="29"/>
  <c r="AA835" i="29" s="1"/>
  <c r="AJ835" i="29"/>
  <c r="AK835" i="29" s="1"/>
  <c r="AG835" i="29"/>
  <c r="AH835" i="29" s="1"/>
  <c r="AG724" i="29"/>
  <c r="AH724" i="29" s="1"/>
  <c r="AD726" i="29"/>
  <c r="AE726" i="29" s="1"/>
  <c r="AM732" i="29"/>
  <c r="AN732" i="29" s="1"/>
  <c r="P734" i="29"/>
  <c r="Y739" i="29"/>
  <c r="AM739" i="29" s="1"/>
  <c r="AN739" i="29" s="1"/>
  <c r="Y743" i="29"/>
  <c r="AJ743" i="29" s="1"/>
  <c r="AK743" i="29" s="1"/>
  <c r="Y746" i="29"/>
  <c r="AJ746" i="29" s="1"/>
  <c r="AK746" i="29" s="1"/>
  <c r="AG765" i="29"/>
  <c r="AH765" i="29" s="1"/>
  <c r="AM774" i="29"/>
  <c r="AN774" i="29" s="1"/>
  <c r="Y787" i="29"/>
  <c r="AD787" i="29" s="1"/>
  <c r="AE787" i="29" s="1"/>
  <c r="P787" i="29"/>
  <c r="Y793" i="29"/>
  <c r="AD793" i="29" s="1"/>
  <c r="AE793" i="29" s="1"/>
  <c r="P793" i="29"/>
  <c r="O793" i="29"/>
  <c r="Q793" i="29" s="1"/>
  <c r="Y808" i="29"/>
  <c r="AD808" i="29" s="1"/>
  <c r="AE808" i="29" s="1"/>
  <c r="P808" i="29"/>
  <c r="AC812" i="29"/>
  <c r="AJ821" i="29"/>
  <c r="AK821" i="29" s="1"/>
  <c r="AG821" i="29"/>
  <c r="AH821" i="29" s="1"/>
  <c r="AJ843" i="29"/>
  <c r="AK843" i="29" s="1"/>
  <c r="AD843" i="29"/>
  <c r="AE843" i="29" s="1"/>
  <c r="AD723" i="29"/>
  <c r="AE723" i="29" s="1"/>
  <c r="Z727" i="29"/>
  <c r="AA727" i="29" s="1"/>
  <c r="AJ731" i="29"/>
  <c r="AK731" i="29" s="1"/>
  <c r="AG733" i="29"/>
  <c r="AH733" i="29" s="1"/>
  <c r="AJ750" i="29"/>
  <c r="AK750" i="29" s="1"/>
  <c r="AJ756" i="29"/>
  <c r="AK756" i="29" s="1"/>
  <c r="AJ759" i="29"/>
  <c r="AK759" i="29" s="1"/>
  <c r="AJ762" i="29"/>
  <c r="AK762" i="29" s="1"/>
  <c r="AJ770" i="29"/>
  <c r="AK770" i="29" s="1"/>
  <c r="AJ773" i="29"/>
  <c r="AK773" i="29" s="1"/>
  <c r="AG775" i="29"/>
  <c r="AH775" i="29" s="1"/>
  <c r="P778" i="29"/>
  <c r="AM785" i="29"/>
  <c r="AN785" i="29" s="1"/>
  <c r="Z791" i="29"/>
  <c r="AA791" i="29" s="1"/>
  <c r="AM797" i="29"/>
  <c r="AN797" i="29" s="1"/>
  <c r="O802" i="29"/>
  <c r="Q802" i="29" s="1"/>
  <c r="AB819" i="29"/>
  <c r="AC819" i="29" s="1"/>
  <c r="Z819" i="29"/>
  <c r="AA819" i="29" s="1"/>
  <c r="AM821" i="29"/>
  <c r="AN821" i="29" s="1"/>
  <c r="AG841" i="29"/>
  <c r="AH841" i="29" s="1"/>
  <c r="AC843" i="29"/>
  <c r="AJ726" i="29"/>
  <c r="AK726" i="29" s="1"/>
  <c r="AG728" i="29"/>
  <c r="AH728" i="29" s="1"/>
  <c r="AD730" i="29"/>
  <c r="AE730" i="29" s="1"/>
  <c r="AD777" i="29"/>
  <c r="AE777" i="29" s="1"/>
  <c r="AC806" i="29"/>
  <c r="Y811" i="29"/>
  <c r="Z811" i="29" s="1"/>
  <c r="AA811" i="29" s="1"/>
  <c r="P811" i="29"/>
  <c r="AC837" i="29"/>
  <c r="Z841" i="29"/>
  <c r="AA841" i="29" s="1"/>
  <c r="AJ841" i="29"/>
  <c r="AK841" i="29" s="1"/>
  <c r="AM843" i="29"/>
  <c r="AN843" i="29" s="1"/>
  <c r="AG723" i="29"/>
  <c r="AH723" i="29" s="1"/>
  <c r="AD725" i="29"/>
  <c r="AE725" i="29" s="1"/>
  <c r="AJ775" i="29"/>
  <c r="AK775" i="29" s="1"/>
  <c r="AM806" i="29"/>
  <c r="AN806" i="29" s="1"/>
  <c r="O811" i="29"/>
  <c r="Q811" i="29" s="1"/>
  <c r="AM837" i="29"/>
  <c r="AN837" i="29" s="1"/>
  <c r="AJ930" i="29"/>
  <c r="AK930" i="29" s="1"/>
  <c r="AG930" i="29"/>
  <c r="AH930" i="29" s="1"/>
  <c r="Z724" i="29"/>
  <c r="AA724" i="29" s="1"/>
  <c r="AJ728" i="29"/>
  <c r="AK728" i="29" s="1"/>
  <c r="AG730" i="29"/>
  <c r="AH730" i="29" s="1"/>
  <c r="AD732" i="29"/>
  <c r="AE732" i="29" s="1"/>
  <c r="Z765" i="29"/>
  <c r="AA765" i="29" s="1"/>
  <c r="AD774" i="29"/>
  <c r="AE774" i="29" s="1"/>
  <c r="AG777" i="29"/>
  <c r="AH777" i="29" s="1"/>
  <c r="O780" i="29"/>
  <c r="Q780" i="29" s="1"/>
  <c r="Y790" i="29"/>
  <c r="AD790" i="29" s="1"/>
  <c r="AE790" i="29" s="1"/>
  <c r="P790" i="29"/>
  <c r="O790" i="29"/>
  <c r="Q790" i="29" s="1"/>
  <c r="Y796" i="29"/>
  <c r="AD796" i="29" s="1"/>
  <c r="AE796" i="29" s="1"/>
  <c r="P796" i="29"/>
  <c r="AJ840" i="29"/>
  <c r="AK840" i="29" s="1"/>
  <c r="AD840" i="29"/>
  <c r="AE840" i="29" s="1"/>
  <c r="O746" i="29"/>
  <c r="Q746" i="29" s="1"/>
  <c r="AC782" i="29"/>
  <c r="AM782" i="29"/>
  <c r="AN782" i="29" s="1"/>
  <c r="Y805" i="29"/>
  <c r="AD805" i="29" s="1"/>
  <c r="AE805" i="29" s="1"/>
  <c r="P805" i="29"/>
  <c r="O805" i="29"/>
  <c r="Q805" i="29" s="1"/>
  <c r="AC809" i="29"/>
  <c r="Y814" i="29"/>
  <c r="AM814" i="29" s="1"/>
  <c r="AN814" i="29" s="1"/>
  <c r="P814" i="29"/>
  <c r="AD823" i="29"/>
  <c r="AE823" i="29" s="1"/>
  <c r="AJ823" i="29"/>
  <c r="AK823" i="29" s="1"/>
  <c r="AG823" i="29"/>
  <c r="AH823" i="29" s="1"/>
  <c r="Y781" i="29"/>
  <c r="AD781" i="29" s="1"/>
  <c r="AE781" i="29" s="1"/>
  <c r="P783" i="29"/>
  <c r="Z784" i="29"/>
  <c r="AA784" i="29" s="1"/>
  <c r="AD785" i="29"/>
  <c r="AE785" i="29" s="1"/>
  <c r="AJ786" i="29"/>
  <c r="AK786" i="29" s="1"/>
  <c r="AD788" i="29"/>
  <c r="AE788" i="29" s="1"/>
  <c r="AD791" i="29"/>
  <c r="AE791" i="29" s="1"/>
  <c r="AD797" i="29"/>
  <c r="AE797" i="29" s="1"/>
  <c r="AD800" i="29"/>
  <c r="AE800" i="29" s="1"/>
  <c r="AD803" i="29"/>
  <c r="AE803" i="29" s="1"/>
  <c r="AD806" i="29"/>
  <c r="AE806" i="29" s="1"/>
  <c r="AD809" i="29"/>
  <c r="AE809" i="29" s="1"/>
  <c r="AD812" i="29"/>
  <c r="AE812" i="29" s="1"/>
  <c r="AM826" i="29"/>
  <c r="AN826" i="29" s="1"/>
  <c r="AJ830" i="29"/>
  <c r="AK830" i="29" s="1"/>
  <c r="Y839" i="29"/>
  <c r="AM839" i="29" s="1"/>
  <c r="AN839" i="29" s="1"/>
  <c r="P841" i="29"/>
  <c r="Y842" i="29"/>
  <c r="AJ842" i="29" s="1"/>
  <c r="AK842" i="29" s="1"/>
  <c r="AB925" i="29"/>
  <c r="AC925" i="29" s="1"/>
  <c r="Z925" i="29"/>
  <c r="AA925" i="29" s="1"/>
  <c r="AD949" i="29"/>
  <c r="AE949" i="29" s="1"/>
  <c r="AJ949" i="29"/>
  <c r="AK949" i="29" s="1"/>
  <c r="AG949" i="29"/>
  <c r="AH949" i="29" s="1"/>
  <c r="AD782" i="29"/>
  <c r="AE782" i="29" s="1"/>
  <c r="AB817" i="29"/>
  <c r="AC817" i="29" s="1"/>
  <c r="AG819" i="29"/>
  <c r="AH819" i="29" s="1"/>
  <c r="AB821" i="29"/>
  <c r="AC821" i="29" s="1"/>
  <c r="AD829" i="29"/>
  <c r="AE829" i="29" s="1"/>
  <c r="AB834" i="29"/>
  <c r="AC834" i="29" s="1"/>
  <c r="AD837" i="29"/>
  <c r="AE837" i="29" s="1"/>
  <c r="AC845" i="29"/>
  <c r="AG785" i="29"/>
  <c r="AH785" i="29" s="1"/>
  <c r="AM786" i="29"/>
  <c r="AN786" i="29" s="1"/>
  <c r="AG788" i="29"/>
  <c r="AH788" i="29" s="1"/>
  <c r="O791" i="29"/>
  <c r="Q791" i="29" s="1"/>
  <c r="AG791" i="29"/>
  <c r="AH791" i="29" s="1"/>
  <c r="AG797" i="29"/>
  <c r="AH797" i="29" s="1"/>
  <c r="O800" i="29"/>
  <c r="Q800" i="29" s="1"/>
  <c r="AG800" i="29"/>
  <c r="AH800" i="29" s="1"/>
  <c r="AG803" i="29"/>
  <c r="AH803" i="29" s="1"/>
  <c r="AG806" i="29"/>
  <c r="AH806" i="29" s="1"/>
  <c r="AG809" i="29"/>
  <c r="AH809" i="29" s="1"/>
  <c r="AG812" i="29"/>
  <c r="AH812" i="29" s="1"/>
  <c r="Y820" i="29"/>
  <c r="AD820" i="29" s="1"/>
  <c r="AE820" i="29" s="1"/>
  <c r="AM830" i="29"/>
  <c r="AN830" i="29" s="1"/>
  <c r="AD911" i="29"/>
  <c r="AE911" i="29" s="1"/>
  <c r="AJ911" i="29"/>
  <c r="AK911" i="29" s="1"/>
  <c r="AG911" i="29"/>
  <c r="AH911" i="29" s="1"/>
  <c r="Y1015" i="29"/>
  <c r="AD1015" i="29" s="1"/>
  <c r="AE1015" i="29" s="1"/>
  <c r="P1015" i="29"/>
  <c r="AG782" i="29"/>
  <c r="AH782" i="29" s="1"/>
  <c r="P785" i="29"/>
  <c r="P788" i="29"/>
  <c r="Y789" i="29"/>
  <c r="Z789" i="29" s="1"/>
  <c r="AA789" i="29" s="1"/>
  <c r="P791" i="29"/>
  <c r="Y792" i="29"/>
  <c r="Z792" i="29" s="1"/>
  <c r="AA792" i="29" s="1"/>
  <c r="Y795" i="29"/>
  <c r="Z795" i="29" s="1"/>
  <c r="AA795" i="29" s="1"/>
  <c r="P797" i="29"/>
  <c r="Y798" i="29"/>
  <c r="Z798" i="29" s="1"/>
  <c r="AA798" i="29" s="1"/>
  <c r="P800" i="29"/>
  <c r="Y801" i="29"/>
  <c r="Z801" i="29" s="1"/>
  <c r="AA801" i="29" s="1"/>
  <c r="P803" i="29"/>
  <c r="Y804" i="29"/>
  <c r="Z804" i="29" s="1"/>
  <c r="AA804" i="29" s="1"/>
  <c r="P806" i="29"/>
  <c r="Y807" i="29"/>
  <c r="Z807" i="29" s="1"/>
  <c r="AA807" i="29" s="1"/>
  <c r="P809" i="29"/>
  <c r="Y810" i="29"/>
  <c r="AC810" i="29" s="1"/>
  <c r="P812" i="29"/>
  <c r="Y813" i="29"/>
  <c r="AC813" i="29" s="1"/>
  <c r="Y816" i="29"/>
  <c r="AC816" i="29" s="1"/>
  <c r="AD817" i="29"/>
  <c r="AE817" i="29" s="1"/>
  <c r="AJ819" i="29"/>
  <c r="AK819" i="29" s="1"/>
  <c r="AD821" i="29"/>
  <c r="AE821" i="29" s="1"/>
  <c r="AG829" i="29"/>
  <c r="AH829" i="29" s="1"/>
  <c r="AD834" i="29"/>
  <c r="AE834" i="29" s="1"/>
  <c r="AG837" i="29"/>
  <c r="AH837" i="29" s="1"/>
  <c r="AG840" i="29"/>
  <c r="AH840" i="29" s="1"/>
  <c r="AM841" i="29"/>
  <c r="AN841" i="29" s="1"/>
  <c r="AG843" i="29"/>
  <c r="AH843" i="29" s="1"/>
  <c r="Y846" i="29"/>
  <c r="AD846" i="29" s="1"/>
  <c r="AE846" i="29" s="1"/>
  <c r="P846" i="29"/>
  <c r="O846" i="29"/>
  <c r="Q846" i="29" s="1"/>
  <c r="AJ782" i="29"/>
  <c r="AK782" i="29" s="1"/>
  <c r="AM819" i="29"/>
  <c r="AN819" i="29" s="1"/>
  <c r="AD860" i="29"/>
  <c r="AE860" i="29" s="1"/>
  <c r="AJ860" i="29"/>
  <c r="AK860" i="29" s="1"/>
  <c r="AG860" i="29"/>
  <c r="AH860" i="29" s="1"/>
  <c r="AB873" i="29"/>
  <c r="AC873" i="29" s="1"/>
  <c r="Z873" i="29"/>
  <c r="AA873" i="29" s="1"/>
  <c r="AB883" i="29"/>
  <c r="AC883" i="29" s="1"/>
  <c r="Z883" i="29"/>
  <c r="AA883" i="29" s="1"/>
  <c r="AG784" i="29"/>
  <c r="AH784" i="29" s="1"/>
  <c r="AM791" i="29"/>
  <c r="AN791" i="29" s="1"/>
  <c r="P821" i="29"/>
  <c r="AD888" i="29"/>
  <c r="AE888" i="29" s="1"/>
  <c r="AJ888" i="29"/>
  <c r="AK888" i="29" s="1"/>
  <c r="AG888" i="29"/>
  <c r="AH888" i="29" s="1"/>
  <c r="AG890" i="29"/>
  <c r="AH890" i="29" s="1"/>
  <c r="AD890" i="29"/>
  <c r="AE890" i="29" s="1"/>
  <c r="O839" i="29"/>
  <c r="Q839" i="29" s="1"/>
  <c r="AM860" i="29"/>
  <c r="AN860" i="29" s="1"/>
  <c r="AB893" i="29"/>
  <c r="AC893" i="29" s="1"/>
  <c r="Z893" i="29"/>
  <c r="AA893" i="29" s="1"/>
  <c r="AB930" i="29"/>
  <c r="AC930" i="29" s="1"/>
  <c r="Z930" i="29"/>
  <c r="AA930" i="29" s="1"/>
  <c r="AJ784" i="29"/>
  <c r="AK784" i="29" s="1"/>
  <c r="Z785" i="29"/>
  <c r="AA785" i="29" s="1"/>
  <c r="AD786" i="29"/>
  <c r="AE786" i="29" s="1"/>
  <c r="Z788" i="29"/>
  <c r="AA788" i="29" s="1"/>
  <c r="Z800" i="29"/>
  <c r="AA800" i="29" s="1"/>
  <c r="Z806" i="29"/>
  <c r="AA806" i="29" s="1"/>
  <c r="P845" i="29"/>
  <c r="AC923" i="29"/>
  <c r="AD930" i="29"/>
  <c r="AE930" i="29" s="1"/>
  <c r="Z782" i="29"/>
  <c r="AA782" i="29" s="1"/>
  <c r="Z829" i="29"/>
  <c r="AA829" i="29" s="1"/>
  <c r="AJ836" i="29"/>
  <c r="AK836" i="29" s="1"/>
  <c r="Z837" i="29"/>
  <c r="AA837" i="29" s="1"/>
  <c r="Z840" i="29"/>
  <c r="AA840" i="29" s="1"/>
  <c r="AD841" i="29"/>
  <c r="AE841" i="29" s="1"/>
  <c r="Z843" i="29"/>
  <c r="AA843" i="29" s="1"/>
  <c r="AG853" i="29"/>
  <c r="AH853" i="29" s="1"/>
  <c r="AB855" i="29"/>
  <c r="AC855" i="29" s="1"/>
  <c r="Z855" i="29"/>
  <c r="AA855" i="29" s="1"/>
  <c r="AC890" i="29"/>
  <c r="AG923" i="29"/>
  <c r="AH923" i="29" s="1"/>
  <c r="O792" i="29"/>
  <c r="Q792" i="29" s="1"/>
  <c r="AM890" i="29"/>
  <c r="AN890" i="29" s="1"/>
  <c r="AG845" i="29"/>
  <c r="AH845" i="29" s="1"/>
  <c r="AD845" i="29"/>
  <c r="AE845" i="29" s="1"/>
  <c r="AJ845" i="29"/>
  <c r="AK845" i="29" s="1"/>
  <c r="AC949" i="29"/>
  <c r="AD847" i="29"/>
  <c r="AE847" i="29" s="1"/>
  <c r="AB852" i="29"/>
  <c r="AC852" i="29" s="1"/>
  <c r="AM856" i="29"/>
  <c r="AN856" i="29" s="1"/>
  <c r="AJ858" i="29"/>
  <c r="AK858" i="29" s="1"/>
  <c r="AD866" i="29"/>
  <c r="AE866" i="29" s="1"/>
  <c r="AB868" i="29"/>
  <c r="AC868" i="29" s="1"/>
  <c r="AM876" i="29"/>
  <c r="AN876" i="29" s="1"/>
  <c r="AM884" i="29"/>
  <c r="AN884" i="29" s="1"/>
  <c r="AJ886" i="29"/>
  <c r="AK886" i="29" s="1"/>
  <c r="AM894" i="29"/>
  <c r="AN894" i="29" s="1"/>
  <c r="AJ900" i="29"/>
  <c r="AK900" i="29" s="1"/>
  <c r="AM926" i="29"/>
  <c r="AN926" i="29" s="1"/>
  <c r="AJ928" i="29"/>
  <c r="AK928" i="29" s="1"/>
  <c r="AM933" i="29"/>
  <c r="AN933" i="29" s="1"/>
  <c r="AJ945" i="29"/>
  <c r="AK945" i="29" s="1"/>
  <c r="Y1012" i="29"/>
  <c r="AD1012" i="29" s="1"/>
  <c r="AE1012" i="29" s="1"/>
  <c r="P1012" i="29"/>
  <c r="AM851" i="29"/>
  <c r="AN851" i="29" s="1"/>
  <c r="AJ853" i="29"/>
  <c r="AK853" i="29" s="1"/>
  <c r="AG855" i="29"/>
  <c r="AH855" i="29" s="1"/>
  <c r="AD857" i="29"/>
  <c r="AE857" i="29" s="1"/>
  <c r="AB859" i="29"/>
  <c r="AC859" i="29" s="1"/>
  <c r="AM867" i="29"/>
  <c r="AN867" i="29" s="1"/>
  <c r="AJ869" i="29"/>
  <c r="AK869" i="29" s="1"/>
  <c r="AG873" i="29"/>
  <c r="AH873" i="29" s="1"/>
  <c r="AD877" i="29"/>
  <c r="AE877" i="29" s="1"/>
  <c r="AJ881" i="29"/>
  <c r="AK881" i="29" s="1"/>
  <c r="AG883" i="29"/>
  <c r="AH883" i="29" s="1"/>
  <c r="AD885" i="29"/>
  <c r="AE885" i="29" s="1"/>
  <c r="AM918" i="29"/>
  <c r="AN918" i="29" s="1"/>
  <c r="AJ923" i="29"/>
  <c r="AK923" i="29" s="1"/>
  <c r="Z950" i="29"/>
  <c r="AA950" i="29" s="1"/>
  <c r="AM954" i="29"/>
  <c r="AN954" i="29" s="1"/>
  <c r="AB1003" i="29"/>
  <c r="AC1003" i="29" s="1"/>
  <c r="Z1003" i="29"/>
  <c r="AA1003" i="29" s="1"/>
  <c r="O1012" i="29"/>
  <c r="Q1012" i="29" s="1"/>
  <c r="AM858" i="29"/>
  <c r="AN858" i="29" s="1"/>
  <c r="AM886" i="29"/>
  <c r="AN886" i="29" s="1"/>
  <c r="AM900" i="29"/>
  <c r="AN900" i="29" s="1"/>
  <c r="AM928" i="29"/>
  <c r="AN928" i="29" s="1"/>
  <c r="AM945" i="29"/>
  <c r="AN945" i="29" s="1"/>
  <c r="AB1019" i="29"/>
  <c r="AC1019" i="29" s="1"/>
  <c r="Z1019" i="29"/>
  <c r="AA1019" i="29" s="1"/>
  <c r="P847" i="29"/>
  <c r="Z851" i="29"/>
  <c r="AA851" i="29" s="1"/>
  <c r="AM853" i="29"/>
  <c r="AN853" i="29" s="1"/>
  <c r="AJ855" i="29"/>
  <c r="AK855" i="29" s="1"/>
  <c r="AG857" i="29"/>
  <c r="AH857" i="29" s="1"/>
  <c r="AD859" i="29"/>
  <c r="AE859" i="29" s="1"/>
  <c r="AM869" i="29"/>
  <c r="AN869" i="29" s="1"/>
  <c r="AM881" i="29"/>
  <c r="AN881" i="29" s="1"/>
  <c r="AM923" i="29"/>
  <c r="AN923" i="29" s="1"/>
  <c r="Z954" i="29"/>
  <c r="AA954" i="29" s="1"/>
  <c r="AB974" i="29"/>
  <c r="AC974" i="29" s="1"/>
  <c r="Z974" i="29"/>
  <c r="AA974" i="29" s="1"/>
  <c r="AG1019" i="29"/>
  <c r="AH1019" i="29" s="1"/>
  <c r="AB1034" i="29"/>
  <c r="AC1034" i="29" s="1"/>
  <c r="Z1034" i="29"/>
  <c r="AA1034" i="29" s="1"/>
  <c r="Z853" i="29"/>
  <c r="AA853" i="29" s="1"/>
  <c r="AM855" i="29"/>
  <c r="AN855" i="29" s="1"/>
  <c r="AJ857" i="29"/>
  <c r="AK857" i="29" s="1"/>
  <c r="AG859" i="29"/>
  <c r="AH859" i="29" s="1"/>
  <c r="AD863" i="29"/>
  <c r="AE863" i="29" s="1"/>
  <c r="Z869" i="29"/>
  <c r="AA869" i="29" s="1"/>
  <c r="AM873" i="29"/>
  <c r="AN873" i="29" s="1"/>
  <c r="AJ877" i="29"/>
  <c r="AK877" i="29" s="1"/>
  <c r="Z881" i="29"/>
  <c r="AA881" i="29" s="1"/>
  <c r="AM883" i="29"/>
  <c r="AN883" i="29" s="1"/>
  <c r="AJ885" i="29"/>
  <c r="AK885" i="29" s="1"/>
  <c r="AG887" i="29"/>
  <c r="AH887" i="29" s="1"/>
  <c r="AD889" i="29"/>
  <c r="AE889" i="29" s="1"/>
  <c r="AJ890" i="29"/>
  <c r="AK890" i="29" s="1"/>
  <c r="AM893" i="29"/>
  <c r="AN893" i="29" s="1"/>
  <c r="AJ899" i="29"/>
  <c r="AK899" i="29" s="1"/>
  <c r="AG910" i="29"/>
  <c r="AH910" i="29" s="1"/>
  <c r="AD914" i="29"/>
  <c r="AE914" i="29" s="1"/>
  <c r="Z923" i="29"/>
  <c r="AA923" i="29" s="1"/>
  <c r="AM925" i="29"/>
  <c r="AN925" i="29" s="1"/>
  <c r="AJ927" i="29"/>
  <c r="AK927" i="29" s="1"/>
  <c r="AG929" i="29"/>
  <c r="AH929" i="29" s="1"/>
  <c r="AM930" i="29"/>
  <c r="AN930" i="29" s="1"/>
  <c r="AJ934" i="29"/>
  <c r="AK934" i="29" s="1"/>
  <c r="AG946" i="29"/>
  <c r="AH946" i="29" s="1"/>
  <c r="AD950" i="29"/>
  <c r="AE950" i="29" s="1"/>
  <c r="AB996" i="29"/>
  <c r="AC996" i="29" s="1"/>
  <c r="Z996" i="29"/>
  <c r="AA996" i="29" s="1"/>
  <c r="O1015" i="29"/>
  <c r="Q1015" i="29" s="1"/>
  <c r="AB1022" i="29"/>
  <c r="AC1022" i="29" s="1"/>
  <c r="Z1022" i="29"/>
  <c r="AA1022" i="29" s="1"/>
  <c r="AM1039" i="29"/>
  <c r="AN1039" i="29" s="1"/>
  <c r="Z1061" i="29"/>
  <c r="AA1061" i="29" s="1"/>
  <c r="AJ852" i="29"/>
  <c r="AK852" i="29" s="1"/>
  <c r="AG854" i="29"/>
  <c r="AH854" i="29" s="1"/>
  <c r="AD856" i="29"/>
  <c r="AE856" i="29" s="1"/>
  <c r="Z860" i="29"/>
  <c r="AA860" i="29" s="1"/>
  <c r="AJ868" i="29"/>
  <c r="AK868" i="29" s="1"/>
  <c r="AG872" i="29"/>
  <c r="AH872" i="29" s="1"/>
  <c r="AD876" i="29"/>
  <c r="AE876" i="29" s="1"/>
  <c r="AG882" i="29"/>
  <c r="AH882" i="29" s="1"/>
  <c r="AD884" i="29"/>
  <c r="AE884" i="29" s="1"/>
  <c r="Z888" i="29"/>
  <c r="AA888" i="29" s="1"/>
  <c r="AG892" i="29"/>
  <c r="AH892" i="29" s="1"/>
  <c r="AD894" i="29"/>
  <c r="AE894" i="29" s="1"/>
  <c r="Z911" i="29"/>
  <c r="AA911" i="29" s="1"/>
  <c r="AJ919" i="29"/>
  <c r="AK919" i="29" s="1"/>
  <c r="AG924" i="29"/>
  <c r="AH924" i="29" s="1"/>
  <c r="AD926" i="29"/>
  <c r="AE926" i="29" s="1"/>
  <c r="AD933" i="29"/>
  <c r="AE933" i="29" s="1"/>
  <c r="Z949" i="29"/>
  <c r="AA949" i="29" s="1"/>
  <c r="AC961" i="29"/>
  <c r="AJ992" i="29"/>
  <c r="AK992" i="29" s="1"/>
  <c r="AG1022" i="29"/>
  <c r="AH1022" i="29" s="1"/>
  <c r="AB1037" i="29"/>
  <c r="AC1037" i="29" s="1"/>
  <c r="Z1037" i="29"/>
  <c r="AA1037" i="29" s="1"/>
  <c r="Z1043" i="29"/>
  <c r="AA1043" i="29" s="1"/>
  <c r="AM1061" i="29"/>
  <c r="AN1061" i="29" s="1"/>
  <c r="AD851" i="29"/>
  <c r="AE851" i="29" s="1"/>
  <c r="AJ859" i="29"/>
  <c r="AK859" i="29" s="1"/>
  <c r="AG863" i="29"/>
  <c r="AH863" i="29" s="1"/>
  <c r="AD867" i="29"/>
  <c r="AE867" i="29" s="1"/>
  <c r="AJ887" i="29"/>
  <c r="AK887" i="29" s="1"/>
  <c r="AG889" i="29"/>
  <c r="AH889" i="29" s="1"/>
  <c r="AJ910" i="29"/>
  <c r="AK910" i="29" s="1"/>
  <c r="AG914" i="29"/>
  <c r="AH914" i="29" s="1"/>
  <c r="AD918" i="29"/>
  <c r="AE918" i="29" s="1"/>
  <c r="AM927" i="29"/>
  <c r="AN927" i="29" s="1"/>
  <c r="AD954" i="29"/>
  <c r="AE954" i="29" s="1"/>
  <c r="AG961" i="29"/>
  <c r="AH961" i="29" s="1"/>
  <c r="AD961" i="29"/>
  <c r="AE961" i="29" s="1"/>
  <c r="AJ961" i="29"/>
  <c r="AK961" i="29" s="1"/>
  <c r="AG1037" i="29"/>
  <c r="AH1037" i="29" s="1"/>
  <c r="AM1043" i="29"/>
  <c r="AN1043" i="29" s="1"/>
  <c r="AC1047" i="29"/>
  <c r="AC1061" i="29"/>
  <c r="Z847" i="29"/>
  <c r="AA847" i="29" s="1"/>
  <c r="AJ854" i="29"/>
  <c r="AK854" i="29" s="1"/>
  <c r="AG856" i="29"/>
  <c r="AH856" i="29" s="1"/>
  <c r="AD858" i="29"/>
  <c r="AE858" i="29" s="1"/>
  <c r="Z866" i="29"/>
  <c r="AA866" i="29" s="1"/>
  <c r="AJ872" i="29"/>
  <c r="AK872" i="29" s="1"/>
  <c r="AG876" i="29"/>
  <c r="AH876" i="29" s="1"/>
  <c r="AJ882" i="29"/>
  <c r="AK882" i="29" s="1"/>
  <c r="AG884" i="29"/>
  <c r="AH884" i="29" s="1"/>
  <c r="AD886" i="29"/>
  <c r="AE886" i="29" s="1"/>
  <c r="AJ892" i="29"/>
  <c r="AK892" i="29" s="1"/>
  <c r="AG894" i="29"/>
  <c r="AH894" i="29" s="1"/>
  <c r="AD900" i="29"/>
  <c r="AE900" i="29" s="1"/>
  <c r="AJ924" i="29"/>
  <c r="AK924" i="29" s="1"/>
  <c r="AG926" i="29"/>
  <c r="AH926" i="29" s="1"/>
  <c r="AD928" i="29"/>
  <c r="AE928" i="29" s="1"/>
  <c r="AG933" i="29"/>
  <c r="AH933" i="29" s="1"/>
  <c r="AD945" i="29"/>
  <c r="AE945" i="29" s="1"/>
  <c r="AC1043" i="29"/>
  <c r="AM1047" i="29"/>
  <c r="AN1047" i="29" s="1"/>
  <c r="AG851" i="29"/>
  <c r="AH851" i="29" s="1"/>
  <c r="AD853" i="29"/>
  <c r="AE853" i="29" s="1"/>
  <c r="Z857" i="29"/>
  <c r="AA857" i="29" s="1"/>
  <c r="AJ863" i="29"/>
  <c r="AK863" i="29" s="1"/>
  <c r="AG867" i="29"/>
  <c r="AH867" i="29" s="1"/>
  <c r="AD869" i="29"/>
  <c r="AE869" i="29" s="1"/>
  <c r="Z877" i="29"/>
  <c r="AA877" i="29" s="1"/>
  <c r="AD881" i="29"/>
  <c r="AE881" i="29" s="1"/>
  <c r="Z885" i="29"/>
  <c r="AA885" i="29" s="1"/>
  <c r="AJ889" i="29"/>
  <c r="AK889" i="29" s="1"/>
  <c r="Z890" i="29"/>
  <c r="AA890" i="29" s="1"/>
  <c r="Z899" i="29"/>
  <c r="AA899" i="29" s="1"/>
  <c r="AJ914" i="29"/>
  <c r="AK914" i="29" s="1"/>
  <c r="AG918" i="29"/>
  <c r="AH918" i="29" s="1"/>
  <c r="AD923" i="29"/>
  <c r="AE923" i="29" s="1"/>
  <c r="Z934" i="29"/>
  <c r="AA934" i="29" s="1"/>
  <c r="AJ950" i="29"/>
  <c r="AK950" i="29" s="1"/>
  <c r="AG954" i="29"/>
  <c r="AH954" i="29" s="1"/>
  <c r="AM961" i="29"/>
  <c r="AN961" i="29" s="1"/>
  <c r="AC985" i="29"/>
  <c r="AD1013" i="29"/>
  <c r="AE1013" i="29" s="1"/>
  <c r="AC1018" i="29"/>
  <c r="Z1064" i="29"/>
  <c r="AA1064" i="29" s="1"/>
  <c r="AG985" i="29"/>
  <c r="AH985" i="29" s="1"/>
  <c r="AD985" i="29"/>
  <c r="AE985" i="29" s="1"/>
  <c r="AJ985" i="29"/>
  <c r="AK985" i="29" s="1"/>
  <c r="AM1018" i="29"/>
  <c r="AN1018" i="29" s="1"/>
  <c r="AC1027" i="29"/>
  <c r="AC1033" i="29"/>
  <c r="Z1040" i="29"/>
  <c r="AA1040" i="29" s="1"/>
  <c r="AM1064" i="29"/>
  <c r="AN1064" i="29" s="1"/>
  <c r="AB1016" i="29"/>
  <c r="AC1016" i="29" s="1"/>
  <c r="Z1016" i="29"/>
  <c r="AA1016" i="29" s="1"/>
  <c r="AJ1027" i="29"/>
  <c r="AK1027" i="29" s="1"/>
  <c r="AB1029" i="29"/>
  <c r="AC1029" i="29" s="1"/>
  <c r="Z1029" i="29"/>
  <c r="AA1029" i="29" s="1"/>
  <c r="AM1033" i="29"/>
  <c r="AN1033" i="29" s="1"/>
  <c r="AG1040" i="29"/>
  <c r="AH1040" i="29" s="1"/>
  <c r="AD1040" i="29"/>
  <c r="AE1040" i="29" s="1"/>
  <c r="AJ1040" i="29"/>
  <c r="AK1040" i="29" s="1"/>
  <c r="AG965" i="29"/>
  <c r="AH965" i="29" s="1"/>
  <c r="AD969" i="29"/>
  <c r="AE969" i="29" s="1"/>
  <c r="AB973" i="29"/>
  <c r="AC973" i="29" s="1"/>
  <c r="AM979" i="29"/>
  <c r="AN979" i="29" s="1"/>
  <c r="AG987" i="29"/>
  <c r="AH987" i="29" s="1"/>
  <c r="AD991" i="29"/>
  <c r="AE991" i="29" s="1"/>
  <c r="AB993" i="29"/>
  <c r="AC993" i="29" s="1"/>
  <c r="Z997" i="29"/>
  <c r="AA997" i="29" s="1"/>
  <c r="AB1002" i="29"/>
  <c r="AC1002" i="29" s="1"/>
  <c r="AM1008" i="29"/>
  <c r="AN1008" i="29" s="1"/>
  <c r="AB1012" i="29"/>
  <c r="AG1013" i="29"/>
  <c r="AH1013" i="29" s="1"/>
  <c r="AB1015" i="29"/>
  <c r="P1016" i="29"/>
  <c r="Y1017" i="29"/>
  <c r="AC1017" i="29" s="1"/>
  <c r="P1019" i="29"/>
  <c r="Y1020" i="29"/>
  <c r="Z1020" i="29" s="1"/>
  <c r="AA1020" i="29" s="1"/>
  <c r="P1022" i="29"/>
  <c r="Y1023" i="29"/>
  <c r="AM1023" i="29" s="1"/>
  <c r="AN1023" i="29" s="1"/>
  <c r="AD1026" i="29"/>
  <c r="AE1026" i="29" s="1"/>
  <c r="AB1028" i="29"/>
  <c r="AC1028" i="29" s="1"/>
  <c r="Y1032" i="29"/>
  <c r="AC1032" i="29" s="1"/>
  <c r="P1034" i="29"/>
  <c r="Y1035" i="29"/>
  <c r="AC1035" i="29" s="1"/>
  <c r="P1037" i="29"/>
  <c r="Y1038" i="29"/>
  <c r="AM1038" i="29" s="1"/>
  <c r="AN1038" i="29" s="1"/>
  <c r="AD1044" i="29"/>
  <c r="AE1044" i="29" s="1"/>
  <c r="AD1047" i="29"/>
  <c r="AE1047" i="29" s="1"/>
  <c r="AD1062" i="29"/>
  <c r="AE1062" i="29" s="1"/>
  <c r="AB962" i="29"/>
  <c r="AC962" i="29" s="1"/>
  <c r="Z968" i="29"/>
  <c r="AA968" i="29" s="1"/>
  <c r="AM972" i="29"/>
  <c r="AN972" i="29" s="1"/>
  <c r="AJ974" i="29"/>
  <c r="AK974" i="29" s="1"/>
  <c r="AG978" i="29"/>
  <c r="AH978" i="29" s="1"/>
  <c r="AD982" i="29"/>
  <c r="AE982" i="29" s="1"/>
  <c r="AB986" i="29"/>
  <c r="AC986" i="29" s="1"/>
  <c r="Z990" i="29"/>
  <c r="AA990" i="29" s="1"/>
  <c r="AM992" i="29"/>
  <c r="AN992" i="29" s="1"/>
  <c r="AJ996" i="29"/>
  <c r="AK996" i="29" s="1"/>
  <c r="AG998" i="29"/>
  <c r="AH998" i="29" s="1"/>
  <c r="AM999" i="29"/>
  <c r="AN999" i="29" s="1"/>
  <c r="AJ1003" i="29"/>
  <c r="AK1003" i="29" s="1"/>
  <c r="AG1005" i="29"/>
  <c r="AH1005" i="29" s="1"/>
  <c r="P1013" i="29"/>
  <c r="Y1014" i="29"/>
  <c r="Z1014" i="29" s="1"/>
  <c r="AA1014" i="29" s="1"/>
  <c r="AJ1016" i="29"/>
  <c r="AK1016" i="29" s="1"/>
  <c r="AD1018" i="29"/>
  <c r="AE1018" i="29" s="1"/>
  <c r="AJ1019" i="29"/>
  <c r="AK1019" i="29" s="1"/>
  <c r="AD1021" i="29"/>
  <c r="AE1021" i="29" s="1"/>
  <c r="AJ1022" i="29"/>
  <c r="AK1022" i="29" s="1"/>
  <c r="AM1027" i="29"/>
  <c r="AN1027" i="29" s="1"/>
  <c r="AJ1029" i="29"/>
  <c r="AK1029" i="29" s="1"/>
  <c r="AD1033" i="29"/>
  <c r="AE1033" i="29" s="1"/>
  <c r="AJ1034" i="29"/>
  <c r="AK1034" i="29" s="1"/>
  <c r="AD1036" i="29"/>
  <c r="AE1036" i="29" s="1"/>
  <c r="AJ1037" i="29"/>
  <c r="AK1037" i="29" s="1"/>
  <c r="AD1039" i="29"/>
  <c r="AE1039" i="29" s="1"/>
  <c r="AD962" i="29"/>
  <c r="AE962" i="29" s="1"/>
  <c r="Z972" i="29"/>
  <c r="AA972" i="29" s="1"/>
  <c r="AM974" i="29"/>
  <c r="AN974" i="29" s="1"/>
  <c r="AJ978" i="29"/>
  <c r="AK978" i="29" s="1"/>
  <c r="AG982" i="29"/>
  <c r="AH982" i="29" s="1"/>
  <c r="AD986" i="29"/>
  <c r="AE986" i="29" s="1"/>
  <c r="Z992" i="29"/>
  <c r="AA992" i="29" s="1"/>
  <c r="AM996" i="29"/>
  <c r="AN996" i="29" s="1"/>
  <c r="AJ998" i="29"/>
  <c r="AK998" i="29" s="1"/>
  <c r="Z999" i="29"/>
  <c r="AA999" i="29" s="1"/>
  <c r="AM1003" i="29"/>
  <c r="AN1003" i="29" s="1"/>
  <c r="AJ1005" i="29"/>
  <c r="AK1005" i="29" s="1"/>
  <c r="AM1016" i="29"/>
  <c r="AN1016" i="29" s="1"/>
  <c r="AG1018" i="29"/>
  <c r="AH1018" i="29" s="1"/>
  <c r="AM1019" i="29"/>
  <c r="AN1019" i="29" s="1"/>
  <c r="AG1021" i="29"/>
  <c r="AH1021" i="29" s="1"/>
  <c r="AM1022" i="29"/>
  <c r="AN1022" i="29" s="1"/>
  <c r="Z1027" i="29"/>
  <c r="AA1027" i="29" s="1"/>
  <c r="AM1029" i="29"/>
  <c r="AN1029" i="29" s="1"/>
  <c r="AG1033" i="29"/>
  <c r="AH1033" i="29" s="1"/>
  <c r="AM1034" i="29"/>
  <c r="AN1034" i="29" s="1"/>
  <c r="AG1036" i="29"/>
  <c r="AH1036" i="29" s="1"/>
  <c r="AM1037" i="29"/>
  <c r="AN1037" i="29" s="1"/>
  <c r="AG1039" i="29"/>
  <c r="AH1039" i="29" s="1"/>
  <c r="P1044" i="29"/>
  <c r="Y1045" i="29"/>
  <c r="AD1045" i="29" s="1"/>
  <c r="AE1045" i="29" s="1"/>
  <c r="P1047" i="29"/>
  <c r="Y1060" i="29"/>
  <c r="AG1060" i="29" s="1"/>
  <c r="AH1060" i="29" s="1"/>
  <c r="P1062" i="29"/>
  <c r="Y1063" i="29"/>
  <c r="AC1063" i="29" s="1"/>
  <c r="Z961" i="29"/>
  <c r="AA961" i="29" s="1"/>
  <c r="AM965" i="29"/>
  <c r="AN965" i="29" s="1"/>
  <c r="AJ969" i="29"/>
  <c r="AK969" i="29" s="1"/>
  <c r="AG973" i="29"/>
  <c r="AH973" i="29" s="1"/>
  <c r="AD977" i="29"/>
  <c r="AE977" i="29" s="1"/>
  <c r="Z985" i="29"/>
  <c r="AA985" i="29" s="1"/>
  <c r="AM987" i="29"/>
  <c r="AN987" i="29" s="1"/>
  <c r="AJ991" i="29"/>
  <c r="AK991" i="29" s="1"/>
  <c r="AG993" i="29"/>
  <c r="AH993" i="29" s="1"/>
  <c r="AD997" i="29"/>
  <c r="AE997" i="29" s="1"/>
  <c r="AG1002" i="29"/>
  <c r="AH1002" i="29" s="1"/>
  <c r="AD1004" i="29"/>
  <c r="AE1004" i="29" s="1"/>
  <c r="AM1013" i="29"/>
  <c r="AN1013" i="29" s="1"/>
  <c r="P1018" i="29"/>
  <c r="P1021" i="29"/>
  <c r="AJ1026" i="29"/>
  <c r="AK1026" i="29" s="1"/>
  <c r="AG1028" i="29"/>
  <c r="AH1028" i="29" s="1"/>
  <c r="P1033" i="29"/>
  <c r="P1036" i="29"/>
  <c r="P1039" i="29"/>
  <c r="AD1043" i="29"/>
  <c r="AE1043" i="29" s="1"/>
  <c r="AJ1044" i="29"/>
  <c r="AK1044" i="29" s="1"/>
  <c r="AD1046" i="29"/>
  <c r="AE1046" i="29" s="1"/>
  <c r="AJ1047" i="29"/>
  <c r="AK1047" i="29" s="1"/>
  <c r="AD1061" i="29"/>
  <c r="AE1061" i="29" s="1"/>
  <c r="AD1064" i="29"/>
  <c r="AE1064" i="29" s="1"/>
  <c r="AG962" i="29"/>
  <c r="AH962" i="29" s="1"/>
  <c r="AD968" i="29"/>
  <c r="AE968" i="29" s="1"/>
  <c r="AM978" i="29"/>
  <c r="AN978" i="29" s="1"/>
  <c r="AJ982" i="29"/>
  <c r="AK982" i="29" s="1"/>
  <c r="AG986" i="29"/>
  <c r="AH986" i="29" s="1"/>
  <c r="AD990" i="29"/>
  <c r="AE990" i="29" s="1"/>
  <c r="AM998" i="29"/>
  <c r="AN998" i="29" s="1"/>
  <c r="AM1005" i="29"/>
  <c r="AN1005" i="29" s="1"/>
  <c r="AJ1018" i="29"/>
  <c r="AK1018" i="29" s="1"/>
  <c r="AJ1021" i="29"/>
  <c r="AK1021" i="29" s="1"/>
  <c r="AJ1033" i="29"/>
  <c r="AK1033" i="29" s="1"/>
  <c r="AJ1036" i="29"/>
  <c r="AK1036" i="29" s="1"/>
  <c r="AJ1039" i="29"/>
  <c r="AK1039" i="29" s="1"/>
  <c r="Z965" i="29"/>
  <c r="AA965" i="29" s="1"/>
  <c r="AJ973" i="29"/>
  <c r="AK973" i="29" s="1"/>
  <c r="AG977" i="29"/>
  <c r="AH977" i="29" s="1"/>
  <c r="AD979" i="29"/>
  <c r="AE979" i="29" s="1"/>
  <c r="Z987" i="29"/>
  <c r="AA987" i="29" s="1"/>
  <c r="AJ993" i="29"/>
  <c r="AK993" i="29" s="1"/>
  <c r="AG997" i="29"/>
  <c r="AH997" i="29" s="1"/>
  <c r="AJ1002" i="29"/>
  <c r="AK1002" i="29" s="1"/>
  <c r="AG1004" i="29"/>
  <c r="AH1004" i="29" s="1"/>
  <c r="AD1008" i="29"/>
  <c r="AE1008" i="29" s="1"/>
  <c r="Z1013" i="29"/>
  <c r="AA1013" i="29" s="1"/>
  <c r="AG1046" i="29"/>
  <c r="AH1046" i="29" s="1"/>
  <c r="AG1061" i="29"/>
  <c r="AH1061" i="29" s="1"/>
  <c r="AG1064" i="29"/>
  <c r="AH1064" i="29" s="1"/>
  <c r="AJ962" i="29"/>
  <c r="AK962" i="29" s="1"/>
  <c r="AG968" i="29"/>
  <c r="AH968" i="29" s="1"/>
  <c r="AD972" i="29"/>
  <c r="AE972" i="29" s="1"/>
  <c r="Z978" i="29"/>
  <c r="AA978" i="29" s="1"/>
  <c r="AJ986" i="29"/>
  <c r="AK986" i="29" s="1"/>
  <c r="AG990" i="29"/>
  <c r="AH990" i="29" s="1"/>
  <c r="AD992" i="29"/>
  <c r="AE992" i="29" s="1"/>
  <c r="Z998" i="29"/>
  <c r="AA998" i="29" s="1"/>
  <c r="AD999" i="29"/>
  <c r="AE999" i="29" s="1"/>
  <c r="Z1005" i="29"/>
  <c r="AA1005" i="29" s="1"/>
  <c r="AD1027" i="29"/>
  <c r="AE1027" i="29" s="1"/>
  <c r="P1043" i="29"/>
  <c r="P1046" i="29"/>
  <c r="P1061" i="29"/>
  <c r="P1064" i="29"/>
  <c r="Z969" i="29"/>
  <c r="AA969" i="29" s="1"/>
  <c r="AJ977" i="29"/>
  <c r="AK977" i="29" s="1"/>
  <c r="AG979" i="29"/>
  <c r="AH979" i="29" s="1"/>
  <c r="Z991" i="29"/>
  <c r="AA991" i="29" s="1"/>
  <c r="AJ997" i="29"/>
  <c r="AK997" i="29" s="1"/>
  <c r="AJ1004" i="29"/>
  <c r="AK1004" i="29" s="1"/>
  <c r="AG1008" i="29"/>
  <c r="AH1008" i="29" s="1"/>
  <c r="Z1026" i="29"/>
  <c r="AA1026" i="29" s="1"/>
  <c r="AJ1043" i="29"/>
  <c r="AK1043" i="29" s="1"/>
  <c r="AJ1046" i="29"/>
  <c r="AK1046" i="29" s="1"/>
  <c r="Z1047" i="29"/>
  <c r="AA1047" i="29" s="1"/>
  <c r="AJ1061" i="29"/>
  <c r="AK1061" i="29" s="1"/>
  <c r="Z1062" i="29"/>
  <c r="AA1062" i="29" s="1"/>
  <c r="AJ1064" i="29"/>
  <c r="AK1064" i="29" s="1"/>
  <c r="AJ968" i="29"/>
  <c r="AK968" i="29" s="1"/>
  <c r="AG972" i="29"/>
  <c r="AH972" i="29" s="1"/>
  <c r="AD974" i="29"/>
  <c r="AE974" i="29" s="1"/>
  <c r="Z982" i="29"/>
  <c r="AA982" i="29" s="1"/>
  <c r="AJ990" i="29"/>
  <c r="AK990" i="29" s="1"/>
  <c r="AG992" i="29"/>
  <c r="AH992" i="29" s="1"/>
  <c r="AD996" i="29"/>
  <c r="AE996" i="29" s="1"/>
  <c r="AG999" i="29"/>
  <c r="AH999" i="29" s="1"/>
  <c r="AD1003" i="29"/>
  <c r="AE1003" i="29" s="1"/>
  <c r="AD1016" i="29"/>
  <c r="AE1016" i="29" s="1"/>
  <c r="Z1018" i="29"/>
  <c r="AA1018" i="29" s="1"/>
  <c r="AD1019" i="29"/>
  <c r="AE1019" i="29" s="1"/>
  <c r="Z1021" i="29"/>
  <c r="AA1021" i="29" s="1"/>
  <c r="AD1022" i="29"/>
  <c r="AE1022" i="29" s="1"/>
  <c r="AG1027" i="29"/>
  <c r="AH1027" i="29" s="1"/>
  <c r="AD1029" i="29"/>
  <c r="AE1029" i="29" s="1"/>
  <c r="Z1033" i="29"/>
  <c r="AA1033" i="29" s="1"/>
  <c r="AD1034" i="29"/>
  <c r="AE1034" i="29" s="1"/>
  <c r="Z1036" i="29"/>
  <c r="AA1036" i="29" s="1"/>
  <c r="AD1037" i="29"/>
  <c r="AE1037" i="29" s="1"/>
  <c r="Z1039" i="29"/>
  <c r="AA1039" i="29" s="1"/>
  <c r="AM186" i="29" l="1"/>
  <c r="AN186" i="29" s="1"/>
  <c r="AG170" i="29"/>
  <c r="AH170" i="29" s="1"/>
  <c r="AM753" i="29"/>
  <c r="AN753" i="29" s="1"/>
  <c r="Z76" i="29"/>
  <c r="AA76" i="29" s="1"/>
  <c r="AC114" i="29"/>
  <c r="AC273" i="29"/>
  <c r="AG273" i="29"/>
  <c r="AH273" i="29" s="1"/>
  <c r="AD273" i="29"/>
  <c r="AE273" i="29" s="1"/>
  <c r="AJ114" i="29"/>
  <c r="AK114" i="29" s="1"/>
  <c r="Z273" i="29"/>
  <c r="AA273" i="29" s="1"/>
  <c r="AC374" i="29"/>
  <c r="AM273" i="29"/>
  <c r="AN273" i="29" s="1"/>
  <c r="Z374" i="29"/>
  <c r="AA374" i="29" s="1"/>
  <c r="AJ374" i="29"/>
  <c r="AK374" i="29" s="1"/>
  <c r="AG374" i="29"/>
  <c r="AH374" i="29" s="1"/>
  <c r="AD114" i="29"/>
  <c r="AE114" i="29" s="1"/>
  <c r="AM68" i="29"/>
  <c r="AN68" i="29" s="1"/>
  <c r="AD24" i="29"/>
  <c r="AE24" i="29" s="1"/>
  <c r="AM24" i="29"/>
  <c r="AN24" i="29" s="1"/>
  <c r="AM764" i="29"/>
  <c r="AN764" i="29" s="1"/>
  <c r="AC24" i="29"/>
  <c r="AG24" i="29"/>
  <c r="AH24" i="29" s="1"/>
  <c r="Z366" i="29"/>
  <c r="AA366" i="29" s="1"/>
  <c r="AG272" i="29"/>
  <c r="AH272" i="29" s="1"/>
  <c r="AM366" i="29"/>
  <c r="AN366" i="29" s="1"/>
  <c r="AG152" i="29"/>
  <c r="AH152" i="29" s="1"/>
  <c r="Z24" i="29"/>
  <c r="AA24" i="29" s="1"/>
  <c r="AJ272" i="29"/>
  <c r="AK272" i="29" s="1"/>
  <c r="AM272" i="29"/>
  <c r="AN272" i="29" s="1"/>
  <c r="AC272" i="29"/>
  <c r="AJ95" i="29"/>
  <c r="AK95" i="29" s="1"/>
  <c r="AJ772" i="29"/>
  <c r="AK772" i="29" s="1"/>
  <c r="AG23" i="29"/>
  <c r="AH23" i="29" s="1"/>
  <c r="AM175" i="29"/>
  <c r="AN175" i="29" s="1"/>
  <c r="AD761" i="29"/>
  <c r="AE761" i="29" s="1"/>
  <c r="AD76" i="29"/>
  <c r="AE76" i="29" s="1"/>
  <c r="AM147" i="29"/>
  <c r="AN147" i="29" s="1"/>
  <c r="AD147" i="29"/>
  <c r="AE147" i="29" s="1"/>
  <c r="AG147" i="29"/>
  <c r="AH147" i="29" s="1"/>
  <c r="AG76" i="29"/>
  <c r="AH76" i="29" s="1"/>
  <c r="AJ147" i="29"/>
  <c r="AK147" i="29" s="1"/>
  <c r="AM761" i="29"/>
  <c r="AN761" i="29" s="1"/>
  <c r="AM339" i="29"/>
  <c r="AN339" i="29" s="1"/>
  <c r="AG383" i="29"/>
  <c r="AH383" i="29" s="1"/>
  <c r="AM57" i="29"/>
  <c r="AN57" i="29" s="1"/>
  <c r="AJ492" i="29"/>
  <c r="AK492" i="29" s="1"/>
  <c r="AJ328" i="29"/>
  <c r="AK328" i="29" s="1"/>
  <c r="AJ175" i="29"/>
  <c r="AK175" i="29" s="1"/>
  <c r="AJ57" i="29"/>
  <c r="AK57" i="29" s="1"/>
  <c r="Z609" i="29"/>
  <c r="AA609" i="29" s="1"/>
  <c r="AD339" i="29"/>
  <c r="AE339" i="29" s="1"/>
  <c r="AD217" i="29"/>
  <c r="AE217" i="29" s="1"/>
  <c r="AG175" i="29"/>
  <c r="AH175" i="29" s="1"/>
  <c r="AG26" i="29"/>
  <c r="AH26" i="29" s="1"/>
  <c r="AD492" i="29"/>
  <c r="AE492" i="29" s="1"/>
  <c r="AG339" i="29"/>
  <c r="AH339" i="29" s="1"/>
  <c r="AJ217" i="29"/>
  <c r="AK217" i="29" s="1"/>
  <c r="AC26" i="29"/>
  <c r="AG609" i="29"/>
  <c r="AH609" i="29" s="1"/>
  <c r="AJ383" i="29"/>
  <c r="AK383" i="29" s="1"/>
  <c r="Z339" i="29"/>
  <c r="AA339" i="29" s="1"/>
  <c r="AC339" i="29"/>
  <c r="AD609" i="29"/>
  <c r="AE609" i="29" s="1"/>
  <c r="Z217" i="29"/>
  <c r="AA217" i="29" s="1"/>
  <c r="AC175" i="29"/>
  <c r="AD26" i="29"/>
  <c r="AE26" i="29" s="1"/>
  <c r="AG217" i="29"/>
  <c r="AH217" i="29" s="1"/>
  <c r="AM328" i="29"/>
  <c r="AN328" i="29" s="1"/>
  <c r="AC492" i="29"/>
  <c r="Z383" i="29"/>
  <c r="AA383" i="29" s="1"/>
  <c r="Z328" i="29"/>
  <c r="AA328" i="29" s="1"/>
  <c r="AC609" i="29"/>
  <c r="AC383" i="29"/>
  <c r="AC328" i="29"/>
  <c r="AD175" i="29"/>
  <c r="AE175" i="29" s="1"/>
  <c r="Z492" i="29"/>
  <c r="AA492" i="29" s="1"/>
  <c r="AM492" i="29"/>
  <c r="AN492" i="29" s="1"/>
  <c r="AG328" i="29"/>
  <c r="AH328" i="29" s="1"/>
  <c r="AC844" i="29"/>
  <c r="AD772" i="29"/>
  <c r="AE772" i="29" s="1"/>
  <c r="AM387" i="29"/>
  <c r="AN387" i="29" s="1"/>
  <c r="AC66" i="29"/>
  <c r="Z387" i="29"/>
  <c r="AA387" i="29" s="1"/>
  <c r="AD61" i="29"/>
  <c r="AE61" i="29" s="1"/>
  <c r="AM66" i="29"/>
  <c r="AN66" i="29" s="1"/>
  <c r="AM844" i="29"/>
  <c r="AN844" i="29" s="1"/>
  <c r="AC753" i="29"/>
  <c r="AG270" i="29"/>
  <c r="AH270" i="29" s="1"/>
  <c r="AG429" i="29"/>
  <c r="AH429" i="29" s="1"/>
  <c r="AJ121" i="29"/>
  <c r="AK121" i="29" s="1"/>
  <c r="AJ753" i="29"/>
  <c r="AK753" i="29" s="1"/>
  <c r="AD466" i="29"/>
  <c r="AE466" i="29" s="1"/>
  <c r="AJ429" i="29"/>
  <c r="AK429" i="29" s="1"/>
  <c r="AJ279" i="29"/>
  <c r="AK279" i="29" s="1"/>
  <c r="AJ66" i="29"/>
  <c r="AK66" i="29" s="1"/>
  <c r="AJ844" i="29"/>
  <c r="AK844" i="29" s="1"/>
  <c r="AG760" i="29"/>
  <c r="AH760" i="29" s="1"/>
  <c r="Z772" i="29"/>
  <c r="AA772" i="29" s="1"/>
  <c r="Z844" i="29"/>
  <c r="AA844" i="29" s="1"/>
  <c r="AJ760" i="29"/>
  <c r="AK760" i="29" s="1"/>
  <c r="Z61" i="29"/>
  <c r="AA61" i="29" s="1"/>
  <c r="AD844" i="29"/>
  <c r="AE844" i="29" s="1"/>
  <c r="AD753" i="29"/>
  <c r="AE753" i="29" s="1"/>
  <c r="AM772" i="29"/>
  <c r="AN772" i="29" s="1"/>
  <c r="AD760" i="29"/>
  <c r="AE760" i="29" s="1"/>
  <c r="AD429" i="29"/>
  <c r="AE429" i="29" s="1"/>
  <c r="Z429" i="29"/>
  <c r="AA429" i="29" s="1"/>
  <c r="AG772" i="29"/>
  <c r="AH772" i="29" s="1"/>
  <c r="AJ160" i="29"/>
  <c r="AK160" i="29" s="1"/>
  <c r="Z760" i="29"/>
  <c r="AA760" i="29" s="1"/>
  <c r="AD826" i="29"/>
  <c r="AE826" i="29" s="1"/>
  <c r="AD718" i="29"/>
  <c r="AE718" i="29" s="1"/>
  <c r="AD477" i="29"/>
  <c r="AE477" i="29" s="1"/>
  <c r="AC184" i="29"/>
  <c r="AM477" i="29"/>
  <c r="AN477" i="29" s="1"/>
  <c r="AJ718" i="29"/>
  <c r="AK718" i="29" s="1"/>
  <c r="AM755" i="29"/>
  <c r="AN755" i="29" s="1"/>
  <c r="AD755" i="29"/>
  <c r="AE755" i="29" s="1"/>
  <c r="AM637" i="29"/>
  <c r="AN637" i="29" s="1"/>
  <c r="AM718" i="29"/>
  <c r="AN718" i="29" s="1"/>
  <c r="AD480" i="29"/>
  <c r="AE480" i="29" s="1"/>
  <c r="Z179" i="29"/>
  <c r="AA179" i="29" s="1"/>
  <c r="AG66" i="29"/>
  <c r="AH66" i="29" s="1"/>
  <c r="Z66" i="29"/>
  <c r="AA66" i="29" s="1"/>
  <c r="AM61" i="29"/>
  <c r="AN61" i="29" s="1"/>
  <c r="AD173" i="29"/>
  <c r="AE173" i="29" s="1"/>
  <c r="AC61" i="29"/>
  <c r="AC151" i="29"/>
  <c r="AD151" i="29"/>
  <c r="AE151" i="29" s="1"/>
  <c r="AG151" i="29"/>
  <c r="AH151" i="29" s="1"/>
  <c r="AM151" i="29"/>
  <c r="AN151" i="29" s="1"/>
  <c r="AJ151" i="29"/>
  <c r="AK151" i="29" s="1"/>
  <c r="AC531" i="29"/>
  <c r="AG160" i="29"/>
  <c r="AH160" i="29" s="1"/>
  <c r="AG130" i="29"/>
  <c r="AH130" i="29" s="1"/>
  <c r="Z114" i="29"/>
  <c r="AA114" i="29" s="1"/>
  <c r="AC74" i="29"/>
  <c r="AD74" i="29"/>
  <c r="AE74" i="29" s="1"/>
  <c r="AG73" i="29"/>
  <c r="AH73" i="29" s="1"/>
  <c r="AC73" i="29"/>
  <c r="AJ214" i="29"/>
  <c r="AK214" i="29" s="1"/>
  <c r="AJ74" i="29"/>
  <c r="AK74" i="29" s="1"/>
  <c r="AM74" i="29"/>
  <c r="AN74" i="29" s="1"/>
  <c r="AJ130" i="29"/>
  <c r="AK130" i="29" s="1"/>
  <c r="Z74" i="29"/>
  <c r="AA74" i="29" s="1"/>
  <c r="AC173" i="29"/>
  <c r="AD73" i="29"/>
  <c r="AE73" i="29" s="1"/>
  <c r="AC214" i="29"/>
  <c r="AD214" i="29"/>
  <c r="AE214" i="29" s="1"/>
  <c r="Z214" i="29"/>
  <c r="AA214" i="29" s="1"/>
  <c r="AJ693" i="29"/>
  <c r="AK693" i="29" s="1"/>
  <c r="AJ176" i="29"/>
  <c r="AK176" i="29" s="1"/>
  <c r="AC718" i="29"/>
  <c r="AM214" i="29"/>
  <c r="AN214" i="29" s="1"/>
  <c r="Z152" i="29"/>
  <c r="AA152" i="29" s="1"/>
  <c r="AG94" i="29"/>
  <c r="AH94" i="29" s="1"/>
  <c r="AM275" i="29"/>
  <c r="AN275" i="29" s="1"/>
  <c r="AM94" i="29"/>
  <c r="AN94" i="29" s="1"/>
  <c r="AM181" i="29"/>
  <c r="AN181" i="29" s="1"/>
  <c r="AG61" i="29"/>
  <c r="AH61" i="29" s="1"/>
  <c r="AG181" i="29"/>
  <c r="AH181" i="29" s="1"/>
  <c r="AD181" i="29"/>
  <c r="AE181" i="29" s="1"/>
  <c r="AD160" i="29"/>
  <c r="AE160" i="29" s="1"/>
  <c r="AM54" i="29"/>
  <c r="AN54" i="29" s="1"/>
  <c r="AC23" i="29"/>
  <c r="AC118" i="29"/>
  <c r="Z54" i="29"/>
  <c r="AA54" i="29" s="1"/>
  <c r="AM531" i="29"/>
  <c r="AN531" i="29" s="1"/>
  <c r="AG118" i="29"/>
  <c r="AH118" i="29" s="1"/>
  <c r="AC54" i="29"/>
  <c r="AG54" i="29"/>
  <c r="AH54" i="29" s="1"/>
  <c r="AM23" i="29"/>
  <c r="AN23" i="29" s="1"/>
  <c r="AM118" i="29"/>
  <c r="AN118" i="29" s="1"/>
  <c r="AJ163" i="29"/>
  <c r="AK163" i="29" s="1"/>
  <c r="AM609" i="29"/>
  <c r="AN609" i="29" s="1"/>
  <c r="AC190" i="29"/>
  <c r="AD163" i="29"/>
  <c r="AE163" i="29" s="1"/>
  <c r="AG163" i="29"/>
  <c r="AH163" i="29" s="1"/>
  <c r="Z118" i="29"/>
  <c r="AA118" i="29" s="1"/>
  <c r="AD23" i="29"/>
  <c r="AE23" i="29" s="1"/>
  <c r="AJ54" i="29"/>
  <c r="AK54" i="29" s="1"/>
  <c r="Z761" i="29"/>
  <c r="AA761" i="29" s="1"/>
  <c r="AJ118" i="29"/>
  <c r="AK118" i="29" s="1"/>
  <c r="AM160" i="29"/>
  <c r="AN160" i="29" s="1"/>
  <c r="AC186" i="29"/>
  <c r="AJ369" i="29"/>
  <c r="AK369" i="29" s="1"/>
  <c r="AJ1015" i="29"/>
  <c r="AK1015" i="29" s="1"/>
  <c r="AJ51" i="29"/>
  <c r="AK51" i="29" s="1"/>
  <c r="AM369" i="29"/>
  <c r="AN369" i="29" s="1"/>
  <c r="AJ276" i="29"/>
  <c r="AK276" i="29" s="1"/>
  <c r="AM265" i="29"/>
  <c r="AN265" i="29" s="1"/>
  <c r="AD265" i="29"/>
  <c r="AE265" i="29" s="1"/>
  <c r="AD276" i="29"/>
  <c r="AE276" i="29" s="1"/>
  <c r="AM494" i="29"/>
  <c r="AN494" i="29" s="1"/>
  <c r="AD369" i="29"/>
  <c r="AE369" i="29" s="1"/>
  <c r="AG125" i="29"/>
  <c r="AH125" i="29" s="1"/>
  <c r="AC369" i="29"/>
  <c r="Z369" i="29"/>
  <c r="AA369" i="29" s="1"/>
  <c r="Z265" i="29"/>
  <c r="AA265" i="29" s="1"/>
  <c r="AG265" i="29"/>
  <c r="AH265" i="29" s="1"/>
  <c r="AG276" i="29"/>
  <c r="AH276" i="29" s="1"/>
  <c r="AJ265" i="29"/>
  <c r="AK265" i="29" s="1"/>
  <c r="AC276" i="29"/>
  <c r="Z351" i="29"/>
  <c r="AA351" i="29" s="1"/>
  <c r="AC600" i="29"/>
  <c r="AJ600" i="29"/>
  <c r="AK600" i="29" s="1"/>
  <c r="AG351" i="29"/>
  <c r="AH351" i="29" s="1"/>
  <c r="AG494" i="29"/>
  <c r="AH494" i="29" s="1"/>
  <c r="AM600" i="29"/>
  <c r="AN600" i="29" s="1"/>
  <c r="Z148" i="29"/>
  <c r="AA148" i="29" s="1"/>
  <c r="AD680" i="29"/>
  <c r="AE680" i="29" s="1"/>
  <c r="Z776" i="29"/>
  <c r="AA776" i="29" s="1"/>
  <c r="Z494" i="29"/>
  <c r="AA494" i="29" s="1"/>
  <c r="AG600" i="29"/>
  <c r="AH600" i="29" s="1"/>
  <c r="AG336" i="29"/>
  <c r="AH336" i="29" s="1"/>
  <c r="AD351" i="29"/>
  <c r="AE351" i="29" s="1"/>
  <c r="AM336" i="29"/>
  <c r="AN336" i="29" s="1"/>
  <c r="AC351" i="29"/>
  <c r="AD20" i="29"/>
  <c r="AE20" i="29" s="1"/>
  <c r="AC776" i="29"/>
  <c r="AM680" i="29"/>
  <c r="AN680" i="29" s="1"/>
  <c r="AD600" i="29"/>
  <c r="AE600" i="29" s="1"/>
  <c r="Z240" i="29"/>
  <c r="AA240" i="29" s="1"/>
  <c r="AG17" i="29"/>
  <c r="AH17" i="29" s="1"/>
  <c r="AC692" i="29"/>
  <c r="AG680" i="29"/>
  <c r="AH680" i="29" s="1"/>
  <c r="Z680" i="29"/>
  <c r="AA680" i="29" s="1"/>
  <c r="AG692" i="29"/>
  <c r="AH692" i="29" s="1"/>
  <c r="Z336" i="29"/>
  <c r="AA336" i="29" s="1"/>
  <c r="AJ692" i="29"/>
  <c r="AK692" i="29" s="1"/>
  <c r="AD148" i="29"/>
  <c r="AE148" i="29" s="1"/>
  <c r="AG776" i="29"/>
  <c r="AH776" i="29" s="1"/>
  <c r="AD692" i="29"/>
  <c r="AE692" i="29" s="1"/>
  <c r="AD336" i="29"/>
  <c r="AE336" i="29" s="1"/>
  <c r="AC363" i="29"/>
  <c r="AG148" i="29"/>
  <c r="AH148" i="29" s="1"/>
  <c r="Z692" i="29"/>
  <c r="AA692" i="29" s="1"/>
  <c r="AJ148" i="29"/>
  <c r="AK148" i="29" s="1"/>
  <c r="AM148" i="29"/>
  <c r="AN148" i="29" s="1"/>
  <c r="AD494" i="29"/>
  <c r="AE494" i="29" s="1"/>
  <c r="AJ494" i="29"/>
  <c r="AK494" i="29" s="1"/>
  <c r="AM351" i="29"/>
  <c r="AN351" i="29" s="1"/>
  <c r="AJ336" i="29"/>
  <c r="AK336" i="29" s="1"/>
  <c r="AG718" i="29"/>
  <c r="AH718" i="29" s="1"/>
  <c r="AC217" i="29"/>
  <c r="AM152" i="29"/>
  <c r="AN152" i="29" s="1"/>
  <c r="AD94" i="29"/>
  <c r="AE94" i="29" s="1"/>
  <c r="AD176" i="29"/>
  <c r="AE176" i="29" s="1"/>
  <c r="Z94" i="29"/>
  <c r="AA94" i="29" s="1"/>
  <c r="AJ173" i="29"/>
  <c r="AK173" i="29" s="1"/>
  <c r="AG176" i="29"/>
  <c r="AH176" i="29" s="1"/>
  <c r="AM73" i="29"/>
  <c r="AN73" i="29" s="1"/>
  <c r="Z23" i="29"/>
  <c r="AA23" i="29" s="1"/>
  <c r="AG208" i="29"/>
  <c r="AH208" i="29" s="1"/>
  <c r="Z384" i="29"/>
  <c r="AA384" i="29" s="1"/>
  <c r="AM384" i="29"/>
  <c r="AN384" i="29" s="1"/>
  <c r="AM480" i="29"/>
  <c r="AN480" i="29" s="1"/>
  <c r="AD384" i="29"/>
  <c r="AE384" i="29" s="1"/>
  <c r="AC826" i="29"/>
  <c r="AC480" i="29"/>
  <c r="AC17" i="29"/>
  <c r="AJ755" i="29"/>
  <c r="AK755" i="29" s="1"/>
  <c r="Z480" i="29"/>
  <c r="AA480" i="29" s="1"/>
  <c r="AJ208" i="29"/>
  <c r="AK208" i="29" s="1"/>
  <c r="AJ713" i="29"/>
  <c r="AK713" i="29" s="1"/>
  <c r="AD17" i="29"/>
  <c r="AE17" i="29" s="1"/>
  <c r="AC29" i="29"/>
  <c r="Z106" i="29"/>
  <c r="AA106" i="29" s="1"/>
  <c r="AG826" i="29"/>
  <c r="AH826" i="29" s="1"/>
  <c r="AJ194" i="29"/>
  <c r="AK194" i="29" s="1"/>
  <c r="Z826" i="29"/>
  <c r="AA826" i="29" s="1"/>
  <c r="AC384" i="29"/>
  <c r="Z755" i="29"/>
  <c r="AA755" i="29" s="1"/>
  <c r="AG29" i="29"/>
  <c r="AH29" i="29" s="1"/>
  <c r="AD29" i="29"/>
  <c r="AE29" i="29" s="1"/>
  <c r="AM29" i="29"/>
  <c r="AN29" i="29" s="1"/>
  <c r="AC32" i="29"/>
  <c r="AC14" i="29"/>
  <c r="AM130" i="29"/>
  <c r="AN130" i="29" s="1"/>
  <c r="AG122" i="29"/>
  <c r="AH122" i="29" s="1"/>
  <c r="AG32" i="29"/>
  <c r="AH32" i="29" s="1"/>
  <c r="AD53" i="29"/>
  <c r="AE53" i="29" s="1"/>
  <c r="AM32" i="29"/>
  <c r="AN32" i="29" s="1"/>
  <c r="AM465" i="29"/>
  <c r="AN465" i="29" s="1"/>
  <c r="AD32" i="29"/>
  <c r="AE32" i="29" s="1"/>
  <c r="Z465" i="29"/>
  <c r="AA465" i="29" s="1"/>
  <c r="AG465" i="29"/>
  <c r="AH465" i="29" s="1"/>
  <c r="AG387" i="29"/>
  <c r="AH387" i="29" s="1"/>
  <c r="Z32" i="29"/>
  <c r="AA32" i="29" s="1"/>
  <c r="AJ387" i="29"/>
  <c r="AK387" i="29" s="1"/>
  <c r="AD130" i="29"/>
  <c r="AE130" i="29" s="1"/>
  <c r="AM14" i="29"/>
  <c r="AN14" i="29" s="1"/>
  <c r="AD465" i="29"/>
  <c r="AE465" i="29" s="1"/>
  <c r="AC465" i="29"/>
  <c r="AM53" i="29"/>
  <c r="AN53" i="29" s="1"/>
  <c r="AJ53" i="29"/>
  <c r="AK53" i="29" s="1"/>
  <c r="AG53" i="29"/>
  <c r="AH53" i="29" s="1"/>
  <c r="AC130" i="29"/>
  <c r="AM173" i="29"/>
  <c r="AN173" i="29" s="1"/>
  <c r="AD139" i="29"/>
  <c r="AE139" i="29" s="1"/>
  <c r="AD891" i="29"/>
  <c r="AE891" i="29" s="1"/>
  <c r="AC139" i="29"/>
  <c r="AG139" i="29"/>
  <c r="AH139" i="29" s="1"/>
  <c r="AM519" i="29"/>
  <c r="AN519" i="29" s="1"/>
  <c r="AC519" i="29"/>
  <c r="AJ243" i="29"/>
  <c r="AK243" i="29" s="1"/>
  <c r="AM139" i="29"/>
  <c r="AN139" i="29" s="1"/>
  <c r="AD375" i="29"/>
  <c r="AE375" i="29" s="1"/>
  <c r="AM363" i="29"/>
  <c r="AN363" i="29" s="1"/>
  <c r="AG185" i="29"/>
  <c r="AH185" i="29" s="1"/>
  <c r="AJ278" i="29"/>
  <c r="AK278" i="29" s="1"/>
  <c r="Z363" i="29"/>
  <c r="AA363" i="29" s="1"/>
  <c r="Z140" i="29"/>
  <c r="AA140" i="29" s="1"/>
  <c r="AG173" i="29"/>
  <c r="AH173" i="29" s="1"/>
  <c r="Z139" i="29"/>
  <c r="AA139" i="29" s="1"/>
  <c r="AD56" i="29"/>
  <c r="AE56" i="29" s="1"/>
  <c r="AJ184" i="29"/>
  <c r="AK184" i="29" s="1"/>
  <c r="AD519" i="29"/>
  <c r="AE519" i="29" s="1"/>
  <c r="AG363" i="29"/>
  <c r="AH363" i="29" s="1"/>
  <c r="AG140" i="29"/>
  <c r="AH140" i="29" s="1"/>
  <c r="AD794" i="29"/>
  <c r="AE794" i="29" s="1"/>
  <c r="AM838" i="29"/>
  <c r="AN838" i="29" s="1"/>
  <c r="AM638" i="29"/>
  <c r="AN638" i="29" s="1"/>
  <c r="AD838" i="29"/>
  <c r="AE838" i="29" s="1"/>
  <c r="AJ716" i="29"/>
  <c r="AK716" i="29" s="1"/>
  <c r="AD475" i="29"/>
  <c r="AE475" i="29" s="1"/>
  <c r="AJ47" i="29"/>
  <c r="AK47" i="29" s="1"/>
  <c r="AM794" i="29"/>
  <c r="AN794" i="29" s="1"/>
  <c r="AG794" i="29"/>
  <c r="AH794" i="29" s="1"/>
  <c r="AD47" i="29"/>
  <c r="AE47" i="29" s="1"/>
  <c r="AC603" i="29"/>
  <c r="AJ838" i="29"/>
  <c r="AK838" i="29" s="1"/>
  <c r="Z838" i="29"/>
  <c r="AA838" i="29" s="1"/>
  <c r="AJ603" i="29"/>
  <c r="AK603" i="29" s="1"/>
  <c r="AJ1038" i="29"/>
  <c r="AK1038" i="29" s="1"/>
  <c r="AD769" i="29"/>
  <c r="AE769" i="29" s="1"/>
  <c r="AM125" i="29"/>
  <c r="AN125" i="29" s="1"/>
  <c r="AJ104" i="29"/>
  <c r="AK104" i="29" s="1"/>
  <c r="AJ179" i="29"/>
  <c r="AK179" i="29" s="1"/>
  <c r="AM769" i="29"/>
  <c r="AN769" i="29" s="1"/>
  <c r="AG177" i="29"/>
  <c r="AH177" i="29" s="1"/>
  <c r="AD179" i="29"/>
  <c r="AE179" i="29" s="1"/>
  <c r="Z104" i="29"/>
  <c r="AA104" i="29" s="1"/>
  <c r="AM51" i="29"/>
  <c r="AN51" i="29" s="1"/>
  <c r="AG179" i="29"/>
  <c r="AH179" i="29" s="1"/>
  <c r="AG104" i="29"/>
  <c r="AH104" i="29" s="1"/>
  <c r="AD104" i="29"/>
  <c r="AE104" i="29" s="1"/>
  <c r="AM91" i="29"/>
  <c r="AN91" i="29" s="1"/>
  <c r="AG137" i="29"/>
  <c r="AH137" i="29" s="1"/>
  <c r="AG754" i="29"/>
  <c r="AH754" i="29" s="1"/>
  <c r="AC179" i="29"/>
  <c r="AM429" i="29"/>
  <c r="AN429" i="29" s="1"/>
  <c r="AG769" i="29"/>
  <c r="AH769" i="29" s="1"/>
  <c r="AM104" i="29"/>
  <c r="AN104" i="29" s="1"/>
  <c r="AJ635" i="29"/>
  <c r="AK635" i="29" s="1"/>
  <c r="Z109" i="29"/>
  <c r="AA109" i="29" s="1"/>
  <c r="AD115" i="29"/>
  <c r="AE115" i="29" s="1"/>
  <c r="AJ1035" i="29"/>
  <c r="AK1035" i="29" s="1"/>
  <c r="AD58" i="29"/>
  <c r="AE58" i="29" s="1"/>
  <c r="AG434" i="29"/>
  <c r="AH434" i="29" s="1"/>
  <c r="AG1035" i="29"/>
  <c r="AH1035" i="29" s="1"/>
  <c r="AM115" i="29"/>
  <c r="AN115" i="29" s="1"/>
  <c r="AJ162" i="29"/>
  <c r="AK162" i="29" s="1"/>
  <c r="AJ605" i="29"/>
  <c r="AK605" i="29" s="1"/>
  <c r="AM634" i="29"/>
  <c r="AN634" i="29" s="1"/>
  <c r="AD162" i="29"/>
  <c r="AE162" i="29" s="1"/>
  <c r="Z115" i="29"/>
  <c r="AA115" i="29" s="1"/>
  <c r="AD1035" i="29"/>
  <c r="AE1035" i="29" s="1"/>
  <c r="AG115" i="29"/>
  <c r="AH115" i="29" s="1"/>
  <c r="AC115" i="29"/>
  <c r="AM605" i="29"/>
  <c r="AN605" i="29" s="1"/>
  <c r="AG194" i="29"/>
  <c r="AH194" i="29" s="1"/>
  <c r="AM374" i="29"/>
  <c r="AN374" i="29" s="1"/>
  <c r="AJ1032" i="29"/>
  <c r="AK1032" i="29" s="1"/>
  <c r="Z891" i="29"/>
  <c r="AA891" i="29" s="1"/>
  <c r="AD815" i="29"/>
  <c r="AE815" i="29" s="1"/>
  <c r="AG161" i="29"/>
  <c r="AH161" i="29" s="1"/>
  <c r="AC891" i="29"/>
  <c r="AM63" i="29"/>
  <c r="AN63" i="29" s="1"/>
  <c r="AM603" i="29"/>
  <c r="AN603" i="29" s="1"/>
  <c r="Z180" i="29"/>
  <c r="AA180" i="29" s="1"/>
  <c r="AC63" i="29"/>
  <c r="AJ63" i="29"/>
  <c r="AK63" i="29" s="1"/>
  <c r="AG815" i="29"/>
  <c r="AH815" i="29" s="1"/>
  <c r="AJ559" i="29"/>
  <c r="AK559" i="29" s="1"/>
  <c r="AD640" i="29"/>
  <c r="AE640" i="29" s="1"/>
  <c r="AG603" i="29"/>
  <c r="AH603" i="29" s="1"/>
  <c r="AD603" i="29"/>
  <c r="AE603" i="29" s="1"/>
  <c r="AC18" i="29"/>
  <c r="Z640" i="29"/>
  <c r="AA640" i="29" s="1"/>
  <c r="AM112" i="29"/>
  <c r="AN112" i="29" s="1"/>
  <c r="AG63" i="29"/>
  <c r="AH63" i="29" s="1"/>
  <c r="AG112" i="29"/>
  <c r="AH112" i="29" s="1"/>
  <c r="AM18" i="29"/>
  <c r="AN18" i="29" s="1"/>
  <c r="AJ891" i="29"/>
  <c r="AK891" i="29" s="1"/>
  <c r="AG891" i="29"/>
  <c r="AH891" i="29" s="1"/>
  <c r="AG180" i="29"/>
  <c r="AH180" i="29" s="1"/>
  <c r="AJ112" i="29"/>
  <c r="AK112" i="29" s="1"/>
  <c r="AC112" i="29"/>
  <c r="Z112" i="29"/>
  <c r="AA112" i="29" s="1"/>
  <c r="Z137" i="29"/>
  <c r="AA137" i="29" s="1"/>
  <c r="AG640" i="29"/>
  <c r="AH640" i="29" s="1"/>
  <c r="AG168" i="29"/>
  <c r="AH168" i="29" s="1"/>
  <c r="Z18" i="29"/>
  <c r="AA18" i="29" s="1"/>
  <c r="Z63" i="29"/>
  <c r="AA63" i="29" s="1"/>
  <c r="AJ787" i="29"/>
  <c r="AK787" i="29" s="1"/>
  <c r="AG713" i="29"/>
  <c r="AH713" i="29" s="1"/>
  <c r="AD184" i="29"/>
  <c r="AE184" i="29" s="1"/>
  <c r="Z47" i="29"/>
  <c r="AA47" i="29" s="1"/>
  <c r="AC160" i="29"/>
  <c r="AM716" i="29"/>
  <c r="AN716" i="29" s="1"/>
  <c r="AD752" i="29"/>
  <c r="AE752" i="29" s="1"/>
  <c r="AJ793" i="29"/>
  <c r="AK793" i="29" s="1"/>
  <c r="AM143" i="29"/>
  <c r="AN143" i="29" s="1"/>
  <c r="Z134" i="29"/>
  <c r="AA134" i="29" s="1"/>
  <c r="AM17" i="29"/>
  <c r="AN17" i="29" s="1"/>
  <c r="AG1038" i="29"/>
  <c r="AH1038" i="29" s="1"/>
  <c r="AC713" i="29"/>
  <c r="Z799" i="29"/>
  <c r="AA799" i="29" s="1"/>
  <c r="AM180" i="29"/>
  <c r="AN180" i="29" s="1"/>
  <c r="AD804" i="29"/>
  <c r="AE804" i="29" s="1"/>
  <c r="Z119" i="29"/>
  <c r="AA119" i="29" s="1"/>
  <c r="AD1023" i="29"/>
  <c r="AE1023" i="29" s="1"/>
  <c r="Z1023" i="29"/>
  <c r="AA1023" i="29" s="1"/>
  <c r="AG716" i="29"/>
  <c r="AH716" i="29" s="1"/>
  <c r="AJ599" i="29"/>
  <c r="AK599" i="29" s="1"/>
  <c r="Z500" i="29"/>
  <c r="AA500" i="29" s="1"/>
  <c r="AJ366" i="29"/>
  <c r="AK366" i="29" s="1"/>
  <c r="AM321" i="29"/>
  <c r="AN321" i="29" s="1"/>
  <c r="AM266" i="29"/>
  <c r="AN266" i="29" s="1"/>
  <c r="AG701" i="29"/>
  <c r="AH701" i="29" s="1"/>
  <c r="AJ523" i="29"/>
  <c r="AK523" i="29" s="1"/>
  <c r="Z434" i="29"/>
  <c r="AA434" i="29" s="1"/>
  <c r="Z266" i="29"/>
  <c r="AA266" i="29" s="1"/>
  <c r="AC698" i="29"/>
  <c r="Z699" i="29"/>
  <c r="AA699" i="29" s="1"/>
  <c r="AJ701" i="29"/>
  <c r="AK701" i="29" s="1"/>
  <c r="AM500" i="29"/>
  <c r="AN500" i="29" s="1"/>
  <c r="AG426" i="29"/>
  <c r="AH426" i="29" s="1"/>
  <c r="AC434" i="29"/>
  <c r="AG246" i="29"/>
  <c r="AH246" i="29" s="1"/>
  <c r="AC266" i="29"/>
  <c r="AC246" i="29"/>
  <c r="AG657" i="29"/>
  <c r="AH657" i="29" s="1"/>
  <c r="AD701" i="29"/>
  <c r="AE701" i="29" s="1"/>
  <c r="Z390" i="29"/>
  <c r="AA390" i="29" s="1"/>
  <c r="AM246" i="29"/>
  <c r="AN246" i="29" s="1"/>
  <c r="AM76" i="29"/>
  <c r="AN76" i="29" s="1"/>
  <c r="AC191" i="29"/>
  <c r="AD246" i="29"/>
  <c r="AE246" i="29" s="1"/>
  <c r="Z321" i="29"/>
  <c r="AA321" i="29" s="1"/>
  <c r="Z701" i="29"/>
  <c r="AA701" i="29" s="1"/>
  <c r="AM698" i="29"/>
  <c r="AN698" i="29" s="1"/>
  <c r="AJ500" i="29"/>
  <c r="AK500" i="29" s="1"/>
  <c r="AD366" i="29"/>
  <c r="AE366" i="29" s="1"/>
  <c r="AJ246" i="29"/>
  <c r="AK246" i="29" s="1"/>
  <c r="AG390" i="29"/>
  <c r="AH390" i="29" s="1"/>
  <c r="AC109" i="29"/>
  <c r="AG799" i="29"/>
  <c r="AH799" i="29" s="1"/>
  <c r="Z518" i="29"/>
  <c r="AA518" i="29" s="1"/>
  <c r="AD266" i="29"/>
  <c r="AE266" i="29" s="1"/>
  <c r="AJ390" i="29"/>
  <c r="AK390" i="29" s="1"/>
  <c r="AD390" i="29"/>
  <c r="AE390" i="29" s="1"/>
  <c r="Z191" i="29"/>
  <c r="AA191" i="29" s="1"/>
  <c r="AG109" i="29"/>
  <c r="AH109" i="29" s="1"/>
  <c r="Z1035" i="29"/>
  <c r="AA1035" i="29" s="1"/>
  <c r="AD745" i="29"/>
  <c r="AE745" i="29" s="1"/>
  <c r="Z698" i="29"/>
  <c r="AA698" i="29" s="1"/>
  <c r="AG698" i="29"/>
  <c r="AH698" i="29" s="1"/>
  <c r="Z523" i="29"/>
  <c r="AA523" i="29" s="1"/>
  <c r="AM390" i="29"/>
  <c r="AN390" i="29" s="1"/>
  <c r="AJ235" i="29"/>
  <c r="AK235" i="29" s="1"/>
  <c r="AM183" i="29"/>
  <c r="AN183" i="29" s="1"/>
  <c r="AJ109" i="29"/>
  <c r="AK109" i="29" s="1"/>
  <c r="AM434" i="29"/>
  <c r="AN434" i="29" s="1"/>
  <c r="AJ266" i="29"/>
  <c r="AK266" i="29" s="1"/>
  <c r="AJ698" i="29"/>
  <c r="AK698" i="29" s="1"/>
  <c r="AG523" i="29"/>
  <c r="AH523" i="29" s="1"/>
  <c r="AG235" i="29"/>
  <c r="AH235" i="29" s="1"/>
  <c r="AG191" i="29"/>
  <c r="AH191" i="29" s="1"/>
  <c r="AD109" i="29"/>
  <c r="AE109" i="29" s="1"/>
  <c r="AD38" i="29"/>
  <c r="AE38" i="29" s="1"/>
  <c r="Z745" i="29"/>
  <c r="AA745" i="29" s="1"/>
  <c r="AJ434" i="29"/>
  <c r="AK434" i="29" s="1"/>
  <c r="AJ191" i="29"/>
  <c r="AK191" i="29" s="1"/>
  <c r="AC366" i="29"/>
  <c r="AC701" i="29"/>
  <c r="AG745" i="29"/>
  <c r="AH745" i="29" s="1"/>
  <c r="AC745" i="29"/>
  <c r="AJ404" i="29"/>
  <c r="AK404" i="29" s="1"/>
  <c r="AG321" i="29"/>
  <c r="AH321" i="29" s="1"/>
  <c r="AJ321" i="29"/>
  <c r="AK321" i="29" s="1"/>
  <c r="AD191" i="29"/>
  <c r="AE191" i="29" s="1"/>
  <c r="AC47" i="29"/>
  <c r="AM1035" i="29"/>
  <c r="AN1035" i="29" s="1"/>
  <c r="Z713" i="29"/>
  <c r="AA713" i="29" s="1"/>
  <c r="AG444" i="29"/>
  <c r="AH444" i="29" s="1"/>
  <c r="AC57" i="29"/>
  <c r="Z168" i="29"/>
  <c r="AA168" i="29" s="1"/>
  <c r="AM713" i="29"/>
  <c r="AN713" i="29" s="1"/>
  <c r="Z1038" i="29"/>
  <c r="AA1038" i="29" s="1"/>
  <c r="Z161" i="29"/>
  <c r="AA161" i="29" s="1"/>
  <c r="Z509" i="29"/>
  <c r="AA509" i="29" s="1"/>
  <c r="AJ754" i="29"/>
  <c r="AK754" i="29" s="1"/>
  <c r="AJ135" i="29"/>
  <c r="AK135" i="29" s="1"/>
  <c r="AC135" i="29"/>
  <c r="AM135" i="29"/>
  <c r="AN135" i="29" s="1"/>
  <c r="AM100" i="29"/>
  <c r="AN100" i="29" s="1"/>
  <c r="AC11" i="29"/>
  <c r="AG57" i="29"/>
  <c r="AH57" i="29" s="1"/>
  <c r="AG808" i="29"/>
  <c r="AH808" i="29" s="1"/>
  <c r="Z802" i="29"/>
  <c r="AA802" i="29" s="1"/>
  <c r="AD754" i="29"/>
  <c r="AE754" i="29" s="1"/>
  <c r="Z268" i="29"/>
  <c r="AA268" i="29" s="1"/>
  <c r="AG243" i="29"/>
  <c r="AH243" i="29" s="1"/>
  <c r="AJ268" i="29"/>
  <c r="AK268" i="29" s="1"/>
  <c r="AM124" i="29"/>
  <c r="AN124" i="29" s="1"/>
  <c r="Z67" i="29"/>
  <c r="AA67" i="29" s="1"/>
  <c r="AC268" i="29"/>
  <c r="AD68" i="29"/>
  <c r="AE68" i="29" s="1"/>
  <c r="AG802" i="29"/>
  <c r="AH802" i="29" s="1"/>
  <c r="AG432" i="29"/>
  <c r="AH432" i="29" s="1"/>
  <c r="AG268" i="29"/>
  <c r="AH268" i="29" s="1"/>
  <c r="AG124" i="29"/>
  <c r="AH124" i="29" s="1"/>
  <c r="Z68" i="29"/>
  <c r="AA68" i="29" s="1"/>
  <c r="Z27" i="29"/>
  <c r="AA27" i="29" s="1"/>
  <c r="Z103" i="29"/>
  <c r="AA103" i="29" s="1"/>
  <c r="AG667" i="29"/>
  <c r="AH667" i="29" s="1"/>
  <c r="AM524" i="29"/>
  <c r="AN524" i="29" s="1"/>
  <c r="AD432" i="29"/>
  <c r="AE432" i="29" s="1"/>
  <c r="AJ90" i="29"/>
  <c r="AK90" i="29" s="1"/>
  <c r="AJ124" i="29"/>
  <c r="AK124" i="29" s="1"/>
  <c r="AD90" i="29"/>
  <c r="AE90" i="29" s="1"/>
  <c r="AG11" i="29"/>
  <c r="AH11" i="29" s="1"/>
  <c r="AM90" i="29"/>
  <c r="AN90" i="29" s="1"/>
  <c r="AD268" i="29"/>
  <c r="AE268" i="29" s="1"/>
  <c r="AJ802" i="29"/>
  <c r="AK802" i="29" s="1"/>
  <c r="AG68" i="29"/>
  <c r="AH68" i="29" s="1"/>
  <c r="AG793" i="29"/>
  <c r="AH793" i="29" s="1"/>
  <c r="AD764" i="29"/>
  <c r="AE764" i="29" s="1"/>
  <c r="AD524" i="29"/>
  <c r="AE524" i="29" s="1"/>
  <c r="AG263" i="29"/>
  <c r="AH263" i="29" s="1"/>
  <c r="AJ68" i="29"/>
  <c r="AK68" i="29" s="1"/>
  <c r="AC76" i="29"/>
  <c r="AD263" i="29"/>
  <c r="AE263" i="29" s="1"/>
  <c r="AD243" i="29"/>
  <c r="AE243" i="29" s="1"/>
  <c r="Z263" i="29"/>
  <c r="AA263" i="29" s="1"/>
  <c r="AM263" i="29"/>
  <c r="AN263" i="29" s="1"/>
  <c r="Z124" i="29"/>
  <c r="AA124" i="29" s="1"/>
  <c r="AC124" i="29"/>
  <c r="AG103" i="29"/>
  <c r="AH103" i="29" s="1"/>
  <c r="AG67" i="29"/>
  <c r="AH67" i="29" s="1"/>
  <c r="AD67" i="29"/>
  <c r="AE67" i="29" s="1"/>
  <c r="Z99" i="29"/>
  <c r="AA99" i="29" s="1"/>
  <c r="AJ432" i="29"/>
  <c r="AK432" i="29" s="1"/>
  <c r="AD222" i="29"/>
  <c r="AE222" i="29" s="1"/>
  <c r="AC90" i="29"/>
  <c r="AD103" i="29"/>
  <c r="AE103" i="29" s="1"/>
  <c r="Z90" i="29"/>
  <c r="AA90" i="29" s="1"/>
  <c r="AC67" i="29"/>
  <c r="AC1023" i="29"/>
  <c r="AD667" i="29"/>
  <c r="AE667" i="29" s="1"/>
  <c r="AC524" i="29"/>
  <c r="AC35" i="29"/>
  <c r="AJ1012" i="29"/>
  <c r="AK1012" i="29" s="1"/>
  <c r="AG135" i="29"/>
  <c r="AH135" i="29" s="1"/>
  <c r="AD135" i="29"/>
  <c r="AE135" i="29" s="1"/>
  <c r="AJ1017" i="29"/>
  <c r="AK1017" i="29" s="1"/>
  <c r="AG606" i="29"/>
  <c r="AH606" i="29" s="1"/>
  <c r="Z432" i="29"/>
  <c r="AA432" i="29" s="1"/>
  <c r="AJ103" i="29"/>
  <c r="AK103" i="29" s="1"/>
  <c r="AD11" i="29"/>
  <c r="AE11" i="29" s="1"/>
  <c r="AD361" i="29"/>
  <c r="AE361" i="29" s="1"/>
  <c r="AG319" i="29"/>
  <c r="AH319" i="29" s="1"/>
  <c r="AM162" i="29"/>
  <c r="AN162" i="29" s="1"/>
  <c r="Z127" i="29"/>
  <c r="AA127" i="29" s="1"/>
  <c r="AG127" i="29"/>
  <c r="AH127" i="29" s="1"/>
  <c r="AC642" i="29"/>
  <c r="Z142" i="29"/>
  <c r="AA142" i="29" s="1"/>
  <c r="AD699" i="29"/>
  <c r="AE699" i="29" s="1"/>
  <c r="AJ190" i="29"/>
  <c r="AK190" i="29" s="1"/>
  <c r="AJ142" i="29"/>
  <c r="AK142" i="29" s="1"/>
  <c r="AJ127" i="29"/>
  <c r="AK127" i="29" s="1"/>
  <c r="AC157" i="29"/>
  <c r="AC680" i="29"/>
  <c r="AM780" i="29"/>
  <c r="AN780" i="29" s="1"/>
  <c r="AD357" i="29"/>
  <c r="AE357" i="29" s="1"/>
  <c r="Z158" i="29"/>
  <c r="AA158" i="29" s="1"/>
  <c r="Z754" i="29"/>
  <c r="AA754" i="29" s="1"/>
  <c r="AG15" i="29"/>
  <c r="AH15" i="29" s="1"/>
  <c r="AD1038" i="29"/>
  <c r="AE1038" i="29" s="1"/>
  <c r="AM804" i="29"/>
  <c r="AN804" i="29" s="1"/>
  <c r="AC799" i="29"/>
  <c r="AG642" i="29"/>
  <c r="AH642" i="29" s="1"/>
  <c r="Z638" i="29"/>
  <c r="AA638" i="29" s="1"/>
  <c r="Z357" i="29"/>
  <c r="AA357" i="29" s="1"/>
  <c r="Z235" i="29"/>
  <c r="AA235" i="29" s="1"/>
  <c r="AJ157" i="29"/>
  <c r="AK157" i="29" s="1"/>
  <c r="Z15" i="29"/>
  <c r="AA15" i="29" s="1"/>
  <c r="AC142" i="29"/>
  <c r="AC754" i="29"/>
  <c r="AJ638" i="29"/>
  <c r="AK638" i="29" s="1"/>
  <c r="AD642" i="29"/>
  <c r="AE642" i="29" s="1"/>
  <c r="AG357" i="29"/>
  <c r="AH357" i="29" s="1"/>
  <c r="AD319" i="29"/>
  <c r="AE319" i="29" s="1"/>
  <c r="AC194" i="29"/>
  <c r="AM127" i="29"/>
  <c r="AN127" i="29" s="1"/>
  <c r="AC127" i="29"/>
  <c r="AM15" i="29"/>
  <c r="AN15" i="29" s="1"/>
  <c r="AD142" i="29"/>
  <c r="AE142" i="29" s="1"/>
  <c r="Z606" i="29"/>
  <c r="AA606" i="29" s="1"/>
  <c r="AC764" i="29"/>
  <c r="Z26" i="29"/>
  <c r="AA26" i="29" s="1"/>
  <c r="Z190" i="29"/>
  <c r="AA190" i="29" s="1"/>
  <c r="AJ517" i="29"/>
  <c r="AK517" i="29" s="1"/>
  <c r="AG190" i="29"/>
  <c r="AH190" i="29" s="1"/>
  <c r="AM142" i="29"/>
  <c r="AN142" i="29" s="1"/>
  <c r="AM157" i="29"/>
  <c r="AN157" i="29" s="1"/>
  <c r="AD136" i="29"/>
  <c r="AE136" i="29" s="1"/>
  <c r="AC755" i="29"/>
  <c r="AC1038" i="29"/>
  <c r="AM758" i="29"/>
  <c r="AN758" i="29" s="1"/>
  <c r="AM357" i="29"/>
  <c r="AN357" i="29" s="1"/>
  <c r="AJ357" i="29"/>
  <c r="AK357" i="29" s="1"/>
  <c r="AD279" i="29"/>
  <c r="AE279" i="29" s="1"/>
  <c r="Z157" i="29"/>
  <c r="AA157" i="29" s="1"/>
  <c r="AD157" i="29"/>
  <c r="AE157" i="29" s="1"/>
  <c r="AG136" i="29"/>
  <c r="AH136" i="29" s="1"/>
  <c r="AD15" i="29"/>
  <c r="AE15" i="29" s="1"/>
  <c r="AG547" i="29"/>
  <c r="AH547" i="29" s="1"/>
  <c r="AC235" i="29"/>
  <c r="AJ136" i="29"/>
  <c r="AK136" i="29" s="1"/>
  <c r="AM149" i="29"/>
  <c r="AN149" i="29" s="1"/>
  <c r="AD27" i="29"/>
  <c r="AE27" i="29" s="1"/>
  <c r="Z1060" i="29"/>
  <c r="AA1060" i="29" s="1"/>
  <c r="AG149" i="29"/>
  <c r="AH149" i="29" s="1"/>
  <c r="AC162" i="29"/>
  <c r="AC95" i="29"/>
  <c r="AG279" i="29"/>
  <c r="AH279" i="29" s="1"/>
  <c r="AG162" i="29"/>
  <c r="AH162" i="29" s="1"/>
  <c r="Z149" i="29"/>
  <c r="AA149" i="29" s="1"/>
  <c r="AM27" i="29"/>
  <c r="AN27" i="29" s="1"/>
  <c r="AD190" i="29"/>
  <c r="AE190" i="29" s="1"/>
  <c r="AC15" i="29"/>
  <c r="AG814" i="29"/>
  <c r="AH814" i="29" s="1"/>
  <c r="AM787" i="29"/>
  <c r="AN787" i="29" s="1"/>
  <c r="AD758" i="29"/>
  <c r="AE758" i="29" s="1"/>
  <c r="AM699" i="29"/>
  <c r="AN699" i="29" s="1"/>
  <c r="AD783" i="29"/>
  <c r="AE783" i="29" s="1"/>
  <c r="AC783" i="29"/>
  <c r="AG690" i="29"/>
  <c r="AH690" i="29" s="1"/>
  <c r="Z443" i="29"/>
  <c r="AA443" i="29" s="1"/>
  <c r="AD245" i="29"/>
  <c r="AE245" i="29" s="1"/>
  <c r="Z278" i="29"/>
  <c r="AA278" i="29" s="1"/>
  <c r="AM245" i="29"/>
  <c r="AN245" i="29" s="1"/>
  <c r="AJ245" i="29"/>
  <c r="AK245" i="29" s="1"/>
  <c r="AG131" i="29"/>
  <c r="AH131" i="29" s="1"/>
  <c r="AC38" i="29"/>
  <c r="AC20" i="29"/>
  <c r="AC474" i="29"/>
  <c r="Z637" i="29"/>
  <c r="AA637" i="29" s="1"/>
  <c r="AG375" i="29"/>
  <c r="AH375" i="29" s="1"/>
  <c r="Z477" i="29"/>
  <c r="AA477" i="29" s="1"/>
  <c r="AM690" i="29"/>
  <c r="AN690" i="29" s="1"/>
  <c r="AM602" i="29"/>
  <c r="AN602" i="29" s="1"/>
  <c r="AG559" i="29"/>
  <c r="AH559" i="29" s="1"/>
  <c r="AJ520" i="29"/>
  <c r="AK520" i="29" s="1"/>
  <c r="AM559" i="29"/>
  <c r="AN559" i="29" s="1"/>
  <c r="AD511" i="29"/>
  <c r="AE511" i="29" s="1"/>
  <c r="AM474" i="29"/>
  <c r="AN474" i="29" s="1"/>
  <c r="Z262" i="29"/>
  <c r="AA262" i="29" s="1"/>
  <c r="AJ262" i="29"/>
  <c r="AK262" i="29" s="1"/>
  <c r="AM278" i="29"/>
  <c r="AN278" i="29" s="1"/>
  <c r="Z122" i="29"/>
  <c r="AA122" i="29" s="1"/>
  <c r="AJ634" i="29"/>
  <c r="AK634" i="29" s="1"/>
  <c r="AM38" i="29"/>
  <c r="AN38" i="29" s="1"/>
  <c r="AG42" i="29"/>
  <c r="AH42" i="29" s="1"/>
  <c r="AC36" i="29"/>
  <c r="AG511" i="29"/>
  <c r="AH511" i="29" s="1"/>
  <c r="AM375" i="29"/>
  <c r="AN375" i="29" s="1"/>
  <c r="AJ240" i="29"/>
  <c r="AK240" i="29" s="1"/>
  <c r="Z375" i="29"/>
  <c r="AA375" i="29" s="1"/>
  <c r="AG262" i="29"/>
  <c r="AH262" i="29" s="1"/>
  <c r="AG145" i="29"/>
  <c r="AH145" i="29" s="1"/>
  <c r="AM134" i="29"/>
  <c r="AN134" i="29" s="1"/>
  <c r="Z42" i="29"/>
  <c r="AA42" i="29" s="1"/>
  <c r="AD35" i="29"/>
  <c r="AE35" i="29" s="1"/>
  <c r="AC634" i="29"/>
  <c r="AD690" i="29"/>
  <c r="AE690" i="29" s="1"/>
  <c r="AJ602" i="29"/>
  <c r="AK602" i="29" s="1"/>
  <c r="AM511" i="29"/>
  <c r="AN511" i="29" s="1"/>
  <c r="AC443" i="29"/>
  <c r="AJ375" i="29"/>
  <c r="AK375" i="29" s="1"/>
  <c r="AJ145" i="29"/>
  <c r="AK145" i="29" s="1"/>
  <c r="Z131" i="29"/>
  <c r="AA131" i="29" s="1"/>
  <c r="Z36" i="29"/>
  <c r="AA36" i="29" s="1"/>
  <c r="AM42" i="29"/>
  <c r="AN42" i="29" s="1"/>
  <c r="Z121" i="29"/>
  <c r="AA121" i="29" s="1"/>
  <c r="AC278" i="29"/>
  <c r="AM20" i="29"/>
  <c r="AN20" i="29" s="1"/>
  <c r="AG846" i="29"/>
  <c r="AH846" i="29" s="1"/>
  <c r="AJ783" i="29"/>
  <c r="AK783" i="29" s="1"/>
  <c r="AG740" i="29"/>
  <c r="AH740" i="29" s="1"/>
  <c r="Z740" i="29"/>
  <c r="AA740" i="29" s="1"/>
  <c r="AC361" i="29"/>
  <c r="Z368" i="29"/>
  <c r="AA368" i="29" s="1"/>
  <c r="AM182" i="29"/>
  <c r="AN182" i="29" s="1"/>
  <c r="AM122" i="29"/>
  <c r="AN122" i="29" s="1"/>
  <c r="AD185" i="29"/>
  <c r="AE185" i="29" s="1"/>
  <c r="AG38" i="29"/>
  <c r="AH38" i="29" s="1"/>
  <c r="AG20" i="29"/>
  <c r="AH20" i="29" s="1"/>
  <c r="AJ637" i="29"/>
  <c r="AK637" i="29" s="1"/>
  <c r="Z1017" i="29"/>
  <c r="AA1017" i="29" s="1"/>
  <c r="Z814" i="29"/>
  <c r="AA814" i="29" s="1"/>
  <c r="AG91" i="29"/>
  <c r="AH91" i="29" s="1"/>
  <c r="AG477" i="29"/>
  <c r="AH477" i="29" s="1"/>
  <c r="AC637" i="29"/>
  <c r="AG637" i="29"/>
  <c r="AH637" i="29" s="1"/>
  <c r="AD474" i="29"/>
  <c r="AE474" i="29" s="1"/>
  <c r="AG443" i="29"/>
  <c r="AH443" i="29" s="1"/>
  <c r="AG361" i="29"/>
  <c r="AH361" i="29" s="1"/>
  <c r="AJ443" i="29"/>
  <c r="AK443" i="29" s="1"/>
  <c r="AD240" i="29"/>
  <c r="AE240" i="29" s="1"/>
  <c r="Z91" i="29"/>
  <c r="AA91" i="29" s="1"/>
  <c r="AG35" i="29"/>
  <c r="AH35" i="29" s="1"/>
  <c r="AD91" i="29"/>
  <c r="AE91" i="29" s="1"/>
  <c r="Z64" i="29"/>
  <c r="AA64" i="29" s="1"/>
  <c r="AM64" i="29"/>
  <c r="AN64" i="29" s="1"/>
  <c r="AC42" i="29"/>
  <c r="AD262" i="29"/>
  <c r="AE262" i="29" s="1"/>
  <c r="AJ1023" i="29"/>
  <c r="AK1023" i="29" s="1"/>
  <c r="AD1020" i="29"/>
  <c r="AE1020" i="29" s="1"/>
  <c r="AJ799" i="29"/>
  <c r="AK799" i="29" s="1"/>
  <c r="Z783" i="29"/>
  <c r="AA783" i="29" s="1"/>
  <c r="AM783" i="29"/>
  <c r="AN783" i="29" s="1"/>
  <c r="AM802" i="29"/>
  <c r="AN802" i="29" s="1"/>
  <c r="AG751" i="29"/>
  <c r="AH751" i="29" s="1"/>
  <c r="AG634" i="29"/>
  <c r="AH634" i="29" s="1"/>
  <c r="AC528" i="29"/>
  <c r="AG240" i="29"/>
  <c r="AH240" i="29" s="1"/>
  <c r="AD64" i="29"/>
  <c r="AE64" i="29" s="1"/>
  <c r="AJ182" i="29"/>
  <c r="AK182" i="29" s="1"/>
  <c r="Z753" i="29"/>
  <c r="AA753" i="29" s="1"/>
  <c r="Z474" i="29"/>
  <c r="AA474" i="29" s="1"/>
  <c r="Z322" i="29"/>
  <c r="AA322" i="29" s="1"/>
  <c r="Z17" i="29"/>
  <c r="AA17" i="29" s="1"/>
  <c r="AM114" i="29"/>
  <c r="AN114" i="29" s="1"/>
  <c r="AD145" i="29"/>
  <c r="AE145" i="29" s="1"/>
  <c r="AG1023" i="29"/>
  <c r="AH1023" i="29" s="1"/>
  <c r="AJ846" i="29"/>
  <c r="AK846" i="29" s="1"/>
  <c r="AC787" i="29"/>
  <c r="AJ710" i="29"/>
  <c r="AK710" i="29" s="1"/>
  <c r="AD751" i="29"/>
  <c r="AE751" i="29" s="1"/>
  <c r="AD634" i="29"/>
  <c r="AE634" i="29" s="1"/>
  <c r="AJ528" i="29"/>
  <c r="AK528" i="29" s="1"/>
  <c r="AD443" i="29"/>
  <c r="AE443" i="29" s="1"/>
  <c r="Z245" i="29"/>
  <c r="AA245" i="29" s="1"/>
  <c r="AC121" i="29"/>
  <c r="AM177" i="29"/>
  <c r="AN177" i="29" s="1"/>
  <c r="AC182" i="29"/>
  <c r="AD182" i="29"/>
  <c r="AE182" i="29" s="1"/>
  <c r="AG474" i="29"/>
  <c r="AH474" i="29" s="1"/>
  <c r="AG1017" i="29"/>
  <c r="AH1017" i="29" s="1"/>
  <c r="AD1017" i="29"/>
  <c r="AE1017" i="29" s="1"/>
  <c r="AJ361" i="29"/>
  <c r="AK361" i="29" s="1"/>
  <c r="AG278" i="29"/>
  <c r="AH278" i="29" s="1"/>
  <c r="AM262" i="29"/>
  <c r="AN262" i="29" s="1"/>
  <c r="AC245" i="29"/>
  <c r="AG134" i="29"/>
  <c r="AH134" i="29" s="1"/>
  <c r="AM121" i="29"/>
  <c r="AN121" i="29" s="1"/>
  <c r="AG64" i="29"/>
  <c r="AH64" i="29" s="1"/>
  <c r="AG182" i="29"/>
  <c r="AH182" i="29" s="1"/>
  <c r="AG51" i="29"/>
  <c r="AH51" i="29" s="1"/>
  <c r="Z38" i="29"/>
  <c r="AA38" i="29" s="1"/>
  <c r="AM47" i="29"/>
  <c r="AN47" i="29" s="1"/>
  <c r="AM383" i="29"/>
  <c r="AN383" i="29" s="1"/>
  <c r="AC69" i="29"/>
  <c r="AG333" i="29"/>
  <c r="AH333" i="29" s="1"/>
  <c r="AG188" i="29"/>
  <c r="AH188" i="29" s="1"/>
  <c r="AM170" i="29"/>
  <c r="AN170" i="29" s="1"/>
  <c r="AG56" i="29"/>
  <c r="AH56" i="29" s="1"/>
  <c r="AM184" i="29"/>
  <c r="AN184" i="29" s="1"/>
  <c r="AM270" i="29"/>
  <c r="AN270" i="29" s="1"/>
  <c r="AC52" i="29"/>
  <c r="Z20" i="29"/>
  <c r="AA20" i="29" s="1"/>
  <c r="AC1012" i="29"/>
  <c r="AM702" i="29"/>
  <c r="AN702" i="29" s="1"/>
  <c r="Z632" i="29"/>
  <c r="AA632" i="29" s="1"/>
  <c r="AD270" i="29"/>
  <c r="AE270" i="29" s="1"/>
  <c r="AJ188" i="29"/>
  <c r="AK188" i="29" s="1"/>
  <c r="Z146" i="29"/>
  <c r="AA146" i="29" s="1"/>
  <c r="AM146" i="29"/>
  <c r="AN146" i="29" s="1"/>
  <c r="AJ56" i="29"/>
  <c r="AK56" i="29" s="1"/>
  <c r="Z184" i="29"/>
  <c r="AA184" i="29" s="1"/>
  <c r="AC769" i="29"/>
  <c r="AJ769" i="29"/>
  <c r="AK769" i="29" s="1"/>
  <c r="AC188" i="29"/>
  <c r="Z815" i="29"/>
  <c r="AA815" i="29" s="1"/>
  <c r="AC64" i="29"/>
  <c r="AM52" i="29"/>
  <c r="AN52" i="29" s="1"/>
  <c r="Z56" i="29"/>
  <c r="AA56" i="29" s="1"/>
  <c r="AJ333" i="29"/>
  <c r="AK333" i="29" s="1"/>
  <c r="AC606" i="29"/>
  <c r="AC760" i="29"/>
  <c r="AM606" i="29"/>
  <c r="AN606" i="29" s="1"/>
  <c r="AJ320" i="29"/>
  <c r="AK320" i="29" s="1"/>
  <c r="Z188" i="29"/>
  <c r="AA188" i="29" s="1"/>
  <c r="AC316" i="29"/>
  <c r="AD696" i="29"/>
  <c r="AE696" i="29" s="1"/>
  <c r="AG171" i="29"/>
  <c r="AH171" i="29" s="1"/>
  <c r="AD320" i="29"/>
  <c r="AE320" i="29" s="1"/>
  <c r="AJ71" i="29"/>
  <c r="AK71" i="29" s="1"/>
  <c r="AG71" i="29"/>
  <c r="AH71" i="29" s="1"/>
  <c r="Z52" i="29"/>
  <c r="AA52" i="29" s="1"/>
  <c r="AC761" i="29"/>
  <c r="Z51" i="29"/>
  <c r="AA51" i="29" s="1"/>
  <c r="Z35" i="29"/>
  <c r="AA35" i="29" s="1"/>
  <c r="AC176" i="29"/>
  <c r="AG1012" i="29"/>
  <c r="AH1012" i="29" s="1"/>
  <c r="AJ632" i="29"/>
  <c r="AK632" i="29" s="1"/>
  <c r="Z629" i="29"/>
  <c r="AA629" i="29" s="1"/>
  <c r="AC421" i="29"/>
  <c r="Z143" i="29"/>
  <c r="AA143" i="29" s="1"/>
  <c r="Z71" i="29"/>
  <c r="AA71" i="29" s="1"/>
  <c r="AJ628" i="29"/>
  <c r="AK628" i="29" s="1"/>
  <c r="AC702" i="29"/>
  <c r="AM154" i="29"/>
  <c r="AN154" i="29" s="1"/>
  <c r="AC263" i="29"/>
  <c r="AC693" i="29"/>
  <c r="AC58" i="29"/>
  <c r="AM1017" i="29"/>
  <c r="AN1017" i="29" s="1"/>
  <c r="AM789" i="29"/>
  <c r="AN789" i="29" s="1"/>
  <c r="AG515" i="29"/>
  <c r="AH515" i="29" s="1"/>
  <c r="AC511" i="29"/>
  <c r="AM421" i="29"/>
  <c r="AN421" i="29" s="1"/>
  <c r="AG119" i="29"/>
  <c r="AH119" i="29" s="1"/>
  <c r="AJ154" i="29"/>
  <c r="AK154" i="29" s="1"/>
  <c r="AD154" i="29"/>
  <c r="AE154" i="29" s="1"/>
  <c r="AD789" i="29"/>
  <c r="AE789" i="29" s="1"/>
  <c r="AM810" i="29"/>
  <c r="AN810" i="29" s="1"/>
  <c r="AJ813" i="29"/>
  <c r="AK813" i="29" s="1"/>
  <c r="Z790" i="29"/>
  <c r="AA790" i="29" s="1"/>
  <c r="Z333" i="29"/>
  <c r="AA333" i="29" s="1"/>
  <c r="AM320" i="29"/>
  <c r="AN320" i="29" s="1"/>
  <c r="AD316" i="29"/>
  <c r="AE316" i="29" s="1"/>
  <c r="AC270" i="29"/>
  <c r="AG183" i="29"/>
  <c r="AH183" i="29" s="1"/>
  <c r="AM171" i="29"/>
  <c r="AN171" i="29" s="1"/>
  <c r="AG154" i="29"/>
  <c r="AH154" i="29" s="1"/>
  <c r="AG384" i="29"/>
  <c r="AH384" i="29" s="1"/>
  <c r="AC322" i="29"/>
  <c r="AC103" i="29"/>
  <c r="Z29" i="29"/>
  <c r="AA29" i="29" s="1"/>
  <c r="AD42" i="29"/>
  <c r="AE42" i="29" s="1"/>
  <c r="AC632" i="29"/>
  <c r="Z716" i="29"/>
  <c r="AA716" i="29" s="1"/>
  <c r="AJ601" i="29"/>
  <c r="AK601" i="29" s="1"/>
  <c r="AM444" i="29"/>
  <c r="AN444" i="29" s="1"/>
  <c r="AJ421" i="29"/>
  <c r="AK421" i="29" s="1"/>
  <c r="AJ764" i="29"/>
  <c r="AK764" i="29" s="1"/>
  <c r="AG699" i="29"/>
  <c r="AH699" i="29" s="1"/>
  <c r="AC794" i="29"/>
  <c r="AM67" i="29"/>
  <c r="AN67" i="29" s="1"/>
  <c r="AC640" i="29"/>
  <c r="Z11" i="29"/>
  <c r="AA11" i="29" s="1"/>
  <c r="AC147" i="29"/>
  <c r="AC321" i="29"/>
  <c r="AM640" i="29"/>
  <c r="AN640" i="29" s="1"/>
  <c r="AD333" i="29"/>
  <c r="AE333" i="29" s="1"/>
  <c r="AJ270" i="29"/>
  <c r="AK270" i="29" s="1"/>
  <c r="AG320" i="29"/>
  <c r="AH320" i="29" s="1"/>
  <c r="Z171" i="29"/>
  <c r="AA171" i="29" s="1"/>
  <c r="AC170" i="29"/>
  <c r="AM316" i="29"/>
  <c r="AN316" i="29" s="1"/>
  <c r="AM188" i="29"/>
  <c r="AN188" i="29" s="1"/>
  <c r="AJ807" i="29"/>
  <c r="AK807" i="29" s="1"/>
  <c r="AD702" i="29"/>
  <c r="AE702" i="29" s="1"/>
  <c r="AD444" i="29"/>
  <c r="AE444" i="29" s="1"/>
  <c r="AG316" i="29"/>
  <c r="AH316" i="29" s="1"/>
  <c r="AJ170" i="29"/>
  <c r="AK170" i="29" s="1"/>
  <c r="Z154" i="29"/>
  <c r="AA154" i="29" s="1"/>
  <c r="AM56" i="29"/>
  <c r="AN56" i="29" s="1"/>
  <c r="Z702" i="29"/>
  <c r="AA702" i="29" s="1"/>
  <c r="AC601" i="29"/>
  <c r="Z526" i="29"/>
  <c r="AA526" i="29" s="1"/>
  <c r="AC320" i="29"/>
  <c r="AD170" i="29"/>
  <c r="AE170" i="29" s="1"/>
  <c r="AM119" i="29"/>
  <c r="AN119" i="29" s="1"/>
  <c r="AC51" i="29"/>
  <c r="Z316" i="29"/>
  <c r="AA316" i="29" s="1"/>
  <c r="AC432" i="29"/>
  <c r="AD111" i="29"/>
  <c r="AE111" i="29" s="1"/>
  <c r="AG111" i="29"/>
  <c r="AH111" i="29" s="1"/>
  <c r="AC205" i="29"/>
  <c r="AG1015" i="29"/>
  <c r="AH1015" i="29" s="1"/>
  <c r="AD780" i="29"/>
  <c r="AE780" i="29" s="1"/>
  <c r="AD798" i="29"/>
  <c r="AE798" i="29" s="1"/>
  <c r="AJ780" i="29"/>
  <c r="AK780" i="29" s="1"/>
  <c r="AG798" i="29"/>
  <c r="AH798" i="29" s="1"/>
  <c r="AM752" i="29"/>
  <c r="AN752" i="29" s="1"/>
  <c r="AJ751" i="29"/>
  <c r="AK751" i="29" s="1"/>
  <c r="AM670" i="29"/>
  <c r="AN670" i="29" s="1"/>
  <c r="AM641" i="29"/>
  <c r="AN641" i="29" s="1"/>
  <c r="Z599" i="29"/>
  <c r="AA599" i="29" s="1"/>
  <c r="AC508" i="29"/>
  <c r="AD426" i="29"/>
  <c r="AE426" i="29" s="1"/>
  <c r="AC368" i="29"/>
  <c r="AG205" i="29"/>
  <c r="AH205" i="29" s="1"/>
  <c r="AG155" i="29"/>
  <c r="AH155" i="29" s="1"/>
  <c r="AD99" i="29"/>
  <c r="AE99" i="29" s="1"/>
  <c r="AM69" i="29"/>
  <c r="AN69" i="29" s="1"/>
  <c r="AG100" i="29"/>
  <c r="AH100" i="29" s="1"/>
  <c r="Z758" i="29"/>
  <c r="AA758" i="29" s="1"/>
  <c r="Z794" i="29"/>
  <c r="AA794" i="29" s="1"/>
  <c r="AM642" i="29"/>
  <c r="AN642" i="29" s="1"/>
  <c r="AJ642" i="29"/>
  <c r="AK642" i="29" s="1"/>
  <c r="AC815" i="29"/>
  <c r="AC91" i="29"/>
  <c r="AC696" i="29"/>
  <c r="AG121" i="29"/>
  <c r="AH121" i="29" s="1"/>
  <c r="AM35" i="29"/>
  <c r="AN35" i="29" s="1"/>
  <c r="AC279" i="29"/>
  <c r="AD1014" i="29"/>
  <c r="AE1014" i="29" s="1"/>
  <c r="AG805" i="29"/>
  <c r="AH805" i="29" s="1"/>
  <c r="Z796" i="29"/>
  <c r="AA796" i="29" s="1"/>
  <c r="AG780" i="29"/>
  <c r="AH780" i="29" s="1"/>
  <c r="Z771" i="29"/>
  <c r="AA771" i="29" s="1"/>
  <c r="AM635" i="29"/>
  <c r="AN635" i="29" s="1"/>
  <c r="AJ508" i="29"/>
  <c r="AK508" i="29" s="1"/>
  <c r="AG360" i="29"/>
  <c r="AH360" i="29" s="1"/>
  <c r="Z360" i="29"/>
  <c r="AA360" i="29" s="1"/>
  <c r="AM360" i="29"/>
  <c r="AN360" i="29" s="1"/>
  <c r="AG275" i="29"/>
  <c r="AH275" i="29" s="1"/>
  <c r="AM111" i="29"/>
  <c r="AN111" i="29" s="1"/>
  <c r="AD69" i="29"/>
  <c r="AE69" i="29" s="1"/>
  <c r="AM155" i="29"/>
  <c r="AN155" i="29" s="1"/>
  <c r="AJ69" i="29"/>
  <c r="AK69" i="29" s="1"/>
  <c r="AC838" i="29"/>
  <c r="Z111" i="29"/>
  <c r="AA111" i="29" s="1"/>
  <c r="Z524" i="29"/>
  <c r="AA524" i="29" s="1"/>
  <c r="AJ524" i="29"/>
  <c r="AK524" i="29" s="1"/>
  <c r="AM435" i="29"/>
  <c r="AN435" i="29" s="1"/>
  <c r="Z176" i="29"/>
  <c r="AA176" i="29" s="1"/>
  <c r="AC111" i="29"/>
  <c r="AC435" i="29"/>
  <c r="AC631" i="29"/>
  <c r="AJ790" i="29"/>
  <c r="AK790" i="29" s="1"/>
  <c r="AC846" i="29"/>
  <c r="AJ810" i="29"/>
  <c r="AK810" i="29" s="1"/>
  <c r="AJ795" i="29"/>
  <c r="AK795" i="29" s="1"/>
  <c r="AC798" i="29"/>
  <c r="AD670" i="29"/>
  <c r="AE670" i="29" s="1"/>
  <c r="AG601" i="29"/>
  <c r="AH601" i="29" s="1"/>
  <c r="AD601" i="29"/>
  <c r="AE601" i="29" s="1"/>
  <c r="AM631" i="29"/>
  <c r="AN631" i="29" s="1"/>
  <c r="AD547" i="29"/>
  <c r="AE547" i="29" s="1"/>
  <c r="AD453" i="29"/>
  <c r="AE453" i="29" s="1"/>
  <c r="AJ205" i="29"/>
  <c r="AK205" i="29" s="1"/>
  <c r="AM133" i="29"/>
  <c r="AN133" i="29" s="1"/>
  <c r="AJ758" i="29"/>
  <c r="AK758" i="29" s="1"/>
  <c r="AM208" i="29"/>
  <c r="AN208" i="29" s="1"/>
  <c r="AC208" i="29"/>
  <c r="AM71" i="29"/>
  <c r="AN71" i="29" s="1"/>
  <c r="AC628" i="29"/>
  <c r="Z361" i="29"/>
  <c r="AA361" i="29" s="1"/>
  <c r="AM205" i="29"/>
  <c r="AN205" i="29" s="1"/>
  <c r="AC100" i="29"/>
  <c r="AM426" i="29"/>
  <c r="AN426" i="29" s="1"/>
  <c r="AC94" i="29"/>
  <c r="Z631" i="29"/>
  <c r="AA631" i="29" s="1"/>
  <c r="AJ52" i="29"/>
  <c r="AK52" i="29" s="1"/>
  <c r="AG52" i="29"/>
  <c r="AH52" i="29" s="1"/>
  <c r="AM11" i="29"/>
  <c r="AN11" i="29" s="1"/>
  <c r="AC426" i="29"/>
  <c r="AJ796" i="29"/>
  <c r="AK796" i="29" s="1"/>
  <c r="AG696" i="29"/>
  <c r="AH696" i="29" s="1"/>
  <c r="Z670" i="29"/>
  <c r="AA670" i="29" s="1"/>
  <c r="AC771" i="29"/>
  <c r="AM710" i="29"/>
  <c r="AN710" i="29" s="1"/>
  <c r="AM628" i="29"/>
  <c r="AN628" i="29" s="1"/>
  <c r="AJ435" i="29"/>
  <c r="AK435" i="29" s="1"/>
  <c r="AC275" i="29"/>
  <c r="AM771" i="29"/>
  <c r="AN771" i="29" s="1"/>
  <c r="AC699" i="29"/>
  <c r="AD387" i="29"/>
  <c r="AE387" i="29" s="1"/>
  <c r="AG78" i="29"/>
  <c r="AH78" i="29" s="1"/>
  <c r="AM279" i="29"/>
  <c r="AN279" i="29" s="1"/>
  <c r="AC136" i="29"/>
  <c r="AG36" i="29"/>
  <c r="AH36" i="29" s="1"/>
  <c r="AJ36" i="29"/>
  <c r="AK36" i="29" s="1"/>
  <c r="AC518" i="29"/>
  <c r="AJ808" i="29"/>
  <c r="AK808" i="29" s="1"/>
  <c r="AG796" i="29"/>
  <c r="AH796" i="29" s="1"/>
  <c r="Z808" i="29"/>
  <c r="AA808" i="29" s="1"/>
  <c r="AC780" i="29"/>
  <c r="AG771" i="29"/>
  <c r="AH771" i="29" s="1"/>
  <c r="AG670" i="29"/>
  <c r="AH670" i="29" s="1"/>
  <c r="Z751" i="29"/>
  <c r="AA751" i="29" s="1"/>
  <c r="Z560" i="29"/>
  <c r="AA560" i="29" s="1"/>
  <c r="AD631" i="29"/>
  <c r="AE631" i="29" s="1"/>
  <c r="AD460" i="29"/>
  <c r="AE460" i="29" s="1"/>
  <c r="AG368" i="29"/>
  <c r="AH368" i="29" s="1"/>
  <c r="AG381" i="29"/>
  <c r="AH381" i="29" s="1"/>
  <c r="Z208" i="29"/>
  <c r="AA208" i="29" s="1"/>
  <c r="Z275" i="29"/>
  <c r="AA275" i="29" s="1"/>
  <c r="AJ133" i="29"/>
  <c r="AK133" i="29" s="1"/>
  <c r="AG106" i="29"/>
  <c r="AH106" i="29" s="1"/>
  <c r="AM78" i="29"/>
  <c r="AN78" i="29" s="1"/>
  <c r="AC460" i="29"/>
  <c r="AD353" i="29"/>
  <c r="AE353" i="29" s="1"/>
  <c r="AD100" i="29"/>
  <c r="AE100" i="29" s="1"/>
  <c r="Z1015" i="29"/>
  <c r="AA1015" i="29" s="1"/>
  <c r="AJ805" i="29"/>
  <c r="AK805" i="29" s="1"/>
  <c r="AM798" i="29"/>
  <c r="AN798" i="29" s="1"/>
  <c r="AJ771" i="29"/>
  <c r="AK771" i="29" s="1"/>
  <c r="AM696" i="29"/>
  <c r="AN696" i="29" s="1"/>
  <c r="AJ629" i="29"/>
  <c r="AK629" i="29" s="1"/>
  <c r="AD450" i="29"/>
  <c r="AE450" i="29" s="1"/>
  <c r="Z381" i="29"/>
  <c r="AA381" i="29" s="1"/>
  <c r="AJ368" i="29"/>
  <c r="AK368" i="29" s="1"/>
  <c r="AM381" i="29"/>
  <c r="AN381" i="29" s="1"/>
  <c r="Z100" i="29"/>
  <c r="AA100" i="29" s="1"/>
  <c r="AD106" i="29"/>
  <c r="AE106" i="29" s="1"/>
  <c r="AM460" i="29"/>
  <c r="AN460" i="29" s="1"/>
  <c r="AD776" i="29"/>
  <c r="AE776" i="29" s="1"/>
  <c r="AJ776" i="29"/>
  <c r="AK776" i="29" s="1"/>
  <c r="AM163" i="29"/>
  <c r="AN163" i="29" s="1"/>
  <c r="Z276" i="29"/>
  <c r="AA276" i="29" s="1"/>
  <c r="Z78" i="29"/>
  <c r="AA78" i="29" s="1"/>
  <c r="AC690" i="29"/>
  <c r="AC163" i="29"/>
  <c r="AM26" i="29"/>
  <c r="AN26" i="29" s="1"/>
  <c r="AJ519" i="29"/>
  <c r="AK519" i="29" s="1"/>
  <c r="Z519" i="29"/>
  <c r="AA519" i="29" s="1"/>
  <c r="AG27" i="29"/>
  <c r="AH27" i="29" s="1"/>
  <c r="AJ27" i="29"/>
  <c r="AK27" i="29" s="1"/>
  <c r="AJ789" i="29"/>
  <c r="AK789" i="29" s="1"/>
  <c r="AG749" i="29"/>
  <c r="AH749" i="29" s="1"/>
  <c r="AD662" i="29"/>
  <c r="AE662" i="29" s="1"/>
  <c r="AD628" i="29"/>
  <c r="AE628" i="29" s="1"/>
  <c r="AM601" i="29"/>
  <c r="AN601" i="29" s="1"/>
  <c r="AJ475" i="29"/>
  <c r="AK475" i="29" s="1"/>
  <c r="AJ426" i="29"/>
  <c r="AK426" i="29" s="1"/>
  <c r="AG518" i="29"/>
  <c r="AH518" i="29" s="1"/>
  <c r="AM353" i="29"/>
  <c r="AN353" i="29" s="1"/>
  <c r="Z435" i="29"/>
  <c r="AA435" i="29" s="1"/>
  <c r="AD275" i="29"/>
  <c r="AE275" i="29" s="1"/>
  <c r="AJ360" i="29"/>
  <c r="AK360" i="29" s="1"/>
  <c r="AG95" i="29"/>
  <c r="AH95" i="29" s="1"/>
  <c r="AG174" i="29"/>
  <c r="AH174" i="29" s="1"/>
  <c r="AJ99" i="29"/>
  <c r="AK99" i="29" s="1"/>
  <c r="AC99" i="29"/>
  <c r="AM174" i="29"/>
  <c r="AN174" i="29" s="1"/>
  <c r="AJ761" i="29"/>
  <c r="AK761" i="29" s="1"/>
  <c r="AJ319" i="29"/>
  <c r="AK319" i="29" s="1"/>
  <c r="AC319" i="29"/>
  <c r="Z475" i="29"/>
  <c r="AA475" i="29" s="1"/>
  <c r="Z319" i="29"/>
  <c r="AA319" i="29" s="1"/>
  <c r="AG69" i="29"/>
  <c r="AH69" i="29" s="1"/>
  <c r="AC53" i="29"/>
  <c r="Z329" i="29"/>
  <c r="AA329" i="29" s="1"/>
  <c r="AG1032" i="29"/>
  <c r="AH1032" i="29" s="1"/>
  <c r="AD1032" i="29"/>
  <c r="AE1032" i="29" s="1"/>
  <c r="AN1015" i="29"/>
  <c r="AG710" i="29"/>
  <c r="AH710" i="29" s="1"/>
  <c r="AC751" i="29"/>
  <c r="AG631" i="29"/>
  <c r="AH631" i="29" s="1"/>
  <c r="AJ644" i="29"/>
  <c r="AK644" i="29" s="1"/>
  <c r="AC515" i="29"/>
  <c r="AG435" i="29"/>
  <c r="AH435" i="29" s="1"/>
  <c r="AD381" i="29"/>
  <c r="AE381" i="29" s="1"/>
  <c r="AD363" i="29"/>
  <c r="AE363" i="29" s="1"/>
  <c r="AM378" i="29"/>
  <c r="AN378" i="29" s="1"/>
  <c r="AD205" i="29"/>
  <c r="AE205" i="29" s="1"/>
  <c r="Z243" i="29"/>
  <c r="AA243" i="29" s="1"/>
  <c r="AJ111" i="29"/>
  <c r="AK111" i="29" s="1"/>
  <c r="AD95" i="29"/>
  <c r="AE95" i="29" s="1"/>
  <c r="Z183" i="29"/>
  <c r="AA183" i="29" s="1"/>
  <c r="AM95" i="29"/>
  <c r="AN95" i="29" s="1"/>
  <c r="AD78" i="29"/>
  <c r="AE78" i="29" s="1"/>
  <c r="AJ106" i="29"/>
  <c r="AK106" i="29" s="1"/>
  <c r="AM99" i="29"/>
  <c r="AN99" i="29" s="1"/>
  <c r="AJ78" i="29"/>
  <c r="AK78" i="29" s="1"/>
  <c r="AC758" i="29"/>
  <c r="AJ690" i="29"/>
  <c r="AK690" i="29" s="1"/>
  <c r="AM475" i="29"/>
  <c r="AN475" i="29" s="1"/>
  <c r="AC475" i="29"/>
  <c r="AM145" i="29"/>
  <c r="AN145" i="29" s="1"/>
  <c r="AJ58" i="29"/>
  <c r="AK58" i="29" s="1"/>
  <c r="AG58" i="29"/>
  <c r="AH58" i="29" s="1"/>
  <c r="AM58" i="29"/>
  <c r="AN58" i="29" s="1"/>
  <c r="Z69" i="29"/>
  <c r="AA69" i="29" s="1"/>
  <c r="AD186" i="29"/>
  <c r="AE186" i="29" s="1"/>
  <c r="AJ186" i="29"/>
  <c r="AK186" i="29" s="1"/>
  <c r="AG186" i="29"/>
  <c r="AH186" i="29" s="1"/>
  <c r="AD36" i="29"/>
  <c r="AE36" i="29" s="1"/>
  <c r="AG18" i="29"/>
  <c r="AH18" i="29" s="1"/>
  <c r="AJ18" i="29"/>
  <c r="AK18" i="29" s="1"/>
  <c r="AC1015" i="29"/>
  <c r="AG820" i="29"/>
  <c r="AH820" i="29" s="1"/>
  <c r="AD801" i="29"/>
  <c r="AE801" i="29" s="1"/>
  <c r="AG790" i="29"/>
  <c r="AH790" i="29" s="1"/>
  <c r="AM813" i="29"/>
  <c r="AN813" i="29" s="1"/>
  <c r="AG813" i="29"/>
  <c r="AH813" i="29" s="1"/>
  <c r="Z787" i="29"/>
  <c r="AA787" i="29" s="1"/>
  <c r="AJ525" i="29"/>
  <c r="AK525" i="29" s="1"/>
  <c r="Z515" i="29"/>
  <c r="AA515" i="29" s="1"/>
  <c r="AJ460" i="29"/>
  <c r="AK460" i="29" s="1"/>
  <c r="AM368" i="29"/>
  <c r="AN368" i="29" s="1"/>
  <c r="Z378" i="29"/>
  <c r="AA378" i="29" s="1"/>
  <c r="AJ353" i="29"/>
  <c r="AK353" i="29" s="1"/>
  <c r="AG353" i="29"/>
  <c r="AH353" i="29" s="1"/>
  <c r="AC360" i="29"/>
  <c r="AG128" i="29"/>
  <c r="AH128" i="29" s="1"/>
  <c r="AD133" i="29"/>
  <c r="AE133" i="29" s="1"/>
  <c r="Z460" i="29"/>
  <c r="AA460" i="29" s="1"/>
  <c r="AM815" i="29"/>
  <c r="AN815" i="29" s="1"/>
  <c r="Z133" i="29"/>
  <c r="AA133" i="29" s="1"/>
  <c r="AC71" i="29"/>
  <c r="AC378" i="29"/>
  <c r="AM136" i="29"/>
  <c r="AN136" i="29" s="1"/>
  <c r="AG702" i="29"/>
  <c r="AH702" i="29" s="1"/>
  <c r="AC145" i="29"/>
  <c r="AJ696" i="29"/>
  <c r="AK696" i="29" s="1"/>
  <c r="AJ1020" i="29"/>
  <c r="AK1020" i="29" s="1"/>
  <c r="AG787" i="29"/>
  <c r="AH787" i="29" s="1"/>
  <c r="AJ801" i="29"/>
  <c r="AK801" i="29" s="1"/>
  <c r="AG628" i="29"/>
  <c r="AH628" i="29" s="1"/>
  <c r="AJ641" i="29"/>
  <c r="AK641" i="29" s="1"/>
  <c r="AD378" i="29"/>
  <c r="AE378" i="29" s="1"/>
  <c r="AC444" i="29"/>
  <c r="AG378" i="29"/>
  <c r="AH378" i="29" s="1"/>
  <c r="Z128" i="29"/>
  <c r="AA128" i="29" s="1"/>
  <c r="AC133" i="29"/>
  <c r="AM745" i="29"/>
  <c r="AN745" i="29" s="1"/>
  <c r="Z764" i="29"/>
  <c r="AA764" i="29" s="1"/>
  <c r="AC106" i="29"/>
  <c r="AC381" i="29"/>
  <c r="AC477" i="29"/>
  <c r="Z57" i="29"/>
  <c r="AA57" i="29" s="1"/>
  <c r="Z181" i="29"/>
  <c r="AA181" i="29" s="1"/>
  <c r="AJ181" i="29"/>
  <c r="AK181" i="29" s="1"/>
  <c r="AM1020" i="29"/>
  <c r="AN1020" i="29" s="1"/>
  <c r="AG1045" i="29"/>
  <c r="AH1045" i="29" s="1"/>
  <c r="AG781" i="29"/>
  <c r="AH781" i="29" s="1"/>
  <c r="AM795" i="29"/>
  <c r="AN795" i="29" s="1"/>
  <c r="AJ814" i="29"/>
  <c r="AK814" i="29" s="1"/>
  <c r="AD814" i="29"/>
  <c r="AE814" i="29" s="1"/>
  <c r="AM793" i="29"/>
  <c r="AN793" i="29" s="1"/>
  <c r="AG801" i="29"/>
  <c r="AH801" i="29" s="1"/>
  <c r="AD739" i="29"/>
  <c r="AE739" i="29" s="1"/>
  <c r="Z739" i="29"/>
  <c r="AA739" i="29" s="1"/>
  <c r="AM796" i="29"/>
  <c r="AN796" i="29" s="1"/>
  <c r="AG743" i="29"/>
  <c r="AH743" i="29" s="1"/>
  <c r="AM657" i="29"/>
  <c r="AN657" i="29" s="1"/>
  <c r="AC662" i="29"/>
  <c r="Z558" i="29"/>
  <c r="AA558" i="29" s="1"/>
  <c r="AJ558" i="29"/>
  <c r="AK558" i="29" s="1"/>
  <c r="AC716" i="29"/>
  <c r="AM599" i="29"/>
  <c r="AN599" i="29" s="1"/>
  <c r="AJ657" i="29"/>
  <c r="AK657" i="29" s="1"/>
  <c r="AG629" i="29"/>
  <c r="AH629" i="29" s="1"/>
  <c r="AD629" i="29"/>
  <c r="AE629" i="29" s="1"/>
  <c r="AJ526" i="29"/>
  <c r="AK526" i="29" s="1"/>
  <c r="AM526" i="29"/>
  <c r="AN526" i="29" s="1"/>
  <c r="AM509" i="29"/>
  <c r="AN509" i="29" s="1"/>
  <c r="AG509" i="29"/>
  <c r="AH509" i="29" s="1"/>
  <c r="AD509" i="29"/>
  <c r="AE509" i="29" s="1"/>
  <c r="AJ515" i="29"/>
  <c r="AK515" i="29" s="1"/>
  <c r="Z404" i="29"/>
  <c r="AA404" i="29" s="1"/>
  <c r="AD404" i="29"/>
  <c r="AE404" i="29" s="1"/>
  <c r="AG531" i="29"/>
  <c r="AH531" i="29" s="1"/>
  <c r="Z531" i="29"/>
  <c r="AA531" i="29" s="1"/>
  <c r="AD531" i="29"/>
  <c r="AE531" i="29" s="1"/>
  <c r="AM254" i="29"/>
  <c r="AN254" i="29" s="1"/>
  <c r="AM194" i="29"/>
  <c r="AN194" i="29" s="1"/>
  <c r="AJ174" i="29"/>
  <c r="AK174" i="29" s="1"/>
  <c r="AD174" i="29"/>
  <c r="AE174" i="29" s="1"/>
  <c r="AC183" i="29"/>
  <c r="Z1032" i="29"/>
  <c r="AA1032" i="29" s="1"/>
  <c r="AM1032" i="29"/>
  <c r="AN1032" i="29" s="1"/>
  <c r="AJ1063" i="29"/>
  <c r="AK1063" i="29" s="1"/>
  <c r="AJ1014" i="29"/>
  <c r="AK1014" i="29" s="1"/>
  <c r="AG792" i="29"/>
  <c r="AH792" i="29" s="1"/>
  <c r="AJ744" i="29"/>
  <c r="AK744" i="29" s="1"/>
  <c r="AD744" i="29"/>
  <c r="AE744" i="29" s="1"/>
  <c r="AJ747" i="29"/>
  <c r="AK747" i="29" s="1"/>
  <c r="AD747" i="29"/>
  <c r="AE747" i="29" s="1"/>
  <c r="AJ740" i="29"/>
  <c r="AK740" i="29" s="1"/>
  <c r="AD740" i="29"/>
  <c r="AE740" i="29" s="1"/>
  <c r="AG746" i="29"/>
  <c r="AH746" i="29" s="1"/>
  <c r="AJ667" i="29"/>
  <c r="AK667" i="29" s="1"/>
  <c r="AD564" i="29"/>
  <c r="AE564" i="29" s="1"/>
  <c r="AC564" i="29"/>
  <c r="AG602" i="29"/>
  <c r="AH602" i="29" s="1"/>
  <c r="AD602" i="29"/>
  <c r="AE602" i="29" s="1"/>
  <c r="AM515" i="29"/>
  <c r="AN515" i="29" s="1"/>
  <c r="AJ254" i="29"/>
  <c r="AK254" i="29" s="1"/>
  <c r="AJ158" i="29"/>
  <c r="AK158" i="29" s="1"/>
  <c r="AD158" i="29"/>
  <c r="AE158" i="29" s="1"/>
  <c r="AJ128" i="29"/>
  <c r="AK128" i="29" s="1"/>
  <c r="AD128" i="29"/>
  <c r="AE128" i="29" s="1"/>
  <c r="AJ125" i="29"/>
  <c r="AK125" i="29" s="1"/>
  <c r="AD125" i="29"/>
  <c r="AE125" i="29" s="1"/>
  <c r="AG1014" i="29"/>
  <c r="AH1014" i="29" s="1"/>
  <c r="Z1063" i="29"/>
  <c r="AA1063" i="29" s="1"/>
  <c r="Z1012" i="29"/>
  <c r="AA1012" i="29" s="1"/>
  <c r="AM792" i="29"/>
  <c r="AN792" i="29" s="1"/>
  <c r="AM820" i="29"/>
  <c r="AN820" i="29" s="1"/>
  <c r="AJ798" i="29"/>
  <c r="AK798" i="29" s="1"/>
  <c r="AC789" i="29"/>
  <c r="AM805" i="29"/>
  <c r="AN805" i="29" s="1"/>
  <c r="AM790" i="29"/>
  <c r="AN790" i="29" s="1"/>
  <c r="AJ739" i="29"/>
  <c r="AK739" i="29" s="1"/>
  <c r="AM799" i="29"/>
  <c r="AN799" i="29" s="1"/>
  <c r="Z752" i="29"/>
  <c r="AA752" i="29" s="1"/>
  <c r="AG662" i="29"/>
  <c r="AH662" i="29" s="1"/>
  <c r="AC743" i="29"/>
  <c r="AG810" i="29"/>
  <c r="AH810" i="29" s="1"/>
  <c r="AD710" i="29"/>
  <c r="AE710" i="29" s="1"/>
  <c r="AC710" i="29"/>
  <c r="AJ662" i="29"/>
  <c r="AK662" i="29" s="1"/>
  <c r="Z657" i="29"/>
  <c r="AA657" i="29" s="1"/>
  <c r="AG564" i="29"/>
  <c r="AH564" i="29" s="1"/>
  <c r="AC495" i="29"/>
  <c r="AJ495" i="29"/>
  <c r="AK495" i="29" s="1"/>
  <c r="AG495" i="29"/>
  <c r="AH495" i="29" s="1"/>
  <c r="AM495" i="29"/>
  <c r="AN495" i="29" s="1"/>
  <c r="AG517" i="29"/>
  <c r="AH517" i="29" s="1"/>
  <c r="AD517" i="29"/>
  <c r="AE517" i="29" s="1"/>
  <c r="Z517" i="29"/>
  <c r="AA517" i="29" s="1"/>
  <c r="AC512" i="29"/>
  <c r="AM456" i="29"/>
  <c r="AN456" i="29" s="1"/>
  <c r="AC456" i="29"/>
  <c r="Z456" i="29"/>
  <c r="AA456" i="29" s="1"/>
  <c r="AD518" i="29"/>
  <c r="AE518" i="29" s="1"/>
  <c r="AM512" i="29"/>
  <c r="AN512" i="29" s="1"/>
  <c r="AD254" i="29"/>
  <c r="AE254" i="29" s="1"/>
  <c r="AJ177" i="29"/>
  <c r="AK177" i="29" s="1"/>
  <c r="AD177" i="29"/>
  <c r="AE177" i="29" s="1"/>
  <c r="AC177" i="29"/>
  <c r="AJ137" i="29"/>
  <c r="AK137" i="29" s="1"/>
  <c r="AD137" i="29"/>
  <c r="AE137" i="29" s="1"/>
  <c r="AC137" i="29"/>
  <c r="AC128" i="29"/>
  <c r="AC158" i="29"/>
  <c r="AC1020" i="29"/>
  <c r="AD1063" i="29"/>
  <c r="AE1063" i="29" s="1"/>
  <c r="AJ781" i="29"/>
  <c r="AK781" i="29" s="1"/>
  <c r="AD816" i="29"/>
  <c r="AE816" i="29" s="1"/>
  <c r="Z816" i="29"/>
  <c r="AA816" i="29" s="1"/>
  <c r="AM807" i="29"/>
  <c r="AN807" i="29" s="1"/>
  <c r="AG842" i="29"/>
  <c r="AH842" i="29" s="1"/>
  <c r="AD842" i="29"/>
  <c r="AE842" i="29" s="1"/>
  <c r="Z842" i="29"/>
  <c r="AA842" i="29" s="1"/>
  <c r="AC842" i="29"/>
  <c r="AM749" i="29"/>
  <c r="AN749" i="29" s="1"/>
  <c r="AC747" i="29"/>
  <c r="AM781" i="29"/>
  <c r="AN781" i="29" s="1"/>
  <c r="AG644" i="29"/>
  <c r="AH644" i="29" s="1"/>
  <c r="AD644" i="29"/>
  <c r="AE644" i="29" s="1"/>
  <c r="AJ560" i="29"/>
  <c r="AK560" i="29" s="1"/>
  <c r="AD560" i="29"/>
  <c r="AE560" i="29" s="1"/>
  <c r="AG560" i="29"/>
  <c r="AH560" i="29" s="1"/>
  <c r="AG608" i="29"/>
  <c r="AH608" i="29" s="1"/>
  <c r="AD608" i="29"/>
  <c r="AE608" i="29" s="1"/>
  <c r="AG605" i="29"/>
  <c r="AH605" i="29" s="1"/>
  <c r="AD605" i="29"/>
  <c r="AE605" i="29" s="1"/>
  <c r="AG534" i="29"/>
  <c r="AH534" i="29" s="1"/>
  <c r="Z534" i="29"/>
  <c r="AA534" i="29" s="1"/>
  <c r="AD534" i="29"/>
  <c r="AE534" i="29" s="1"/>
  <c r="AD508" i="29"/>
  <c r="AE508" i="29" s="1"/>
  <c r="AG508" i="29"/>
  <c r="AH508" i="29" s="1"/>
  <c r="AM453" i="29"/>
  <c r="AN453" i="29" s="1"/>
  <c r="AC447" i="29"/>
  <c r="AJ518" i="29"/>
  <c r="AK518" i="29" s="1"/>
  <c r="Z444" i="29"/>
  <c r="AA444" i="29" s="1"/>
  <c r="AJ222" i="29"/>
  <c r="AK222" i="29" s="1"/>
  <c r="AM329" i="29"/>
  <c r="AN329" i="29" s="1"/>
  <c r="AG254" i="29"/>
  <c r="AH254" i="29" s="1"/>
  <c r="AJ143" i="29"/>
  <c r="AK143" i="29" s="1"/>
  <c r="AD143" i="29"/>
  <c r="AE143" i="29" s="1"/>
  <c r="AG1063" i="29"/>
  <c r="AH1063" i="29" s="1"/>
  <c r="AD813" i="29"/>
  <c r="AE813" i="29" s="1"/>
  <c r="Z813" i="29"/>
  <c r="AA813" i="29" s="1"/>
  <c r="AC804" i="29"/>
  <c r="AC801" i="29"/>
  <c r="AC739" i="29"/>
  <c r="AG558" i="29"/>
  <c r="AH558" i="29" s="1"/>
  <c r="AC558" i="29"/>
  <c r="AG641" i="29"/>
  <c r="AH641" i="29" s="1"/>
  <c r="AD641" i="29"/>
  <c r="AE641" i="29" s="1"/>
  <c r="AM560" i="29"/>
  <c r="AN560" i="29" s="1"/>
  <c r="AD512" i="29"/>
  <c r="AE512" i="29" s="1"/>
  <c r="AG512" i="29"/>
  <c r="AH512" i="29" s="1"/>
  <c r="AD447" i="29"/>
  <c r="AE447" i="29" s="1"/>
  <c r="AJ512" i="29"/>
  <c r="AK512" i="29" s="1"/>
  <c r="AC506" i="29"/>
  <c r="AM506" i="29"/>
  <c r="AN506" i="29" s="1"/>
  <c r="AG506" i="29"/>
  <c r="AH506" i="29" s="1"/>
  <c r="Z547" i="29"/>
  <c r="AA547" i="29" s="1"/>
  <c r="Z508" i="29"/>
  <c r="AA508" i="29" s="1"/>
  <c r="AM450" i="29"/>
  <c r="AN450" i="29" s="1"/>
  <c r="AG453" i="29"/>
  <c r="AH453" i="29" s="1"/>
  <c r="Z453" i="29"/>
  <c r="AA453" i="29" s="1"/>
  <c r="AM257" i="29"/>
  <c r="AN257" i="29" s="1"/>
  <c r="Z254" i="29"/>
  <c r="AA254" i="29" s="1"/>
  <c r="AJ146" i="29"/>
  <c r="AK146" i="29" s="1"/>
  <c r="AD146" i="29"/>
  <c r="AE146" i="29" s="1"/>
  <c r="AC146" i="29"/>
  <c r="AC174" i="29"/>
  <c r="AG839" i="29"/>
  <c r="AH839" i="29" s="1"/>
  <c r="AD839" i="29"/>
  <c r="AE839" i="29" s="1"/>
  <c r="Z839" i="29"/>
  <c r="AA839" i="29" s="1"/>
  <c r="AC839" i="29"/>
  <c r="AJ811" i="29"/>
  <c r="AK811" i="29" s="1"/>
  <c r="AD811" i="29"/>
  <c r="AE811" i="29" s="1"/>
  <c r="AM404" i="29"/>
  <c r="AN404" i="29" s="1"/>
  <c r="AM158" i="29"/>
  <c r="AN158" i="29" s="1"/>
  <c r="AJ155" i="29"/>
  <c r="AK155" i="29" s="1"/>
  <c r="AC155" i="29"/>
  <c r="AD155" i="29"/>
  <c r="AE155" i="29" s="1"/>
  <c r="AM846" i="29"/>
  <c r="AN846" i="29" s="1"/>
  <c r="Z846" i="29"/>
  <c r="AA846" i="29" s="1"/>
  <c r="AD810" i="29"/>
  <c r="AE810" i="29" s="1"/>
  <c r="Z810" i="29"/>
  <c r="AA810" i="29" s="1"/>
  <c r="AC796" i="29"/>
  <c r="AC811" i="29"/>
  <c r="AC792" i="29"/>
  <c r="AM746" i="29"/>
  <c r="AN746" i="29" s="1"/>
  <c r="Z747" i="29"/>
  <c r="AA747" i="29" s="1"/>
  <c r="AC808" i="29"/>
  <c r="AG635" i="29"/>
  <c r="AH635" i="29" s="1"/>
  <c r="AD635" i="29"/>
  <c r="AE635" i="29" s="1"/>
  <c r="Z602" i="29"/>
  <c r="AA602" i="29" s="1"/>
  <c r="AM644" i="29"/>
  <c r="AN644" i="29" s="1"/>
  <c r="AD559" i="29"/>
  <c r="AE559" i="29" s="1"/>
  <c r="Z559" i="29"/>
  <c r="AA559" i="29" s="1"/>
  <c r="Z644" i="29"/>
  <c r="AA644" i="29" s="1"/>
  <c r="AG520" i="29"/>
  <c r="AH520" i="29" s="1"/>
  <c r="AD520" i="29"/>
  <c r="AE520" i="29" s="1"/>
  <c r="Z520" i="29"/>
  <c r="AA520" i="29" s="1"/>
  <c r="AJ506" i="29"/>
  <c r="AK506" i="29" s="1"/>
  <c r="AC520" i="29"/>
  <c r="AM447" i="29"/>
  <c r="AN447" i="29" s="1"/>
  <c r="Z447" i="29"/>
  <c r="AA447" i="29" s="1"/>
  <c r="AD495" i="29"/>
  <c r="AE495" i="29" s="1"/>
  <c r="AD506" i="29"/>
  <c r="AE506" i="29" s="1"/>
  <c r="AG450" i="29"/>
  <c r="AH450" i="29" s="1"/>
  <c r="AM222" i="29"/>
  <c r="AN222" i="29" s="1"/>
  <c r="AM235" i="29"/>
  <c r="AN235" i="29" s="1"/>
  <c r="AC404" i="29"/>
  <c r="AC240" i="29"/>
  <c r="AJ161" i="29"/>
  <c r="AK161" i="29" s="1"/>
  <c r="AD161" i="29"/>
  <c r="AE161" i="29" s="1"/>
  <c r="AJ131" i="29"/>
  <c r="AK131" i="29" s="1"/>
  <c r="AD131" i="29"/>
  <c r="AE131" i="29" s="1"/>
  <c r="AJ180" i="29"/>
  <c r="AK180" i="29" s="1"/>
  <c r="AD180" i="29"/>
  <c r="AE180" i="29" s="1"/>
  <c r="AJ140" i="29"/>
  <c r="AK140" i="29" s="1"/>
  <c r="AD140" i="29"/>
  <c r="AE140" i="29" s="1"/>
  <c r="AM161" i="29"/>
  <c r="AN161" i="29" s="1"/>
  <c r="AG1020" i="29"/>
  <c r="AH1020" i="29" s="1"/>
  <c r="AM1045" i="29"/>
  <c r="AN1045" i="29" s="1"/>
  <c r="AM1063" i="29"/>
  <c r="AN1063" i="29" s="1"/>
  <c r="AJ839" i="29"/>
  <c r="AK839" i="29" s="1"/>
  <c r="AD795" i="29"/>
  <c r="AE795" i="29" s="1"/>
  <c r="AM801" i="29"/>
  <c r="AN801" i="29" s="1"/>
  <c r="Z781" i="29"/>
  <c r="AA781" i="29" s="1"/>
  <c r="Z805" i="29"/>
  <c r="AA805" i="29" s="1"/>
  <c r="Z793" i="29"/>
  <c r="AA793" i="29" s="1"/>
  <c r="AC790" i="29"/>
  <c r="AG804" i="29"/>
  <c r="AH804" i="29" s="1"/>
  <c r="AC802" i="29"/>
  <c r="AC814" i="29"/>
  <c r="AJ752" i="29"/>
  <c r="AK752" i="29" s="1"/>
  <c r="AD657" i="29"/>
  <c r="AE657" i="29" s="1"/>
  <c r="Z667" i="29"/>
  <c r="AA667" i="29" s="1"/>
  <c r="AJ608" i="29"/>
  <c r="AK608" i="29" s="1"/>
  <c r="AC670" i="29"/>
  <c r="Z608" i="29"/>
  <c r="AA608" i="29" s="1"/>
  <c r="Z641" i="29"/>
  <c r="AA641" i="29" s="1"/>
  <c r="AC629" i="29"/>
  <c r="AG632" i="29"/>
  <c r="AH632" i="29" s="1"/>
  <c r="AD632" i="29"/>
  <c r="AE632" i="29" s="1"/>
  <c r="Z635" i="29"/>
  <c r="AA635" i="29" s="1"/>
  <c r="AG525" i="29"/>
  <c r="AH525" i="29" s="1"/>
  <c r="AD525" i="29"/>
  <c r="AE525" i="29" s="1"/>
  <c r="Z525" i="29"/>
  <c r="AA525" i="29" s="1"/>
  <c r="AM558" i="29"/>
  <c r="AN558" i="29" s="1"/>
  <c r="AM517" i="29"/>
  <c r="AN517" i="29" s="1"/>
  <c r="AD456" i="29"/>
  <c r="AE456" i="29" s="1"/>
  <c r="AC547" i="29"/>
  <c r="AJ547" i="29"/>
  <c r="AK547" i="29" s="1"/>
  <c r="AG456" i="29"/>
  <c r="AH456" i="29" s="1"/>
  <c r="AC509" i="29"/>
  <c r="Z257" i="29"/>
  <c r="AA257" i="29" s="1"/>
  <c r="AJ171" i="29"/>
  <c r="AK171" i="29" s="1"/>
  <c r="AD171" i="29"/>
  <c r="AE171" i="29" s="1"/>
  <c r="AJ134" i="29"/>
  <c r="AK134" i="29" s="1"/>
  <c r="AD134" i="29"/>
  <c r="AE134" i="29" s="1"/>
  <c r="AJ122" i="29"/>
  <c r="AK122" i="29" s="1"/>
  <c r="AD122" i="29"/>
  <c r="AE122" i="29" s="1"/>
  <c r="Z185" i="29"/>
  <c r="AA185" i="29" s="1"/>
  <c r="AM185" i="29"/>
  <c r="AN185" i="29" s="1"/>
  <c r="AJ185" i="29"/>
  <c r="AK185" i="29" s="1"/>
  <c r="AJ152" i="29"/>
  <c r="AK152" i="29" s="1"/>
  <c r="AD152" i="29"/>
  <c r="AE152" i="29" s="1"/>
  <c r="AC131" i="29"/>
  <c r="AM1012" i="29"/>
  <c r="AN1012" i="29" s="1"/>
  <c r="AJ1060" i="29"/>
  <c r="AK1060" i="29" s="1"/>
  <c r="AC1060" i="29"/>
  <c r="AJ816" i="29"/>
  <c r="AK816" i="29" s="1"/>
  <c r="AJ804" i="29"/>
  <c r="AK804" i="29" s="1"/>
  <c r="AJ792" i="29"/>
  <c r="AK792" i="29" s="1"/>
  <c r="AG795" i="29"/>
  <c r="AH795" i="29" s="1"/>
  <c r="AM808" i="29"/>
  <c r="AN808" i="29" s="1"/>
  <c r="AG816" i="29"/>
  <c r="AH816" i="29" s="1"/>
  <c r="AM743" i="29"/>
  <c r="AN743" i="29" s="1"/>
  <c r="AG807" i="29"/>
  <c r="AH807" i="29" s="1"/>
  <c r="AC781" i="29"/>
  <c r="Z749" i="29"/>
  <c r="AA749" i="29" s="1"/>
  <c r="AC749" i="29"/>
  <c r="AC667" i="29"/>
  <c r="AG638" i="29"/>
  <c r="AH638" i="29" s="1"/>
  <c r="AD638" i="29"/>
  <c r="AE638" i="29" s="1"/>
  <c r="AM608" i="29"/>
  <c r="AN608" i="29" s="1"/>
  <c r="AC534" i="29"/>
  <c r="AM534" i="29"/>
  <c r="AN534" i="29" s="1"/>
  <c r="AG526" i="29"/>
  <c r="AH526" i="29" s="1"/>
  <c r="AC453" i="29"/>
  <c r="AC450" i="29"/>
  <c r="AJ149" i="29"/>
  <c r="AK149" i="29" s="1"/>
  <c r="AD149" i="29"/>
  <c r="AE149" i="29" s="1"/>
  <c r="AC140" i="29"/>
  <c r="AM1014" i="29"/>
  <c r="AN1014" i="29" s="1"/>
  <c r="AC1045" i="29"/>
  <c r="Z1045" i="29"/>
  <c r="AA1045" i="29" s="1"/>
  <c r="AD1060" i="29"/>
  <c r="AE1060" i="29" s="1"/>
  <c r="AD807" i="29"/>
  <c r="AE807" i="29" s="1"/>
  <c r="AD792" i="29"/>
  <c r="AE792" i="29" s="1"/>
  <c r="AM816" i="29"/>
  <c r="AN816" i="29" s="1"/>
  <c r="AG789" i="29"/>
  <c r="AH789" i="29" s="1"/>
  <c r="AG747" i="29"/>
  <c r="AH747" i="29" s="1"/>
  <c r="AC805" i="29"/>
  <c r="AM842" i="29"/>
  <c r="AN842" i="29" s="1"/>
  <c r="Z744" i="29"/>
  <c r="AA744" i="29" s="1"/>
  <c r="AM747" i="29"/>
  <c r="AN747" i="29" s="1"/>
  <c r="AC744" i="29"/>
  <c r="Z662" i="29"/>
  <c r="AA662" i="29" s="1"/>
  <c r="AM740" i="29"/>
  <c r="AN740" i="29" s="1"/>
  <c r="Z605" i="29"/>
  <c r="AA605" i="29" s="1"/>
  <c r="AG447" i="29"/>
  <c r="AH447" i="29" s="1"/>
  <c r="AG514" i="29"/>
  <c r="AH514" i="29" s="1"/>
  <c r="AD514" i="29"/>
  <c r="AE514" i="29" s="1"/>
  <c r="Z514" i="29"/>
  <c r="AA514" i="29" s="1"/>
  <c r="AM514" i="29"/>
  <c r="AN514" i="29" s="1"/>
  <c r="AC525" i="29"/>
  <c r="AC514" i="29"/>
  <c r="AC526" i="29"/>
  <c r="AD523" i="29"/>
  <c r="AE523" i="29" s="1"/>
  <c r="AM523" i="29"/>
  <c r="AN523" i="29" s="1"/>
  <c r="Z450" i="29"/>
  <c r="AA450" i="29" s="1"/>
  <c r="AC243" i="29"/>
  <c r="Z222" i="29"/>
  <c r="AA222" i="29" s="1"/>
  <c r="AJ257" i="29"/>
  <c r="AK257" i="29" s="1"/>
  <c r="Z194" i="29"/>
  <c r="AA194" i="29" s="1"/>
  <c r="AJ168" i="29"/>
  <c r="AK168" i="29" s="1"/>
  <c r="AD168" i="29"/>
  <c r="AE168" i="29" s="1"/>
  <c r="AC168" i="29"/>
  <c r="AC125" i="29"/>
  <c r="AJ1045" i="29"/>
  <c r="AK1045" i="29" s="1"/>
  <c r="AM1060" i="29"/>
  <c r="AN1060" i="29" s="1"/>
  <c r="AG811" i="29"/>
  <c r="AH811" i="29" s="1"/>
  <c r="Z820" i="29"/>
  <c r="AA820" i="29" s="1"/>
  <c r="AM811" i="29"/>
  <c r="AN811" i="29" s="1"/>
  <c r="AD746" i="29"/>
  <c r="AE746" i="29" s="1"/>
  <c r="Z746" i="29"/>
  <c r="AA746" i="29" s="1"/>
  <c r="AJ820" i="29"/>
  <c r="AK820" i="29" s="1"/>
  <c r="AG739" i="29"/>
  <c r="AH739" i="29" s="1"/>
  <c r="AM744" i="29"/>
  <c r="AN744" i="29" s="1"/>
  <c r="AC608" i="29"/>
  <c r="AG528" i="29"/>
  <c r="AH528" i="29" s="1"/>
  <c r="AD528" i="29"/>
  <c r="AE528" i="29" s="1"/>
  <c r="Z528" i="29"/>
  <c r="AA528" i="29" s="1"/>
  <c r="AJ511" i="29"/>
  <c r="AK511" i="29" s="1"/>
  <c r="AJ329" i="29"/>
  <c r="AK329" i="29" s="1"/>
  <c r="AG329" i="29"/>
  <c r="AH329" i="29" s="1"/>
  <c r="AD329" i="29"/>
  <c r="AE329" i="29" s="1"/>
  <c r="AC222" i="29"/>
  <c r="AD257" i="29"/>
  <c r="AE257" i="29" s="1"/>
  <c r="AJ183" i="29"/>
  <c r="AK183" i="29" s="1"/>
  <c r="AC1014" i="29"/>
  <c r="AC795" i="29"/>
  <c r="AD743" i="29"/>
  <c r="AE743" i="29" s="1"/>
  <c r="Z743" i="29"/>
  <c r="AA743" i="29" s="1"/>
  <c r="AC820" i="29"/>
  <c r="AC807" i="29"/>
  <c r="AJ749" i="29"/>
  <c r="AK749" i="29" s="1"/>
  <c r="AC746" i="29"/>
  <c r="AC793" i="29"/>
  <c r="AC752" i="29"/>
  <c r="Z564" i="29"/>
  <c r="AA564" i="29" s="1"/>
  <c r="AJ564" i="29"/>
  <c r="AK564" i="29" s="1"/>
  <c r="AG599" i="29"/>
  <c r="AH599" i="29" s="1"/>
  <c r="AD599" i="29"/>
  <c r="AE599" i="29" s="1"/>
  <c r="Z421" i="29"/>
  <c r="AA421" i="29" s="1"/>
  <c r="AD421" i="29"/>
  <c r="AE421" i="29" s="1"/>
  <c r="AC500" i="29"/>
  <c r="AG500" i="29"/>
  <c r="AH500" i="29" s="1"/>
  <c r="AG257" i="29"/>
  <c r="AH257" i="29" s="1"/>
  <c r="AJ119" i="29"/>
  <c r="AK119" i="29" s="1"/>
  <c r="AD119" i="29"/>
  <c r="AE119" i="29" s="1"/>
  <c r="AG87" i="29"/>
  <c r="AH87" i="29" s="1"/>
  <c r="AD87" i="29"/>
  <c r="AE87" i="29" s="1"/>
  <c r="Z87" i="29"/>
  <c r="AA87" i="29" s="1"/>
  <c r="AJ87" i="29"/>
  <c r="AK87" i="29" s="1"/>
  <c r="AC87" i="29"/>
  <c r="AC143" i="29"/>
  <c r="AS900" i="29" l="1"/>
  <c r="AR900" i="29"/>
  <c r="AQ900" i="29"/>
  <c r="AP900" i="29"/>
  <c r="AS899" i="29"/>
  <c r="AR899" i="29"/>
  <c r="AQ899" i="29"/>
  <c r="AP899" i="29"/>
  <c r="AS911" i="29"/>
  <c r="AR911" i="29"/>
  <c r="AQ911" i="29"/>
  <c r="AP911" i="29"/>
  <c r="AS910" i="29"/>
  <c r="AR910" i="29"/>
  <c r="AQ910" i="29"/>
  <c r="AP910" i="29"/>
  <c r="AS915" i="29" l="1"/>
  <c r="AR915" i="29"/>
  <c r="AQ915" i="29"/>
  <c r="AP915" i="29"/>
  <c r="AS914" i="29"/>
  <c r="AR914" i="29"/>
  <c r="AQ914" i="29"/>
  <c r="AP914" i="29"/>
  <c r="AS289" i="29"/>
  <c r="AR289" i="29"/>
  <c r="AQ289" i="29"/>
  <c r="AP289" i="29"/>
  <c r="AS690" i="29" l="1"/>
  <c r="AR690" i="29"/>
  <c r="AQ690" i="29"/>
  <c r="AP690" i="29"/>
  <c r="AS841" i="29"/>
  <c r="AR841" i="29"/>
  <c r="AQ841" i="29"/>
  <c r="AP841" i="29"/>
  <c r="AS420" i="29"/>
  <c r="AR420" i="29"/>
  <c r="AQ420" i="29"/>
  <c r="AP420" i="29"/>
  <c r="AS236" i="29"/>
  <c r="AR236" i="29"/>
  <c r="AQ236" i="29"/>
  <c r="AP236" i="29"/>
  <c r="AS488" i="29"/>
  <c r="AR488" i="29"/>
  <c r="AQ488" i="29"/>
  <c r="AP488" i="29"/>
  <c r="AS421" i="29"/>
  <c r="AR421" i="29"/>
  <c r="AQ421" i="29"/>
  <c r="AP421" i="29"/>
  <c r="AS42" i="29"/>
  <c r="AR42" i="29"/>
  <c r="AQ42" i="29"/>
  <c r="AP42" i="29"/>
  <c r="AS814" i="29" l="1"/>
  <c r="AR814" i="29"/>
  <c r="AQ814" i="29"/>
  <c r="AP814" i="29"/>
  <c r="AS422" i="29"/>
  <c r="AR422" i="29"/>
  <c r="AQ422" i="29"/>
  <c r="AP422" i="29"/>
  <c r="AS423" i="29"/>
  <c r="AR423" i="29"/>
  <c r="AQ423" i="29"/>
  <c r="AP423" i="29"/>
  <c r="AS43" i="29"/>
  <c r="AR43" i="29"/>
  <c r="AQ43" i="29"/>
  <c r="AP43" i="29"/>
  <c r="AS11" i="29"/>
  <c r="AR11" i="29"/>
  <c r="AQ11" i="29"/>
  <c r="AP11" i="29"/>
  <c r="AS934" i="29"/>
  <c r="AR934" i="29"/>
  <c r="AQ934" i="29"/>
  <c r="AP934" i="29"/>
  <c r="AS933" i="29"/>
  <c r="AR933" i="29"/>
  <c r="AQ933" i="29"/>
  <c r="AP933" i="29"/>
  <c r="AS923" i="29" l="1"/>
  <c r="AR923" i="29"/>
  <c r="AQ923" i="29"/>
  <c r="AP923" i="29"/>
  <c r="AS627" i="29" l="1"/>
  <c r="AR627" i="29"/>
  <c r="AQ627" i="29"/>
  <c r="AP627" i="29"/>
  <c r="AS424" i="29"/>
  <c r="AR424" i="29"/>
  <c r="AQ424" i="29"/>
  <c r="AP424" i="29"/>
  <c r="AS101" i="29" l="1"/>
  <c r="AR101" i="29"/>
  <c r="AQ101" i="29"/>
  <c r="AP101" i="29"/>
  <c r="AS100" i="29"/>
  <c r="AR100" i="29"/>
  <c r="AQ100" i="29"/>
  <c r="AP100" i="29"/>
  <c r="AS44" i="29"/>
  <c r="AR44" i="29"/>
  <c r="AQ44" i="29"/>
  <c r="AP44" i="29"/>
  <c r="AS45" i="29"/>
  <c r="AR45" i="29"/>
  <c r="AQ45" i="29"/>
  <c r="AP45" i="29"/>
  <c r="AS425" i="29" l="1"/>
  <c r="AR425" i="29"/>
  <c r="AQ425" i="29"/>
  <c r="AP425" i="29"/>
  <c r="AS851" i="29" l="1"/>
  <c r="AR851" i="29"/>
  <c r="AQ851" i="29"/>
  <c r="AP851" i="29"/>
  <c r="AS924" i="29" l="1"/>
  <c r="AR924" i="29"/>
  <c r="AQ924" i="29"/>
  <c r="AP924" i="29"/>
  <c r="AS691" i="29" l="1"/>
  <c r="AR691" i="29"/>
  <c r="AQ691" i="29"/>
  <c r="AP691" i="29"/>
  <c r="AS692" i="29"/>
  <c r="AR692" i="29"/>
  <c r="AQ692" i="29"/>
  <c r="AP692" i="29"/>
  <c r="AS693" i="29"/>
  <c r="AR693" i="29"/>
  <c r="AQ693" i="29"/>
  <c r="AP693" i="29"/>
  <c r="AS723" i="29"/>
  <c r="AR723" i="29"/>
  <c r="AQ723" i="29"/>
  <c r="AP723" i="29"/>
  <c r="AS506" i="29"/>
  <c r="AR506" i="29"/>
  <c r="AQ506" i="29"/>
  <c r="AP506" i="29"/>
  <c r="AS238" i="29"/>
  <c r="AR238" i="29"/>
  <c r="AQ238" i="29"/>
  <c r="AP238" i="29"/>
  <c r="AS237" i="29"/>
  <c r="AR237" i="29"/>
  <c r="AQ237" i="29"/>
  <c r="AP237" i="29"/>
  <c r="AP426" i="29" l="1"/>
  <c r="AQ426" i="29"/>
  <c r="AR426" i="29"/>
  <c r="AS426" i="29"/>
  <c r="AP427" i="29"/>
  <c r="AQ427" i="29"/>
  <c r="AR427" i="29"/>
  <c r="AS427" i="29"/>
  <c r="AS881" i="29" l="1"/>
  <c r="AR881" i="29"/>
  <c r="AQ881" i="29"/>
  <c r="AP881" i="29"/>
  <c r="AS300" i="29"/>
  <c r="AR300" i="29"/>
  <c r="AQ300" i="29"/>
  <c r="AP300" i="29"/>
  <c r="AS299" i="29"/>
  <c r="AR299" i="29"/>
  <c r="AQ299" i="29"/>
  <c r="AP299" i="29"/>
  <c r="AP301" i="29"/>
  <c r="AQ301" i="29"/>
  <c r="AR301" i="29"/>
  <c r="AS301" i="29"/>
  <c r="AP302" i="29"/>
  <c r="AQ302" i="29"/>
  <c r="AR302" i="29"/>
  <c r="AS302" i="29"/>
  <c r="AS310" i="29"/>
  <c r="AR310" i="29"/>
  <c r="AQ310" i="29"/>
  <c r="AP310" i="29"/>
  <c r="AS309" i="29"/>
  <c r="AR309" i="29"/>
  <c r="AQ309" i="29"/>
  <c r="AP309" i="29"/>
  <c r="AS308" i="29"/>
  <c r="AR308" i="29"/>
  <c r="AQ308" i="29"/>
  <c r="AP308" i="29"/>
  <c r="AS628" i="29" l="1"/>
  <c r="AR628" i="29"/>
  <c r="AQ628" i="29"/>
  <c r="AP628" i="29"/>
  <c r="AS239" i="29"/>
  <c r="AR239" i="29"/>
  <c r="AQ239" i="29"/>
  <c r="AP239" i="29"/>
  <c r="AS428" i="29"/>
  <c r="AR428" i="29"/>
  <c r="AQ428" i="29"/>
  <c r="AP428" i="29"/>
  <c r="AS46" i="29"/>
  <c r="AR46" i="29"/>
  <c r="AQ46" i="29"/>
  <c r="AP46" i="29"/>
  <c r="AS590" i="29"/>
  <c r="AR590" i="29"/>
  <c r="AQ590" i="29"/>
  <c r="AP590" i="29"/>
  <c r="AS589" i="29"/>
  <c r="AR589" i="29"/>
  <c r="AQ589" i="29"/>
  <c r="AP589" i="29"/>
  <c r="AP507" i="29" l="1"/>
  <c r="AQ507" i="29"/>
  <c r="AR507" i="29"/>
  <c r="AS507" i="29"/>
  <c r="AS1064" i="29"/>
  <c r="AR1064" i="29"/>
  <c r="AQ1064" i="29"/>
  <c r="AP1064" i="29"/>
  <c r="AS1063" i="29"/>
  <c r="AR1063" i="29"/>
  <c r="AQ1063" i="29"/>
  <c r="AP1063" i="29"/>
  <c r="AS1062" i="29"/>
  <c r="AR1062" i="29"/>
  <c r="AQ1062" i="29"/>
  <c r="AP1062" i="29"/>
  <c r="AS1061" i="29"/>
  <c r="AR1061" i="29"/>
  <c r="AQ1061" i="29"/>
  <c r="AP1061" i="29"/>
  <c r="AS1060" i="29"/>
  <c r="AR1060" i="29"/>
  <c r="AQ1060" i="29"/>
  <c r="AP1060" i="29"/>
  <c r="AS1047" i="29"/>
  <c r="AR1047" i="29"/>
  <c r="AP1047" i="29"/>
  <c r="AS1046" i="29"/>
  <c r="AR1046" i="29"/>
  <c r="AQ1046" i="29"/>
  <c r="AP1046" i="29"/>
  <c r="AS1045" i="29"/>
  <c r="AR1045" i="29"/>
  <c r="AQ1045" i="29"/>
  <c r="AP1045" i="29"/>
  <c r="AS1044" i="29"/>
  <c r="AR1044" i="29"/>
  <c r="AQ1044" i="29"/>
  <c r="AP1044" i="29"/>
  <c r="AS1043" i="29"/>
  <c r="AR1043" i="29"/>
  <c r="AQ1043" i="29"/>
  <c r="AP1043" i="29"/>
  <c r="AS1040" i="29"/>
  <c r="AR1040" i="29"/>
  <c r="AQ1040" i="29"/>
  <c r="AP1040" i="29"/>
  <c r="AS1039" i="29"/>
  <c r="AR1039" i="29"/>
  <c r="AQ1039" i="29"/>
  <c r="AP1039" i="29"/>
  <c r="AS1038" i="29"/>
  <c r="AR1038" i="29"/>
  <c r="AQ1038" i="29"/>
  <c r="AP1038" i="29"/>
  <c r="AS1037" i="29"/>
  <c r="AR1037" i="29"/>
  <c r="AQ1037" i="29"/>
  <c r="AP1037" i="29"/>
  <c r="AS1036" i="29"/>
  <c r="AR1036" i="29"/>
  <c r="AQ1036" i="29"/>
  <c r="AP1036" i="29"/>
  <c r="AS1035" i="29"/>
  <c r="AR1035" i="29"/>
  <c r="AQ1035" i="29"/>
  <c r="AP1035" i="29"/>
  <c r="AS1034" i="29"/>
  <c r="AR1034" i="29"/>
  <c r="AQ1034" i="29"/>
  <c r="AP1034" i="29"/>
  <c r="AS1033" i="29"/>
  <c r="AR1033" i="29"/>
  <c r="AQ1033" i="29"/>
  <c r="AP1033" i="29"/>
  <c r="AS1032" i="29"/>
  <c r="AR1032" i="29"/>
  <c r="AQ1032" i="29"/>
  <c r="AP1032" i="29"/>
  <c r="AS1029" i="29"/>
  <c r="AR1029" i="29"/>
  <c r="AQ1029" i="29"/>
  <c r="AP1029" i="29"/>
  <c r="AS1028" i="29"/>
  <c r="AR1028" i="29"/>
  <c r="AQ1028" i="29"/>
  <c r="AP1028" i="29"/>
  <c r="AS1027" i="29"/>
  <c r="AR1027" i="29"/>
  <c r="AQ1027" i="29"/>
  <c r="AP1027" i="29"/>
  <c r="AS1026" i="29"/>
  <c r="AR1026" i="29"/>
  <c r="AQ1026" i="29"/>
  <c r="AP1026" i="29"/>
  <c r="AS1023" i="29"/>
  <c r="AR1023" i="29"/>
  <c r="AQ1023" i="29"/>
  <c r="AP1023" i="29"/>
  <c r="AS1022" i="29"/>
  <c r="AR1022" i="29"/>
  <c r="AQ1022" i="29"/>
  <c r="AP1022" i="29"/>
  <c r="AS1021" i="29"/>
  <c r="AR1021" i="29"/>
  <c r="AQ1021" i="29"/>
  <c r="AP1021" i="29"/>
  <c r="AS1020" i="29"/>
  <c r="AR1020" i="29"/>
  <c r="AQ1020" i="29"/>
  <c r="AP1020" i="29"/>
  <c r="AS1019" i="29"/>
  <c r="AR1019" i="29"/>
  <c r="AQ1019" i="29"/>
  <c r="AP1019" i="29"/>
  <c r="AS1018" i="29"/>
  <c r="AR1018" i="29"/>
  <c r="AQ1018" i="29"/>
  <c r="AP1018" i="29"/>
  <c r="AS1017" i="29"/>
  <c r="AR1017" i="29"/>
  <c r="AQ1017" i="29"/>
  <c r="AP1017" i="29"/>
  <c r="AS1016" i="29"/>
  <c r="AR1016" i="29"/>
  <c r="AQ1016" i="29"/>
  <c r="AP1016" i="29"/>
  <c r="AS1015" i="29"/>
  <c r="AR1015" i="29"/>
  <c r="AQ1015" i="29"/>
  <c r="AP1015" i="29"/>
  <c r="AS1014" i="29"/>
  <c r="AR1014" i="29"/>
  <c r="AQ1014" i="29"/>
  <c r="AP1014" i="29"/>
  <c r="AS1013" i="29"/>
  <c r="AR1013" i="29"/>
  <c r="AQ1013" i="29"/>
  <c r="AP1013" i="29"/>
  <c r="AS1012" i="29"/>
  <c r="AR1012" i="29"/>
  <c r="AQ1012" i="29"/>
  <c r="AP1012" i="29"/>
  <c r="AS1008" i="29"/>
  <c r="AR1008" i="29"/>
  <c r="AQ1008" i="29"/>
  <c r="AP1008" i="29"/>
  <c r="AS1005" i="29"/>
  <c r="AR1005" i="29"/>
  <c r="AQ1005" i="29"/>
  <c r="AP1005" i="29"/>
  <c r="AS1004" i="29"/>
  <c r="AR1004" i="29"/>
  <c r="AQ1004" i="29"/>
  <c r="AP1004" i="29"/>
  <c r="AS1003" i="29"/>
  <c r="AR1003" i="29"/>
  <c r="AQ1003" i="29"/>
  <c r="AP1003" i="29"/>
  <c r="AS1002" i="29"/>
  <c r="AR1002" i="29"/>
  <c r="AQ1002" i="29"/>
  <c r="AP1002" i="29"/>
  <c r="AS999" i="29"/>
  <c r="AR999" i="29"/>
  <c r="AQ999" i="29"/>
  <c r="AP999" i="29"/>
  <c r="AS998" i="29"/>
  <c r="AR998" i="29"/>
  <c r="AQ998" i="29"/>
  <c r="AP998" i="29"/>
  <c r="AS997" i="29"/>
  <c r="AR997" i="29"/>
  <c r="AQ997" i="29"/>
  <c r="AP997" i="29"/>
  <c r="AS996" i="29"/>
  <c r="AR996" i="29"/>
  <c r="AQ996" i="29"/>
  <c r="AP996" i="29"/>
  <c r="AS993" i="29"/>
  <c r="AR993" i="29"/>
  <c r="AQ993" i="29"/>
  <c r="AP993" i="29"/>
  <c r="AS992" i="29"/>
  <c r="AR992" i="29"/>
  <c r="AQ992" i="29"/>
  <c r="AP992" i="29"/>
  <c r="AS991" i="29"/>
  <c r="AR991" i="29"/>
  <c r="AQ991" i="29"/>
  <c r="AP991" i="29"/>
  <c r="AS990" i="29"/>
  <c r="AR990" i="29"/>
  <c r="AQ990" i="29"/>
  <c r="AP990" i="29"/>
  <c r="AS987" i="29"/>
  <c r="AR987" i="29"/>
  <c r="AQ987" i="29"/>
  <c r="AP987" i="29"/>
  <c r="AS986" i="29"/>
  <c r="AR986" i="29"/>
  <c r="AQ986" i="29"/>
  <c r="AP986" i="29"/>
  <c r="AS985" i="29"/>
  <c r="AR985" i="29"/>
  <c r="AQ985" i="29"/>
  <c r="AP985" i="29"/>
  <c r="AS982" i="29"/>
  <c r="AR982" i="29"/>
  <c r="AQ982" i="29"/>
  <c r="AP982" i="29"/>
  <c r="AS979" i="29"/>
  <c r="AR979" i="29"/>
  <c r="AQ979" i="29"/>
  <c r="AP979" i="29"/>
  <c r="AS978" i="29"/>
  <c r="AR978" i="29"/>
  <c r="AQ978" i="29"/>
  <c r="AP978" i="29"/>
  <c r="AS977" i="29"/>
  <c r="AR977" i="29"/>
  <c r="AQ977" i="29"/>
  <c r="AP977" i="29"/>
  <c r="AS974" i="29"/>
  <c r="AR974" i="29"/>
  <c r="AQ974" i="29"/>
  <c r="AP974" i="29"/>
  <c r="AS973" i="29"/>
  <c r="AR973" i="29"/>
  <c r="AQ973" i="29"/>
  <c r="AP973" i="29"/>
  <c r="AS972" i="29"/>
  <c r="AR972" i="29"/>
  <c r="AQ972" i="29"/>
  <c r="AP972" i="29"/>
  <c r="AS969" i="29"/>
  <c r="AR969" i="29"/>
  <c r="AQ969" i="29"/>
  <c r="AP969" i="29"/>
  <c r="AS968" i="29"/>
  <c r="AR968" i="29"/>
  <c r="AQ968" i="29"/>
  <c r="AP968" i="29"/>
  <c r="AS965" i="29"/>
  <c r="AR965" i="29"/>
  <c r="AQ965" i="29"/>
  <c r="AP965" i="29"/>
  <c r="AS962" i="29"/>
  <c r="AR962" i="29"/>
  <c r="AQ962" i="29"/>
  <c r="AP962" i="29"/>
  <c r="AS961" i="29"/>
  <c r="AR961" i="29"/>
  <c r="AQ961" i="29"/>
  <c r="AP961" i="29"/>
  <c r="AS954" i="29"/>
  <c r="AR954" i="29"/>
  <c r="AQ954" i="29"/>
  <c r="AP954" i="29"/>
  <c r="AS953" i="29"/>
  <c r="AR953" i="29"/>
  <c r="AQ953" i="29"/>
  <c r="AP953" i="29"/>
  <c r="AS950" i="29"/>
  <c r="AR950" i="29"/>
  <c r="AQ950" i="29"/>
  <c r="AP950" i="29"/>
  <c r="AS949" i="29"/>
  <c r="AR949" i="29"/>
  <c r="AQ949" i="29"/>
  <c r="AP949" i="29"/>
  <c r="AS946" i="29"/>
  <c r="AR946" i="29"/>
  <c r="AQ946" i="29"/>
  <c r="AP946" i="29"/>
  <c r="AS945" i="29"/>
  <c r="AR945" i="29"/>
  <c r="AQ945" i="29"/>
  <c r="AP945" i="29"/>
  <c r="AS930" i="29"/>
  <c r="AR930" i="29"/>
  <c r="AQ930" i="29"/>
  <c r="AP930" i="29"/>
  <c r="AS929" i="29"/>
  <c r="AR929" i="29"/>
  <c r="AQ929" i="29"/>
  <c r="AP929" i="29"/>
  <c r="AS928" i="29"/>
  <c r="AR928" i="29"/>
  <c r="AQ928" i="29"/>
  <c r="AP928" i="29"/>
  <c r="AS927" i="29"/>
  <c r="AR927" i="29"/>
  <c r="AQ927" i="29"/>
  <c r="AP927" i="29"/>
  <c r="AS926" i="29"/>
  <c r="AR926" i="29"/>
  <c r="AQ926" i="29"/>
  <c r="AP926" i="29"/>
  <c r="AS925" i="29"/>
  <c r="AR925" i="29"/>
  <c r="AQ925" i="29"/>
  <c r="AP925" i="29"/>
  <c r="AS919" i="29"/>
  <c r="AR919" i="29"/>
  <c r="AQ919" i="29"/>
  <c r="AP919" i="29"/>
  <c r="AS918" i="29"/>
  <c r="AR918" i="29"/>
  <c r="AQ918" i="29"/>
  <c r="AP918" i="29"/>
  <c r="AS894" i="29"/>
  <c r="AR894" i="29"/>
  <c r="AQ894" i="29"/>
  <c r="AP894" i="29"/>
  <c r="AS893" i="29"/>
  <c r="AR893" i="29"/>
  <c r="AQ893" i="29"/>
  <c r="AP893" i="29"/>
  <c r="AS892" i="29"/>
  <c r="AR892" i="29"/>
  <c r="AQ892" i="29"/>
  <c r="AP892" i="29"/>
  <c r="AS891" i="29"/>
  <c r="AR891" i="29"/>
  <c r="AQ891" i="29"/>
  <c r="AP891" i="29"/>
  <c r="AS890" i="29"/>
  <c r="AR890" i="29"/>
  <c r="AQ890" i="29"/>
  <c r="AP890" i="29"/>
  <c r="AS889" i="29"/>
  <c r="AR889" i="29"/>
  <c r="AQ889" i="29"/>
  <c r="AP889" i="29"/>
  <c r="AS888" i="29"/>
  <c r="AR888" i="29"/>
  <c r="AQ888" i="29"/>
  <c r="AP888" i="29"/>
  <c r="AS887" i="29"/>
  <c r="AR887" i="29"/>
  <c r="AQ887" i="29"/>
  <c r="AP887" i="29"/>
  <c r="AS886" i="29"/>
  <c r="AR886" i="29"/>
  <c r="AQ886" i="29"/>
  <c r="AP886" i="29"/>
  <c r="AS885" i="29"/>
  <c r="AR885" i="29"/>
  <c r="AQ885" i="29"/>
  <c r="AP885" i="29"/>
  <c r="AS884" i="29"/>
  <c r="AR884" i="29"/>
  <c r="AQ884" i="29"/>
  <c r="AP884" i="29"/>
  <c r="AS883" i="29"/>
  <c r="AR883" i="29"/>
  <c r="AQ883" i="29"/>
  <c r="AP883" i="29"/>
  <c r="AS882" i="29"/>
  <c r="AR882" i="29"/>
  <c r="AQ882" i="29"/>
  <c r="AP882" i="29"/>
  <c r="AS877" i="29"/>
  <c r="AR877" i="29"/>
  <c r="AQ877" i="29"/>
  <c r="AP877" i="29"/>
  <c r="AS876" i="29"/>
  <c r="AR876" i="29"/>
  <c r="AQ876" i="29"/>
  <c r="AP876" i="29"/>
  <c r="AS873" i="29"/>
  <c r="AR873" i="29"/>
  <c r="AQ873" i="29"/>
  <c r="AP873" i="29"/>
  <c r="AS872" i="29"/>
  <c r="AR872" i="29"/>
  <c r="AQ872" i="29"/>
  <c r="AP872" i="29"/>
  <c r="AS869" i="29"/>
  <c r="AR869" i="29"/>
  <c r="AQ869" i="29"/>
  <c r="AP869" i="29"/>
  <c r="AS868" i="29"/>
  <c r="AR868" i="29"/>
  <c r="AQ868" i="29"/>
  <c r="AP868" i="29"/>
  <c r="AS867" i="29"/>
  <c r="AR867" i="29"/>
  <c r="AQ867" i="29"/>
  <c r="AP867" i="29"/>
  <c r="AS866" i="29"/>
  <c r="AR866" i="29"/>
  <c r="AQ866" i="29"/>
  <c r="AP866" i="29"/>
  <c r="AS863" i="29"/>
  <c r="AR863" i="29"/>
  <c r="AQ863" i="29"/>
  <c r="AP863" i="29"/>
  <c r="AS860" i="29"/>
  <c r="AR860" i="29"/>
  <c r="AQ860" i="29"/>
  <c r="AP860" i="29"/>
  <c r="AS859" i="29"/>
  <c r="AR859" i="29"/>
  <c r="AQ859" i="29"/>
  <c r="AP859" i="29"/>
  <c r="AS858" i="29"/>
  <c r="AR858" i="29"/>
  <c r="AQ858" i="29"/>
  <c r="AP858" i="29"/>
  <c r="AS857" i="29"/>
  <c r="AR857" i="29"/>
  <c r="AQ857" i="29"/>
  <c r="AP857" i="29"/>
  <c r="AS856" i="29"/>
  <c r="AR856" i="29"/>
  <c r="AQ856" i="29"/>
  <c r="AP856" i="29"/>
  <c r="AS855" i="29"/>
  <c r="AR855" i="29"/>
  <c r="AQ855" i="29"/>
  <c r="AP855" i="29"/>
  <c r="AS854" i="29"/>
  <c r="AR854" i="29"/>
  <c r="AQ854" i="29"/>
  <c r="AP854" i="29"/>
  <c r="AS853" i="29"/>
  <c r="AR853" i="29"/>
  <c r="AQ853" i="29"/>
  <c r="AP853" i="29"/>
  <c r="AS852" i="29"/>
  <c r="AR852" i="29"/>
  <c r="AQ852" i="29"/>
  <c r="AP852" i="29"/>
  <c r="AS847" i="29"/>
  <c r="AR847" i="29"/>
  <c r="AQ847" i="29"/>
  <c r="AP847" i="29"/>
  <c r="AS846" i="29"/>
  <c r="AR846" i="29"/>
  <c r="AQ846" i="29"/>
  <c r="AP846" i="29"/>
  <c r="AS845" i="29"/>
  <c r="AR845" i="29"/>
  <c r="AQ845" i="29"/>
  <c r="AP845" i="29"/>
  <c r="AS844" i="29"/>
  <c r="AR844" i="29"/>
  <c r="AQ844" i="29"/>
  <c r="AP844" i="29"/>
  <c r="AS843" i="29"/>
  <c r="AR843" i="29"/>
  <c r="AQ843" i="29"/>
  <c r="AP843" i="29"/>
  <c r="AS842" i="29"/>
  <c r="AR842" i="29"/>
  <c r="AQ842" i="29"/>
  <c r="AP842" i="29"/>
  <c r="AS840" i="29"/>
  <c r="AR840" i="29"/>
  <c r="AQ840" i="29"/>
  <c r="AP840" i="29"/>
  <c r="AS839" i="29"/>
  <c r="AR839" i="29"/>
  <c r="AQ839" i="29"/>
  <c r="AP839" i="29"/>
  <c r="AS838" i="29"/>
  <c r="AR838" i="29"/>
  <c r="AQ838" i="29"/>
  <c r="AP838" i="29"/>
  <c r="AS837" i="29"/>
  <c r="AR837" i="29"/>
  <c r="AQ837" i="29"/>
  <c r="AP837" i="29"/>
  <c r="AS836" i="29"/>
  <c r="AR836" i="29"/>
  <c r="AQ836" i="29"/>
  <c r="AP836" i="29"/>
  <c r="AS835" i="29"/>
  <c r="AR835" i="29"/>
  <c r="AQ835" i="29"/>
  <c r="AP835" i="29"/>
  <c r="AS834" i="29"/>
  <c r="AR834" i="29"/>
  <c r="AQ834" i="29"/>
  <c r="AP834" i="29"/>
  <c r="AS830" i="29"/>
  <c r="AR830" i="29"/>
  <c r="AQ830" i="29"/>
  <c r="AP830" i="29"/>
  <c r="AS829" i="29"/>
  <c r="AR829" i="29"/>
  <c r="AQ829" i="29"/>
  <c r="AP829" i="29"/>
  <c r="AS826" i="29"/>
  <c r="AR826" i="29"/>
  <c r="AQ826" i="29"/>
  <c r="AP826" i="29"/>
  <c r="AS823" i="29"/>
  <c r="AR823" i="29"/>
  <c r="AQ823" i="29"/>
  <c r="AP823" i="29"/>
  <c r="AS821" i="29"/>
  <c r="AR821" i="29"/>
  <c r="AQ821" i="29"/>
  <c r="AP821" i="29"/>
  <c r="AS820" i="29"/>
  <c r="AR820" i="29"/>
  <c r="AQ820" i="29"/>
  <c r="AP820" i="29"/>
  <c r="AS819" i="29"/>
  <c r="AR819" i="29"/>
  <c r="AQ819" i="29"/>
  <c r="AP819" i="29"/>
  <c r="AS817" i="29"/>
  <c r="AR817" i="29"/>
  <c r="AQ817" i="29"/>
  <c r="AP817" i="29"/>
  <c r="AS816" i="29"/>
  <c r="AR816" i="29"/>
  <c r="AQ816" i="29"/>
  <c r="AP816" i="29"/>
  <c r="AS815" i="29"/>
  <c r="AR815" i="29"/>
  <c r="AQ815" i="29"/>
  <c r="AP815" i="29"/>
  <c r="AS813" i="29"/>
  <c r="AR813" i="29"/>
  <c r="AQ813" i="29"/>
  <c r="AP813" i="29"/>
  <c r="AS812" i="29"/>
  <c r="AR812" i="29"/>
  <c r="AQ812" i="29"/>
  <c r="AP812" i="29"/>
  <c r="AS811" i="29"/>
  <c r="AR811" i="29"/>
  <c r="AQ811" i="29"/>
  <c r="AP811" i="29"/>
  <c r="AS810" i="29"/>
  <c r="AR810" i="29"/>
  <c r="AQ810" i="29"/>
  <c r="AP810" i="29"/>
  <c r="AS809" i="29"/>
  <c r="AR809" i="29"/>
  <c r="AQ809" i="29"/>
  <c r="AP809" i="29"/>
  <c r="AS808" i="29"/>
  <c r="AR808" i="29"/>
  <c r="AQ808" i="29"/>
  <c r="AP808" i="29"/>
  <c r="AS807" i="29"/>
  <c r="AR807" i="29"/>
  <c r="AQ807" i="29"/>
  <c r="AP807" i="29"/>
  <c r="AS806" i="29"/>
  <c r="AR806" i="29"/>
  <c r="AQ806" i="29"/>
  <c r="AP806" i="29"/>
  <c r="AS805" i="29"/>
  <c r="AR805" i="29"/>
  <c r="AQ805" i="29"/>
  <c r="AP805" i="29"/>
  <c r="AS804" i="29"/>
  <c r="AR804" i="29"/>
  <c r="AQ804" i="29"/>
  <c r="AP804" i="29"/>
  <c r="AS803" i="29"/>
  <c r="AR803" i="29"/>
  <c r="AQ803" i="29"/>
  <c r="AP803" i="29"/>
  <c r="AS802" i="29"/>
  <c r="AR802" i="29"/>
  <c r="AQ802" i="29"/>
  <c r="AP802" i="29"/>
  <c r="AS801" i="29"/>
  <c r="AR801" i="29"/>
  <c r="AQ801" i="29"/>
  <c r="AP801" i="29"/>
  <c r="AS800" i="29"/>
  <c r="AR800" i="29"/>
  <c r="AQ800" i="29"/>
  <c r="AP800" i="29"/>
  <c r="AS799" i="29"/>
  <c r="AR799" i="29"/>
  <c r="AQ799" i="29"/>
  <c r="AP799" i="29"/>
  <c r="AS798" i="29"/>
  <c r="AR798" i="29"/>
  <c r="AQ798" i="29"/>
  <c r="AP798" i="29"/>
  <c r="AS797" i="29"/>
  <c r="AR797" i="29"/>
  <c r="AQ797" i="29"/>
  <c r="AP797" i="29"/>
  <c r="AS796" i="29"/>
  <c r="AR796" i="29"/>
  <c r="AQ796" i="29"/>
  <c r="AP796" i="29"/>
  <c r="AS795" i="29"/>
  <c r="AR795" i="29"/>
  <c r="AQ795" i="29"/>
  <c r="AP795" i="29"/>
  <c r="AS794" i="29"/>
  <c r="AR794" i="29"/>
  <c r="AQ794" i="29"/>
  <c r="AP794" i="29"/>
  <c r="AS793" i="29"/>
  <c r="AR793" i="29"/>
  <c r="AQ793" i="29"/>
  <c r="AP793" i="29"/>
  <c r="AS792" i="29"/>
  <c r="AR792" i="29"/>
  <c r="AQ792" i="29"/>
  <c r="AP792" i="29"/>
  <c r="AS791" i="29"/>
  <c r="AR791" i="29"/>
  <c r="AQ791" i="29"/>
  <c r="AP791" i="29"/>
  <c r="AS788" i="29"/>
  <c r="AR788" i="29"/>
  <c r="AQ788" i="29"/>
  <c r="AP788" i="29"/>
  <c r="AS787" i="29"/>
  <c r="AR787" i="29"/>
  <c r="AQ787" i="29"/>
  <c r="AP787" i="29"/>
  <c r="AS786" i="29"/>
  <c r="AR786" i="29"/>
  <c r="AQ786" i="29"/>
  <c r="AP786" i="29"/>
  <c r="AS785" i="29"/>
  <c r="AR785" i="29"/>
  <c r="AQ785" i="29"/>
  <c r="AP785" i="29"/>
  <c r="AS784" i="29"/>
  <c r="AR784" i="29"/>
  <c r="AQ784" i="29"/>
  <c r="AP784" i="29"/>
  <c r="AS783" i="29"/>
  <c r="AR783" i="29"/>
  <c r="AQ783" i="29"/>
  <c r="AP783" i="29"/>
  <c r="AS782" i="29"/>
  <c r="AR782" i="29"/>
  <c r="AQ782" i="29"/>
  <c r="AP782" i="29"/>
  <c r="AS781" i="29"/>
  <c r="AR781" i="29"/>
  <c r="AQ781" i="29"/>
  <c r="AP781" i="29"/>
  <c r="AS780" i="29"/>
  <c r="AR780" i="29"/>
  <c r="AQ780" i="29"/>
  <c r="AP780" i="29"/>
  <c r="AS779" i="29"/>
  <c r="AR779" i="29"/>
  <c r="AQ779" i="29"/>
  <c r="AP779" i="29"/>
  <c r="AS778" i="29"/>
  <c r="AR778" i="29"/>
  <c r="AQ778" i="29"/>
  <c r="AP778" i="29"/>
  <c r="AS777" i="29"/>
  <c r="AR777" i="29"/>
  <c r="AQ777" i="29"/>
  <c r="AP777" i="29"/>
  <c r="AS776" i="29"/>
  <c r="AR776" i="29"/>
  <c r="AQ776" i="29"/>
  <c r="AP776" i="29"/>
  <c r="AS775" i="29"/>
  <c r="AR775" i="29"/>
  <c r="AQ775" i="29"/>
  <c r="AP775" i="29"/>
  <c r="AS774" i="29"/>
  <c r="AR774" i="29"/>
  <c r="AQ774" i="29"/>
  <c r="AP774" i="29"/>
  <c r="AS773" i="29"/>
  <c r="AR773" i="29"/>
  <c r="AQ773" i="29"/>
  <c r="AP773" i="29"/>
  <c r="AS772" i="29"/>
  <c r="AR772" i="29"/>
  <c r="AQ772" i="29"/>
  <c r="AP772" i="29"/>
  <c r="AS771" i="29"/>
  <c r="AR771" i="29"/>
  <c r="AQ771" i="29"/>
  <c r="AP771" i="29"/>
  <c r="AS770" i="29"/>
  <c r="AR770" i="29"/>
  <c r="AQ770" i="29"/>
  <c r="AP770" i="29"/>
  <c r="AS769" i="29"/>
  <c r="AR769" i="29"/>
  <c r="AQ769" i="29"/>
  <c r="AP769" i="29"/>
  <c r="AS768" i="29"/>
  <c r="AR768" i="29"/>
  <c r="AQ768" i="29"/>
  <c r="AP768" i="29"/>
  <c r="AS767" i="29"/>
  <c r="AR767" i="29"/>
  <c r="AQ767" i="29"/>
  <c r="AP767" i="29"/>
  <c r="AS766" i="29"/>
  <c r="AR766" i="29"/>
  <c r="AQ766" i="29"/>
  <c r="AP766" i="29"/>
  <c r="AS765" i="29"/>
  <c r="AR765" i="29"/>
  <c r="AQ765" i="29"/>
  <c r="AP765" i="29"/>
  <c r="AS764" i="29"/>
  <c r="AR764" i="29"/>
  <c r="AQ764" i="29"/>
  <c r="AP764" i="29"/>
  <c r="AS763" i="29"/>
  <c r="AR763" i="29"/>
  <c r="AQ763" i="29"/>
  <c r="AP763" i="29"/>
  <c r="AS762" i="29"/>
  <c r="AR762" i="29"/>
  <c r="AQ762" i="29"/>
  <c r="AP762" i="29"/>
  <c r="AS761" i="29"/>
  <c r="AR761" i="29"/>
  <c r="AQ761" i="29"/>
  <c r="AP761" i="29"/>
  <c r="AS760" i="29"/>
  <c r="AR760" i="29"/>
  <c r="AQ760" i="29"/>
  <c r="AP760" i="29"/>
  <c r="AS759" i="29"/>
  <c r="AR759" i="29"/>
  <c r="AQ759" i="29"/>
  <c r="AP759" i="29"/>
  <c r="AS758" i="29"/>
  <c r="AR758" i="29"/>
  <c r="AQ758" i="29"/>
  <c r="AP758" i="29"/>
  <c r="AS757" i="29"/>
  <c r="AR757" i="29"/>
  <c r="AQ757" i="29"/>
  <c r="AP757" i="29"/>
  <c r="AS756" i="29"/>
  <c r="AR756" i="29"/>
  <c r="AQ756" i="29"/>
  <c r="AP756" i="29"/>
  <c r="AS755" i="29"/>
  <c r="AR755" i="29"/>
  <c r="AQ755" i="29"/>
  <c r="AP755" i="29"/>
  <c r="AS754" i="29"/>
  <c r="AR754" i="29"/>
  <c r="AQ754" i="29"/>
  <c r="AP754" i="29"/>
  <c r="AS753" i="29"/>
  <c r="AR753" i="29"/>
  <c r="AQ753" i="29"/>
  <c r="AP753" i="29"/>
  <c r="AS752" i="29"/>
  <c r="AR752" i="29"/>
  <c r="AQ752" i="29"/>
  <c r="AP752" i="29"/>
  <c r="AS751" i="29"/>
  <c r="AR751" i="29"/>
  <c r="AQ751" i="29"/>
  <c r="AP751" i="29"/>
  <c r="AS750" i="29"/>
  <c r="AR750" i="29"/>
  <c r="AQ750" i="29"/>
  <c r="AP750" i="29"/>
  <c r="AS749" i="29"/>
  <c r="AR749" i="29"/>
  <c r="AQ749" i="29"/>
  <c r="AP749" i="29"/>
  <c r="AS748" i="29"/>
  <c r="AR748" i="29"/>
  <c r="AQ748" i="29"/>
  <c r="AP748" i="29"/>
  <c r="AS747" i="29"/>
  <c r="AR747" i="29"/>
  <c r="AQ747" i="29"/>
  <c r="AP747" i="29"/>
  <c r="AS746" i="29"/>
  <c r="AR746" i="29"/>
  <c r="AQ746" i="29"/>
  <c r="AP746" i="29"/>
  <c r="AS745" i="29"/>
  <c r="AR745" i="29"/>
  <c r="AQ745" i="29"/>
  <c r="AP745" i="29"/>
  <c r="AS744" i="29"/>
  <c r="AR744" i="29"/>
  <c r="AQ744" i="29"/>
  <c r="AP744" i="29"/>
  <c r="AS743" i="29"/>
  <c r="AR743" i="29"/>
  <c r="AQ743" i="29"/>
  <c r="AP743" i="29"/>
  <c r="AS742" i="29"/>
  <c r="AR742" i="29"/>
  <c r="AQ742" i="29"/>
  <c r="AP742" i="29"/>
  <c r="AS741" i="29"/>
  <c r="AR741" i="29"/>
  <c r="AQ741" i="29"/>
  <c r="AP741" i="29"/>
  <c r="AS740" i="29"/>
  <c r="AR740" i="29"/>
  <c r="AQ740" i="29"/>
  <c r="AP740" i="29"/>
  <c r="AS739" i="29"/>
  <c r="AR739" i="29"/>
  <c r="AQ739" i="29"/>
  <c r="AP739" i="29"/>
  <c r="AS734" i="29"/>
  <c r="AR734" i="29"/>
  <c r="AQ734" i="29"/>
  <c r="AP734" i="29"/>
  <c r="AS733" i="29"/>
  <c r="AR733" i="29"/>
  <c r="AQ733" i="29"/>
  <c r="AP733" i="29"/>
  <c r="AS732" i="29"/>
  <c r="AR732" i="29"/>
  <c r="AQ732" i="29"/>
  <c r="AP732" i="29"/>
  <c r="AS731" i="29"/>
  <c r="AR731" i="29"/>
  <c r="AQ731" i="29"/>
  <c r="AP731" i="29"/>
  <c r="AS730" i="29"/>
  <c r="AR730" i="29"/>
  <c r="AQ730" i="29"/>
  <c r="AP730" i="29"/>
  <c r="AS729" i="29"/>
  <c r="AR729" i="29"/>
  <c r="AQ729" i="29"/>
  <c r="AP729" i="29"/>
  <c r="AS728" i="29"/>
  <c r="AR728" i="29"/>
  <c r="AQ728" i="29"/>
  <c r="AP728" i="29"/>
  <c r="AS727" i="29"/>
  <c r="AR727" i="29"/>
  <c r="AQ727" i="29"/>
  <c r="AP727" i="29"/>
  <c r="AS726" i="29"/>
  <c r="AR726" i="29"/>
  <c r="AQ726" i="29"/>
  <c r="AP726" i="29"/>
  <c r="AS725" i="29"/>
  <c r="AR725" i="29"/>
  <c r="AQ725" i="29"/>
  <c r="AP725" i="29"/>
  <c r="AS724" i="29"/>
  <c r="AR724" i="29"/>
  <c r="AQ724" i="29"/>
  <c r="AP724" i="29"/>
  <c r="AS722" i="29"/>
  <c r="AR722" i="29"/>
  <c r="AQ722" i="29"/>
  <c r="AP722" i="29"/>
  <c r="AS721" i="29"/>
  <c r="AR721" i="29"/>
  <c r="AQ721" i="29"/>
  <c r="AP721" i="29"/>
  <c r="AS720" i="29"/>
  <c r="AR720" i="29"/>
  <c r="AQ720" i="29"/>
  <c r="AP720" i="29"/>
  <c r="AS719" i="29"/>
  <c r="AR719" i="29"/>
  <c r="AQ719" i="29"/>
  <c r="AP719" i="29"/>
  <c r="AS718" i="29"/>
  <c r="AR718" i="29"/>
  <c r="AQ718" i="29"/>
  <c r="AP718" i="29"/>
  <c r="AS717" i="29"/>
  <c r="AR717" i="29"/>
  <c r="AQ717" i="29"/>
  <c r="AP717" i="29"/>
  <c r="AS716" i="29"/>
  <c r="AR716" i="29"/>
  <c r="AQ716" i="29"/>
  <c r="AP716" i="29"/>
  <c r="AS715" i="29"/>
  <c r="AR715" i="29"/>
  <c r="AQ715" i="29"/>
  <c r="AP715" i="29"/>
  <c r="AS714" i="29"/>
  <c r="AR714" i="29"/>
  <c r="AQ714" i="29"/>
  <c r="AP714" i="29"/>
  <c r="AS713" i="29"/>
  <c r="AR713" i="29"/>
  <c r="AQ713" i="29"/>
  <c r="AP713" i="29"/>
  <c r="AS712" i="29"/>
  <c r="AR712" i="29"/>
  <c r="AQ712" i="29"/>
  <c r="AP712" i="29"/>
  <c r="AS711" i="29"/>
  <c r="AR711" i="29"/>
  <c r="AQ711" i="29"/>
  <c r="AP711" i="29"/>
  <c r="AS710" i="29"/>
  <c r="AR710" i="29"/>
  <c r="AQ710" i="29"/>
  <c r="AP710" i="29"/>
  <c r="AS709" i="29"/>
  <c r="AR709" i="29"/>
  <c r="AQ709" i="29"/>
  <c r="AP709" i="29"/>
  <c r="AS708" i="29"/>
  <c r="AR708" i="29"/>
  <c r="AQ708" i="29"/>
  <c r="AP708" i="29"/>
  <c r="AS707" i="29"/>
  <c r="AR707" i="29"/>
  <c r="AQ707" i="29"/>
  <c r="AP707" i="29"/>
  <c r="AS706" i="29"/>
  <c r="AR706" i="29"/>
  <c r="AQ706" i="29"/>
  <c r="AP706" i="29"/>
  <c r="AS705" i="29"/>
  <c r="AR705" i="29"/>
  <c r="AQ705" i="29"/>
  <c r="AP705" i="29"/>
  <c r="AS704" i="29"/>
  <c r="AR704" i="29"/>
  <c r="AQ704" i="29"/>
  <c r="AP704" i="29"/>
  <c r="AS703" i="29"/>
  <c r="AR703" i="29"/>
  <c r="AQ703" i="29"/>
  <c r="AP703" i="29"/>
  <c r="AS702" i="29"/>
  <c r="AR702" i="29"/>
  <c r="AQ702" i="29"/>
  <c r="AP702" i="29"/>
  <c r="AS701" i="29"/>
  <c r="AR701" i="29"/>
  <c r="AQ701" i="29"/>
  <c r="AP701" i="29"/>
  <c r="AS700" i="29"/>
  <c r="AR700" i="29"/>
  <c r="AQ700" i="29"/>
  <c r="AP700" i="29"/>
  <c r="AS699" i="29"/>
  <c r="AR699" i="29"/>
  <c r="AQ699" i="29"/>
  <c r="AP699" i="29"/>
  <c r="AS698" i="29"/>
  <c r="AR698" i="29"/>
  <c r="AQ698" i="29"/>
  <c r="AP698" i="29"/>
  <c r="AS697" i="29"/>
  <c r="AR697" i="29"/>
  <c r="AQ697" i="29"/>
  <c r="AP697" i="29"/>
  <c r="AS696" i="29"/>
  <c r="AR696" i="29"/>
  <c r="AQ696" i="29"/>
  <c r="AP696" i="29"/>
  <c r="AS695" i="29"/>
  <c r="AR695" i="29"/>
  <c r="AQ695" i="29"/>
  <c r="AP695" i="29"/>
  <c r="AS694" i="29"/>
  <c r="AR694" i="29"/>
  <c r="AQ694" i="29"/>
  <c r="AP694" i="29"/>
  <c r="AS684" i="29"/>
  <c r="AR684" i="29"/>
  <c r="AQ684" i="29"/>
  <c r="AP684" i="29"/>
  <c r="AS681" i="29"/>
  <c r="AR681" i="29"/>
  <c r="AQ681" i="29"/>
  <c r="AP681" i="29"/>
  <c r="AS680" i="29"/>
  <c r="AR680" i="29"/>
  <c r="AQ680" i="29"/>
  <c r="AP680" i="29"/>
  <c r="AS679" i="29"/>
  <c r="AR679" i="29"/>
  <c r="AQ679" i="29"/>
  <c r="AP679" i="29"/>
  <c r="AS678" i="29"/>
  <c r="AR678" i="29"/>
  <c r="AQ678" i="29"/>
  <c r="AP678" i="29"/>
  <c r="AS677" i="29"/>
  <c r="AR677" i="29"/>
  <c r="AQ677" i="29"/>
  <c r="AP677" i="29"/>
  <c r="AS676" i="29"/>
  <c r="AR676" i="29"/>
  <c r="AQ676" i="29"/>
  <c r="AP676" i="29"/>
  <c r="AS675" i="29"/>
  <c r="AR675" i="29"/>
  <c r="AQ675" i="29"/>
  <c r="AP675" i="29"/>
  <c r="AS672" i="29"/>
  <c r="AR672" i="29"/>
  <c r="AQ672" i="29"/>
  <c r="AP672" i="29"/>
  <c r="AS671" i="29"/>
  <c r="AR671" i="29"/>
  <c r="AQ671" i="29"/>
  <c r="AP671" i="29"/>
  <c r="AS670" i="29"/>
  <c r="AR670" i="29"/>
  <c r="AQ670" i="29"/>
  <c r="AP670" i="29"/>
  <c r="AS669" i="29"/>
  <c r="AR669" i="29"/>
  <c r="AQ669" i="29"/>
  <c r="AP669" i="29"/>
  <c r="AS668" i="29"/>
  <c r="AR668" i="29"/>
  <c r="AQ668" i="29"/>
  <c r="AP668" i="29"/>
  <c r="AS667" i="29"/>
  <c r="AR667" i="29"/>
  <c r="AQ667" i="29"/>
  <c r="AP667" i="29"/>
  <c r="AS666" i="29"/>
  <c r="AR666" i="29"/>
  <c r="AQ666" i="29"/>
  <c r="AP666" i="29"/>
  <c r="AS663" i="29"/>
  <c r="AR663" i="29"/>
  <c r="AQ663" i="29"/>
  <c r="AP663" i="29"/>
  <c r="AS662" i="29"/>
  <c r="AR662" i="29"/>
  <c r="AQ662" i="29"/>
  <c r="AP662" i="29"/>
  <c r="AS659" i="29"/>
  <c r="AR659" i="29"/>
  <c r="AQ659" i="29"/>
  <c r="AP659" i="29"/>
  <c r="AS658" i="29"/>
  <c r="AR658" i="29"/>
  <c r="AQ658" i="29"/>
  <c r="AP658" i="29"/>
  <c r="AS657" i="29"/>
  <c r="AR657" i="29"/>
  <c r="AQ657" i="29"/>
  <c r="AP657" i="29"/>
  <c r="AS654" i="29"/>
  <c r="AR654" i="29"/>
  <c r="AQ654" i="29"/>
  <c r="AP654" i="29"/>
  <c r="AS652" i="29"/>
  <c r="AR652" i="29"/>
  <c r="AQ652" i="29"/>
  <c r="AP652" i="29"/>
  <c r="AS651" i="29"/>
  <c r="AR651" i="29"/>
  <c r="AQ651" i="29"/>
  <c r="AP651" i="29"/>
  <c r="AS650" i="29"/>
  <c r="AR650" i="29"/>
  <c r="AQ650" i="29"/>
  <c r="AP650" i="29"/>
  <c r="AS649" i="29"/>
  <c r="AR649" i="29"/>
  <c r="AQ649" i="29"/>
  <c r="AP649" i="29"/>
  <c r="AS644" i="29"/>
  <c r="AR644" i="29"/>
  <c r="AQ644" i="29"/>
  <c r="AP644" i="29"/>
  <c r="AS643" i="29"/>
  <c r="AR643" i="29"/>
  <c r="AQ643" i="29"/>
  <c r="AP643" i="29"/>
  <c r="AS642" i="29"/>
  <c r="AR642" i="29"/>
  <c r="AQ642" i="29"/>
  <c r="AP642" i="29"/>
  <c r="AS641" i="29"/>
  <c r="AR641" i="29"/>
  <c r="AQ641" i="29"/>
  <c r="AP641" i="29"/>
  <c r="AS640" i="29"/>
  <c r="AR640" i="29"/>
  <c r="AQ640" i="29"/>
  <c r="AP640" i="29"/>
  <c r="AS639" i="29"/>
  <c r="AR639" i="29"/>
  <c r="AQ639" i="29"/>
  <c r="AP639" i="29"/>
  <c r="AS638" i="29"/>
  <c r="AR638" i="29"/>
  <c r="AQ638" i="29"/>
  <c r="AP638" i="29"/>
  <c r="AS637" i="29"/>
  <c r="AR637" i="29"/>
  <c r="AQ637" i="29"/>
  <c r="AP637" i="29"/>
  <c r="AS636" i="29"/>
  <c r="AR636" i="29"/>
  <c r="AQ636" i="29"/>
  <c r="AP636" i="29"/>
  <c r="AS635" i="29"/>
  <c r="AR635" i="29"/>
  <c r="AQ635" i="29"/>
  <c r="AP635" i="29"/>
  <c r="AS634" i="29"/>
  <c r="AR634" i="29"/>
  <c r="AQ634" i="29"/>
  <c r="AP634" i="29"/>
  <c r="AS633" i="29"/>
  <c r="AR633" i="29"/>
  <c r="AQ633" i="29"/>
  <c r="AP633" i="29"/>
  <c r="AS631" i="29"/>
  <c r="AR631" i="29"/>
  <c r="AQ631" i="29"/>
  <c r="AP631" i="29"/>
  <c r="AS630" i="29"/>
  <c r="AR630" i="29"/>
  <c r="AQ630" i="29"/>
  <c r="AP630" i="29"/>
  <c r="AS629" i="29"/>
  <c r="AR629" i="29"/>
  <c r="AQ629" i="29"/>
  <c r="AP629" i="29"/>
  <c r="AS622" i="29"/>
  <c r="AR622" i="29"/>
  <c r="AQ622" i="29"/>
  <c r="AP622" i="29"/>
  <c r="AS621" i="29"/>
  <c r="AR621" i="29"/>
  <c r="AQ621" i="29"/>
  <c r="AP621" i="29"/>
  <c r="AS620" i="29"/>
  <c r="AR620" i="29"/>
  <c r="AQ620" i="29"/>
  <c r="AP620" i="29"/>
  <c r="AS617" i="29"/>
  <c r="AR617" i="29"/>
  <c r="AQ617" i="29"/>
  <c r="AP617" i="29"/>
  <c r="AS616" i="29"/>
  <c r="AR616" i="29"/>
  <c r="AQ616" i="29"/>
  <c r="AP616" i="29"/>
  <c r="AS615" i="29"/>
  <c r="AR615" i="29"/>
  <c r="AQ615" i="29"/>
  <c r="AP615" i="29"/>
  <c r="AS614" i="29"/>
  <c r="AR614" i="29"/>
  <c r="AQ614" i="29"/>
  <c r="AP614" i="29"/>
  <c r="AS611" i="29"/>
  <c r="AR611" i="29"/>
  <c r="AQ611" i="29"/>
  <c r="AP611" i="29"/>
  <c r="AS610" i="29"/>
  <c r="AR610" i="29"/>
  <c r="AQ610" i="29"/>
  <c r="AP610" i="29"/>
  <c r="AS609" i="29"/>
  <c r="AR609" i="29"/>
  <c r="AQ609" i="29"/>
  <c r="AP609" i="29"/>
  <c r="AS608" i="29"/>
  <c r="AR608" i="29"/>
  <c r="AQ608" i="29"/>
  <c r="AP608" i="29"/>
  <c r="AS607" i="29"/>
  <c r="AR607" i="29"/>
  <c r="AQ607" i="29"/>
  <c r="AP607" i="29"/>
  <c r="AS606" i="29"/>
  <c r="AR606" i="29"/>
  <c r="AQ606" i="29"/>
  <c r="AP606" i="29"/>
  <c r="AS605" i="29"/>
  <c r="AR605" i="29"/>
  <c r="AQ605" i="29"/>
  <c r="AP605" i="29"/>
  <c r="AS604" i="29"/>
  <c r="AR604" i="29"/>
  <c r="AQ604" i="29"/>
  <c r="AP604" i="29"/>
  <c r="AS603" i="29"/>
  <c r="AR603" i="29"/>
  <c r="AQ603" i="29"/>
  <c r="AP603" i="29"/>
  <c r="AS602" i="29"/>
  <c r="AR602" i="29"/>
  <c r="AQ602" i="29"/>
  <c r="AP602" i="29"/>
  <c r="AS601" i="29"/>
  <c r="AR601" i="29"/>
  <c r="AQ601" i="29"/>
  <c r="AP601" i="29"/>
  <c r="AS600" i="29"/>
  <c r="AR600" i="29"/>
  <c r="AQ600" i="29"/>
  <c r="AP600" i="29"/>
  <c r="AS599" i="29"/>
  <c r="AR599" i="29"/>
  <c r="AQ599" i="29"/>
  <c r="AP599" i="29"/>
  <c r="AS598" i="29"/>
  <c r="AR598" i="29"/>
  <c r="AQ598" i="29"/>
  <c r="AP598" i="29"/>
  <c r="AS597" i="29"/>
  <c r="AR597" i="29"/>
  <c r="AQ597" i="29"/>
  <c r="AP597" i="29"/>
  <c r="AS596" i="29"/>
  <c r="AR596" i="29"/>
  <c r="AQ596" i="29"/>
  <c r="AP596" i="29"/>
  <c r="AS595" i="29"/>
  <c r="AR595" i="29"/>
  <c r="AQ595" i="29"/>
  <c r="AP595" i="29"/>
  <c r="AS594" i="29"/>
  <c r="AR594" i="29"/>
  <c r="AQ594" i="29"/>
  <c r="AP594" i="29"/>
  <c r="AS591" i="29"/>
  <c r="AR591" i="29"/>
  <c r="AQ591" i="29"/>
  <c r="AP591" i="29"/>
  <c r="AS582" i="29"/>
  <c r="AR582" i="29"/>
  <c r="AQ582" i="29"/>
  <c r="AP582" i="29"/>
  <c r="AS579" i="29"/>
  <c r="AR579" i="29"/>
  <c r="AQ579" i="29"/>
  <c r="AP579" i="29"/>
  <c r="AS578" i="29"/>
  <c r="AR578" i="29"/>
  <c r="AQ578" i="29"/>
  <c r="AP578" i="29"/>
  <c r="AS577" i="29"/>
  <c r="AR577" i="29"/>
  <c r="AQ577" i="29"/>
  <c r="AP577" i="29"/>
  <c r="AS576" i="29"/>
  <c r="AR576" i="29"/>
  <c r="AQ576" i="29"/>
  <c r="AP576" i="29"/>
  <c r="AS572" i="29"/>
  <c r="AR572" i="29"/>
  <c r="AQ572" i="29"/>
  <c r="AP572" i="29"/>
  <c r="AS569" i="29"/>
  <c r="AR569" i="29"/>
  <c r="AQ569" i="29"/>
  <c r="AP569" i="29"/>
  <c r="AS568" i="29"/>
  <c r="AR568" i="29"/>
  <c r="AQ568" i="29"/>
  <c r="AP568" i="29"/>
  <c r="AS567" i="29"/>
  <c r="AR567" i="29"/>
  <c r="AQ567" i="29"/>
  <c r="AP567" i="29"/>
  <c r="AS566" i="29"/>
  <c r="AR566" i="29"/>
  <c r="AQ566" i="29"/>
  <c r="AP566" i="29"/>
  <c r="AS565" i="29"/>
  <c r="AR565" i="29"/>
  <c r="AQ565" i="29"/>
  <c r="AP565" i="29"/>
  <c r="AS564" i="29"/>
  <c r="AR564" i="29"/>
  <c r="AQ564" i="29"/>
  <c r="AP564" i="29"/>
  <c r="AS560" i="29"/>
  <c r="AR560" i="29"/>
  <c r="AQ560" i="29"/>
  <c r="AP560" i="29"/>
  <c r="AS559" i="29"/>
  <c r="AR559" i="29"/>
  <c r="AQ559" i="29"/>
  <c r="AP559" i="29"/>
  <c r="AS558" i="29"/>
  <c r="AR558" i="29"/>
  <c r="AQ558" i="29"/>
  <c r="AP558" i="29"/>
  <c r="AS557" i="29"/>
  <c r="AR557" i="29"/>
  <c r="AQ557" i="29"/>
  <c r="AP557" i="29"/>
  <c r="AS556" i="29"/>
  <c r="AR556" i="29"/>
  <c r="AQ556" i="29"/>
  <c r="AP556" i="29"/>
  <c r="AS552" i="29"/>
  <c r="AR552" i="29"/>
  <c r="AQ552" i="29"/>
  <c r="AP552" i="29"/>
  <c r="AS551" i="29"/>
  <c r="AR551" i="29"/>
  <c r="AQ551" i="29"/>
  <c r="AP551" i="29"/>
  <c r="AS550" i="29"/>
  <c r="AR550" i="29"/>
  <c r="AQ550" i="29"/>
  <c r="AP550" i="29"/>
  <c r="AS549" i="29"/>
  <c r="AR549" i="29"/>
  <c r="AQ549" i="29"/>
  <c r="AP549" i="29"/>
  <c r="AS548" i="29"/>
  <c r="AR548" i="29"/>
  <c r="AQ548" i="29"/>
  <c r="AP548" i="29"/>
  <c r="AS547" i="29"/>
  <c r="AR547" i="29"/>
  <c r="AQ547" i="29"/>
  <c r="AP547" i="29"/>
  <c r="AS543" i="29"/>
  <c r="AR543" i="29"/>
  <c r="AQ543" i="29"/>
  <c r="AP543" i="29"/>
  <c r="AS542" i="29"/>
  <c r="AR542" i="29"/>
  <c r="AQ542" i="29"/>
  <c r="AP542" i="29"/>
  <c r="AS538" i="29"/>
  <c r="AR538" i="29"/>
  <c r="AQ538" i="29"/>
  <c r="AP538" i="29"/>
  <c r="AS537" i="29"/>
  <c r="AR537" i="29"/>
  <c r="AQ537" i="29"/>
  <c r="AP537" i="29"/>
  <c r="AS534" i="29"/>
  <c r="AR534" i="29"/>
  <c r="AQ534" i="29"/>
  <c r="AP534" i="29"/>
  <c r="AS533" i="29"/>
  <c r="AR533" i="29"/>
  <c r="AQ533" i="29"/>
  <c r="AP533" i="29"/>
  <c r="AS532" i="29"/>
  <c r="AR532" i="29"/>
  <c r="AQ532" i="29"/>
  <c r="AP532" i="29"/>
  <c r="AS531" i="29"/>
  <c r="AR531" i="29"/>
  <c r="AQ531" i="29"/>
  <c r="AP531" i="29"/>
  <c r="AS530" i="29"/>
  <c r="AR530" i="29"/>
  <c r="AQ530" i="29"/>
  <c r="AP530" i="29"/>
  <c r="AS529" i="29"/>
  <c r="AR529" i="29"/>
  <c r="AQ529" i="29"/>
  <c r="AP529" i="29"/>
  <c r="AS528" i="29"/>
  <c r="AR528" i="29"/>
  <c r="AQ528" i="29"/>
  <c r="AP528" i="29"/>
  <c r="AS527" i="29"/>
  <c r="AR527" i="29"/>
  <c r="AQ527" i="29"/>
  <c r="AP527" i="29"/>
  <c r="AS526" i="29"/>
  <c r="AR526" i="29"/>
  <c r="AQ526" i="29"/>
  <c r="AP526" i="29"/>
  <c r="AS525" i="29"/>
  <c r="AR525" i="29"/>
  <c r="AQ525" i="29"/>
  <c r="AP525" i="29"/>
  <c r="AS524" i="29"/>
  <c r="AR524" i="29"/>
  <c r="AQ524" i="29"/>
  <c r="AP524" i="29"/>
  <c r="AS523" i="29"/>
  <c r="AR523" i="29"/>
  <c r="AQ523" i="29"/>
  <c r="AP523" i="29"/>
  <c r="AS520" i="29"/>
  <c r="AR520" i="29"/>
  <c r="AQ520" i="29"/>
  <c r="AP520" i="29"/>
  <c r="AS519" i="29"/>
  <c r="AR519" i="29"/>
  <c r="AQ519" i="29"/>
  <c r="AP519" i="29"/>
  <c r="AS518" i="29"/>
  <c r="AR518" i="29"/>
  <c r="AQ518" i="29"/>
  <c r="AP518" i="29"/>
  <c r="AS517" i="29"/>
  <c r="AR517" i="29"/>
  <c r="AQ517" i="29"/>
  <c r="AP517" i="29"/>
  <c r="AS516" i="29"/>
  <c r="AR516" i="29"/>
  <c r="AQ516" i="29"/>
  <c r="AP516" i="29"/>
  <c r="AS515" i="29"/>
  <c r="AR515" i="29"/>
  <c r="AQ515" i="29"/>
  <c r="AP515" i="29"/>
  <c r="AS514" i="29"/>
  <c r="AR514" i="29"/>
  <c r="AQ514" i="29"/>
  <c r="AP514" i="29"/>
  <c r="AS513" i="29"/>
  <c r="AR513" i="29"/>
  <c r="AQ513" i="29"/>
  <c r="AP513" i="29"/>
  <c r="AS512" i="29"/>
  <c r="AR512" i="29"/>
  <c r="AQ512" i="29"/>
  <c r="AP512" i="29"/>
  <c r="AS511" i="29"/>
  <c r="AR511" i="29"/>
  <c r="AQ511" i="29"/>
  <c r="AP511" i="29"/>
  <c r="AS510" i="29"/>
  <c r="AR510" i="29"/>
  <c r="AQ510" i="29"/>
  <c r="AP510" i="29"/>
  <c r="AS509" i="29"/>
  <c r="AR509" i="29"/>
  <c r="AQ509" i="29"/>
  <c r="AP509" i="29"/>
  <c r="AS508" i="29"/>
  <c r="AR508" i="29"/>
  <c r="AQ508" i="29"/>
  <c r="AP508" i="29"/>
  <c r="AS502" i="29"/>
  <c r="AR502" i="29"/>
  <c r="AQ502" i="29"/>
  <c r="AP502" i="29"/>
  <c r="AS501" i="29"/>
  <c r="AR501" i="29"/>
  <c r="AQ501" i="29"/>
  <c r="AP501" i="29"/>
  <c r="AS500" i="29"/>
  <c r="AR500" i="29"/>
  <c r="AQ500" i="29"/>
  <c r="AP500" i="29"/>
  <c r="AS497" i="29"/>
  <c r="AR497" i="29"/>
  <c r="AQ497" i="29"/>
  <c r="AP497" i="29"/>
  <c r="AS496" i="29"/>
  <c r="AR496" i="29"/>
  <c r="AQ496" i="29"/>
  <c r="AP496" i="29"/>
  <c r="AS495" i="29"/>
  <c r="AR495" i="29"/>
  <c r="AQ495" i="29"/>
  <c r="AP495" i="29"/>
  <c r="AS494" i="29"/>
  <c r="AR494" i="29"/>
  <c r="AQ494" i="29"/>
  <c r="AP494" i="29"/>
  <c r="AS493" i="29"/>
  <c r="AR493" i="29"/>
  <c r="AQ493" i="29"/>
  <c r="AP493" i="29"/>
  <c r="AS492" i="29"/>
  <c r="AR492" i="29"/>
  <c r="AQ492" i="29"/>
  <c r="AP492" i="29"/>
  <c r="AS491" i="29"/>
  <c r="AR491" i="29"/>
  <c r="AQ491" i="29"/>
  <c r="AP491" i="29"/>
  <c r="AS490" i="29"/>
  <c r="AR490" i="29"/>
  <c r="AQ490" i="29"/>
  <c r="AP490" i="29"/>
  <c r="AS489" i="29"/>
  <c r="AR489" i="29"/>
  <c r="AQ489" i="29"/>
  <c r="AP489" i="29"/>
  <c r="AS483" i="29"/>
  <c r="AR483" i="29"/>
  <c r="AQ483" i="29"/>
  <c r="AP483" i="29"/>
  <c r="AS480" i="29"/>
  <c r="AR480" i="29"/>
  <c r="AQ480" i="29"/>
  <c r="AP480" i="29"/>
  <c r="AS479" i="29"/>
  <c r="AR479" i="29"/>
  <c r="AQ479" i="29"/>
  <c r="AP479" i="29"/>
  <c r="AS478" i="29"/>
  <c r="AR478" i="29"/>
  <c r="AQ478" i="29"/>
  <c r="AP478" i="29"/>
  <c r="AS477" i="29"/>
  <c r="AR477" i="29"/>
  <c r="AQ477" i="29"/>
  <c r="AP477" i="29"/>
  <c r="AS476" i="29"/>
  <c r="AR476" i="29"/>
  <c r="AQ476" i="29"/>
  <c r="AP476" i="29"/>
  <c r="AS475" i="29"/>
  <c r="AR475" i="29"/>
  <c r="AQ475" i="29"/>
  <c r="AP475" i="29"/>
  <c r="AS474" i="29"/>
  <c r="AR474" i="29"/>
  <c r="AQ474" i="29"/>
  <c r="AP474" i="29"/>
  <c r="AS473" i="29"/>
  <c r="AR473" i="29"/>
  <c r="AQ473" i="29"/>
  <c r="AP473" i="29"/>
  <c r="AS472" i="29"/>
  <c r="AR472" i="29"/>
  <c r="AQ472" i="29"/>
  <c r="AP472" i="29"/>
  <c r="AS471" i="29"/>
  <c r="AR471" i="29"/>
  <c r="AQ471" i="29"/>
  <c r="AP471" i="29"/>
  <c r="AS470" i="29"/>
  <c r="AR470" i="29"/>
  <c r="AQ470" i="29"/>
  <c r="AP470" i="29"/>
  <c r="AS469" i="29"/>
  <c r="AR469" i="29"/>
  <c r="AQ469" i="29"/>
  <c r="AP469" i="29"/>
  <c r="AS468" i="29"/>
  <c r="AR468" i="29"/>
  <c r="AQ468" i="29"/>
  <c r="AP468" i="29"/>
  <c r="AS467" i="29"/>
  <c r="AR467" i="29"/>
  <c r="AQ467" i="29"/>
  <c r="AP467" i="29"/>
  <c r="AS466" i="29"/>
  <c r="AR466" i="29"/>
  <c r="AQ466" i="29"/>
  <c r="AP466" i="29"/>
  <c r="AS465" i="29"/>
  <c r="AR465" i="29"/>
  <c r="AQ465" i="29"/>
  <c r="AP465" i="29"/>
  <c r="AS464" i="29"/>
  <c r="AR464" i="29"/>
  <c r="AQ464" i="29"/>
  <c r="AP464" i="29"/>
  <c r="AS463" i="29"/>
  <c r="AR463" i="29"/>
  <c r="AQ463" i="29"/>
  <c r="AP463" i="29"/>
  <c r="AS462" i="29"/>
  <c r="AR462" i="29"/>
  <c r="AQ462" i="29"/>
  <c r="AP462" i="29"/>
  <c r="AS461" i="29"/>
  <c r="AR461" i="29"/>
  <c r="AQ461" i="29"/>
  <c r="AP461" i="29"/>
  <c r="AS460" i="29"/>
  <c r="AR460" i="29"/>
  <c r="AQ460" i="29"/>
  <c r="AP460" i="29"/>
  <c r="AS459" i="29"/>
  <c r="AR459" i="29"/>
  <c r="AQ459" i="29"/>
  <c r="AP459" i="29"/>
  <c r="AS458" i="29"/>
  <c r="AR458" i="29"/>
  <c r="AQ458" i="29"/>
  <c r="AP458" i="29"/>
  <c r="AS457" i="29"/>
  <c r="AR457" i="29"/>
  <c r="AQ457" i="29"/>
  <c r="AP457" i="29"/>
  <c r="AS456" i="29"/>
  <c r="AR456" i="29"/>
  <c r="AQ456" i="29"/>
  <c r="AP456" i="29"/>
  <c r="AS455" i="29"/>
  <c r="AR455" i="29"/>
  <c r="AQ455" i="29"/>
  <c r="AP455" i="29"/>
  <c r="AS454" i="29"/>
  <c r="AR454" i="29"/>
  <c r="AQ454" i="29"/>
  <c r="AP454" i="29"/>
  <c r="AS453" i="29"/>
  <c r="AR453" i="29"/>
  <c r="AQ453" i="29"/>
  <c r="AP453" i="29"/>
  <c r="AS452" i="29"/>
  <c r="AR452" i="29"/>
  <c r="AQ452" i="29"/>
  <c r="AP452" i="29"/>
  <c r="AS451" i="29"/>
  <c r="AR451" i="29"/>
  <c r="AQ451" i="29"/>
  <c r="AP451" i="29"/>
  <c r="AS450" i="29"/>
  <c r="AR450" i="29"/>
  <c r="AQ450" i="29"/>
  <c r="AP450" i="29"/>
  <c r="AS449" i="29"/>
  <c r="AR449" i="29"/>
  <c r="AQ449" i="29"/>
  <c r="AP449" i="29"/>
  <c r="AS448" i="29"/>
  <c r="AR448" i="29"/>
  <c r="AQ448" i="29"/>
  <c r="AP448" i="29"/>
  <c r="AS447" i="29"/>
  <c r="AR447" i="29"/>
  <c r="AQ447" i="29"/>
  <c r="AP447" i="29"/>
  <c r="AS446" i="29"/>
  <c r="AR446" i="29"/>
  <c r="AQ446" i="29"/>
  <c r="AP446" i="29"/>
  <c r="AS445" i="29"/>
  <c r="AR445" i="29"/>
  <c r="AQ445" i="29"/>
  <c r="AP445" i="29"/>
  <c r="AS444" i="29"/>
  <c r="AR444" i="29"/>
  <c r="AQ444" i="29"/>
  <c r="AP444" i="29"/>
  <c r="AS443" i="29"/>
  <c r="AR443" i="29"/>
  <c r="AQ443" i="29"/>
  <c r="AP443" i="29"/>
  <c r="AS442" i="29"/>
  <c r="AR442" i="29"/>
  <c r="AQ442" i="29"/>
  <c r="AP442" i="29"/>
  <c r="AS441" i="29"/>
  <c r="AR441" i="29"/>
  <c r="AQ441" i="29"/>
  <c r="AP441" i="29"/>
  <c r="AS440" i="29"/>
  <c r="AR440" i="29"/>
  <c r="AQ440" i="29"/>
  <c r="AP440" i="29"/>
  <c r="AS439" i="29"/>
  <c r="AR439" i="29"/>
  <c r="AQ439" i="29"/>
  <c r="AP439" i="29"/>
  <c r="AS438" i="29"/>
  <c r="AR438" i="29"/>
  <c r="AQ438" i="29"/>
  <c r="AP438" i="29"/>
  <c r="AS437" i="29"/>
  <c r="AR437" i="29"/>
  <c r="AQ437" i="29"/>
  <c r="AP437" i="29"/>
  <c r="AS436" i="29"/>
  <c r="AR436" i="29"/>
  <c r="AQ436" i="29"/>
  <c r="AP436" i="29"/>
  <c r="AS435" i="29"/>
  <c r="AR435" i="29"/>
  <c r="AQ435" i="29"/>
  <c r="AP435" i="29"/>
  <c r="AS434" i="29"/>
  <c r="AR434" i="29"/>
  <c r="AQ434" i="29"/>
  <c r="AP434" i="29"/>
  <c r="AS433" i="29"/>
  <c r="AR433" i="29"/>
  <c r="AQ433" i="29"/>
  <c r="AP433" i="29"/>
  <c r="AS432" i="29"/>
  <c r="AR432" i="29"/>
  <c r="AQ432" i="29"/>
  <c r="AP432" i="29"/>
  <c r="AS431" i="29"/>
  <c r="AR431" i="29"/>
  <c r="AQ431" i="29"/>
  <c r="AP431" i="29"/>
  <c r="AS430" i="29"/>
  <c r="AR430" i="29"/>
  <c r="AQ430" i="29"/>
  <c r="AP430" i="29"/>
  <c r="AS429" i="29"/>
  <c r="AR429" i="29"/>
  <c r="AQ429" i="29"/>
  <c r="AP429" i="29"/>
  <c r="AS404" i="29"/>
  <c r="AR404" i="29"/>
  <c r="AQ404" i="29"/>
  <c r="AP404" i="29"/>
  <c r="AS403" i="29"/>
  <c r="AR403" i="29"/>
  <c r="AQ403" i="29"/>
  <c r="AP403" i="29"/>
  <c r="AS396" i="29"/>
  <c r="AR396" i="29"/>
  <c r="AQ396" i="29"/>
  <c r="AP396" i="29"/>
  <c r="AS395" i="29"/>
  <c r="AR395" i="29"/>
  <c r="AQ395" i="29"/>
  <c r="AP395" i="29"/>
  <c r="AS394" i="29"/>
  <c r="AR394" i="29"/>
  <c r="AQ394" i="29"/>
  <c r="AP394" i="29"/>
  <c r="AS391" i="29"/>
  <c r="AR391" i="29"/>
  <c r="AQ391" i="29"/>
  <c r="AP391" i="29"/>
  <c r="AS390" i="29"/>
  <c r="AR390" i="29"/>
  <c r="AQ390" i="29"/>
  <c r="AP390" i="29"/>
  <c r="AS389" i="29"/>
  <c r="AR389" i="29"/>
  <c r="AQ389" i="29"/>
  <c r="AP389" i="29"/>
  <c r="AS388" i="29"/>
  <c r="AR388" i="29"/>
  <c r="AQ388" i="29"/>
  <c r="AP388" i="29"/>
  <c r="AS387" i="29"/>
  <c r="AR387" i="29"/>
  <c r="AQ387" i="29"/>
  <c r="AP387" i="29"/>
  <c r="AS386" i="29"/>
  <c r="AR386" i="29"/>
  <c r="AQ386" i="29"/>
  <c r="AP386" i="29"/>
  <c r="AS385" i="29"/>
  <c r="AR385" i="29"/>
  <c r="AQ385" i="29"/>
  <c r="AP385" i="29"/>
  <c r="AS384" i="29"/>
  <c r="AR384" i="29"/>
  <c r="AQ384" i="29"/>
  <c r="AP384" i="29"/>
  <c r="AS383" i="29"/>
  <c r="AR383" i="29"/>
  <c r="AQ383" i="29"/>
  <c r="AP383" i="29"/>
  <c r="AS382" i="29"/>
  <c r="AR382" i="29"/>
  <c r="AQ382" i="29"/>
  <c r="AP382" i="29"/>
  <c r="AS381" i="29"/>
  <c r="AR381" i="29"/>
  <c r="AQ381" i="29"/>
  <c r="AP381" i="29"/>
  <c r="AS380" i="29"/>
  <c r="AR380" i="29"/>
  <c r="AQ380" i="29"/>
  <c r="AP380" i="29"/>
  <c r="AS379" i="29"/>
  <c r="AR379" i="29"/>
  <c r="AQ379" i="29"/>
  <c r="AP379" i="29"/>
  <c r="AS377" i="29"/>
  <c r="AR377" i="29"/>
  <c r="AQ377" i="29"/>
  <c r="AP377" i="29"/>
  <c r="AS376" i="29"/>
  <c r="AR376" i="29"/>
  <c r="AQ376" i="29"/>
  <c r="AP376" i="29"/>
  <c r="AS375" i="29"/>
  <c r="AR375" i="29"/>
  <c r="AQ375" i="29"/>
  <c r="AP375" i="29"/>
  <c r="AS374" i="29"/>
  <c r="AR374" i="29"/>
  <c r="AQ374" i="29"/>
  <c r="AP374" i="29"/>
  <c r="AS373" i="29"/>
  <c r="AR373" i="29"/>
  <c r="AQ373" i="29"/>
  <c r="AP373" i="29"/>
  <c r="AS372" i="29"/>
  <c r="AR372" i="29"/>
  <c r="AQ372" i="29"/>
  <c r="AP372" i="29"/>
  <c r="AS371" i="29"/>
  <c r="AR371" i="29"/>
  <c r="AQ371" i="29"/>
  <c r="AP371" i="29"/>
  <c r="AS370" i="29"/>
  <c r="AR370" i="29"/>
  <c r="AQ370" i="29"/>
  <c r="AP370" i="29"/>
  <c r="AS369" i="29"/>
  <c r="AR369" i="29"/>
  <c r="AQ369" i="29"/>
  <c r="AP369" i="29"/>
  <c r="AS368" i="29"/>
  <c r="AR368" i="29"/>
  <c r="AQ368" i="29"/>
  <c r="AP368" i="29"/>
  <c r="AS367" i="29"/>
  <c r="AR367" i="29"/>
  <c r="AQ367" i="29"/>
  <c r="AP367" i="29"/>
  <c r="AS366" i="29"/>
  <c r="AR366" i="29"/>
  <c r="AQ366" i="29"/>
  <c r="AP366" i="29"/>
  <c r="AS365" i="29"/>
  <c r="AR365" i="29"/>
  <c r="AQ365" i="29"/>
  <c r="AP365" i="29"/>
  <c r="AS364" i="29"/>
  <c r="AR364" i="29"/>
  <c r="AQ364" i="29"/>
  <c r="AP364" i="29"/>
  <c r="AS363" i="29"/>
  <c r="AR363" i="29"/>
  <c r="AQ363" i="29"/>
  <c r="AP363" i="29"/>
  <c r="AS362" i="29"/>
  <c r="AR362" i="29"/>
  <c r="AQ362" i="29"/>
  <c r="AP362" i="29"/>
  <c r="AS361" i="29"/>
  <c r="AR361" i="29"/>
  <c r="AQ361" i="29"/>
  <c r="AP361" i="29"/>
  <c r="AS360" i="29"/>
  <c r="AR360" i="29"/>
  <c r="AQ360" i="29"/>
  <c r="AP360" i="29"/>
  <c r="AS359" i="29"/>
  <c r="AR359" i="29"/>
  <c r="AQ359" i="29"/>
  <c r="AP359" i="29"/>
  <c r="AS358" i="29"/>
  <c r="AR358" i="29"/>
  <c r="AQ358" i="29"/>
  <c r="AP358" i="29"/>
  <c r="AS357" i="29"/>
  <c r="AR357" i="29"/>
  <c r="AQ357" i="29"/>
  <c r="AP357" i="29"/>
  <c r="AS356" i="29"/>
  <c r="AR356" i="29"/>
  <c r="AQ356" i="29"/>
  <c r="AP356" i="29"/>
  <c r="AS355" i="29"/>
  <c r="AR355" i="29"/>
  <c r="AQ355" i="29"/>
  <c r="AP355" i="29"/>
  <c r="AS354" i="29"/>
  <c r="AR354" i="29"/>
  <c r="AQ354" i="29"/>
  <c r="AP354" i="29"/>
  <c r="AS353" i="29"/>
  <c r="AR353" i="29"/>
  <c r="AQ353" i="29"/>
  <c r="AP353" i="29"/>
  <c r="AS352" i="29"/>
  <c r="AR352" i="29"/>
  <c r="AQ352" i="29"/>
  <c r="AP352" i="29"/>
  <c r="AS351" i="29"/>
  <c r="AR351" i="29"/>
  <c r="AQ351" i="29"/>
  <c r="AP351" i="29"/>
  <c r="AS343" i="29"/>
  <c r="AR343" i="29"/>
  <c r="AQ343" i="29"/>
  <c r="AP343" i="29"/>
  <c r="AS342" i="29"/>
  <c r="AR342" i="29"/>
  <c r="AQ342" i="29"/>
  <c r="AP342" i="29"/>
  <c r="AS339" i="29"/>
  <c r="AR339" i="29"/>
  <c r="AQ339" i="29"/>
  <c r="AP339" i="29"/>
  <c r="AS338" i="29"/>
  <c r="AR338" i="29"/>
  <c r="AQ338" i="29"/>
  <c r="AP338" i="29"/>
  <c r="AS337" i="29"/>
  <c r="AR337" i="29"/>
  <c r="AQ337" i="29"/>
  <c r="AP337" i="29"/>
  <c r="AS336" i="29"/>
  <c r="AR336" i="29"/>
  <c r="AQ336" i="29"/>
  <c r="AP336" i="29"/>
  <c r="AS335" i="29"/>
  <c r="AR335" i="29"/>
  <c r="AQ335" i="29"/>
  <c r="AP335" i="29"/>
  <c r="AS334" i="29"/>
  <c r="AR334" i="29"/>
  <c r="AQ334" i="29"/>
  <c r="AP334" i="29"/>
  <c r="AS333" i="29"/>
  <c r="AR333" i="29"/>
  <c r="AQ333" i="29"/>
  <c r="AP333" i="29"/>
  <c r="AS332" i="29"/>
  <c r="AR332" i="29"/>
  <c r="AQ332" i="29"/>
  <c r="AP332" i="29"/>
  <c r="AS329" i="29"/>
  <c r="AR329" i="29"/>
  <c r="AQ329" i="29"/>
  <c r="AP329" i="29"/>
  <c r="AS328" i="29"/>
  <c r="AR328" i="29"/>
  <c r="AQ328" i="29"/>
  <c r="AP328" i="29"/>
  <c r="AS325" i="29"/>
  <c r="AR325" i="29"/>
  <c r="AQ325" i="29"/>
  <c r="AP325" i="29"/>
  <c r="AS324" i="29"/>
  <c r="AR324" i="29"/>
  <c r="AQ324" i="29"/>
  <c r="AP324" i="29"/>
  <c r="AS323" i="29"/>
  <c r="AR323" i="29"/>
  <c r="AQ323" i="29"/>
  <c r="AP323" i="29"/>
  <c r="AS322" i="29"/>
  <c r="AR322" i="29"/>
  <c r="AQ322" i="29"/>
  <c r="AP322" i="29"/>
  <c r="AS321" i="29"/>
  <c r="AR321" i="29"/>
  <c r="AQ321" i="29"/>
  <c r="AP321" i="29"/>
  <c r="AS320" i="29"/>
  <c r="AR320" i="29"/>
  <c r="AQ320" i="29"/>
  <c r="AP320" i="29"/>
  <c r="AS319" i="29"/>
  <c r="AR319" i="29"/>
  <c r="AQ319" i="29"/>
  <c r="AP319" i="29"/>
  <c r="AS318" i="29"/>
  <c r="AR318" i="29"/>
  <c r="AQ318" i="29"/>
  <c r="AP318" i="29"/>
  <c r="AS317" i="29"/>
  <c r="AR317" i="29"/>
  <c r="AQ317" i="29"/>
  <c r="AP317" i="29"/>
  <c r="AS316" i="29"/>
  <c r="AR316" i="29"/>
  <c r="AQ316" i="29"/>
  <c r="AP316" i="29"/>
  <c r="AS313" i="29"/>
  <c r="AR313" i="29"/>
  <c r="AQ313" i="29"/>
  <c r="AP313" i="29"/>
  <c r="AS312" i="29"/>
  <c r="AR312" i="29"/>
  <c r="AQ312" i="29"/>
  <c r="AP312" i="29"/>
  <c r="AS311" i="29"/>
  <c r="AR311" i="29"/>
  <c r="AQ311" i="29"/>
  <c r="AP311" i="29"/>
  <c r="AS307" i="29"/>
  <c r="AR307" i="29"/>
  <c r="AQ307" i="29"/>
  <c r="AP307" i="29"/>
  <c r="AS306" i="29"/>
  <c r="AR306" i="29"/>
  <c r="AQ306" i="29"/>
  <c r="AP306" i="29"/>
  <c r="AS305" i="29"/>
  <c r="AR305" i="29"/>
  <c r="AQ305" i="29"/>
  <c r="AP305" i="29"/>
  <c r="AS304" i="29"/>
  <c r="AR304" i="29"/>
  <c r="AQ304" i="29"/>
  <c r="AP304" i="29"/>
  <c r="AS303" i="29"/>
  <c r="AR303" i="29"/>
  <c r="AQ303" i="29"/>
  <c r="AP303" i="29"/>
  <c r="AS296" i="29"/>
  <c r="AR296" i="29"/>
  <c r="AQ296" i="29"/>
  <c r="AP296" i="29"/>
  <c r="AS295" i="29"/>
  <c r="AR295" i="29"/>
  <c r="AQ295" i="29"/>
  <c r="AP295" i="29"/>
  <c r="AS294" i="29"/>
  <c r="AR294" i="29"/>
  <c r="AQ294" i="29"/>
  <c r="AP294" i="29"/>
  <c r="AS293" i="29"/>
  <c r="AR293" i="29"/>
  <c r="AQ293" i="29"/>
  <c r="AP293" i="29"/>
  <c r="AS292" i="29"/>
  <c r="AR292" i="29"/>
  <c r="AQ292" i="29"/>
  <c r="AP292" i="29"/>
  <c r="AS291" i="29"/>
  <c r="AR291" i="29"/>
  <c r="AQ291" i="29"/>
  <c r="AP291" i="29"/>
  <c r="AS290" i="29"/>
  <c r="AR290" i="29"/>
  <c r="AQ290" i="29"/>
  <c r="AP290" i="29"/>
  <c r="AS281" i="29"/>
  <c r="AR281" i="29"/>
  <c r="AQ281" i="29"/>
  <c r="AP281" i="29"/>
  <c r="AS280" i="29"/>
  <c r="AR280" i="29"/>
  <c r="AQ280" i="29"/>
  <c r="AP280" i="29"/>
  <c r="AS279" i="29"/>
  <c r="AR279" i="29"/>
  <c r="AQ279" i="29"/>
  <c r="AP279" i="29"/>
  <c r="AS278" i="29"/>
  <c r="AR278" i="29"/>
  <c r="AQ278" i="29"/>
  <c r="AP278" i="29"/>
  <c r="AS277" i="29"/>
  <c r="AR277" i="29"/>
  <c r="AQ277" i="29"/>
  <c r="AP277" i="29"/>
  <c r="AS276" i="29"/>
  <c r="AR276" i="29"/>
  <c r="AQ276" i="29"/>
  <c r="AP276" i="29"/>
  <c r="AS275" i="29"/>
  <c r="AR275" i="29"/>
  <c r="AQ275" i="29"/>
  <c r="AP275" i="29"/>
  <c r="AS274" i="29"/>
  <c r="AR274" i="29"/>
  <c r="AQ274" i="29"/>
  <c r="AP274" i="29"/>
  <c r="AS273" i="29"/>
  <c r="AR273" i="29"/>
  <c r="AQ273" i="29"/>
  <c r="AP273" i="29"/>
  <c r="AS272" i="29"/>
  <c r="AR272" i="29"/>
  <c r="AQ272" i="29"/>
  <c r="AP272" i="29"/>
  <c r="AS271" i="29"/>
  <c r="AR271" i="29"/>
  <c r="AQ271" i="29"/>
  <c r="AP271" i="29"/>
  <c r="AS270" i="29"/>
  <c r="AR270" i="29"/>
  <c r="AQ270" i="29"/>
  <c r="AP270" i="29"/>
  <c r="AS269" i="29"/>
  <c r="AR269" i="29"/>
  <c r="AQ269" i="29"/>
  <c r="AP269" i="29"/>
  <c r="AS268" i="29"/>
  <c r="AR268" i="29"/>
  <c r="AQ268" i="29"/>
  <c r="AP268" i="29"/>
  <c r="AS267" i="29"/>
  <c r="AR267" i="29"/>
  <c r="AQ267" i="29"/>
  <c r="AP267" i="29"/>
  <c r="AS266" i="29"/>
  <c r="AR266" i="29"/>
  <c r="AQ266" i="29"/>
  <c r="AP266" i="29"/>
  <c r="AS265" i="29"/>
  <c r="AR265" i="29"/>
  <c r="AQ265" i="29"/>
  <c r="AP265" i="29"/>
  <c r="AS264" i="29"/>
  <c r="AR264" i="29"/>
  <c r="AQ264" i="29"/>
  <c r="AP264" i="29"/>
  <c r="AS263" i="29"/>
  <c r="AR263" i="29"/>
  <c r="AQ263" i="29"/>
  <c r="AP263" i="29"/>
  <c r="AS262" i="29"/>
  <c r="AR262" i="29"/>
  <c r="AQ262" i="29"/>
  <c r="AP262" i="29"/>
  <c r="AS261" i="29"/>
  <c r="AR261" i="29"/>
  <c r="AQ261" i="29"/>
  <c r="AP261" i="29"/>
  <c r="AS260" i="29"/>
  <c r="AR260" i="29"/>
  <c r="AQ260" i="29"/>
  <c r="AP260" i="29"/>
  <c r="AS259" i="29"/>
  <c r="AR259" i="29"/>
  <c r="AQ259" i="29"/>
  <c r="AP259" i="29"/>
  <c r="AS258" i="29"/>
  <c r="AR258" i="29"/>
  <c r="AQ258" i="29"/>
  <c r="AP258" i="29"/>
  <c r="AS257" i="29"/>
  <c r="AR257" i="29"/>
  <c r="AQ257" i="29"/>
  <c r="AP257" i="29"/>
  <c r="AS256" i="29"/>
  <c r="AR256" i="29"/>
  <c r="AQ256" i="29"/>
  <c r="AP256" i="29"/>
  <c r="AS255" i="29"/>
  <c r="AR255" i="29"/>
  <c r="AQ255" i="29"/>
  <c r="AP255" i="29"/>
  <c r="AS254" i="29"/>
  <c r="AR254" i="29"/>
  <c r="AQ254" i="29"/>
  <c r="AP254" i="29"/>
  <c r="AS253" i="29"/>
  <c r="AR253" i="29"/>
  <c r="AQ253" i="29"/>
  <c r="AP253" i="29"/>
  <c r="AS252" i="29"/>
  <c r="AR252" i="29"/>
  <c r="AQ252" i="29"/>
  <c r="AP252" i="29"/>
  <c r="AS251" i="29"/>
  <c r="AR251" i="29"/>
  <c r="AQ251" i="29"/>
  <c r="AP251" i="29"/>
  <c r="AS250" i="29"/>
  <c r="AR250" i="29"/>
  <c r="AQ250" i="29"/>
  <c r="AP250" i="29"/>
  <c r="AS249" i="29"/>
  <c r="AR249" i="29"/>
  <c r="AQ249" i="29"/>
  <c r="AP249" i="29"/>
  <c r="AS248" i="29"/>
  <c r="AR248" i="29"/>
  <c r="AQ248" i="29"/>
  <c r="AP248" i="29"/>
  <c r="AS247" i="29"/>
  <c r="AR247" i="29"/>
  <c r="AQ247" i="29"/>
  <c r="AP247" i="29"/>
  <c r="AS246" i="29"/>
  <c r="AR246" i="29"/>
  <c r="AQ246" i="29"/>
  <c r="AP246" i="29"/>
  <c r="AS245" i="29"/>
  <c r="AR245" i="29"/>
  <c r="AQ245" i="29"/>
  <c r="AP245" i="29"/>
  <c r="AS244" i="29"/>
  <c r="AR244" i="29"/>
  <c r="AQ244" i="29"/>
  <c r="AP244" i="29"/>
  <c r="AS243" i="29"/>
  <c r="AR243" i="29"/>
  <c r="AQ243" i="29"/>
  <c r="AP243" i="29"/>
  <c r="AS242" i="29"/>
  <c r="AR242" i="29"/>
  <c r="AQ242" i="29"/>
  <c r="AP242" i="29"/>
  <c r="AS241" i="29"/>
  <c r="AR241" i="29"/>
  <c r="AQ241" i="29"/>
  <c r="AP241" i="29"/>
  <c r="AS240" i="29"/>
  <c r="AR240" i="29"/>
  <c r="AQ240" i="29"/>
  <c r="AP240" i="29"/>
  <c r="AS227" i="29"/>
  <c r="AR227" i="29"/>
  <c r="AQ227" i="29"/>
  <c r="AP227" i="29"/>
  <c r="AS224" i="29"/>
  <c r="AR224" i="29"/>
  <c r="AQ224" i="29"/>
  <c r="AP224" i="29"/>
  <c r="AS223" i="29"/>
  <c r="AR223" i="29"/>
  <c r="AQ223" i="29"/>
  <c r="AP223" i="29"/>
  <c r="AS222" i="29"/>
  <c r="AR222" i="29"/>
  <c r="AQ222" i="29"/>
  <c r="AP222" i="29"/>
  <c r="AS221" i="29"/>
  <c r="AR221" i="29"/>
  <c r="AQ221" i="29"/>
  <c r="AP221" i="29"/>
  <c r="AS220" i="29"/>
  <c r="AR220" i="29"/>
  <c r="AQ220" i="29"/>
  <c r="AP220" i="29"/>
  <c r="AS219" i="29"/>
  <c r="AR219" i="29"/>
  <c r="AQ219" i="29"/>
  <c r="AP219" i="29"/>
  <c r="AS218" i="29"/>
  <c r="AR218" i="29"/>
  <c r="AQ218" i="29"/>
  <c r="AP218" i="29"/>
  <c r="AS217" i="29"/>
  <c r="AR217" i="29"/>
  <c r="AQ217" i="29"/>
  <c r="AP217" i="29"/>
  <c r="AS216" i="29"/>
  <c r="AR216" i="29"/>
  <c r="AQ216" i="29"/>
  <c r="AP216" i="29"/>
  <c r="AS215" i="29"/>
  <c r="AR215" i="29"/>
  <c r="AQ215" i="29"/>
  <c r="AP215" i="29"/>
  <c r="AS214" i="29"/>
  <c r="AR214" i="29"/>
  <c r="AQ214" i="29"/>
  <c r="AP214" i="29"/>
  <c r="AS213" i="29"/>
  <c r="AR213" i="29"/>
  <c r="AQ213" i="29"/>
  <c r="AP213" i="29"/>
  <c r="AS212" i="29"/>
  <c r="AR212" i="29"/>
  <c r="AQ212" i="29"/>
  <c r="AP212" i="29"/>
  <c r="AS211" i="29"/>
  <c r="AR211" i="29"/>
  <c r="AQ211" i="29"/>
  <c r="AP211" i="29"/>
  <c r="AS210" i="29"/>
  <c r="AR210" i="29"/>
  <c r="AQ210" i="29"/>
  <c r="AP210" i="29"/>
  <c r="AS209" i="29"/>
  <c r="AR209" i="29"/>
  <c r="AQ209" i="29"/>
  <c r="AP209" i="29"/>
  <c r="AS208" i="29"/>
  <c r="AR208" i="29"/>
  <c r="AQ208" i="29"/>
  <c r="AP208" i="29"/>
  <c r="AS207" i="29"/>
  <c r="AR207" i="29"/>
  <c r="AQ207" i="29"/>
  <c r="AP207" i="29"/>
  <c r="AS206" i="29"/>
  <c r="AR206" i="29"/>
  <c r="AQ206" i="29"/>
  <c r="AP206" i="29"/>
  <c r="AS205" i="29"/>
  <c r="AR205" i="29"/>
  <c r="AQ205" i="29"/>
  <c r="AP205" i="29"/>
  <c r="AS201" i="29"/>
  <c r="AR201" i="29"/>
  <c r="AQ201" i="29"/>
  <c r="AP201" i="29"/>
  <c r="AS200" i="29"/>
  <c r="AR200" i="29"/>
  <c r="AQ200" i="29"/>
  <c r="AP200" i="29"/>
  <c r="AS199" i="29"/>
  <c r="AR199" i="29"/>
  <c r="AQ199" i="29"/>
  <c r="AP199" i="29"/>
  <c r="AS198" i="29"/>
  <c r="AR198" i="29"/>
  <c r="AQ198" i="29"/>
  <c r="AP198" i="29"/>
  <c r="AS197" i="29"/>
  <c r="AR197" i="29"/>
  <c r="AQ197" i="29"/>
  <c r="AP197" i="29"/>
  <c r="AS196" i="29"/>
  <c r="AR196" i="29"/>
  <c r="AQ196" i="29"/>
  <c r="AP196" i="29"/>
  <c r="AS195" i="29"/>
  <c r="AR195" i="29"/>
  <c r="AQ195" i="29"/>
  <c r="AP195" i="29"/>
  <c r="AS194" i="29"/>
  <c r="AR194" i="29"/>
  <c r="AQ194" i="29"/>
  <c r="AP194" i="29"/>
  <c r="AS193" i="29"/>
  <c r="AR193" i="29"/>
  <c r="AQ193" i="29"/>
  <c r="AP193" i="29"/>
  <c r="AS192" i="29"/>
  <c r="AR192" i="29"/>
  <c r="AQ192" i="29"/>
  <c r="AP192" i="29"/>
  <c r="AS191" i="29"/>
  <c r="AR191" i="29"/>
  <c r="AQ191" i="29"/>
  <c r="AP191" i="29"/>
  <c r="AS190" i="29"/>
  <c r="AR190" i="29"/>
  <c r="AQ190" i="29"/>
  <c r="AP190" i="29"/>
  <c r="AS189" i="29"/>
  <c r="AR189" i="29"/>
  <c r="AQ189" i="29"/>
  <c r="AP189" i="29"/>
  <c r="AS188" i="29"/>
  <c r="AR188" i="29"/>
  <c r="AQ188" i="29"/>
  <c r="AP188" i="29"/>
  <c r="AS187" i="29"/>
  <c r="AR187" i="29"/>
  <c r="AQ187" i="29"/>
  <c r="AP187" i="29"/>
  <c r="AS186" i="29"/>
  <c r="AR186" i="29"/>
  <c r="AQ186" i="29"/>
  <c r="AP186" i="29"/>
  <c r="AS185" i="29"/>
  <c r="AR185" i="29"/>
  <c r="AQ185" i="29"/>
  <c r="AP185" i="29"/>
  <c r="AS184" i="29"/>
  <c r="AR184" i="29"/>
  <c r="AQ184" i="29"/>
  <c r="AP184" i="29"/>
  <c r="AS183" i="29"/>
  <c r="AR183" i="29"/>
  <c r="AQ183" i="29"/>
  <c r="AP183" i="29"/>
  <c r="AS182" i="29"/>
  <c r="AR182" i="29"/>
  <c r="AQ182" i="29"/>
  <c r="AP182" i="29"/>
  <c r="AS181" i="29"/>
  <c r="AR181" i="29"/>
  <c r="AQ181" i="29"/>
  <c r="AP181" i="29"/>
  <c r="AS180" i="29"/>
  <c r="AR180" i="29"/>
  <c r="AQ180" i="29"/>
  <c r="AP180" i="29"/>
  <c r="AS179" i="29"/>
  <c r="AR179" i="29"/>
  <c r="AQ179" i="29"/>
  <c r="AP179" i="29"/>
  <c r="AS178" i="29"/>
  <c r="AR178" i="29"/>
  <c r="AQ178" i="29"/>
  <c r="AP178" i="29"/>
  <c r="AS177" i="29"/>
  <c r="AR177" i="29"/>
  <c r="AQ177" i="29"/>
  <c r="AP177" i="29"/>
  <c r="AS176" i="29"/>
  <c r="AR176" i="29"/>
  <c r="AQ176" i="29"/>
  <c r="AP176" i="29"/>
  <c r="AS175" i="29"/>
  <c r="AR175" i="29"/>
  <c r="AQ175" i="29"/>
  <c r="AP175" i="29"/>
  <c r="AS174" i="29"/>
  <c r="AR174" i="29"/>
  <c r="AQ174" i="29"/>
  <c r="AP174" i="29"/>
  <c r="AS173" i="29"/>
  <c r="AR173" i="29"/>
  <c r="AQ173" i="29"/>
  <c r="AP173" i="29"/>
  <c r="AS172" i="29"/>
  <c r="AR172" i="29"/>
  <c r="AQ172" i="29"/>
  <c r="AP172" i="29"/>
  <c r="AS171" i="29"/>
  <c r="AR171" i="29"/>
  <c r="AQ171" i="29"/>
  <c r="AP171" i="29"/>
  <c r="AS170" i="29"/>
  <c r="AR170" i="29"/>
  <c r="AQ170" i="29"/>
  <c r="AP170" i="29"/>
  <c r="AS169" i="29"/>
  <c r="AR169" i="29"/>
  <c r="AQ169" i="29"/>
  <c r="AP169" i="29"/>
  <c r="AS168" i="29"/>
  <c r="AR168" i="29"/>
  <c r="AQ168" i="29"/>
  <c r="AP168" i="29"/>
  <c r="AS163" i="29"/>
  <c r="AR163" i="29"/>
  <c r="AQ163" i="29"/>
  <c r="AP163" i="29"/>
  <c r="AS162" i="29"/>
  <c r="AR162" i="29"/>
  <c r="AQ162" i="29"/>
  <c r="AP162" i="29"/>
  <c r="AS161" i="29"/>
  <c r="AR161" i="29"/>
  <c r="AQ161" i="29"/>
  <c r="AP161" i="29"/>
  <c r="AS160" i="29"/>
  <c r="AR160" i="29"/>
  <c r="AQ160" i="29"/>
  <c r="AP160" i="29"/>
  <c r="AS159" i="29"/>
  <c r="AR159" i="29"/>
  <c r="AQ159" i="29"/>
  <c r="AP159" i="29"/>
  <c r="AS158" i="29"/>
  <c r="AR158" i="29"/>
  <c r="AQ158" i="29"/>
  <c r="AP158" i="29"/>
  <c r="AS157" i="29"/>
  <c r="AR157" i="29"/>
  <c r="AQ157" i="29"/>
  <c r="AP157" i="29"/>
  <c r="AS156" i="29"/>
  <c r="AR156" i="29"/>
  <c r="AQ156" i="29"/>
  <c r="AP156" i="29"/>
  <c r="AS155" i="29"/>
  <c r="AR155" i="29"/>
  <c r="AQ155" i="29"/>
  <c r="AP155" i="29"/>
  <c r="AS154" i="29"/>
  <c r="AR154" i="29"/>
  <c r="AQ154" i="29"/>
  <c r="AP154" i="29"/>
  <c r="AS153" i="29"/>
  <c r="AR153" i="29"/>
  <c r="AQ153" i="29"/>
  <c r="AP153" i="29"/>
  <c r="AS152" i="29"/>
  <c r="AR152" i="29"/>
  <c r="AQ152" i="29"/>
  <c r="AP152" i="29"/>
  <c r="AS151" i="29"/>
  <c r="AR151" i="29"/>
  <c r="AQ151" i="29"/>
  <c r="AP151" i="29"/>
  <c r="AS150" i="29"/>
  <c r="AR150" i="29"/>
  <c r="AQ150" i="29"/>
  <c r="AP150" i="29"/>
  <c r="AS149" i="29"/>
  <c r="AR149" i="29"/>
  <c r="AQ149" i="29"/>
  <c r="AP149" i="29"/>
  <c r="AS148" i="29"/>
  <c r="AR148" i="29"/>
  <c r="AQ148" i="29"/>
  <c r="AP148" i="29"/>
  <c r="AS147" i="29"/>
  <c r="AR147" i="29"/>
  <c r="AQ147" i="29"/>
  <c r="AP147" i="29"/>
  <c r="AS146" i="29"/>
  <c r="AR146" i="29"/>
  <c r="AQ146" i="29"/>
  <c r="AP146" i="29"/>
  <c r="AS145" i="29"/>
  <c r="AR145" i="29"/>
  <c r="AQ145" i="29"/>
  <c r="AP145" i="29"/>
  <c r="AS144" i="29"/>
  <c r="AR144" i="29"/>
  <c r="AQ144" i="29"/>
  <c r="AP144" i="29"/>
  <c r="AS143" i="29"/>
  <c r="AR143" i="29"/>
  <c r="AQ143" i="29"/>
  <c r="AP143" i="29"/>
  <c r="AS142" i="29"/>
  <c r="AR142" i="29"/>
  <c r="AQ142" i="29"/>
  <c r="AP142" i="29"/>
  <c r="AS141" i="29"/>
  <c r="AR141" i="29"/>
  <c r="AQ141" i="29"/>
  <c r="AP141" i="29"/>
  <c r="AS140" i="29"/>
  <c r="AR140" i="29"/>
  <c r="AQ140" i="29"/>
  <c r="AP140" i="29"/>
  <c r="AS139" i="29"/>
  <c r="AR139" i="29"/>
  <c r="AQ139" i="29"/>
  <c r="AP139" i="29"/>
  <c r="AS138" i="29"/>
  <c r="AR138" i="29"/>
  <c r="AQ138" i="29"/>
  <c r="AP138" i="29"/>
  <c r="AS137" i="29"/>
  <c r="AR137" i="29"/>
  <c r="AQ137" i="29"/>
  <c r="AP137" i="29"/>
  <c r="AS136" i="29"/>
  <c r="AR136" i="29"/>
  <c r="AQ136" i="29"/>
  <c r="AP136" i="29"/>
  <c r="AS135" i="29"/>
  <c r="AR135" i="29"/>
  <c r="AQ135" i="29"/>
  <c r="AP135" i="29"/>
  <c r="AS134" i="29"/>
  <c r="AR134" i="29"/>
  <c r="AQ134" i="29"/>
  <c r="AP134" i="29"/>
  <c r="AS133" i="29"/>
  <c r="AR133" i="29"/>
  <c r="AQ133" i="29"/>
  <c r="AP133" i="29"/>
  <c r="AS132" i="29"/>
  <c r="AR132" i="29"/>
  <c r="AQ132" i="29"/>
  <c r="AP132" i="29"/>
  <c r="AS131" i="29"/>
  <c r="AR131" i="29"/>
  <c r="AQ131" i="29"/>
  <c r="AP131" i="29"/>
  <c r="AS130" i="29"/>
  <c r="AR130" i="29"/>
  <c r="AQ130" i="29"/>
  <c r="AP130" i="29"/>
  <c r="AS129" i="29"/>
  <c r="AR129" i="29"/>
  <c r="AQ129" i="29"/>
  <c r="AP129" i="29"/>
  <c r="AS128" i="29"/>
  <c r="AR128" i="29"/>
  <c r="AQ128" i="29"/>
  <c r="AP128" i="29"/>
  <c r="AS127" i="29"/>
  <c r="AR127" i="29"/>
  <c r="AQ127" i="29"/>
  <c r="AP127" i="29"/>
  <c r="AS126" i="29"/>
  <c r="AR126" i="29"/>
  <c r="AQ126" i="29"/>
  <c r="AP126" i="29"/>
  <c r="AS125" i="29"/>
  <c r="AR125" i="29"/>
  <c r="AQ125" i="29"/>
  <c r="AP125" i="29"/>
  <c r="AS124" i="29"/>
  <c r="AR124" i="29"/>
  <c r="AQ124" i="29"/>
  <c r="AP124" i="29"/>
  <c r="AS123" i="29"/>
  <c r="AR123" i="29"/>
  <c r="AQ123" i="29"/>
  <c r="AP123" i="29"/>
  <c r="AS122" i="29"/>
  <c r="AR122" i="29"/>
  <c r="AQ122" i="29"/>
  <c r="AP122" i="29"/>
  <c r="AS121" i="29"/>
  <c r="AR121" i="29"/>
  <c r="AQ121" i="29"/>
  <c r="AP121" i="29"/>
  <c r="AS120" i="29"/>
  <c r="AR120" i="29"/>
  <c r="AQ120" i="29"/>
  <c r="AP120" i="29"/>
  <c r="AS119" i="29"/>
  <c r="AR119" i="29"/>
  <c r="AQ119" i="29"/>
  <c r="AP119" i="29"/>
  <c r="AS118" i="29"/>
  <c r="AR118" i="29"/>
  <c r="AQ118" i="29"/>
  <c r="AP118" i="29"/>
  <c r="AS117" i="29"/>
  <c r="AR117" i="29"/>
  <c r="AQ117" i="29"/>
  <c r="AP117" i="29"/>
  <c r="AS116" i="29"/>
  <c r="AR116" i="29"/>
  <c r="AQ116" i="29"/>
  <c r="AP116" i="29"/>
  <c r="AS115" i="29"/>
  <c r="AR115" i="29"/>
  <c r="AQ115" i="29"/>
  <c r="AP115" i="29"/>
  <c r="AS114" i="29"/>
  <c r="AR114" i="29"/>
  <c r="AQ114" i="29"/>
  <c r="AP114" i="29"/>
  <c r="AS113" i="29"/>
  <c r="AR113" i="29"/>
  <c r="AQ113" i="29"/>
  <c r="AP113" i="29"/>
  <c r="AS112" i="29"/>
  <c r="AR112" i="29"/>
  <c r="AQ112" i="29"/>
  <c r="AP112" i="29"/>
  <c r="AS111" i="29"/>
  <c r="AR111" i="29"/>
  <c r="AQ111" i="29"/>
  <c r="AP111" i="29"/>
  <c r="AS110" i="29"/>
  <c r="AR110" i="29"/>
  <c r="AQ110" i="29"/>
  <c r="AP110" i="29"/>
  <c r="AS109" i="29"/>
  <c r="AR109" i="29"/>
  <c r="AQ109" i="29"/>
  <c r="AP109" i="29"/>
  <c r="AS108" i="29"/>
  <c r="AR108" i="29"/>
  <c r="AQ108" i="29"/>
  <c r="AP108" i="29"/>
  <c r="AS107" i="29"/>
  <c r="AR107" i="29"/>
  <c r="AQ107" i="29"/>
  <c r="AP107" i="29"/>
  <c r="AS106" i="29"/>
  <c r="AR106" i="29"/>
  <c r="AQ106" i="29"/>
  <c r="AP106" i="29"/>
  <c r="AS105" i="29"/>
  <c r="AR105" i="29"/>
  <c r="AQ105" i="29"/>
  <c r="AP105" i="29"/>
  <c r="AS104" i="29"/>
  <c r="AR104" i="29"/>
  <c r="AQ104" i="29"/>
  <c r="AP104" i="29"/>
  <c r="AS103" i="29"/>
  <c r="AR103" i="29"/>
  <c r="AQ103" i="29"/>
  <c r="AP103" i="29"/>
  <c r="AS95" i="29"/>
  <c r="AR95" i="29"/>
  <c r="AQ95" i="29"/>
  <c r="AP95" i="29"/>
  <c r="AS94" i="29"/>
  <c r="AR94" i="29"/>
  <c r="AQ94" i="29"/>
  <c r="AP94" i="29"/>
  <c r="AS93" i="29"/>
  <c r="AR93" i="29"/>
  <c r="AQ93" i="29"/>
  <c r="AP93" i="29"/>
  <c r="AS92" i="29"/>
  <c r="AR92" i="29"/>
  <c r="AQ92" i="29"/>
  <c r="AP92" i="29"/>
  <c r="AS91" i="29"/>
  <c r="AR91" i="29"/>
  <c r="AQ91" i="29"/>
  <c r="AP91" i="29"/>
  <c r="AS90" i="29"/>
  <c r="AR90" i="29"/>
  <c r="AQ90" i="29"/>
  <c r="AP90" i="29"/>
  <c r="AS89" i="29"/>
  <c r="AR89" i="29"/>
  <c r="AQ89" i="29"/>
  <c r="AP89" i="29"/>
  <c r="AS88" i="29"/>
  <c r="AR88" i="29"/>
  <c r="AQ88" i="29"/>
  <c r="AP88" i="29"/>
  <c r="AS87" i="29"/>
  <c r="AR87" i="29"/>
  <c r="AQ87" i="29"/>
  <c r="AP87" i="29"/>
  <c r="AS86" i="29"/>
  <c r="AR86" i="29"/>
  <c r="AQ86" i="29"/>
  <c r="AP86" i="29"/>
  <c r="AS85" i="29"/>
  <c r="AR85" i="29"/>
  <c r="AQ85" i="29"/>
  <c r="AP85" i="29"/>
  <c r="AS84" i="29"/>
  <c r="AR84" i="29"/>
  <c r="AQ84" i="29"/>
  <c r="AP84" i="29"/>
  <c r="AS83" i="29"/>
  <c r="AR83" i="29"/>
  <c r="AQ83" i="29"/>
  <c r="AP83" i="29"/>
  <c r="AS82" i="29"/>
  <c r="AR82" i="29"/>
  <c r="AQ82" i="29"/>
  <c r="AP82" i="29"/>
  <c r="AS81" i="29"/>
  <c r="AR81" i="29"/>
  <c r="AQ81" i="29"/>
  <c r="AP81" i="29"/>
  <c r="AS80" i="29"/>
  <c r="AR80" i="29"/>
  <c r="AQ80" i="29"/>
  <c r="AP80" i="29"/>
  <c r="AS79" i="29"/>
  <c r="AR79" i="29"/>
  <c r="AQ79" i="29"/>
  <c r="AP79" i="29"/>
  <c r="AS78" i="29"/>
  <c r="AR78" i="29"/>
  <c r="AQ78" i="29"/>
  <c r="AP78" i="29"/>
  <c r="AS77" i="29"/>
  <c r="AR77" i="29"/>
  <c r="AQ77" i="29"/>
  <c r="AP77" i="29"/>
  <c r="AS76" i="29"/>
  <c r="AR76" i="29"/>
  <c r="AQ76" i="29"/>
  <c r="AP76" i="29"/>
  <c r="AS75" i="29"/>
  <c r="AR75" i="29"/>
  <c r="AQ75" i="29"/>
  <c r="AP75" i="29"/>
  <c r="AS74" i="29"/>
  <c r="AR74" i="29"/>
  <c r="AQ74" i="29"/>
  <c r="AP74" i="29"/>
  <c r="AS73" i="29"/>
  <c r="AR73" i="29"/>
  <c r="AQ73" i="29"/>
  <c r="AP73" i="29"/>
  <c r="AS72" i="29"/>
  <c r="AR72" i="29"/>
  <c r="AQ72" i="29"/>
  <c r="AP72" i="29"/>
  <c r="AS71" i="29"/>
  <c r="AR71" i="29"/>
  <c r="AQ71" i="29"/>
  <c r="AP71" i="29"/>
  <c r="AS70" i="29"/>
  <c r="AR70" i="29"/>
  <c r="AQ70" i="29"/>
  <c r="AP70" i="29"/>
  <c r="AS69" i="29"/>
  <c r="AR69" i="29"/>
  <c r="AQ69" i="29"/>
  <c r="AP69" i="29"/>
  <c r="AS68" i="29"/>
  <c r="AR68" i="29"/>
  <c r="AQ68" i="29"/>
  <c r="AP68" i="29"/>
  <c r="AS67" i="29"/>
  <c r="AR67" i="29"/>
  <c r="AQ67" i="29"/>
  <c r="AP67" i="29"/>
  <c r="AS66" i="29"/>
  <c r="AR66" i="29"/>
  <c r="AQ66" i="29"/>
  <c r="AP66" i="29"/>
  <c r="AS65" i="29"/>
  <c r="AR65" i="29"/>
  <c r="AQ65" i="29"/>
  <c r="AP65" i="29"/>
  <c r="AS64" i="29"/>
  <c r="AR64" i="29"/>
  <c r="AQ64" i="29"/>
  <c r="AP64" i="29"/>
  <c r="AS63" i="29"/>
  <c r="AR63" i="29"/>
  <c r="AQ63" i="29"/>
  <c r="AP63" i="29"/>
  <c r="AS62" i="29"/>
  <c r="AR62" i="29"/>
  <c r="AQ62" i="29"/>
  <c r="AP62" i="29"/>
  <c r="AS61" i="29"/>
  <c r="AR61" i="29"/>
  <c r="AQ61" i="29"/>
  <c r="AP61" i="29"/>
  <c r="AS60" i="29"/>
  <c r="AR60" i="29"/>
  <c r="AQ60" i="29"/>
  <c r="AP60" i="29"/>
  <c r="AS59" i="29"/>
  <c r="AR59" i="29"/>
  <c r="AQ59" i="29"/>
  <c r="AP59" i="29"/>
  <c r="AS58" i="29"/>
  <c r="AR58" i="29"/>
  <c r="AQ58" i="29"/>
  <c r="AP58" i="29"/>
  <c r="AS57" i="29"/>
  <c r="AR57" i="29"/>
  <c r="AQ57" i="29"/>
  <c r="AP57" i="29"/>
  <c r="AS56" i="29"/>
  <c r="AR56" i="29"/>
  <c r="AQ56" i="29"/>
  <c r="AP56" i="29"/>
  <c r="AS55" i="29"/>
  <c r="AR55" i="29"/>
  <c r="AQ55" i="29"/>
  <c r="AP55" i="29"/>
  <c r="AS54" i="29"/>
  <c r="AR54" i="29"/>
  <c r="AQ54" i="29"/>
  <c r="AP54" i="29"/>
  <c r="AS53" i="29"/>
  <c r="AR53" i="29"/>
  <c r="AQ53" i="29"/>
  <c r="AP53" i="29"/>
  <c r="AS52" i="29"/>
  <c r="AR52" i="29"/>
  <c r="AQ52" i="29"/>
  <c r="AP52" i="29"/>
  <c r="AS51" i="29"/>
  <c r="AR51" i="29"/>
  <c r="AQ51" i="29"/>
  <c r="AP51" i="29"/>
  <c r="AS50" i="29"/>
  <c r="AR50" i="29"/>
  <c r="AQ50" i="29"/>
  <c r="AP50" i="29"/>
  <c r="AS49" i="29"/>
  <c r="AR49" i="29"/>
  <c r="AQ49" i="29"/>
  <c r="AP49" i="29"/>
  <c r="AS48" i="29"/>
  <c r="AR48" i="29"/>
  <c r="AQ48" i="29"/>
  <c r="AP48" i="29"/>
  <c r="AS47" i="29"/>
  <c r="AR47" i="29"/>
  <c r="AQ47" i="29"/>
  <c r="AP47" i="29"/>
  <c r="AS38" i="29"/>
  <c r="AR38" i="29"/>
  <c r="AQ38" i="29"/>
  <c r="AP38" i="29"/>
  <c r="AS37" i="29"/>
  <c r="AR37" i="29"/>
  <c r="AQ37" i="29"/>
  <c r="AP37" i="29"/>
  <c r="AS36" i="29"/>
  <c r="AR36" i="29"/>
  <c r="AQ36" i="29"/>
  <c r="AP36" i="29"/>
  <c r="AS35" i="29"/>
  <c r="AR35" i="29"/>
  <c r="AQ35" i="29"/>
  <c r="AP35" i="29"/>
  <c r="AS34" i="29"/>
  <c r="AR34" i="29"/>
  <c r="AQ34" i="29"/>
  <c r="AP34" i="29"/>
  <c r="AS33" i="29"/>
  <c r="AR33" i="29"/>
  <c r="AQ33" i="29"/>
  <c r="AP33" i="29"/>
  <c r="AS32" i="29"/>
  <c r="AR32" i="29"/>
  <c r="AQ32" i="29"/>
  <c r="AP32" i="29"/>
  <c r="AS31" i="29"/>
  <c r="AR31" i="29"/>
  <c r="AQ31" i="29"/>
  <c r="AP31" i="29"/>
  <c r="AS30" i="29"/>
  <c r="AR30" i="29"/>
  <c r="AQ30" i="29"/>
  <c r="AP30" i="29"/>
  <c r="AS29" i="29"/>
  <c r="AR29" i="29"/>
  <c r="AQ29" i="29"/>
  <c r="AP29" i="29"/>
  <c r="AS28" i="29"/>
  <c r="AR28" i="29"/>
  <c r="AQ28" i="29"/>
  <c r="AP28" i="29"/>
  <c r="AS27" i="29"/>
  <c r="AR27" i="29"/>
  <c r="AQ27" i="29"/>
  <c r="AP27" i="29"/>
  <c r="AS26" i="29"/>
  <c r="AR26" i="29"/>
  <c r="AQ26" i="29"/>
  <c r="AP26" i="29"/>
  <c r="AS25" i="29"/>
  <c r="AR25" i="29"/>
  <c r="AQ25" i="29"/>
  <c r="AP25" i="29"/>
  <c r="AS24" i="29"/>
  <c r="AR24" i="29"/>
  <c r="AQ24" i="29"/>
  <c r="AP24" i="29"/>
  <c r="AS23" i="29"/>
  <c r="AR23" i="29"/>
  <c r="AQ23" i="29"/>
  <c r="AP23" i="29"/>
  <c r="AS22" i="29"/>
  <c r="AR22" i="29"/>
  <c r="AQ22" i="29"/>
  <c r="AP22" i="29"/>
  <c r="AS21" i="29"/>
  <c r="AR21" i="29"/>
  <c r="AQ21" i="29"/>
  <c r="AP21" i="29"/>
  <c r="AS20" i="29"/>
  <c r="AR20" i="29"/>
  <c r="AQ20" i="29"/>
  <c r="AP20" i="29"/>
  <c r="AS19" i="29"/>
  <c r="AR19" i="29"/>
  <c r="AQ19" i="29"/>
  <c r="AP19" i="29"/>
  <c r="AS18" i="29"/>
  <c r="AR18" i="29"/>
  <c r="AQ18" i="29"/>
  <c r="AP18" i="29"/>
  <c r="AS17" i="29"/>
  <c r="AR17" i="29"/>
  <c r="AQ17" i="29"/>
  <c r="AP17" i="29"/>
  <c r="AS16" i="29"/>
  <c r="AR16" i="29"/>
  <c r="AQ16" i="29"/>
  <c r="AP16" i="29"/>
  <c r="AS15" i="29"/>
  <c r="AR15" i="29"/>
  <c r="AQ15" i="29"/>
  <c r="AP15" i="29"/>
  <c r="AS14" i="29"/>
  <c r="AR14" i="29"/>
  <c r="AQ14" i="29"/>
  <c r="AP14" i="29"/>
  <c r="AS13" i="29"/>
  <c r="AR13" i="29"/>
  <c r="AQ13" i="29"/>
  <c r="AP13" i="29"/>
  <c r="AS12" i="29"/>
  <c r="AR12" i="29"/>
  <c r="AQ12" i="29"/>
  <c r="AP12" i="29"/>
</calcChain>
</file>

<file path=xl/sharedStrings.xml><?xml version="1.0" encoding="utf-8"?>
<sst xmlns="http://schemas.openxmlformats.org/spreadsheetml/2006/main" count="8247" uniqueCount="2507">
  <si>
    <t>ALICIA EN EL PAIS DE LAS MARAVILLAS</t>
  </si>
  <si>
    <t>HISTORIAS DE LA BIBLIA</t>
  </si>
  <si>
    <t>LEONARDO DA VINCI</t>
  </si>
  <si>
    <t>PETER PAN</t>
  </si>
  <si>
    <t>NUMEROS</t>
  </si>
  <si>
    <t>ISLA DEL TESORO, LA</t>
  </si>
  <si>
    <t>COLORES</t>
  </si>
  <si>
    <t>I.S.B.N.</t>
  </si>
  <si>
    <t>A u t o r</t>
  </si>
  <si>
    <t>T i t u l o</t>
  </si>
  <si>
    <t>BLANCO, ANTONIO - BLANCO. GUSTAVO</t>
  </si>
  <si>
    <t>CIRUGIA DE MICHANS</t>
  </si>
  <si>
    <t>CINGOLANI-HOUSSAY</t>
  </si>
  <si>
    <t>DI FIORE, MARIANO</t>
  </si>
  <si>
    <t>FUSTINONI</t>
  </si>
  <si>
    <t>FESCINA, RICARDO - SCHWARCZ, RICARDO - DEVERGES, CARLOS</t>
  </si>
  <si>
    <t>LOPEZ - SUAREZ</t>
  </si>
  <si>
    <t>FUNDAMENTOS DE NUTRICION NORMAL</t>
  </si>
  <si>
    <t>DE GIROLAMI</t>
  </si>
  <si>
    <t>DE GIROLAMI-GONZALEZ INFANTINO</t>
  </si>
  <si>
    <t>ONZARI</t>
  </si>
  <si>
    <t>ALIMENTACION PARA LA ACTIVIDAD FISICA Y EL DEPORTE</t>
  </si>
  <si>
    <t>MOSCA BUSTAMANTE</t>
  </si>
  <si>
    <t>BASILE</t>
  </si>
  <si>
    <t>SUMPF, ALEXANDRE</t>
  </si>
  <si>
    <t>KERJAN, LILIANE</t>
  </si>
  <si>
    <t>TRUMAN CAPOTE</t>
  </si>
  <si>
    <t>PONS, FREDERIC</t>
  </si>
  <si>
    <t>DES CARS, JEAN</t>
  </si>
  <si>
    <t>CETRO Y LA SANGRE, EL</t>
  </si>
  <si>
    <t>BUDA</t>
  </si>
  <si>
    <t>CASTELOT</t>
  </si>
  <si>
    <t>LEVER</t>
  </si>
  <si>
    <t>MARIA ANTONIETA</t>
  </si>
  <si>
    <t>CASTORIO, M. JEAN-NOËL</t>
  </si>
  <si>
    <t>MESALINA</t>
  </si>
  <si>
    <t xml:space="preserve">BORIAUD, JEAN-YVES </t>
  </si>
  <si>
    <t>FIODOR DOSTOIEVSKI</t>
  </si>
  <si>
    <t>KERSAUDY, FRANCOIS</t>
  </si>
  <si>
    <t>WINSTON CHURCHILL</t>
  </si>
  <si>
    <t>ANTOINE DE SAINT EXUPERY</t>
  </si>
  <si>
    <t>CHARLES DICKENS</t>
  </si>
  <si>
    <t>PIQUE</t>
  </si>
  <si>
    <t>FRANCISCO. VIDA Y REVOLUCION</t>
  </si>
  <si>
    <t>WOLFGANG AMADEUS MOZART</t>
  </si>
  <si>
    <t>CHAUSSINAND-NOGARET</t>
  </si>
  <si>
    <t>GIACOMO CASANOVA</t>
  </si>
  <si>
    <t>FAUCONNIER</t>
  </si>
  <si>
    <t>LUDWIG VAN BEETHOVEN</t>
  </si>
  <si>
    <t>DE DECKER</t>
  </si>
  <si>
    <t>WAGNER</t>
  </si>
  <si>
    <t>ENRIQUE VIII</t>
  </si>
  <si>
    <t>GIRARD</t>
  </si>
  <si>
    <t>MOURET, JEAN-NOEL</t>
  </si>
  <si>
    <t>CHARLES DARWIN</t>
  </si>
  <si>
    <t>CESARES</t>
  </si>
  <si>
    <t>MARCOU</t>
  </si>
  <si>
    <t>VIDA PRIVADA DE STALIN, LA</t>
  </si>
  <si>
    <t>DECAUX, ALAIN</t>
  </si>
  <si>
    <t>DESTINOS FABULOSOS</t>
  </si>
  <si>
    <t>EDWARDS</t>
  </si>
  <si>
    <t>VIDA, ESTAMOS EN PAZ</t>
  </si>
  <si>
    <t>MILZA</t>
  </si>
  <si>
    <t>BENITO, DAVID</t>
  </si>
  <si>
    <t>HISTORIAS DE LA PREHISTORIA</t>
  </si>
  <si>
    <t>FERNANDEZ VEGA, PEDRO A.</t>
  </si>
  <si>
    <t>CORRUPTA ROMA</t>
  </si>
  <si>
    <t>LECOMTE, BERNARD</t>
  </si>
  <si>
    <t>SECRETOS DEL KREMLIN, LOS</t>
  </si>
  <si>
    <t>CAMACHO</t>
  </si>
  <si>
    <t>NEGRETE, JAVIER</t>
  </si>
  <si>
    <t>GRAN AVENTURA DE LOS GRIEGOS, LA</t>
  </si>
  <si>
    <t>PARRA, JOSE MIGUEL</t>
  </si>
  <si>
    <t>VIDA COTIDIANA EN EL ANTIGUO EGIPTO, LA</t>
  </si>
  <si>
    <t>SAGA DE LOS ROMANOV, LA</t>
  </si>
  <si>
    <t>SAGA DE LOS HABSBURGO, LA</t>
  </si>
  <si>
    <t>LABOA GALLEGO, JUAN MARÍA</t>
  </si>
  <si>
    <t>HISTORIA DE LOS PAPAS</t>
  </si>
  <si>
    <t>CORRIGAN, GORDON</t>
  </si>
  <si>
    <t>WATERLOO</t>
  </si>
  <si>
    <t>BLIN, ARNAUD</t>
  </si>
  <si>
    <t>BATALLAS QUE CAMBIARON LA HISTORIA, LAS</t>
  </si>
  <si>
    <t>CHURCHILL</t>
  </si>
  <si>
    <t>SEGUNDA GUERRA MUNDIAL, LA</t>
  </si>
  <si>
    <t>LOPEZ, J.-WIEVIORKA, O.</t>
  </si>
  <si>
    <t>MITOS DE LA SEGUNDA GUERRA MUNDIAL, LOS</t>
  </si>
  <si>
    <t>PRIETO, MANUEL J.</t>
  </si>
  <si>
    <t>DELARUE</t>
  </si>
  <si>
    <t>ESPARZA, JOSE JAVIER</t>
  </si>
  <si>
    <t>HISTORIA DE LA YIHAD</t>
  </si>
  <si>
    <t>BERN, STEPHANE</t>
  </si>
  <si>
    <t>SECRETOS DE LA HISTORIA</t>
  </si>
  <si>
    <t>POR QUE DE LA HISTORIA 3, LOS</t>
  </si>
  <si>
    <t>TORRES</t>
  </si>
  <si>
    <t>SECRETOS DEL PALACIO DEL LOUVRE</t>
  </si>
  <si>
    <t>SOLAR</t>
  </si>
  <si>
    <t>CAIDA DE LOS DIOSES, LA</t>
  </si>
  <si>
    <t>GERWARTH</t>
  </si>
  <si>
    <t>HEYDRICH</t>
  </si>
  <si>
    <t>MASSOT</t>
  </si>
  <si>
    <t>CARAS DE LA HISTORIA, LAS</t>
  </si>
  <si>
    <t>GRANDES VENGANZAS DE LA HISTORIA</t>
  </si>
  <si>
    <t>QUERALT DEL HIERRO</t>
  </si>
  <si>
    <t>MUJERES DE VIDA APASIONADA</t>
  </si>
  <si>
    <t>NEGRETE</t>
  </si>
  <si>
    <t>ROMA VICTORIOSA</t>
  </si>
  <si>
    <t>PIÑUEL. IÑAKI</t>
  </si>
  <si>
    <t>5 TRAMPAS DEL AMOR, LAS</t>
  </si>
  <si>
    <t>VALLEY AREVALO, ANGELA</t>
  </si>
  <si>
    <t>AMANTES PODEROSAS DE LA HISTORIA</t>
  </si>
  <si>
    <t>MARTINEZ, FREDERIC</t>
  </si>
  <si>
    <t>DIOSAS DE HOLLYWOOD</t>
  </si>
  <si>
    <t>CRASNIANSKI, TANIA</t>
  </si>
  <si>
    <t>HIJOS DE NAZIS</t>
  </si>
  <si>
    <t>COJEAN</t>
  </si>
  <si>
    <t>FALLACI</t>
  </si>
  <si>
    <t>ENTREVISTA CON LA HISTORIA</t>
  </si>
  <si>
    <t>VALLES, VICENTE</t>
  </si>
  <si>
    <t>TRUMP Y LA CAIDA DE LOS CLINTON</t>
  </si>
  <si>
    <t>MIEDO ES UN PECADO, EL</t>
  </si>
  <si>
    <t>SPADARO</t>
  </si>
  <si>
    <t>BOWEN</t>
  </si>
  <si>
    <t>UN GATO CALLEJERO LLAMADO BOB</t>
  </si>
  <si>
    <t>CEREBRO Y LA MUSICA, EL</t>
  </si>
  <si>
    <t>MAYER</t>
  </si>
  <si>
    <t>ARTISTAS CRIMINALES</t>
  </si>
  <si>
    <t>DOS AMIGOS</t>
  </si>
  <si>
    <t>PERRET</t>
  </si>
  <si>
    <t>GAONA CARTOLANO</t>
  </si>
  <si>
    <t>AL OTRO LADO DEL TUNEL</t>
  </si>
  <si>
    <t>MAQUIAVELO</t>
  </si>
  <si>
    <t>DE LA TORRE</t>
  </si>
  <si>
    <t>GUADAGNI, ALIETO ALDO - CUERVO, MIGUEL ANGEL</t>
  </si>
  <si>
    <t>CAMBIO CLIMATICO, EL</t>
  </si>
  <si>
    <t>LLACH, JUAN - LAGOS, MARTIN</t>
  </si>
  <si>
    <t>EDUCACION ARGENTINA EN EL SIGLO XXI, LA</t>
  </si>
  <si>
    <t>LANUS, JUAN ARCHIBALDO</t>
  </si>
  <si>
    <t>REPENSANDO MALVINAS</t>
  </si>
  <si>
    <t xml:space="preserve">ONAINDIA, JOSÉ MIGUEL </t>
  </si>
  <si>
    <t>LANUS</t>
  </si>
  <si>
    <t>ARGENTINA INCONCLUSA, LA</t>
  </si>
  <si>
    <t>COALICIONES POLITICAS</t>
  </si>
  <si>
    <t>DE MARCO</t>
  </si>
  <si>
    <t>SABATO H.-DE PRIVITELIO L.-TERNAVESIO M.-PERSELLO A.V.</t>
  </si>
  <si>
    <t>PIONEROS, SOLDADOS Y POETAS DE LA ARGENTINA</t>
  </si>
  <si>
    <t>DE TITTO</t>
  </si>
  <si>
    <t>DOS INDEPENDENCIAS ARGENTINAS, LAS</t>
  </si>
  <si>
    <t>MITRE</t>
  </si>
  <si>
    <t>STHERS</t>
  </si>
  <si>
    <t>CHICKEN STREET</t>
  </si>
  <si>
    <t>BARILLE</t>
  </si>
  <si>
    <t>UN AMOR AL ALBA</t>
  </si>
  <si>
    <t>LEWIS</t>
  </si>
  <si>
    <t>DIARIO DEL INQUISIDOR, EL</t>
  </si>
  <si>
    <t>LOJO</t>
  </si>
  <si>
    <t>AUTORES VARIOS</t>
  </si>
  <si>
    <t>VARIOS</t>
  </si>
  <si>
    <t>DUEÑAS DE LA PELOTA, LAS</t>
  </si>
  <si>
    <t>PENZLER</t>
  </si>
  <si>
    <t>MUJERES PELIGROSAS</t>
  </si>
  <si>
    <t>OCAMPO</t>
  </si>
  <si>
    <t>BOWDEN</t>
  </si>
  <si>
    <t>BOWDEN, OLIVER</t>
  </si>
  <si>
    <t>ASSASSIN'S CREED 8: UNDERWORLD</t>
  </si>
  <si>
    <t>ARTE DE ASSASSIN'S CREED III, EL</t>
  </si>
  <si>
    <t>HINES, JIM C.</t>
  </si>
  <si>
    <t>VENGANZA DE LAS HERMANASTRAS, LA</t>
  </si>
  <si>
    <t>MAGO DE LOS LIBROS, EL</t>
  </si>
  <si>
    <t>HIJO DEL CODICE, EL</t>
  </si>
  <si>
    <t>A CONTRALUZ</t>
  </si>
  <si>
    <t>BATALLA FINAL</t>
  </si>
  <si>
    <t>ESTRELLA EN LLAMAS</t>
  </si>
  <si>
    <t>FUEGO DEL CIELO</t>
  </si>
  <si>
    <t>MURCHO, MARIA AGUSTINA</t>
  </si>
  <si>
    <t>PODEMOS COMER DE TODO</t>
  </si>
  <si>
    <t>ROSSI</t>
  </si>
  <si>
    <t>BALLENATO</t>
  </si>
  <si>
    <t>EDUCAR SIN GRITAR</t>
  </si>
  <si>
    <t>LOPEZ ALCALA</t>
  </si>
  <si>
    <t>QUE NOMBRE LE PONDREMOS?</t>
  </si>
  <si>
    <t>MARTINEZ</t>
  </si>
  <si>
    <t>JOVE</t>
  </si>
  <si>
    <t>DORMIR SIN LAGRIMAS</t>
  </si>
  <si>
    <t>SULLIVAN</t>
  </si>
  <si>
    <t>COMO AYUDAR A SU HIJO CON SOBREPESO</t>
  </si>
  <si>
    <t>LOZANO</t>
  </si>
  <si>
    <t>VIVIR CON UN NIÑO HIPERACTIVO</t>
  </si>
  <si>
    <t>CRUZ JETOF</t>
  </si>
  <si>
    <t>VEJEZ POSITIVA, LA</t>
  </si>
  <si>
    <t>CAPRIOGLIO</t>
  </si>
  <si>
    <t>INTELIGENCIA DIGESTIVA</t>
  </si>
  <si>
    <t>TIMIDA-MENTE</t>
  </si>
  <si>
    <t>FERRANDO, IÑAKI</t>
  </si>
  <si>
    <t>SE HACE SALUD AL ANDAR</t>
  </si>
  <si>
    <t>ANDERSEN, HANS C.</t>
  </si>
  <si>
    <t>BARBOT DE VILLENEUVE, GABRIELLE-SUZANNE</t>
  </si>
  <si>
    <t>LEBLANC, SOPHIE</t>
  </si>
  <si>
    <t>HALSTEAD-HENRICOT</t>
  </si>
  <si>
    <t>SOLUCIONES CONTRA PLAGAS Y ENFERMEDADES DE LAS PLANTAS</t>
  </si>
  <si>
    <t>HIERBAS</t>
  </si>
  <si>
    <t>MIKOLAJSKI</t>
  </si>
  <si>
    <t>PLANTAS PARA SOMBRA</t>
  </si>
  <si>
    <t>CROSBIE</t>
  </si>
  <si>
    <t>PODA PASO A PASO, LA</t>
  </si>
  <si>
    <t>FREDERIQUE</t>
  </si>
  <si>
    <t>LIMON ASTUTO, EL</t>
  </si>
  <si>
    <t>DROULHIOLE</t>
  </si>
  <si>
    <t>BICARBONATO ASTUTO, EL</t>
  </si>
  <si>
    <t>VINAGRE ASTUTO, EL</t>
  </si>
  <si>
    <t>AJO ASTUTO, EL</t>
  </si>
  <si>
    <t xml:space="preserve">FRÉDÉRIQUE, JULIE </t>
  </si>
  <si>
    <t>ACEITE DE OLIVA ASTUTO, EL</t>
  </si>
  <si>
    <t>DODERO</t>
  </si>
  <si>
    <t>SECRETO PARA RESOLVER CONFLICTOS EN LAS EMPRESAS FAMILIARES, EL</t>
  </si>
  <si>
    <t>MARKIC</t>
  </si>
  <si>
    <t>MISTERIOSA ARGENTINA</t>
  </si>
  <si>
    <t>MISTERIOSA ARGENTINA 2</t>
  </si>
  <si>
    <t>DE LARMINAT</t>
  </si>
  <si>
    <t>UN PIONERO DE LA PATAGONIA</t>
  </si>
  <si>
    <t>A PIONEER IN PATAGONIA</t>
  </si>
  <si>
    <t>BROOM, JENNY</t>
  </si>
  <si>
    <t>MARAVILLOSA NATURALEZA</t>
  </si>
  <si>
    <t>RACINET, ALBERT</t>
  </si>
  <si>
    <t>HISTORIA ILUSTRADA DEL VESTIDO</t>
  </si>
  <si>
    <t>NOÉ</t>
  </si>
  <si>
    <t>PACHECO</t>
  </si>
  <si>
    <t>GARABITO</t>
  </si>
  <si>
    <t>GIORDANO</t>
  </si>
  <si>
    <t>MENA</t>
  </si>
  <si>
    <t>MALOSETTI COSTA</t>
  </si>
  <si>
    <t>COLLIVADINO</t>
  </si>
  <si>
    <t>PARISSI</t>
  </si>
  <si>
    <t>MEJORES CHISTES 5, LOS</t>
  </si>
  <si>
    <t>A DIVERTIRSE CHICOS! 1</t>
  </si>
  <si>
    <t>VILLIOT, BERNARD</t>
  </si>
  <si>
    <t>ZORZI, EL FABRICANTE DE SUEÑOS</t>
  </si>
  <si>
    <t>SAM, EL DOMADOR DEL VIENTO</t>
  </si>
  <si>
    <t xml:space="preserve">LONG BOSTROM, KATHLEEN </t>
  </si>
  <si>
    <t>LITCHFIELD, DAVID</t>
  </si>
  <si>
    <t>PIGNATARO, ANNA</t>
  </si>
  <si>
    <t>AGATHA Y LA OSCURIDAD</t>
  </si>
  <si>
    <t>AGATHA</t>
  </si>
  <si>
    <t>DELANSSAY</t>
  </si>
  <si>
    <t>DIOSA DE LOS MARES, LA</t>
  </si>
  <si>
    <t>GALLIEZ</t>
  </si>
  <si>
    <t>DAME LA LUNA</t>
  </si>
  <si>
    <t>VOLPARI</t>
  </si>
  <si>
    <t>CLEOPATRA</t>
  </si>
  <si>
    <t>LUTIN-TESSIER</t>
  </si>
  <si>
    <t>SISSI</t>
  </si>
  <si>
    <t>HUGO Y OGUH</t>
  </si>
  <si>
    <t>LONDON</t>
  </si>
  <si>
    <t>COLMILLO BLANCO</t>
  </si>
  <si>
    <t>DE SAINT-EXUPÉRY, ANTOINE</t>
  </si>
  <si>
    <t>DICKENS</t>
  </si>
  <si>
    <t>OLIVER TWIST</t>
  </si>
  <si>
    <t>CECCO, MARINIELLO</t>
  </si>
  <si>
    <t>PRINCIPE SIDDHARTA, EL</t>
  </si>
  <si>
    <t>HEIDI</t>
  </si>
  <si>
    <t>INCREIBLE VIAJE DE CRISTOBAL COLON, EL</t>
  </si>
  <si>
    <t>EN BUSQUEDA DE LA FELICIDAD</t>
  </si>
  <si>
    <t>PRINCESAS DE LEYENDA</t>
  </si>
  <si>
    <t>BALALAIKA</t>
  </si>
  <si>
    <t>HANSON, FAYE</t>
  </si>
  <si>
    <t>MI MUNDO MARAVILLOSO</t>
  </si>
  <si>
    <t>CARROLL</t>
  </si>
  <si>
    <t>VIENTO EN LOS SAUCES, EL</t>
  </si>
  <si>
    <t>BARRIE</t>
  </si>
  <si>
    <t>CALOGIURI-COSTA</t>
  </si>
  <si>
    <t>GATO DE BEETHOVEN, EL</t>
  </si>
  <si>
    <t>TE QUIERO MUCHO</t>
  </si>
  <si>
    <t>DRACULA</t>
  </si>
  <si>
    <t>VERNE, JULIO</t>
  </si>
  <si>
    <t>NEGRIM</t>
  </si>
  <si>
    <t>ANONIMO</t>
  </si>
  <si>
    <t xml:space="preserve">NEVES, ANDRÉ </t>
  </si>
  <si>
    <t>ROBILLARO, JEAN-MARIE</t>
  </si>
  <si>
    <t>MENSAJERO DEL CLARO DE LUNA, EL</t>
  </si>
  <si>
    <t>POMPEI, CHRISTINE</t>
  </si>
  <si>
    <t>CHARLES EN LA ESCUELA DE DRAGONES</t>
  </si>
  <si>
    <t>COUSSEAU, ALEX</t>
  </si>
  <si>
    <t>PRINCESA DEL SOL NACIENTE, LA</t>
  </si>
  <si>
    <t>ROMAN, GHISLAINE</t>
  </si>
  <si>
    <t>PRINCESA DE LA PLUMA BLANCA, LA</t>
  </si>
  <si>
    <t>STEVENSON, ROBERT LUIS</t>
  </si>
  <si>
    <t xml:space="preserve">STARASELSKI, VALÈRE </t>
  </si>
  <si>
    <t>SHAKESPEARE</t>
  </si>
  <si>
    <t>ROMEO Y JULIETA</t>
  </si>
  <si>
    <t>BUGUET, ANNE</t>
  </si>
  <si>
    <t>TRES PRINCESAS, LAS</t>
  </si>
  <si>
    <t>LEHMANN, S.-MERTENS, D.</t>
  </si>
  <si>
    <t>MUNDO DE LAS HADAS, EL</t>
  </si>
  <si>
    <t>ATTABERRY, ELSIE</t>
  </si>
  <si>
    <t>BUENOS AMIGOS</t>
  </si>
  <si>
    <t>CAPULLITO Y BAO BAO</t>
  </si>
  <si>
    <t>UN GRAN DIA</t>
  </si>
  <si>
    <t>MACMILLAN</t>
  </si>
  <si>
    <t>HOSLET BARRIOS, SUSANA</t>
  </si>
  <si>
    <t>COURTNEY-TICKLE, J.</t>
  </si>
  <si>
    <t>UTTLEY</t>
  </si>
  <si>
    <t>AVENTURA DE LA LIEBRE, LA</t>
  </si>
  <si>
    <t>BIOLS, ANNA</t>
  </si>
  <si>
    <t>MI AMIGO DEGAS</t>
  </si>
  <si>
    <t>MI AMIGO GAUGUIN</t>
  </si>
  <si>
    <t>MI AMIGO MONET</t>
  </si>
  <si>
    <t>MI AMIGO VAN GOGH</t>
  </si>
  <si>
    <t>BRETT, ANNA</t>
  </si>
  <si>
    <t>ORBIL, EL LIBRO PATAS ARRIBA</t>
  </si>
  <si>
    <t>CONNOLLY, KIERON</t>
  </si>
  <si>
    <t>McCALL</t>
  </si>
  <si>
    <t>MONSTRUOS Y VILLANOS DEL CINE Y LA LITERATURA</t>
  </si>
  <si>
    <t>ADAMS, TOM</t>
  </si>
  <si>
    <t>BIESTY, STEPHEN</t>
  </si>
  <si>
    <t>VEHICULOS GIGANTES</t>
  </si>
  <si>
    <t>AL RESCATE!</t>
  </si>
  <si>
    <t xml:space="preserve">HAYES, FIONA </t>
  </si>
  <si>
    <t>JONES, CATHRYN</t>
  </si>
  <si>
    <t>ROWE, JEANNETTE</t>
  </si>
  <si>
    <t>MOTUELLE, BERENGER</t>
  </si>
  <si>
    <t>ANIMALES, LOS</t>
  </si>
  <si>
    <t>OPUESTOS, LOS</t>
  </si>
  <si>
    <t>BOLTON, BILL</t>
  </si>
  <si>
    <t>EN LA SELVA</t>
  </si>
  <si>
    <t>EN EL CIRCO</t>
  </si>
  <si>
    <t>REID, HUNTER</t>
  </si>
  <si>
    <t>LUCES Y COLORES DE LA CIUDAD</t>
  </si>
  <si>
    <t>PARQUE DE DIVERSIONES</t>
  </si>
  <si>
    <t>VASCONCELOS</t>
  </si>
  <si>
    <t>EL ATENEO</t>
  </si>
  <si>
    <t>ATENEO</t>
  </si>
  <si>
    <t>DELORME, PHILIPPE</t>
  </si>
  <si>
    <t>BORIAUD, JEAN-YVES</t>
  </si>
  <si>
    <t>BORGIA, LOS</t>
  </si>
  <si>
    <t>BENSOUSSAN, ALBERT</t>
  </si>
  <si>
    <t>TATKOWSKA, AG</t>
  </si>
  <si>
    <t>REINO DE LAS SIRENITAS, EL</t>
  </si>
  <si>
    <t>CHARLES Y LA PRINCESA</t>
  </si>
  <si>
    <t>MUERTE DE LOS CESARES, LA</t>
  </si>
  <si>
    <t>SCHMIDT, JOEL</t>
  </si>
  <si>
    <t>GOLDEN, CHRISTIE</t>
  </si>
  <si>
    <t>SMITH, DODIE</t>
  </si>
  <si>
    <t>BENASTRE, SOPHIE</t>
  </si>
  <si>
    <t>PRINCESA DEL AMANECER, LA</t>
  </si>
  <si>
    <t>PERRAULT, CHARLES</t>
  </si>
  <si>
    <t>CENICIENTA</t>
  </si>
  <si>
    <t>AZZI, MARIA S.</t>
  </si>
  <si>
    <t>ASTOR PIAZZOLLA</t>
  </si>
  <si>
    <t>NORBERG, JOHAN</t>
  </si>
  <si>
    <t>GRANDES AVANCES DE LA HUMANIDAD</t>
  </si>
  <si>
    <t>PRINJA, RAMAN</t>
  </si>
  <si>
    <t>ZUCCHI ALESSIA</t>
  </si>
  <si>
    <t>ANIMALITOS DEL MAR</t>
  </si>
  <si>
    <t>ANIMALITOS DEL HIELO</t>
  </si>
  <si>
    <t>ANIMALITOS MASCOTAS</t>
  </si>
  <si>
    <t>ANIMALITOS DEL BOSQUE</t>
  </si>
  <si>
    <t>EDIT. DORLING KINDERSLEY</t>
  </si>
  <si>
    <t>MI INCREIBLE CUERPO HUMANO</t>
  </si>
  <si>
    <t>COMMELIN, PIERRE</t>
  </si>
  <si>
    <t>MITOLOGIA GRIEGA Y ROMANA</t>
  </si>
  <si>
    <t>CAVALLO, DOMINGO F. - CAVALLO, SONIA</t>
  </si>
  <si>
    <t>HISTORIA ECONOMICA DE LA ARGENTINA</t>
  </si>
  <si>
    <t>LLEDO, PIERRE-MARIE</t>
  </si>
  <si>
    <t>ROBINSON CRUSOE</t>
  </si>
  <si>
    <t>LANUS, JUAN A.</t>
  </si>
  <si>
    <t>SABER SER</t>
  </si>
  <si>
    <t>LOCURA DE LA SIRENA, LA</t>
  </si>
  <si>
    <t>VARIOS AUTORES</t>
  </si>
  <si>
    <t>FITZGERALD, F. SCOTT</t>
  </si>
  <si>
    <t>WILDE, OSCAR</t>
  </si>
  <si>
    <t>SHELLEY, MARY W.</t>
  </si>
  <si>
    <t>RIVERA, JOSE E.</t>
  </si>
  <si>
    <t>DEFOE, DANIEL</t>
  </si>
  <si>
    <t>MEJORES CUENTOS DE TERROR, LOS</t>
  </si>
  <si>
    <t>MEJORES CUENTOS DE MISTERIO, LOS</t>
  </si>
  <si>
    <t>MEJORES CUENTOS DE AMOR, LOS</t>
  </si>
  <si>
    <t>MEJORES CUENTOS DE VAMPIROS, LOS</t>
  </si>
  <si>
    <t>GRAN GATSBY, EL</t>
  </si>
  <si>
    <t>RETRATO DE DORIAN GRAY, EL</t>
  </si>
  <si>
    <t>ALIMENTACION Y DEPORTE</t>
  </si>
  <si>
    <t>AGUSTINA LYNCH</t>
  </si>
  <si>
    <t>VACA EN SU HAMACA, LA</t>
  </si>
  <si>
    <t>BREZET,ALEXIS-TREMOLET DE VILLERS, VINCENT</t>
  </si>
  <si>
    <t>GRANDES RIVALES DE LA HISTORIA</t>
  </si>
  <si>
    <t>BOYER, REGIS</t>
  </si>
  <si>
    <t>VIKINGOS, LOS</t>
  </si>
  <si>
    <t>DU MESNIL, SABINE - GROSSETETE, CHARLOTTE</t>
  </si>
  <si>
    <t>DE SAINT-EXUPERY, ANTOINE</t>
  </si>
  <si>
    <t>CONOCE A LOS AMIGOS DE EL PRINCIPITO</t>
  </si>
  <si>
    <t>ENFERMEDAD Y EL PODER, LA</t>
  </si>
  <si>
    <t>FONTAINE, CARINE</t>
  </si>
  <si>
    <t>SORPRESA EN LA GRANJA</t>
  </si>
  <si>
    <t>LOPEZ, J.-WIEVIORKA, O.</t>
  </si>
  <si>
    <t>AMORÓS,ANDRÉS</t>
  </si>
  <si>
    <t xml:space="preserve">VON ROSENSCHILD, CAMILLE  </t>
  </si>
  <si>
    <t>HECHICERAS DE LEYENDA</t>
  </si>
  <si>
    <t>ASTROLABIO DE EL PRINCIPITO, EL</t>
  </si>
  <si>
    <t>TURCAN, ROBERT</t>
  </si>
  <si>
    <t>TIBERIO</t>
  </si>
  <si>
    <t>FALLACI, ORIANA</t>
  </si>
  <si>
    <t>VIDA ES UNA BATALLA DE CADA DIA, LA</t>
  </si>
  <si>
    <t>FILOSOFIA DE EL PRINCIPITO, LA</t>
  </si>
  <si>
    <t>HOSLET BARRIOS, SUSAMA</t>
  </si>
  <si>
    <t>CONAN DOYLE, ARTHUR</t>
  </si>
  <si>
    <t>ESTUDIO EN ESCARLATA - LA SEÑAL DE LOS CUATRO</t>
  </si>
  <si>
    <t>AVENTURAS DE SHERLOCK HOLMES, LAS</t>
  </si>
  <si>
    <t>MURCHO, MARIA A.</t>
  </si>
  <si>
    <t>PODEMOS QUERERNOS MAS</t>
  </si>
  <si>
    <t>KAPLAN, PHILIP</t>
  </si>
  <si>
    <t>ASES DE LA LUFTWAFFE DE LA SEGUNDA GUERRA MUNDIAL</t>
  </si>
  <si>
    <t>HOWART, HEIDI y DANIEL</t>
  </si>
  <si>
    <t>MI HOGAR ESTA DONDE VIVE MI CORAZON</t>
  </si>
  <si>
    <t>LIFTON, ROBERT JAY</t>
  </si>
  <si>
    <t>BRANDA, PIERRE</t>
  </si>
  <si>
    <t>SAGA DE LOS BONAPARTE, LA</t>
  </si>
  <si>
    <t>VESCO, LEANDRO</t>
  </si>
  <si>
    <t>DESCONOCIDA BUENOS AIRES</t>
  </si>
  <si>
    <t>BANFI, CRISTINA</t>
  </si>
  <si>
    <t>FLINT, KATY</t>
  </si>
  <si>
    <t>BELLA DURMIENTE, LA</t>
  </si>
  <si>
    <t>DONZE, JAVIER R.</t>
  </si>
  <si>
    <t>BENZONI, JULIETTE</t>
  </si>
  <si>
    <t>ASESINAS POR EL PUÑAL O EL VENENO</t>
  </si>
  <si>
    <t>QUARTO</t>
  </si>
  <si>
    <t>LEPRINCE DE BEAUMONT, JEANNE MARIE</t>
  </si>
  <si>
    <t>WOODFORD, CHRIS</t>
  </si>
  <si>
    <t>TORRALVA T.-RAIMONDI C.-ROCA M.</t>
  </si>
  <si>
    <t>LONGO E.-NAVARRO E.-GONZÁLEZ A.</t>
  </si>
  <si>
    <t>ARCHIVO DE SHERLOCK HOLMES, EL</t>
  </si>
  <si>
    <t>RISSMAN, REBECCA</t>
  </si>
  <si>
    <t>YOGA PARA SENTIRSE MEJOR</t>
  </si>
  <si>
    <t>SIMONETTA, MARCELLO</t>
  </si>
  <si>
    <t>ENIGMA MONTEFELTRO, EL</t>
  </si>
  <si>
    <t>DE PABLO, JUAN CARLOS</t>
  </si>
  <si>
    <t>POLITICA ECONOMICA PARA DECIDIR EN TIEMPOS DIFICILES</t>
  </si>
  <si>
    <t>BARON, MATTHEW G.</t>
  </si>
  <si>
    <t>DICCIONARIO DE DINOSAURIOS</t>
  </si>
  <si>
    <t>BENTLEY, JOYCE</t>
  </si>
  <si>
    <t>SUPER NATURALEZA SOBRE LOS ARBOLES</t>
  </si>
  <si>
    <t>SUPER NATURALEZA BAJO LAS OLAS</t>
  </si>
  <si>
    <t>ASENSI, MATILDE</t>
  </si>
  <si>
    <t>SAKURA</t>
  </si>
  <si>
    <t>AUFFRET, SEVERINE</t>
  </si>
  <si>
    <t>HISTORIA DEL FEMINISMO</t>
  </si>
  <si>
    <t>HODGSON BURNETT, FRANCES</t>
  </si>
  <si>
    <t>JARDIN SECRETO, EL</t>
  </si>
  <si>
    <t>UGIDOS, GONZALO</t>
  </si>
  <si>
    <t>FAVERJON</t>
  </si>
  <si>
    <t>BANFI, CRISTINA-PERABONI CRISTINA</t>
  </si>
  <si>
    <t>LYNCH, AGUSTINA</t>
  </si>
  <si>
    <t>VACA Y LA ESPINACA, LA</t>
  </si>
  <si>
    <t>VAZQUEZ-PREGO, ALBERTO</t>
  </si>
  <si>
    <t>BERENSZTEIN, SERGIO</t>
  </si>
  <si>
    <t>SOMOS TODOS PERONISTAS?</t>
  </si>
  <si>
    <t>MIS CUENTOS INOLVIDABLES</t>
  </si>
  <si>
    <t>COLSON, ROB</t>
  </si>
  <si>
    <t>ALLUZ, MARCELA</t>
  </si>
  <si>
    <t>MAL DE MUCHAS</t>
  </si>
  <si>
    <t>SCHIRINIAN, VICTORIA</t>
  </si>
  <si>
    <t>UNA PIZCA DE AMOR</t>
  </si>
  <si>
    <t>DUMAS, ALEJANDRO</t>
  </si>
  <si>
    <t>TRES MOSQUETEROS, LOS</t>
  </si>
  <si>
    <t>FREIJO, MARIA FLORENCIA</t>
  </si>
  <si>
    <t>DODERO, SANTIAGO</t>
  </si>
  <si>
    <t>METODO EFE, EL</t>
  </si>
  <si>
    <t>CANE, RAQUEL</t>
  </si>
  <si>
    <t>SEÑOR DE LOS SUEÑOS, EL</t>
  </si>
  <si>
    <t>LUCHETTI, ELENA</t>
  </si>
  <si>
    <t>PINTO Y APRENDO LAS LETRAS</t>
  </si>
  <si>
    <t>COMPANY. FLAVIA</t>
  </si>
  <si>
    <t>QUE NADIE TE SALVE LA VIDA</t>
  </si>
  <si>
    <t>BERRI, PAZ - BERRI, BELU</t>
  </si>
  <si>
    <t>DE VASCONCELOS, JOSE MAURO</t>
  </si>
  <si>
    <t>ZAMBONI, PABLO</t>
  </si>
  <si>
    <t>WATSON &amp; CIA</t>
  </si>
  <si>
    <t>GANDMAN, ALEXIEV</t>
  </si>
  <si>
    <t>TEO Y ANA INVESTIGAN LA ARGENTINA</t>
  </si>
  <si>
    <t>MAESO, LOLA</t>
  </si>
  <si>
    <t>NARI, GUSTAVO</t>
  </si>
  <si>
    <t>PASTELERIA URBANA</t>
  </si>
  <si>
    <t>LARENN, LUZ</t>
  </si>
  <si>
    <t>A(R)MAME</t>
  </si>
  <si>
    <t>NINA</t>
  </si>
  <si>
    <t>EUGENI, SOFIA</t>
  </si>
  <si>
    <t>SUPERHEROES</t>
  </si>
  <si>
    <t>TEO Y ANA INVESTIGAN EL MUNDO</t>
  </si>
  <si>
    <t>ARCOIRIS DE EMOCIONES</t>
  </si>
  <si>
    <t>BLANCO, ANTONIO</t>
  </si>
  <si>
    <t>ARZOBISPADO DE MERCEDES-LUJAN</t>
  </si>
  <si>
    <t>BISQUERRA, R.-LÓPEZ CASSÁ, E.</t>
  </si>
  <si>
    <t>ROEMMERS, ALEJANDRO</t>
  </si>
  <si>
    <t>VIVIR SE ESCRIBE EN PRESENTE</t>
  </si>
  <si>
    <t>TOYOS, MARIA ISABEL</t>
  </si>
  <si>
    <t>PREGUNTON, EL</t>
  </si>
  <si>
    <t>MUJER POCO PROBABLE, LA</t>
  </si>
  <si>
    <t>SEÑORA QUE USABA GALERA, LA</t>
  </si>
  <si>
    <t>GORANSKY, TATIANA</t>
  </si>
  <si>
    <t>ONZARI, MARCIA - LANGER, VIVIANA</t>
  </si>
  <si>
    <t>OLIVERO, INES</t>
  </si>
  <si>
    <t>REINVENTARSE</t>
  </si>
  <si>
    <t>SEVILLA, FABIAN - CALAMITA, IVANA (ILUST.)</t>
  </si>
  <si>
    <t>HEDY</t>
  </si>
  <si>
    <t>SIGLO DE LOS DICTADORES, EL</t>
  </si>
  <si>
    <t>RAPELA, ENRIQUE</t>
  </si>
  <si>
    <t>LECOAT, JENNY</t>
  </si>
  <si>
    <t>GUEZ, OLIVIER (DIRECTOR)</t>
  </si>
  <si>
    <t>MASSACCESI, MARIO - DALEIRO, PATRICIA</t>
  </si>
  <si>
    <t>SOLTAR PARA SER FELIZ</t>
  </si>
  <si>
    <t>TEO Y ANA INVESTIGAN LOS ANIMALES</t>
  </si>
  <si>
    <t>ZIMMERMAN, MABEL</t>
  </si>
  <si>
    <t>DESCONOCIDA BUENOS AIRES. ESCAPADAS SOÑADAS</t>
  </si>
  <si>
    <t>ARIEL SENOSIAIN, ARIEL</t>
  </si>
  <si>
    <t>MESSI, EL GENIO INCOMPLETO</t>
  </si>
  <si>
    <t xml:space="preserve">VESCO, LEANDRO </t>
  </si>
  <si>
    <t>SALORT, FLORENCIA</t>
  </si>
  <si>
    <t>SEXO SENTIDO</t>
  </si>
  <si>
    <t>MORA, CAROLINA</t>
  </si>
  <si>
    <t>VOY AL BAÑO</t>
  </si>
  <si>
    <t>VACA SE EMPACA, LA</t>
  </si>
  <si>
    <t>REPLICAS</t>
  </si>
  <si>
    <t>JOVE, ROSA</t>
  </si>
  <si>
    <t>WIEVIORKA, ANNETTE - LINDEPERG, SYLVIE</t>
  </si>
  <si>
    <t>MOMENTO EICHMANN, EL</t>
  </si>
  <si>
    <t>WATSON &amp; CIA. CODIGO V</t>
  </si>
  <si>
    <t>QUERIA CAMBIAR EL MUNDO, EL</t>
  </si>
  <si>
    <t>ROCA M.-TORRALVA T.-BRUNO D.</t>
  </si>
  <si>
    <t>LOPEZ L B- SUAREZ M M</t>
  </si>
  <si>
    <t>TABOADA, M.B. - ALVAREZ G.</t>
  </si>
  <si>
    <t>ENSEÑANZA VIRTUAL: 27 PREGUNTAS Y RESPUESTAS</t>
  </si>
  <si>
    <t>GAWEL, VIRGINIA</t>
  </si>
  <si>
    <t>FIN DEL AUTOODIO, EL</t>
  </si>
  <si>
    <t>SALVI, ALICIA</t>
  </si>
  <si>
    <t>AMORES INMIGRANTES</t>
  </si>
  <si>
    <t>ONZARI, MARCIA</t>
  </si>
  <si>
    <t>VULNERABLE</t>
  </si>
  <si>
    <t>SANTOS, ALBERTO S.</t>
  </si>
  <si>
    <t>AMANTES DE BUENOS AIRES</t>
  </si>
  <si>
    <t>PIÑUEL, IÑAKI</t>
  </si>
  <si>
    <t>JULIIA</t>
  </si>
  <si>
    <t>DAMIN, CARLOS F. - DADIC. FRANCISCO T.</t>
  </si>
  <si>
    <t xml:space="preserve">DEVI, DAKSH </t>
  </si>
  <si>
    <t>VOY A DORMIR EN MI CAMA</t>
  </si>
  <si>
    <t>ABRAHAM, TOMAS</t>
  </si>
  <si>
    <t>ACCORSI, DIEGO - NEVELEFF, JULIO - PAOLINI SOMERS, LEANDRO</t>
  </si>
  <si>
    <t>SEVILLA, FABIAN</t>
  </si>
  <si>
    <t>UNA CABAÑITA ENTRE MANZANAS</t>
  </si>
  <si>
    <t>DIANA ARIAS</t>
  </si>
  <si>
    <t>ESTRELLAMAS - JUEGOS Y MAS</t>
  </si>
  <si>
    <t>ESTRELLAMAS - SUPER ACTIVIDADES</t>
  </si>
  <si>
    <t>MAGIA UNICORNIA - JUEGOS Y MAS</t>
  </si>
  <si>
    <t>MAGIA UNICORNIA - SUPER ACTIVIDADES</t>
  </si>
  <si>
    <t>TABOADA, MARÍA BEATRIZ</t>
  </si>
  <si>
    <t>POUYDEBAT, EMMANUELLE</t>
  </si>
  <si>
    <t>TORRALVA, T. - BRUNO, D.- CIAMPA, M.A.-BUSTIN, J</t>
  </si>
  <si>
    <t>SABER ACOMPAÑAR</t>
  </si>
  <si>
    <t>PIÑEIRO, AZUL - HIGUERA, CARLOS</t>
  </si>
  <si>
    <t>POMPÉÏ, CHRISTINE</t>
  </si>
  <si>
    <t>DIOSAS DE LEYENDA</t>
  </si>
  <si>
    <t>PÉREZ, FERNANDA</t>
  </si>
  <si>
    <t>UNA MUJER CON ALAS</t>
  </si>
  <si>
    <t>FUSTINONI, OSVALDO</t>
  </si>
  <si>
    <t>CEREBRO Y EL ARTE MODERNO, EL</t>
  </si>
  <si>
    <t>MASCOTAS A OSCURAS</t>
  </si>
  <si>
    <t>ZIMMERMANN, MABEL</t>
  </si>
  <si>
    <t>CUENTOS CORTOS PARA SOÑAR 4</t>
  </si>
  <si>
    <t>BUHO HUGO, EL</t>
  </si>
  <si>
    <t>GATITO TITO, EL</t>
  </si>
  <si>
    <t>OSO, EL PIANO, EL PERRO Y EL VIOLIN, EL</t>
  </si>
  <si>
    <t>PANDA AMANDA, LA</t>
  </si>
  <si>
    <t>RANA LILIANA, LA</t>
  </si>
  <si>
    <t>DE LEONE, LUCIA</t>
  </si>
  <si>
    <t>MUJERES FARO</t>
  </si>
  <si>
    <t>LOPATA, GUILLERMINA</t>
  </si>
  <si>
    <t>BROTA</t>
  </si>
  <si>
    <t>DOY GRACIAS</t>
  </si>
  <si>
    <t>ME ANIMO</t>
  </si>
  <si>
    <t>PREGUNTON: ENCICLOPEDIA DEL ESPACIO, EL</t>
  </si>
  <si>
    <t>SUAREZ, VANESA - FERRERAS, MELISA</t>
  </si>
  <si>
    <t>TRAZOS DE MI ALDEA</t>
  </si>
  <si>
    <t>FORMAS Y OPUESTOS</t>
  </si>
  <si>
    <t>SALTAR AL BUEN VIVIR</t>
  </si>
  <si>
    <t>FAUR, PATRICIA</t>
  </si>
  <si>
    <t>NO SOY NADA SIN TU AMOR</t>
  </si>
  <si>
    <t>ESTOL, CONRADO</t>
  </si>
  <si>
    <t>A MI NO ME VA A PASAR</t>
  </si>
  <si>
    <t>GRANDMAN, ALEXIEV</t>
  </si>
  <si>
    <t>GUERRA DE LAS GRANJAS, LA</t>
  </si>
  <si>
    <t>VOY A TENER UN HERMANITO</t>
  </si>
  <si>
    <t>FERRAINA, P.-ALLE, L. - QUESADA, B.</t>
  </si>
  <si>
    <t>DESCONOCIDA BUENOS AIRES. SECRETOS DE UNA PROVINCIA</t>
  </si>
  <si>
    <t>MELLO, EUGENIA</t>
  </si>
  <si>
    <t>COMO DUERMEN</t>
  </si>
  <si>
    <t>ANIMALES DE LA SELVA A OSCURAS</t>
  </si>
  <si>
    <t>INFANTIL Y JUVENIL</t>
  </si>
  <si>
    <t>AUTOAYUDA</t>
  </si>
  <si>
    <t>DICCIONARIOS</t>
  </si>
  <si>
    <t>MEDICINA</t>
  </si>
  <si>
    <t>ARTE</t>
  </si>
  <si>
    <t>CEREBRO EN EL SIGLO XXI, EL</t>
  </si>
  <si>
    <t>CIENCIA PARA LOS NIÑOS</t>
  </si>
  <si>
    <t>CIENTIFICOS SOBRE RUEDAS</t>
  </si>
  <si>
    <t>CUENTOS CORTOS PARA SOÑAR 2</t>
  </si>
  <si>
    <t>CUENTOS CORTOS PARA SOÑAR 3</t>
  </si>
  <si>
    <t>DICCIONARIO ESCOLAR DE LA LENGUA ESPAÑOLA</t>
  </si>
  <si>
    <t>DOLARIZAR</t>
  </si>
  <si>
    <t>DRAGON DEL BOSQUE, EL</t>
  </si>
  <si>
    <t>ENCICLOPEDIA DE DINOSAURIOS</t>
  </si>
  <si>
    <t>ENERGIA SIN LIMITES</t>
  </si>
  <si>
    <t>ESPEJO OPACO, EL</t>
  </si>
  <si>
    <t>GRANDES CARTAS DE AMOR</t>
  </si>
  <si>
    <t>HISTORIA DE BELGRANO</t>
  </si>
  <si>
    <t>HISTORIA DE LA GESTAPO</t>
  </si>
  <si>
    <t>HISTORIA DE LAS ELECCIONES EN LA ARGENTINA</t>
  </si>
  <si>
    <t>HISTORIAS DE LA HISTORIA ARGENTINA</t>
  </si>
  <si>
    <t>HISTORIAS DE LO SOBRENATURAL</t>
  </si>
  <si>
    <t>HUMOR</t>
  </si>
  <si>
    <t>OPERACIONES ESPECIALES DE LA SEGUNDA GUERRA MUNDIAL</t>
  </si>
  <si>
    <t>OPUESTOS</t>
  </si>
  <si>
    <t>ORBIL</t>
  </si>
  <si>
    <t>OSO Y EL PIANO, EL</t>
  </si>
  <si>
    <t>SABUESO DE LOS BASKERVILLE, EL</t>
  </si>
  <si>
    <t>VACA SUS MIEDOS ATACA, LA</t>
  </si>
  <si>
    <t>DESCONOCIDA BUENOS AIRES. PULPERÍAS Y BODEGONES</t>
  </si>
  <si>
    <t>ALFONSO X</t>
  </si>
  <si>
    <t>CIUDAD DE ÁNGELES / CITY OF ANGELS  (FLIP BOOK BILINGÜE)</t>
  </si>
  <si>
    <t>MAGIRENA, SANDRA</t>
  </si>
  <si>
    <t>SEVILLA, FABIAN - SEVILLA, ARIEL</t>
  </si>
  <si>
    <t>LOPEZ MATO, OMAR</t>
  </si>
  <si>
    <t>BIOGRAFIA</t>
  </si>
  <si>
    <t>DIVULGACION HISTORICA</t>
  </si>
  <si>
    <t>NARRATIVA</t>
  </si>
  <si>
    <t>LIBROS PARA COLOREAR</t>
  </si>
  <si>
    <t>TURISMO - NATURALEZA</t>
  </si>
  <si>
    <t>LIBRO OBSEQUIO</t>
  </si>
  <si>
    <t>ILUSTRADOS</t>
  </si>
  <si>
    <t>BERUTO, MARIA V.</t>
  </si>
  <si>
    <t>ROMANO, ALFREDO</t>
  </si>
  <si>
    <t>SENOSIAIN, ARIEL</t>
  </si>
  <si>
    <t>MESSI, EL GENIO COMPLETO</t>
  </si>
  <si>
    <t>VALENTINI, LENA</t>
  </si>
  <si>
    <t>MEDIADORA: EN CUERPO Y ALMA, LA</t>
  </si>
  <si>
    <t>SANTORO, WALTER</t>
  </si>
  <si>
    <t>GARDEL EN IMÁGENES - IN PICTURES</t>
  </si>
  <si>
    <t>EDICART</t>
  </si>
  <si>
    <t>SONAJERO MASCOTAS</t>
  </si>
  <si>
    <t>CIENCIAS NATURALES</t>
  </si>
  <si>
    <t>MONDONGO ESTA EN EL DETALLE</t>
  </si>
  <si>
    <t>FERNÁNDEZ, MARIANA - SCHWINDT, CARINA</t>
  </si>
  <si>
    <t>NADIE TE ENSEÑA</t>
  </si>
  <si>
    <t xml:space="preserve">MORA, CAROLINA </t>
  </si>
  <si>
    <t>VOY AL JARDÍN</t>
  </si>
  <si>
    <t>MORRIS, JACKIE</t>
  </si>
  <si>
    <t>ANIMALES DE LA GRANJA A OSCURAS</t>
  </si>
  <si>
    <t>CÓMO SE BAÑAN</t>
  </si>
  <si>
    <t>MISTERIO DE LOS ZAPATOS ROTOS, EL</t>
  </si>
  <si>
    <t>DE LUCIA, DANIELA</t>
  </si>
  <si>
    <t>BUSNELLI, MARIA V.</t>
  </si>
  <si>
    <t>KAUFMAN ANA M.- GALLO, ADRIANA A.</t>
  </si>
  <si>
    <t>LANATA, EDUARDO J.</t>
  </si>
  <si>
    <t>LECTURA Y ESCRITURA : 31 PREGUNTAS Y RESPUESTAS</t>
  </si>
  <si>
    <t>¡VAMOS!</t>
  </si>
  <si>
    <t>COLECCIÓN SHERLOCK HOLMES</t>
  </si>
  <si>
    <t>SAGA ASSASSIN'S CREED</t>
  </si>
  <si>
    <t>SAGA DARK STAR</t>
  </si>
  <si>
    <t>JARDINERIA PRACTICA Y EXITOSA</t>
  </si>
  <si>
    <t>GUÍAS DE CONVERSACIÓN</t>
  </si>
  <si>
    <t>GUÍA DE CONVERSACIÓN: ALEMÁN</t>
  </si>
  <si>
    <t>EL UNIVERSO DE EL PRINCIPITO</t>
  </si>
  <si>
    <t>COLECCIÓN BUNNIES BY THE BAY</t>
  </si>
  <si>
    <t>CONEJITA GRIS</t>
  </si>
  <si>
    <t>TODOS SOMOS ESPECIALES</t>
  </si>
  <si>
    <t>REFERENCIA</t>
  </si>
  <si>
    <t>PRIMERA INFANCIA</t>
  </si>
  <si>
    <t>DISTRIBUCION</t>
  </si>
  <si>
    <t>ESTAS PARA MAS</t>
  </si>
  <si>
    <t>CONTRERA, ALDANA-CONTRERA, ILEANA</t>
  </si>
  <si>
    <t>Y AHORA, ¿QUÉ? LO QUE NADIE NOS CUENTA (Y TENEMOS QUE SABER) SOBRE EMBARAZO, LACTANCIA Y CRIANZA</t>
  </si>
  <si>
    <t>ESTRADA, HELENA</t>
  </si>
  <si>
    <t>DUEÑA DE TU DINERO</t>
  </si>
  <si>
    <t>SANTOS, ALBERTO</t>
  </si>
  <si>
    <t>PROFECÍA DE ESTAMBUL, LA</t>
  </si>
  <si>
    <t>SANABRIA, JOSÉ-KATO, AYAKO</t>
  </si>
  <si>
    <t>PUENTE DEL REY, EL</t>
  </si>
  <si>
    <t>ZIMMERMANN, MABEL-ACUÑA, LOLY</t>
  </si>
  <si>
    <t>CUENTOS CORTOS PARA SOÑAR 5</t>
  </si>
  <si>
    <t>MANARA, ALEJANDRO</t>
  </si>
  <si>
    <t>BENEDIT A CONTRAPELO</t>
  </si>
  <si>
    <t>PEREYRA, FACUNDO</t>
  </si>
  <si>
    <t>RESETEA TUS INTESTINOS</t>
  </si>
  <si>
    <t>ANIJOVICH, REBECA-CAPPELLETTI, GRACIELA</t>
  </si>
  <si>
    <t>EVALUACIONES : 29 PREGUNTAS Y RESPUESTAS</t>
  </si>
  <si>
    <t>PREGUNTON. ENCICLOPEDIA DE LOS DINOSAURIOS Y LA PREHISTORIA, EL</t>
  </si>
  <si>
    <t>TILL, ALDANA</t>
  </si>
  <si>
    <t>BERTIZ BROLI, PAOLA</t>
  </si>
  <si>
    <t>QUE SEA MUTUO O NO SEA NADA</t>
  </si>
  <si>
    <t>TEO Y ANA INVESTIGAN LA HISTORIA</t>
  </si>
  <si>
    <t>CLAROSCURO</t>
  </si>
  <si>
    <t>ESPECHE, ENRIQUE</t>
  </si>
  <si>
    <t>TRES FORMAS DE TOMAR UN HELADO</t>
  </si>
  <si>
    <t>SEQUEIRA, ALEJANDRO</t>
  </si>
  <si>
    <t>HUERTA: CALENDARIO ILUSTRADO</t>
  </si>
  <si>
    <t>VOY A LA DOCTORA</t>
  </si>
  <si>
    <t>ROMERO MARCHESINI, NADIA</t>
  </si>
  <si>
    <t>PIDE UN DESEO / MAKE A WISH</t>
  </si>
  <si>
    <t>TORRALVA, TERESA</t>
  </si>
  <si>
    <t xml:space="preserve">UPGRADE CEREBRAL </t>
  </si>
  <si>
    <t>WILSON, JASON</t>
  </si>
  <si>
    <t>MORA, CAROLINA - CALIFANO, MARIELA</t>
  </si>
  <si>
    <t>ZAMBONI, PABLO-LUCHETTI, ELENA</t>
  </si>
  <si>
    <t>ZIMMERMANN, MABEL-ORENSZTAJN, CYNTHIA</t>
  </si>
  <si>
    <t>LUCERO Y LAS NUBES</t>
  </si>
  <si>
    <t>VERCELLONE, FLORENCIA</t>
  </si>
  <si>
    <t>TODO POR VOLVER A VERTE</t>
  </si>
  <si>
    <t>SEBASTIANI, MARIO</t>
  </si>
  <si>
    <t>SI PUDIERAS ELEGIR DE QUE MANERA MORIR… ¿QUE HARIAS?</t>
  </si>
  <si>
    <t>BRILLA</t>
  </si>
  <si>
    <t>DAKSHA DEVI</t>
  </si>
  <si>
    <t>COCINA DE LAS CUATRO ESTACIONES</t>
  </si>
  <si>
    <t>FRINO, LEONARDO</t>
  </si>
  <si>
    <t>SI MIRAS CON ATENCIÓN</t>
  </si>
  <si>
    <t>MONTES DE OCA, DIEGO</t>
  </si>
  <si>
    <t>DOC EN CASA, EL</t>
  </si>
  <si>
    <t>AMOR REAL HUELE A TOSTADAS, EL</t>
  </si>
  <si>
    <t>ESTUDIO EN ESCARLATA</t>
  </si>
  <si>
    <t>BELGRANO, GUADALUPE</t>
  </si>
  <si>
    <t>DÍA Y LA NOCHE, EL</t>
  </si>
  <si>
    <t>CLUTTERBUCK, ALEJANDRA</t>
  </si>
  <si>
    <t>¡QUÉ PELO DIFÍCIL!</t>
  </si>
  <si>
    <t>CUENTOS CORTOS PARA SOÑAR 6</t>
  </si>
  <si>
    <t>VOY A ESPERARTE JUGANDO</t>
  </si>
  <si>
    <t>CUENTOS CORTOS PARA SOÑAR 1</t>
  </si>
  <si>
    <t>LO QUE VA VUELVE</t>
  </si>
  <si>
    <t>MAZZEO, GISELLE</t>
  </si>
  <si>
    <t>ESTAS PARA MAS (DIARIO)</t>
  </si>
  <si>
    <t>BITACORA ASTROLOGICA</t>
  </si>
  <si>
    <t>ALIMONDA, VERA</t>
  </si>
  <si>
    <t>PREGUNTON. ENCICLOPEDIA DEL CUERPO HUMANO, EL</t>
  </si>
  <si>
    <t>NARI-GUSTAVO</t>
  </si>
  <si>
    <t>PASTELERIA ARGENTINA</t>
  </si>
  <si>
    <t>LERMAN, ADRIANA</t>
  </si>
  <si>
    <t>DOLOR DE ESTAR VIVO, EL</t>
  </si>
  <si>
    <t>CHARRILLON, FREDERIC</t>
  </si>
  <si>
    <t>GUERRAS DE INFLUENCIA</t>
  </si>
  <si>
    <t>ROQUEJOFFRE, VALERIA</t>
  </si>
  <si>
    <t>UNA MAMA EN COLORES</t>
  </si>
  <si>
    <t>ALVAREZ RIVERA, VERONICA</t>
  </si>
  <si>
    <t>SERAPIO PIERDE UN DIENTE</t>
  </si>
  <si>
    <t>NACE UN PAPA</t>
  </si>
  <si>
    <t>ROMPER EL CICLO</t>
  </si>
  <si>
    <t>TEO Y ANA INVESTIGAN EL TERROR</t>
  </si>
  <si>
    <t>CRIADO, MATIAS - PINS, DIEGO</t>
  </si>
  <si>
    <t>GOMEZ BADIA, MARIANA</t>
  </si>
  <si>
    <t>VIVAS, JOSE MIGUEL</t>
  </si>
  <si>
    <t>BRILLO, EL</t>
  </si>
  <si>
    <t>HACKEA TU MENTE</t>
  </si>
  <si>
    <t>SOMOS DIFERENTES</t>
  </si>
  <si>
    <t>TU AMIGO INVISIBLE</t>
  </si>
  <si>
    <t>BLANCO, ANTONIO-BLANCO, GUSTAVO</t>
  </si>
  <si>
    <t>GIANELLA BOURDIEU, MILLIE</t>
  </si>
  <si>
    <t>SPERANZA, SANTIAGO L.</t>
  </si>
  <si>
    <t>QUINTANS, SILVIA</t>
  </si>
  <si>
    <t>VIAJERAS</t>
  </si>
  <si>
    <t>SAVAGE, MIGUEL</t>
  </si>
  <si>
    <t>MALVINAS</t>
  </si>
  <si>
    <t>CHIKIAR BAUER, IRENE</t>
  </si>
  <si>
    <t>VIRGINIA WOOLF Y VICTORIA OCAMPO</t>
  </si>
  <si>
    <t>CASAMAJOR, ADRIANA - ESPINOZA, ANA MARIA</t>
  </si>
  <si>
    <t>A PINTAR CON LA VACA PACA</t>
  </si>
  <si>
    <t>BEMBERG</t>
  </si>
  <si>
    <t>SECRETO DE COMPOSTELA, EL</t>
  </si>
  <si>
    <t xml:space="preserve">ARRESEYGOR, CELINA </t>
  </si>
  <si>
    <t xml:space="preserve">VON FOERSTER, ALEX  </t>
  </si>
  <si>
    <t>UNA COCINA QUE TE CAMBIA LA VIDA</t>
  </si>
  <si>
    <t xml:space="preserve">LUCHETTI, ELENA  </t>
  </si>
  <si>
    <t>DETECTIVES DE LEYENDAS</t>
  </si>
  <si>
    <t>DALLAS, SANDRA</t>
  </si>
  <si>
    <t>AMAR CON EL ALMA</t>
  </si>
  <si>
    <t>DIARIO DE UN ABUELO SALVAJE</t>
  </si>
  <si>
    <t>BELLOCCHIO, LUCIA</t>
  </si>
  <si>
    <t>CIUDADES DEL FUTURO</t>
  </si>
  <si>
    <t>CIENCIA NAZI</t>
  </si>
  <si>
    <t>PREGUNTON: ENCICLOPEDIA DEL MUNDO, EL</t>
  </si>
  <si>
    <t>SCHWINDT, CARINA - FERNANDEZ, MARIANA</t>
  </si>
  <si>
    <t>EMOCIONES DE INTI, LAS</t>
  </si>
  <si>
    <t>ENCICLOPEDIA DE MITOLOGIA</t>
  </si>
  <si>
    <t>PEREZ, FERNANDA</t>
  </si>
  <si>
    <t>NUNCA TE OLVIDE</t>
  </si>
  <si>
    <t>RESETEA TUS INTESTINOS - EDICIÓN ANIVERSARIO</t>
  </si>
  <si>
    <t>VIDA DESPUES DEL RESETEO, LA</t>
  </si>
  <si>
    <t>SOY DUEÑA DE MI VIDA</t>
  </si>
  <si>
    <t>TEO Y ANA INVESTIGAN LA ARGENTINA + 4 ROMPECABEZAS</t>
  </si>
  <si>
    <t>CICCIMARRA, GIANINA</t>
  </si>
  <si>
    <t xml:space="preserve">GANDMAN, ALEXIEV </t>
  </si>
  <si>
    <t>ARTE EN TIEMPOS DE GUERRA, EL</t>
  </si>
  <si>
    <t>HAMBRE O GANAS DE COMER?</t>
  </si>
  <si>
    <t>NUESTRO ARBOL DE JACARANDA</t>
  </si>
  <si>
    <t>SERAPIO CUMPLE AÑOS</t>
  </si>
  <si>
    <t>TEO Y ANA INVESTIGAN LOS DEPORTES</t>
  </si>
  <si>
    <t>PADINGER, GERMAN</t>
  </si>
  <si>
    <t>ERRECABORDE, MAG</t>
  </si>
  <si>
    <t>BERTIZ BROLL, PAOLA</t>
  </si>
  <si>
    <t>QUE SEA MUTUO Y QUE SEA AMOR</t>
  </si>
  <si>
    <t>MORA, CAROLINA - LIGUORI, NATALIA</t>
  </si>
  <si>
    <t>COCINA EN FAMILIA</t>
  </si>
  <si>
    <t>LUNA, JACINTA</t>
  </si>
  <si>
    <t>HISTORIA DE LA CONSTRUCCIÓN DE EUROPA DESPUÉS DE 1945</t>
  </si>
  <si>
    <t xml:space="preserve">KAHN, SYLVAIN </t>
  </si>
  <si>
    <t>ME ABURRO!</t>
  </si>
  <si>
    <t>MINICUENTOS DE INVIERNO</t>
  </si>
  <si>
    <t>FONTANA, ELISABETH-GREGORCHUK, PATRICIA-ZIMMERMANN, MABEL-MEDINA, PATRICIA-LUCHETTI, ELENA-ROSSI,AMELIA</t>
  </si>
  <si>
    <t>RECUERDOS VIVOS, LOS</t>
  </si>
  <si>
    <t>RIVAROLA, JOSE</t>
  </si>
  <si>
    <t>COSTO</t>
  </si>
  <si>
    <t>BOVE, GUSTAVO</t>
  </si>
  <si>
    <t>JEFE, EL: MIGUEL MATEOS. LA BIOGRAFIA</t>
  </si>
  <si>
    <t>ANTOLOGIA DE CUENTO CLASICO ARGENTINO</t>
  </si>
  <si>
    <t>AGENDA MUJERES FARO 2024</t>
  </si>
  <si>
    <t>AGENDA ASTROLOGICA 2024</t>
  </si>
  <si>
    <t>SERAPIO PIERDE UN DIENTE 2da. Edicion</t>
  </si>
  <si>
    <t>MINICUENTOS DE PRIMAVERA</t>
  </si>
  <si>
    <t>SALIR DE LOS MIEDOS</t>
  </si>
  <si>
    <t>PVP</t>
  </si>
  <si>
    <t>MINIMA INTERVENCION</t>
  </si>
  <si>
    <t>DERECHO</t>
  </si>
  <si>
    <t>MEJORES CUENTOS DE FANTASMA, LOS</t>
  </si>
  <si>
    <t>FRANKESTEIN</t>
  </si>
  <si>
    <t>VUELTA AL MUNDO EN 80 DÍAS, LA</t>
  </si>
  <si>
    <t>VORÁGINE, LA</t>
  </si>
  <si>
    <t>ES ESTRES O TU TIROIDES?</t>
  </si>
  <si>
    <t>EDUCACIÓN EMOCIONAL. 60 PREGUNTAS BÁSICAS Y SUS RESPUESTAS.</t>
  </si>
  <si>
    <t>SECUENCIAS DIDÁCTICAS</t>
  </si>
  <si>
    <t>ASI COCINAN LOS ARGENTINOS</t>
  </si>
  <si>
    <t>PERRO QUE LADRA</t>
  </si>
  <si>
    <t>DETECTIVES DE MITOS</t>
  </si>
  <si>
    <t>PINTO Y APRENDO FORMAS, OPUESTOS Y MÁS</t>
  </si>
  <si>
    <t>PINTO Y APRENDO LAS LETRAS CURSIVA</t>
  </si>
  <si>
    <t>TRANSPORTES</t>
  </si>
  <si>
    <t>GENERICO</t>
  </si>
  <si>
    <t>AMIA</t>
  </si>
  <si>
    <t>POR UN MUNDO MEJOR - PACK 2 VOLUMENES</t>
  </si>
  <si>
    <t>EDUCACION</t>
  </si>
  <si>
    <t>ANIMALES SALVAJES</t>
  </si>
  <si>
    <t>HOGAR</t>
  </si>
  <si>
    <t>HIDROVIA: PLATAFORMA COMPETITIVA PARA EL DESARROLLO: DEL SIGLO XIX AL XXI</t>
  </si>
  <si>
    <t>REGRESO A MI</t>
  </si>
  <si>
    <t>ESCOBAR, CAMUCHA</t>
  </si>
  <si>
    <t>MEMORIA DEL MAL, LA</t>
  </si>
  <si>
    <t>HOCH, MARIA GABRIELA</t>
  </si>
  <si>
    <t>LIDERES DE HOY</t>
  </si>
  <si>
    <t>DIAZ, FEDERICO</t>
  </si>
  <si>
    <t>PEDIATRA AL RESCATE</t>
  </si>
  <si>
    <t>WATSON &amp; CIA. VIAJE AL MUNDO OCULTO</t>
  </si>
  <si>
    <t>TOTAL</t>
  </si>
  <si>
    <t>DE MARCO, M.A.-PAGLIETTINI GUILLERMO</t>
  </si>
  <si>
    <t>DIEZ DIAS PARA NO MORIR</t>
  </si>
  <si>
    <t>BUSNELLI, VIRGINIA</t>
  </si>
  <si>
    <t>CUANTO TE PESA TU PESO</t>
  </si>
  <si>
    <t>SAAD, SHEILA</t>
  </si>
  <si>
    <t>ADN DE EMPRENDEDORA</t>
  </si>
  <si>
    <t>SEQUEIRA, ALEJANDRO - SOMMARUGA, MARTIN</t>
  </si>
  <si>
    <t>PANES Y MASAS</t>
  </si>
  <si>
    <t>ARRIBAS, ALBERTO</t>
  </si>
  <si>
    <t xml:space="preserve">¡SUPER YO! </t>
  </si>
  <si>
    <t>HABITOS PARA TU BIENESTAR (PLANNER)</t>
  </si>
  <si>
    <t>ANTES DE ENCONTRARTE</t>
  </si>
  <si>
    <t xml:space="preserve">RUTAS ARGENTINAS </t>
  </si>
  <si>
    <t xml:space="preserve">DE LA TIERRA A LA MESA </t>
  </si>
  <si>
    <t>TOYOS, MARIA ISABEL - ROMEO, FLORENCIA</t>
  </si>
  <si>
    <t xml:space="preserve">400 PREGUNTAS Y RESPUESTAS SOBRE FUTBOL </t>
  </si>
  <si>
    <t xml:space="preserve">MINICUENTOS DE VERANO </t>
  </si>
  <si>
    <t>CHIARAVINI, FRANCO IGNACIO</t>
  </si>
  <si>
    <t>MEJORES CUENTOS FANTÁSTICOS, LOS</t>
  </si>
  <si>
    <t>CLASICOS MARAVILLOSOS PARA LEER Y JUGAR</t>
  </si>
  <si>
    <t>HONGOS</t>
  </si>
  <si>
    <t>NAZIS ARGENTINOS</t>
  </si>
  <si>
    <t>NO PIENSO LLAMARTE MAS</t>
  </si>
  <si>
    <t>MUTTI, JULIO B.</t>
  </si>
  <si>
    <t>BACCANELLI, MIA</t>
  </si>
  <si>
    <t>SEÑAL DE LOS CUATRO, LA</t>
  </si>
  <si>
    <t>ANTEOJOS DE INTI, LOS</t>
  </si>
  <si>
    <t>BARBARIE</t>
  </si>
  <si>
    <t>CUENTOS DE TERRORRAN</t>
  </si>
  <si>
    <t>DESBLOQUEA TU PROXIMO NIVEL</t>
  </si>
  <si>
    <t>ID</t>
  </si>
  <si>
    <t>AUTOR</t>
  </si>
  <si>
    <t>NETO</t>
  </si>
  <si>
    <t>RENT</t>
  </si>
  <si>
    <t>PRECIO</t>
  </si>
  <si>
    <t>RENT.</t>
  </si>
  <si>
    <t>A3196R</t>
  </si>
  <si>
    <t>PARADA, JOSE</t>
  </si>
  <si>
    <t>A3173R</t>
  </si>
  <si>
    <t>TERRORRAN</t>
  </si>
  <si>
    <t>A3133R</t>
  </si>
  <si>
    <t>A3160R</t>
  </si>
  <si>
    <t>A2930R</t>
  </si>
  <si>
    <t>EDITORIAL EL ATENEO</t>
  </si>
  <si>
    <t>MARGEN DE UTILIDAD</t>
  </si>
  <si>
    <t>PRECIOS ARGENTINA</t>
  </si>
  <si>
    <t>ARG.</t>
  </si>
  <si>
    <t>DER.</t>
  </si>
  <si>
    <t>PVP-DTO</t>
  </si>
  <si>
    <t>NETO-COSTO-D.A.</t>
  </si>
  <si>
    <t>UT.BR.</t>
  </si>
  <si>
    <t>ULTIMO</t>
  </si>
  <si>
    <t>MES</t>
  </si>
  <si>
    <t>P.V.P.</t>
  </si>
  <si>
    <t xml:space="preserve">DE </t>
  </si>
  <si>
    <t>UTILIDAD</t>
  </si>
  <si>
    <t>MAS</t>
  </si>
  <si>
    <t>/NETO</t>
  </si>
  <si>
    <t xml:space="preserve">AUMENTO </t>
  </si>
  <si>
    <t>REVI-</t>
  </si>
  <si>
    <t>%</t>
  </si>
  <si>
    <t>NOVED.</t>
  </si>
  <si>
    <t>INGR, A</t>
  </si>
  <si>
    <t>CANT.</t>
  </si>
  <si>
    <t>MOD.</t>
  </si>
  <si>
    <t>HIST.</t>
  </si>
  <si>
    <t>BRUTA</t>
  </si>
  <si>
    <t>D.A.</t>
  </si>
  <si>
    <t>% rent</t>
  </si>
  <si>
    <t>SAR</t>
  </si>
  <si>
    <t>$</t>
  </si>
  <si>
    <t>DEP.</t>
  </si>
  <si>
    <t>ART.</t>
  </si>
  <si>
    <t>PAG</t>
  </si>
  <si>
    <t>INGR.</t>
  </si>
  <si>
    <t>A3046R</t>
  </si>
  <si>
    <t>A2291R</t>
  </si>
  <si>
    <t>A0267R</t>
  </si>
  <si>
    <t>FIGUN -  GARINO</t>
  </si>
  <si>
    <t xml:space="preserve">ANATOMIA ODONTOLOGICA  </t>
  </si>
  <si>
    <t>A2595R</t>
  </si>
  <si>
    <t>ATLAS DE HISTOLOGIA NORMAL 8va edición</t>
  </si>
  <si>
    <t>A3003R</t>
  </si>
  <si>
    <t>BIEN NUTRIDOS</t>
  </si>
  <si>
    <t>A2985R</t>
  </si>
  <si>
    <t>A2907R</t>
  </si>
  <si>
    <t>ENDOCRINOLOGIA, BASES BIOQUÍMICAS</t>
  </si>
  <si>
    <t>A2634R</t>
  </si>
  <si>
    <r>
      <t xml:space="preserve">FUNDAMENTOS DE MEDICINA LEGAL </t>
    </r>
    <r>
      <rPr>
        <b/>
        <sz val="8"/>
        <rFont val="Arial"/>
        <family val="2"/>
      </rPr>
      <t>6ª edición</t>
    </r>
  </si>
  <si>
    <t>A2998R</t>
  </si>
  <si>
    <t>FUNDAMENTOS DE NUTRICIÓN EN EL DEPORTE  3ra Edición</t>
  </si>
  <si>
    <t>A2997R</t>
  </si>
  <si>
    <t>FUNDAMENTOS DE NUTRICIÓN NORMAL  3ra. Edición</t>
  </si>
  <si>
    <t>A3135R</t>
  </si>
  <si>
    <r>
      <t xml:space="preserve">QUIMICA BIOLOGICA  </t>
    </r>
    <r>
      <rPr>
        <b/>
        <sz val="8"/>
        <rFont val="Arial"/>
        <family val="2"/>
      </rPr>
      <t>11ª edición</t>
    </r>
    <r>
      <rPr>
        <sz val="8"/>
        <rFont val="Arial"/>
        <family val="2"/>
      </rPr>
      <t xml:space="preserve"> -</t>
    </r>
    <r>
      <rPr>
        <b/>
        <sz val="8"/>
        <rFont val="Arial"/>
        <family val="2"/>
      </rPr>
      <t>Color</t>
    </r>
  </si>
  <si>
    <t>A2990R</t>
  </si>
  <si>
    <t>REHABILITACIÓN COGNITIVA. CASOS CLÍNICOS</t>
  </si>
  <si>
    <t>A2892R</t>
  </si>
  <si>
    <t>REHABILITACIÓN COGNITIVA. DE LA TEORÍA A LA PRÁCTICA PROFESIONAL</t>
  </si>
  <si>
    <t>A2531R</t>
  </si>
  <si>
    <t>SEMIOLOGIA DEL SISTEMA NERVIOSO  15va. Edición</t>
  </si>
  <si>
    <t>A2893R</t>
  </si>
  <si>
    <t xml:space="preserve">TECNICA DIETOTERAPICA </t>
  </si>
  <si>
    <t>A2981R</t>
  </si>
  <si>
    <t>TOXICOLOGÍA</t>
  </si>
  <si>
    <t>A2646R</t>
  </si>
  <si>
    <r>
      <t xml:space="preserve">QUIMICA BIOLOGICA </t>
    </r>
    <r>
      <rPr>
        <b/>
        <sz val="8"/>
        <rFont val="Arial"/>
        <family val="2"/>
      </rPr>
      <t>10ª Edición Ampliada y Actualizada</t>
    </r>
  </si>
  <si>
    <t>A1765R</t>
  </si>
  <si>
    <t>FUNDAMENTOS DE VALORACION NUTRICIONAL</t>
  </si>
  <si>
    <t>A2433R</t>
  </si>
  <si>
    <t>A2166R</t>
  </si>
  <si>
    <t xml:space="preserve">CLINICA Y TERAPEUTICA EN LA NUTRICION DEL ADULTO </t>
  </si>
  <si>
    <t>A1592E</t>
  </si>
  <si>
    <t>FISIOLOGIA HUMANA</t>
  </si>
  <si>
    <t>A2535R</t>
  </si>
  <si>
    <t>FUNDAMENTOS DE NUTRICION EN EL DEPORTE  2da. Edic.</t>
  </si>
  <si>
    <t>A2796R</t>
  </si>
  <si>
    <t>A2459R</t>
  </si>
  <si>
    <r>
      <rPr>
        <sz val="8"/>
        <rFont val="Arial"/>
        <family val="2"/>
      </rPr>
      <t>OBSTETRICIA</t>
    </r>
    <r>
      <rPr>
        <b/>
        <sz val="8"/>
        <rFont val="Arial"/>
        <family val="2"/>
      </rPr>
      <t xml:space="preserve"> 7ma. Edición</t>
    </r>
  </si>
  <si>
    <t>A1604R</t>
  </si>
  <si>
    <t>VADEMECUM TCAS. PROY. RADIOLOGICAS</t>
  </si>
  <si>
    <t>A3137R</t>
  </si>
  <si>
    <t>A3171R</t>
  </si>
  <si>
    <t>A3090R</t>
  </si>
  <si>
    <t>A3080R</t>
  </si>
  <si>
    <t>A3121R</t>
  </si>
  <si>
    <t>A3015R</t>
  </si>
  <si>
    <t>A3089R</t>
  </si>
  <si>
    <t>A3088R</t>
  </si>
  <si>
    <t xml:space="preserve">VIVIR EN EL SONIDO DEL VIENTO (BIOGRAFÍA DE GUILLERMO HUDSON) </t>
  </si>
  <si>
    <t>A2683R</t>
  </si>
  <si>
    <t>A2988R</t>
  </si>
  <si>
    <t>A2591R</t>
  </si>
  <si>
    <t>TANASE, VIRGIL</t>
  </si>
  <si>
    <t>A2842R</t>
  </si>
  <si>
    <t>A2592R</t>
  </si>
  <si>
    <t>BOYER, SOPHIE</t>
  </si>
  <si>
    <t>A2607R</t>
  </si>
  <si>
    <t>SOLNON, JEAN FRANCOIS</t>
  </si>
  <si>
    <r>
      <t xml:space="preserve">CATALINA DE MEDICIS </t>
    </r>
    <r>
      <rPr>
        <b/>
        <sz val="8"/>
        <rFont val="Arial"/>
        <family val="2"/>
      </rPr>
      <t>2ª edición</t>
    </r>
  </si>
  <si>
    <t>A2666R</t>
  </si>
  <si>
    <t>ROLDAN, JOSE MANUEL</t>
  </si>
  <si>
    <t>A2614R</t>
  </si>
  <si>
    <t>OHL, JEAN-PIERRE</t>
  </si>
  <si>
    <t>A2472R</t>
  </si>
  <si>
    <t>CRISTÓBAL COLÓN</t>
  </si>
  <si>
    <t>A2694R</t>
  </si>
  <si>
    <t>A2623R</t>
  </si>
  <si>
    <t>SUHAMY</t>
  </si>
  <si>
    <t>A2788E</t>
  </si>
  <si>
    <t>FEDERICO GARCÍA LORCA</t>
  </si>
  <si>
    <t>A2580R</t>
  </si>
  <si>
    <t>TROYAT, HENRI</t>
  </si>
  <si>
    <t>A2482R</t>
  </si>
  <si>
    <t>A2576R</t>
  </si>
  <si>
    <t>A2793R</t>
  </si>
  <si>
    <t>GRiGORI RASPUTIN</t>
  </si>
  <si>
    <t>A2632R</t>
  </si>
  <si>
    <t>BRAMLY, SERGE</t>
  </si>
  <si>
    <t>A2570R</t>
  </si>
  <si>
    <t>A2688R</t>
  </si>
  <si>
    <t xml:space="preserve">MAQUIAVELO </t>
  </si>
  <si>
    <t>A2579R</t>
  </si>
  <si>
    <t>A1881R</t>
  </si>
  <si>
    <t>MARIA CALLAS. UNA BIOGRAFIA INTIMA</t>
  </si>
  <si>
    <t>A3006R</t>
  </si>
  <si>
    <t>MATANZA NEGADA, LA: AUTOBIOGRAFIA DE MIS PADRES</t>
  </si>
  <si>
    <t>A2760R</t>
  </si>
  <si>
    <t>A3040R</t>
  </si>
  <si>
    <t>A2984R</t>
  </si>
  <si>
    <t>A2995R</t>
  </si>
  <si>
    <t>A2643R</t>
  </si>
  <si>
    <r>
      <t xml:space="preserve">NAPOLEON BONAPARTE </t>
    </r>
    <r>
      <rPr>
        <b/>
        <sz val="8"/>
        <rFont val="Arial"/>
        <family val="2"/>
      </rPr>
      <t>2da edición</t>
    </r>
  </si>
  <si>
    <t>A2966R</t>
  </si>
  <si>
    <t>ROBIN WOOD. UNA VIDA DE AVENTURAS</t>
  </si>
  <si>
    <t>A2866R</t>
  </si>
  <si>
    <t>A2791R</t>
  </si>
  <si>
    <t>A2471R</t>
  </si>
  <si>
    <t>A2584R</t>
  </si>
  <si>
    <t>FISCHER, DIEGO</t>
  </si>
  <si>
    <t>A2770R</t>
  </si>
  <si>
    <t xml:space="preserve">VLADIMIR PUTIN </t>
  </si>
  <si>
    <t>A2460R</t>
  </si>
  <si>
    <t>A2747R</t>
  </si>
  <si>
    <t>A2606R</t>
  </si>
  <si>
    <t>BLOT, JEAN</t>
  </si>
  <si>
    <t>A3193R</t>
  </si>
  <si>
    <t>A3175R</t>
  </si>
  <si>
    <t>A3111R</t>
  </si>
  <si>
    <t>A3104R</t>
  </si>
  <si>
    <t>A3123R</t>
  </si>
  <si>
    <t>LOPEZ MARO, OMAR</t>
  </si>
  <si>
    <t>A3118E</t>
  </si>
  <si>
    <t>A1887R</t>
  </si>
  <si>
    <t>20 GRANDES CONSP. DE LA HISTORIA</t>
  </si>
  <si>
    <t>A2872E</t>
  </si>
  <si>
    <t>A2871R</t>
  </si>
  <si>
    <t>A2656R</t>
  </si>
  <si>
    <t>A2802R</t>
  </si>
  <si>
    <t>A2422R</t>
  </si>
  <si>
    <t>A2578R</t>
  </si>
  <si>
    <t>MASSOT, VICENTE</t>
  </si>
  <si>
    <t>A2761R</t>
  </si>
  <si>
    <t>A2804R</t>
  </si>
  <si>
    <t>A2890R</t>
  </si>
  <si>
    <t>A2742R</t>
  </si>
  <si>
    <t>A2792R</t>
  </si>
  <si>
    <t>A2635R</t>
  </si>
  <si>
    <t>A2897R</t>
  </si>
  <si>
    <t>GRANDES VENGANZAS DE LA HISTORIA tapa nueva</t>
  </si>
  <si>
    <t>A2569R</t>
  </si>
  <si>
    <t>D19</t>
  </si>
  <si>
    <t>A2886R</t>
  </si>
  <si>
    <t>HISTORIA COMO NUNCA ANTES TE LA HABIAN CONTADO</t>
  </si>
  <si>
    <t>A2675R</t>
  </si>
  <si>
    <t>A2748R</t>
  </si>
  <si>
    <t>A2659R</t>
  </si>
  <si>
    <t>STONE, OLIVER - KUZNICK, PETER</t>
  </si>
  <si>
    <t>HISTORIA NO OFICIAL DE ESTADOS UNIDOS</t>
  </si>
  <si>
    <t>A2806R</t>
  </si>
  <si>
    <t>A2880R</t>
  </si>
  <si>
    <t>MEDICOS NAZIS. LA CIENCIA DE MATAR, LOS</t>
  </si>
  <si>
    <t>A2898R</t>
  </si>
  <si>
    <t xml:space="preserve">MENTIRAS DE LA SEGUNDA GUERRA MUNDIAL </t>
  </si>
  <si>
    <t>A2858R</t>
  </si>
  <si>
    <t>A2859R</t>
  </si>
  <si>
    <t>MITOS DE LA SEGUNDA GUERRA MUNDIAL 2, LOS</t>
  </si>
  <si>
    <t>A2716R</t>
  </si>
  <si>
    <t>A2962R</t>
  </si>
  <si>
    <t>A2820R</t>
  </si>
  <si>
    <t>A2436R</t>
  </si>
  <si>
    <t>A2779R</t>
  </si>
  <si>
    <t>A2695R</t>
  </si>
  <si>
    <t>POR QUÉ DE LA HISTORIA 2, LOS</t>
  </si>
  <si>
    <t>A2787R</t>
  </si>
  <si>
    <t>A2615R</t>
  </si>
  <si>
    <t>POR QUÉ DE LA HISTORIA, LOS</t>
  </si>
  <si>
    <t>A2566R</t>
  </si>
  <si>
    <t>A2603R</t>
  </si>
  <si>
    <t>A2879R</t>
  </si>
  <si>
    <t>A2669R</t>
  </si>
  <si>
    <t>A2420R</t>
  </si>
  <si>
    <t>A2429R</t>
  </si>
  <si>
    <t>SECRETOS DE LA HISTORIA 2</t>
  </si>
  <si>
    <t>A2789R</t>
  </si>
  <si>
    <t>A2451R</t>
  </si>
  <si>
    <t>A2920R</t>
  </si>
  <si>
    <t>A2819R</t>
  </si>
  <si>
    <t>TEORÍAS LOCAS DE LA HISTORIA</t>
  </si>
  <si>
    <t>A2468R</t>
  </si>
  <si>
    <t>ULTIMOS DIAS DE MUSSOLINI.LOS</t>
  </si>
  <si>
    <t>A2720R</t>
  </si>
  <si>
    <t>A2848R</t>
  </si>
  <si>
    <t>A2772R</t>
  </si>
  <si>
    <t>TESTIMONIO - ENSAYO</t>
  </si>
  <si>
    <t>A3138R</t>
  </si>
  <si>
    <t>A3091R</t>
  </si>
  <si>
    <t>A3071R</t>
  </si>
  <si>
    <t>A2960R</t>
  </si>
  <si>
    <t>60 INVENTOS QUE NOS CAMBIARON LA VIDA</t>
  </si>
  <si>
    <t>A3005R</t>
  </si>
  <si>
    <t>A2480R</t>
  </si>
  <si>
    <t>A2724R</t>
  </si>
  <si>
    <t>A2450R</t>
  </si>
  <si>
    <t>A2609R</t>
  </si>
  <si>
    <t>CAUSSE, JEAN-GABRIEL</t>
  </si>
  <si>
    <t>ASOMBROSO PODER DE LOS COLORES, EL</t>
  </si>
  <si>
    <t>A2465R</t>
  </si>
  <si>
    <t>CAUTIVAS, LAS. El harén oculto de Gadafi</t>
  </si>
  <si>
    <t>A2833R</t>
  </si>
  <si>
    <t>A2994R</t>
  </si>
  <si>
    <t>A2590R</t>
  </si>
  <si>
    <t>A2610R</t>
  </si>
  <si>
    <t>AUTORES VARIOS (THE BIG VAN THEORY)</t>
  </si>
  <si>
    <t>A2753R</t>
  </si>
  <si>
    <t>A2642R</t>
  </si>
  <si>
    <t>WEINTRAUB, ROBERT</t>
  </si>
  <si>
    <t>A2865R</t>
  </si>
  <si>
    <t>A2474R</t>
  </si>
  <si>
    <t>A2807R</t>
  </si>
  <si>
    <t>A2744R</t>
  </si>
  <si>
    <t>A2540R</t>
  </si>
  <si>
    <t>A2887R</t>
  </si>
  <si>
    <t>A2625R</t>
  </si>
  <si>
    <t>MAS ALLÁ DEL MURO</t>
  </si>
  <si>
    <t>A2759R</t>
  </si>
  <si>
    <t>A2587R</t>
  </si>
  <si>
    <t>MUNDO SEGÚN BOB, EL</t>
  </si>
  <si>
    <t>A2626R</t>
  </si>
  <si>
    <t>MUNDO SEGÚN SHELDON, EL</t>
  </si>
  <si>
    <t>A1862R</t>
  </si>
  <si>
    <t>A2906R</t>
  </si>
  <si>
    <t>SOLAS</t>
  </si>
  <si>
    <t>A2986R</t>
  </si>
  <si>
    <t>SOLAS  2da. Edición</t>
  </si>
  <si>
    <t>A2780R</t>
  </si>
  <si>
    <t>A2544R</t>
  </si>
  <si>
    <t>A2869R</t>
  </si>
  <si>
    <t>VUELTA AL MUNDO EN 80 MÚSICAS, LA</t>
  </si>
  <si>
    <t>HISTORIA-ENSAYO ARGENTINO</t>
  </si>
  <si>
    <t>A2654R</t>
  </si>
  <si>
    <t>A2732R</t>
  </si>
  <si>
    <r>
      <t xml:space="preserve">PAÍS DE LAS DESMESURAS, EL   </t>
    </r>
    <r>
      <rPr>
        <b/>
        <sz val="8"/>
        <rFont val="Arial"/>
        <family val="2"/>
      </rPr>
      <t>2ª Ed. Actualizada</t>
    </r>
  </si>
  <si>
    <t>A2574R</t>
  </si>
  <si>
    <t>A2771R</t>
  </si>
  <si>
    <t>A2889R</t>
  </si>
  <si>
    <t>BERENSZTEIN-BUSCAGLIA</t>
  </si>
  <si>
    <t>POR QUÉ FRACASAN TODOS LOS GOBIERNOS?</t>
  </si>
  <si>
    <t>A2588R</t>
  </si>
  <si>
    <t>DI TELLA, TORCUATO</t>
  </si>
  <si>
    <t>A2739R</t>
  </si>
  <si>
    <t>CORTE SUPREMA ARGENTINA, LA. LUCES Y SOMBRAS</t>
  </si>
  <si>
    <t>A2624R</t>
  </si>
  <si>
    <t>A2628R</t>
  </si>
  <si>
    <t>GUADANI, ALIETO ALDO - BOERO, FRANCISCO</t>
  </si>
  <si>
    <t>A2489R</t>
  </si>
  <si>
    <t>A2371R</t>
  </si>
  <si>
    <t>MATAR Y MORIR. La violencia en la Argentina (1806-2010)</t>
  </si>
  <si>
    <t>A2856R</t>
  </si>
  <si>
    <t>A2895R</t>
  </si>
  <si>
    <t>A2853R</t>
  </si>
  <si>
    <t>HISTORIA ECONOMICA DE LA ARGENTINA  (DEL AUTOR)</t>
  </si>
  <si>
    <t>A2680R</t>
  </si>
  <si>
    <t>A2400R</t>
  </si>
  <si>
    <t>A2891R</t>
  </si>
  <si>
    <t>A2525R</t>
  </si>
  <si>
    <t>A2322R</t>
  </si>
  <si>
    <t xml:space="preserve">HISTORIA DE SAN MARTIN Y LA ORG. NAC. </t>
  </si>
  <si>
    <t>A2681R</t>
  </si>
  <si>
    <t xml:space="preserve">CONSTITUCION NACIONAL   </t>
  </si>
  <si>
    <t>A3176R</t>
  </si>
  <si>
    <t>A3189R</t>
  </si>
  <si>
    <t>A3162R</t>
  </si>
  <si>
    <t>A3169R</t>
  </si>
  <si>
    <t>A3078R</t>
  </si>
  <si>
    <t>A3158R</t>
  </si>
  <si>
    <t>A3124R</t>
  </si>
  <si>
    <t>A3116R</t>
  </si>
  <si>
    <t>A3122R</t>
  </si>
  <si>
    <t>A3087R</t>
  </si>
  <si>
    <t>D2018</t>
  </si>
  <si>
    <t>A2938R</t>
  </si>
  <si>
    <t>A2971R</t>
  </si>
  <si>
    <t>A8025R</t>
  </si>
  <si>
    <t>A2484R</t>
  </si>
  <si>
    <t>ANTOLOGIA DEL CUENTO ARGENTINO</t>
  </si>
  <si>
    <t>A2449R</t>
  </si>
  <si>
    <t>A3061R</t>
  </si>
  <si>
    <t>A2533R</t>
  </si>
  <si>
    <t>DIÁLOGO CON BORGES</t>
  </si>
  <si>
    <t>A2475R</t>
  </si>
  <si>
    <t>A2541R</t>
  </si>
  <si>
    <t>A2818R</t>
  </si>
  <si>
    <t>A2909R</t>
  </si>
  <si>
    <t>GRANDES CARTAS DE AMOR 2da edición</t>
  </si>
  <si>
    <t>A2951R</t>
  </si>
  <si>
    <t>A3106R</t>
  </si>
  <si>
    <t>A2918R</t>
  </si>
  <si>
    <t>A3032R</t>
  </si>
  <si>
    <t>A2956R</t>
  </si>
  <si>
    <t>A2097R</t>
  </si>
  <si>
    <t>A2292R</t>
  </si>
  <si>
    <t xml:space="preserve">PRINCESA FEDERAL, LA </t>
  </si>
  <si>
    <t>A3027R</t>
  </si>
  <si>
    <t>A2929R</t>
  </si>
  <si>
    <t>A2991R</t>
  </si>
  <si>
    <t>A2894R</t>
  </si>
  <si>
    <t>A3081R</t>
  </si>
  <si>
    <t>A2567R</t>
  </si>
  <si>
    <t>A3007R</t>
  </si>
  <si>
    <t>A3191E</t>
  </si>
  <si>
    <t>A3154E</t>
  </si>
  <si>
    <t>A3101E</t>
  </si>
  <si>
    <t>A2873R</t>
  </si>
  <si>
    <t>A2874E</t>
  </si>
  <si>
    <t>A2875R</t>
  </si>
  <si>
    <t>SABUESO DE LOS BASKERVILLE, EL - MEMORIAS DE SHERLOCK HOLMES</t>
  </si>
  <si>
    <t>A2876R</t>
  </si>
  <si>
    <t>BIBLIOTECA CLASICA</t>
  </si>
  <si>
    <t>A2832R</t>
  </si>
  <si>
    <t>A2830R</t>
  </si>
  <si>
    <t>A2829R</t>
  </si>
  <si>
    <t>A2831R</t>
  </si>
  <si>
    <t>A2827R</t>
  </si>
  <si>
    <t>A2828R</t>
  </si>
  <si>
    <t>A2826R</t>
  </si>
  <si>
    <t>A2821R</t>
  </si>
  <si>
    <t>A2823R</t>
  </si>
  <si>
    <t>A2822R</t>
  </si>
  <si>
    <t>A2825R</t>
  </si>
  <si>
    <t>A2824R</t>
  </si>
  <si>
    <t>A2522R</t>
  </si>
  <si>
    <t>ASSASSIN'S CREED: LA HERMANDAD</t>
  </si>
  <si>
    <t>A2523R</t>
  </si>
  <si>
    <t>ASSASIN'S CREED: LA CRUZADA SECRETA</t>
  </si>
  <si>
    <t>A2524R</t>
  </si>
  <si>
    <t>ASSASIN'S CREED: REVELACIONES</t>
  </si>
  <si>
    <t>A2537R</t>
  </si>
  <si>
    <t>ASSASIN'S CREED: FORSAKEN</t>
  </si>
  <si>
    <t>A2693R</t>
  </si>
  <si>
    <t>ASSASSIN’S CREED. BLACK FLAG</t>
  </si>
  <si>
    <t>A2715R</t>
  </si>
  <si>
    <t>ASSASSIN'S CREED: UNITY</t>
  </si>
  <si>
    <t>A2790R</t>
  </si>
  <si>
    <t>A2836R</t>
  </si>
  <si>
    <t>ASSASSIN'S CREED: HEREJIA</t>
  </si>
  <si>
    <t>A9039E</t>
  </si>
  <si>
    <t>A9040E</t>
  </si>
  <si>
    <t>ARTE DE ASSASSIN'S CREED IV: BLACK FLAG, EL</t>
  </si>
  <si>
    <t>SAGA PRINCESS</t>
  </si>
  <si>
    <t>A2805R</t>
  </si>
  <si>
    <t>A2786R</t>
  </si>
  <si>
    <t>HINES, JUM C.</t>
  </si>
  <si>
    <t>SAGA MAGO DE LOS LIBROS</t>
  </si>
  <si>
    <t>A2648R</t>
  </si>
  <si>
    <t>A2649R</t>
  </si>
  <si>
    <t>A2650R</t>
  </si>
  <si>
    <t>A2745R</t>
  </si>
  <si>
    <t>FRENETTE, BETHANY</t>
  </si>
  <si>
    <t>A2638R</t>
  </si>
  <si>
    <t>A2639R</t>
  </si>
  <si>
    <t>A3141R</t>
  </si>
  <si>
    <t>A3058R</t>
  </si>
  <si>
    <t>A3097R</t>
  </si>
  <si>
    <t>A3128R</t>
  </si>
  <si>
    <t>A2996R</t>
  </si>
  <si>
    <t>5 TRAMPAS DEL AMOR, LAS   2da. Edición</t>
  </si>
  <si>
    <t>A2014R</t>
  </si>
  <si>
    <t>A2509R</t>
  </si>
  <si>
    <t>D.2021?</t>
  </si>
  <si>
    <t>A2993R</t>
  </si>
  <si>
    <t xml:space="preserve">DORMIR SIN LAGRIMAS           </t>
  </si>
  <si>
    <t>A2431R</t>
  </si>
  <si>
    <t>A2627R</t>
  </si>
  <si>
    <t>INCREÍBLE UNIVERSO DEL RECIÉN NACIDO, EL</t>
  </si>
  <si>
    <t>A2589R</t>
  </si>
  <si>
    <t>MATVEIKOVA,</t>
  </si>
  <si>
    <t>A3028R</t>
  </si>
  <si>
    <t>A2803R</t>
  </si>
  <si>
    <t>A2878R</t>
  </si>
  <si>
    <t>A2513R</t>
  </si>
  <si>
    <t>A3019R</t>
  </si>
  <si>
    <t>A3020R</t>
  </si>
  <si>
    <t>A3147R</t>
  </si>
  <si>
    <t>A3114R</t>
  </si>
  <si>
    <t>A2419R</t>
  </si>
  <si>
    <t>S.O.S. MANUAL DE SUPERVIVENCIA PARA FAMILIAS MULTIPLES</t>
  </si>
  <si>
    <t>A2973R</t>
  </si>
  <si>
    <t>A2999R</t>
  </si>
  <si>
    <t>A3129</t>
  </si>
  <si>
    <t>A2719R</t>
  </si>
  <si>
    <t>A2667R</t>
  </si>
  <si>
    <t>VARELA,</t>
  </si>
  <si>
    <t>A2636R</t>
  </si>
  <si>
    <t>A2604R</t>
  </si>
  <si>
    <t>A3001R</t>
  </si>
  <si>
    <t>A2884E</t>
  </si>
  <si>
    <t>A2754R</t>
  </si>
  <si>
    <t>SIRENITA, LA  libro para colorear</t>
  </si>
  <si>
    <t>A2755R</t>
  </si>
  <si>
    <t>BELLA Y LA BESTIA, LA   libro para colorear</t>
  </si>
  <si>
    <t>A2664R</t>
  </si>
  <si>
    <t xml:space="preserve">ARTERAPIA - JARDINES EXTRAORDINARIOS </t>
  </si>
  <si>
    <t>A2932R</t>
  </si>
  <si>
    <t>AGRADECE</t>
  </si>
  <si>
    <t>ANIMATE</t>
  </si>
  <si>
    <t>DESARROLLO EMOCIONAL / PERSONAL</t>
  </si>
  <si>
    <t>A3183R</t>
  </si>
  <si>
    <t>A3168R</t>
  </si>
  <si>
    <t>A3126R</t>
  </si>
  <si>
    <t>A3113R</t>
  </si>
  <si>
    <t>A3098R</t>
  </si>
  <si>
    <t>A3073R</t>
  </si>
  <si>
    <t>A3066R</t>
  </si>
  <si>
    <t>A3075R</t>
  </si>
  <si>
    <t>A2979R</t>
  </si>
  <si>
    <t>A3065R</t>
  </si>
  <si>
    <t>A3025E</t>
  </si>
  <si>
    <t>A3042R</t>
  </si>
  <si>
    <t>A2969R</t>
  </si>
  <si>
    <t>A3017R</t>
  </si>
  <si>
    <t>ABR</t>
  </si>
  <si>
    <t>A3016R</t>
  </si>
  <si>
    <t>A3094E</t>
  </si>
  <si>
    <t>A2925R</t>
  </si>
  <si>
    <t>A3026E</t>
  </si>
  <si>
    <t>A3030R</t>
  </si>
  <si>
    <t>A3033R</t>
  </si>
  <si>
    <t>A3131R</t>
  </si>
  <si>
    <t>A2972R</t>
  </si>
  <si>
    <t>A2977R</t>
  </si>
  <si>
    <t>A2949R</t>
  </si>
  <si>
    <t>A3043R</t>
  </si>
  <si>
    <t>SOLTAR PARA SER FELIZ (DIARIO + LIBRO)</t>
  </si>
  <si>
    <t>A3031R</t>
  </si>
  <si>
    <t>SOLTAR PARA SER FELIZ (EL DIARIO)</t>
  </si>
  <si>
    <t>A3077R</t>
  </si>
  <si>
    <t>A3063R</t>
  </si>
  <si>
    <t>A3056R</t>
  </si>
  <si>
    <t>A3136R</t>
  </si>
  <si>
    <t>A2953R</t>
  </si>
  <si>
    <t>A2992R</t>
  </si>
  <si>
    <t>A3057R</t>
  </si>
  <si>
    <t>A3047R</t>
  </si>
  <si>
    <t>A2975R</t>
  </si>
  <si>
    <t>ECONOMIA - ADMINISTRACION</t>
  </si>
  <si>
    <t>A2910R</t>
  </si>
  <si>
    <t>A2538R</t>
  </si>
  <si>
    <t>A2645R</t>
  </si>
  <si>
    <t>ESTA VEZ ¿SERÁ DIFERENTE?</t>
  </si>
  <si>
    <t>A3041R</t>
  </si>
  <si>
    <t>A2978R</t>
  </si>
  <si>
    <t>A3045R</t>
  </si>
  <si>
    <t>A3115R</t>
  </si>
  <si>
    <t>A3039R</t>
  </si>
  <si>
    <t>A3022R</t>
  </si>
  <si>
    <t>A2883R</t>
  </si>
  <si>
    <t>A3038R</t>
  </si>
  <si>
    <t>DESCONOCIDA BUENOS AIRES. HISTORIAS DE FRONTERAS</t>
  </si>
  <si>
    <t>A2919R</t>
  </si>
  <si>
    <t>DESCONOCIDA BUENOS AIRES: HISTORIAS DE FRONTERA</t>
  </si>
  <si>
    <t>A2987R</t>
  </si>
  <si>
    <t>A2507R</t>
  </si>
  <si>
    <t>A2655R</t>
  </si>
  <si>
    <t>MARKIC, MARIO</t>
  </si>
  <si>
    <t>A1944R</t>
  </si>
  <si>
    <t>GASTRONOMIA</t>
  </si>
  <si>
    <t>A3190R</t>
  </si>
  <si>
    <t>A3184R</t>
  </si>
  <si>
    <t>A3157R</t>
  </si>
  <si>
    <t>A3064R</t>
  </si>
  <si>
    <t>A2914R</t>
  </si>
  <si>
    <t>COCINA DE DAKSHA</t>
  </si>
  <si>
    <t>A2900R</t>
  </si>
  <si>
    <t>A2917R</t>
  </si>
  <si>
    <t>A3068R</t>
  </si>
  <si>
    <t>A2441R</t>
  </si>
  <si>
    <t>GUÍA DE CONVERSACIÓN: FRANCÉS</t>
  </si>
  <si>
    <t>A2440R</t>
  </si>
  <si>
    <t>GUÍA DE CONVERSACIÓN: INGLÉS</t>
  </si>
  <si>
    <t>A2740E</t>
  </si>
  <si>
    <t>A2718E</t>
  </si>
  <si>
    <t> A2954</t>
  </si>
  <si>
    <t>VIRGEN DE LUJAN:LA MADRE DE TODOS</t>
  </si>
  <si>
    <t> A2955</t>
  </si>
  <si>
    <t>VIRGEN DE LUJAN:LA MADRE DE TODOS (P)</t>
  </si>
  <si>
    <t>A8003R</t>
  </si>
  <si>
    <t>A8005E</t>
  </si>
  <si>
    <t>A8008R</t>
  </si>
  <si>
    <t>D4021E</t>
  </si>
  <si>
    <t>MI VIAJE - CUADERNO DE BITÁCORA  (2 TOMOS)</t>
  </si>
  <si>
    <t>CONSEJOS PRÁCTICOS</t>
  </si>
  <si>
    <t>A2593R</t>
  </si>
  <si>
    <t>A2605R</t>
  </si>
  <si>
    <t>A2658R</t>
  </si>
  <si>
    <t>A2678R</t>
  </si>
  <si>
    <t>LEFIEF-DELCOURT, ALIX</t>
  </si>
  <si>
    <t>A2731R</t>
  </si>
  <si>
    <t>A3086R</t>
  </si>
  <si>
    <t>D2405R</t>
  </si>
  <si>
    <t>A2267R</t>
  </si>
  <si>
    <t>DENNE, WILLIAM</t>
  </si>
  <si>
    <t>A2266R</t>
  </si>
  <si>
    <t>LEENDERTZ, LIA</t>
  </si>
  <si>
    <t>JARDINERÍA PARA TODA LA FAMILIA</t>
  </si>
  <si>
    <t>A2252R</t>
  </si>
  <si>
    <t>A2199R</t>
  </si>
  <si>
    <t>A3167R</t>
  </si>
  <si>
    <t>AGENDA / PLANNER</t>
  </si>
  <si>
    <t>A3192R</t>
  </si>
  <si>
    <t>DIC</t>
  </si>
  <si>
    <t>A3159E</t>
  </si>
  <si>
    <t>A3149E</t>
  </si>
  <si>
    <t>A3095E</t>
  </si>
  <si>
    <t>MUJERES FARO: AGENDA 2023 (3750 &gt; 4050 &gt; 4370)</t>
  </si>
  <si>
    <t>A2503R</t>
  </si>
  <si>
    <t>JUEGOS Y ENTRETENIMIENTOS</t>
  </si>
  <si>
    <t>A3152R</t>
  </si>
  <si>
    <t>A2640R</t>
  </si>
  <si>
    <t>PARISSI, JULIO CESAR</t>
  </si>
  <si>
    <t>A3150R</t>
  </si>
  <si>
    <t>A3145R</t>
  </si>
  <si>
    <t>A3079R</t>
  </si>
  <si>
    <t>A2934R</t>
  </si>
  <si>
    <t>A2950R</t>
  </si>
  <si>
    <t>A2965R</t>
  </si>
  <si>
    <t>A3062R</t>
  </si>
  <si>
    <t>A3117R</t>
  </si>
  <si>
    <t>A2947R</t>
  </si>
  <si>
    <t> A2964</t>
  </si>
  <si>
    <t>A JUGAR CON EL ARTE!</t>
  </si>
  <si>
    <t>Colección MAGIA UNICORNIA Y ESTRELLAMAS</t>
  </si>
  <si>
    <t>A2945R</t>
  </si>
  <si>
    <t>A2946R</t>
  </si>
  <si>
    <t>A2943R</t>
  </si>
  <si>
    <t>A2944R</t>
  </si>
  <si>
    <t>Colección ORBIL</t>
  </si>
  <si>
    <t>A2668R</t>
  </si>
  <si>
    <t>A2697R</t>
  </si>
  <si>
    <t>ORBIL, EL LIBRO SIN TON NI SON</t>
  </si>
  <si>
    <t>A2696R</t>
  </si>
  <si>
    <t>A3110R</t>
  </si>
  <si>
    <t>A3134R</t>
  </si>
  <si>
    <t>A2976R</t>
  </si>
  <si>
    <t>A3132R</t>
  </si>
  <si>
    <t>A2989R</t>
  </si>
  <si>
    <t>A2926R</t>
  </si>
  <si>
    <t>A2963R</t>
  </si>
  <si>
    <t>GRANDES ALBUMES ILUSTRADOS</t>
  </si>
  <si>
    <t>,</t>
  </si>
  <si>
    <t>A2849E</t>
  </si>
  <si>
    <t>A2850E</t>
  </si>
  <si>
    <t>A2835E</t>
  </si>
  <si>
    <t>A2741E</t>
  </si>
  <si>
    <t>PRINCIPITO, EL  Cartoné</t>
  </si>
  <si>
    <t>A2968R</t>
  </si>
  <si>
    <t>PRINCIPITO, EL  Tapa blanda</t>
  </si>
  <si>
    <t>A2653R</t>
  </si>
  <si>
    <t>A2651E</t>
  </si>
  <si>
    <t>A2652E</t>
  </si>
  <si>
    <t>A2600E</t>
  </si>
  <si>
    <t>A2601E</t>
  </si>
  <si>
    <t>CUMPLEAÑOS DEL ERIZO CRESPÍN, EL</t>
  </si>
  <si>
    <t>ALBUMES ILUSTRADOS DE ARTE</t>
  </si>
  <si>
    <t>A2512E</t>
  </si>
  <si>
    <t>A3119R</t>
  </si>
  <si>
    <t>MI AMIGO MONET  TR</t>
  </si>
  <si>
    <t>A3140R</t>
  </si>
  <si>
    <t>MI AMIGO VAN GOGH  TR</t>
  </si>
  <si>
    <t>A2672R</t>
  </si>
  <si>
    <t>A2671R</t>
  </si>
  <si>
    <t>A2670R</t>
  </si>
  <si>
    <t>A2673R</t>
  </si>
  <si>
    <t>A2841E</t>
  </si>
  <si>
    <t>A2857E</t>
  </si>
  <si>
    <t>A2762E</t>
  </si>
  <si>
    <t>A2764E</t>
  </si>
  <si>
    <t>A2684E</t>
  </si>
  <si>
    <t>A2686E</t>
  </si>
  <si>
    <t xml:space="preserve">CHARLES Y EL CÍCLOPE </t>
  </si>
  <si>
    <t>A2685E</t>
  </si>
  <si>
    <t>ALBUMES POP-UP</t>
  </si>
  <si>
    <t>A2784E</t>
  </si>
  <si>
    <t>ALBUMES ILUSTRADOS rústica</t>
  </si>
  <si>
    <t>A3172R</t>
  </si>
  <si>
    <t>A3164R</t>
  </si>
  <si>
    <t>A3143R</t>
  </si>
  <si>
    <t>A3151R</t>
  </si>
  <si>
    <t>A3142R</t>
  </si>
  <si>
    <t>AVENTURA EN CASA DE LOS ABUELOS - Premio MPNL</t>
  </si>
  <si>
    <t>A3130R</t>
  </si>
  <si>
    <t>A3112R</t>
  </si>
  <si>
    <t>A3099R</t>
  </si>
  <si>
    <t>A3156R</t>
  </si>
  <si>
    <t>A3155R</t>
  </si>
  <si>
    <t>A3074R</t>
  </si>
  <si>
    <t>A OTRO LUGAR  con stickers</t>
  </si>
  <si>
    <t>A3060R</t>
  </si>
  <si>
    <t>A2904R</t>
  </si>
  <si>
    <t>A2921R</t>
  </si>
  <si>
    <t>A2913R</t>
  </si>
  <si>
    <t>A2911R</t>
  </si>
  <si>
    <t>A2942R</t>
  </si>
  <si>
    <t>A2974R</t>
  </si>
  <si>
    <t>A3004R</t>
  </si>
  <si>
    <t>A3034R</t>
  </si>
  <si>
    <t>A3072R</t>
  </si>
  <si>
    <t>A3050R</t>
  </si>
  <si>
    <t>CUENTOS CORTOS PARA PINTAR 1  Libro para colorear</t>
  </si>
  <si>
    <t>A3125R</t>
  </si>
  <si>
    <t>CUENTOS CORTOS PARA PINTAR 2  Libro para colorear</t>
  </si>
  <si>
    <t>A2901R</t>
  </si>
  <si>
    <t>A3120R</t>
  </si>
  <si>
    <t>GRANDES ALBUMES ILUSTRADOS tapa dura</t>
  </si>
  <si>
    <t>A3100E</t>
  </si>
  <si>
    <t>A3103E</t>
  </si>
  <si>
    <t>A3096E</t>
  </si>
  <si>
    <t>A3090E</t>
  </si>
  <si>
    <t>A3084E</t>
  </si>
  <si>
    <t>A3059E</t>
  </si>
  <si>
    <t>A3036E</t>
  </si>
  <si>
    <t>A2785E</t>
  </si>
  <si>
    <t>101 DÁLMATAS</t>
  </si>
  <si>
    <t>A2488E</t>
  </si>
  <si>
    <t>A2798E</t>
  </si>
  <si>
    <t>A2487E</t>
  </si>
  <si>
    <t>A2565E</t>
  </si>
  <si>
    <t>A2374E</t>
  </si>
  <si>
    <t>A2529E</t>
  </si>
  <si>
    <t>A2756E</t>
  </si>
  <si>
    <t>A2571R</t>
  </si>
  <si>
    <t>MARION, DOMINIQUE - FLEURY, JEREMIE</t>
  </si>
  <si>
    <t>A2613E</t>
  </si>
  <si>
    <t>PUYBARET, ERIC - SAUMANDE, JULIETA</t>
  </si>
  <si>
    <t>A2585E</t>
  </si>
  <si>
    <t>A2765E</t>
  </si>
  <si>
    <t>A2616E</t>
  </si>
  <si>
    <t>SPYRI, JOHANNA</t>
  </si>
  <si>
    <t>A2594E</t>
  </si>
  <si>
    <t>LAY, STEPHANE - BOURDON, GILIANE</t>
  </si>
  <si>
    <t>A2572E</t>
  </si>
  <si>
    <t>DE LASA, CATHERINE - GOURRAT, CAROLE</t>
  </si>
  <si>
    <t>A2698E</t>
  </si>
  <si>
    <t>A2717E</t>
  </si>
  <si>
    <t>JARDÍN DE MARIJKE , EL</t>
  </si>
  <si>
    <t>A2885E</t>
  </si>
  <si>
    <t>A2867E</t>
  </si>
  <si>
    <t>LA BELLA Y LA BESTIA</t>
  </si>
  <si>
    <t>A2862E</t>
  </si>
  <si>
    <t>MEGALIBRO DE ANIMALES GIGANTES. MINILIBRO DE ANIMALES PEQUEÑOS</t>
  </si>
  <si>
    <t>A2888E</t>
  </si>
  <si>
    <t>MEGALIBRO DE DINOSAURIOS GIGANTES</t>
  </si>
  <si>
    <t>A2726E</t>
  </si>
  <si>
    <t>A2633E</t>
  </si>
  <si>
    <t>A2922E</t>
  </si>
  <si>
    <t>A2674E</t>
  </si>
  <si>
    <t>NIÑA QUE QUERÍA ATRAPAR LAS NUBES, LA</t>
  </si>
  <si>
    <t>A2527E</t>
  </si>
  <si>
    <t>A2766E</t>
  </si>
  <si>
    <t>A2861E</t>
  </si>
  <si>
    <t>A2725E</t>
  </si>
  <si>
    <t>A2797E</t>
  </si>
  <si>
    <t>A2682E</t>
  </si>
  <si>
    <t>A2619E</t>
  </si>
  <si>
    <t>LAFFON, MARTINE - BRUN BARBARA</t>
  </si>
  <si>
    <t>A2928E</t>
  </si>
  <si>
    <t>A2923E</t>
  </si>
  <si>
    <t>QUISIERA SER.</t>
  </si>
  <si>
    <t>A2372E</t>
  </si>
  <si>
    <t>A2783E</t>
  </si>
  <si>
    <t>A2530E</t>
  </si>
  <si>
    <t>MC BRATNEY, SAM</t>
  </si>
  <si>
    <t>A2687E</t>
  </si>
  <si>
    <t>A2983E</t>
  </si>
  <si>
    <t>A3107E</t>
  </si>
  <si>
    <t>A3108E</t>
  </si>
  <si>
    <t>A3109E</t>
  </si>
  <si>
    <t>A2896E</t>
  </si>
  <si>
    <t>A3163R</t>
  </si>
  <si>
    <t>A3178R</t>
  </si>
  <si>
    <t>A3177R</t>
  </si>
  <si>
    <t>A3093R</t>
  </si>
  <si>
    <t>A3102E</t>
  </si>
  <si>
    <t>A3076E</t>
  </si>
  <si>
    <t>A3053E</t>
  </si>
  <si>
    <t>A3018E</t>
  </si>
  <si>
    <t>A2982E</t>
  </si>
  <si>
    <t>A3082E</t>
  </si>
  <si>
    <t xml:space="preserve">VOY A COMPARTIR </t>
  </si>
  <si>
    <t>A3035E</t>
  </si>
  <si>
    <t>A2782E</t>
  </si>
  <si>
    <t>A2560E</t>
  </si>
  <si>
    <t>A2561E</t>
  </si>
  <si>
    <t>A2562R</t>
  </si>
  <si>
    <t>GRAHAME, KENNETH</t>
  </si>
  <si>
    <t>A2690E</t>
  </si>
  <si>
    <t>A2691E</t>
  </si>
  <si>
    <t>A2903E</t>
  </si>
  <si>
    <t>ANIMALES INCREIBLES POP-UP 3D</t>
  </si>
  <si>
    <t>A2736E</t>
  </si>
  <si>
    <t>UN DÍA EN EL MUSEO DE LOS DINOSAURIOS</t>
  </si>
  <si>
    <t>A3011R</t>
  </si>
  <si>
    <t>A3010R</t>
  </si>
  <si>
    <t>A3146R</t>
  </si>
  <si>
    <t>A3069R</t>
  </si>
  <si>
    <t>A3023R</t>
  </si>
  <si>
    <t>A2957R</t>
  </si>
  <si>
    <t>A2354E</t>
  </si>
  <si>
    <t>CONSTELACIONES:  MITOS Y LEYENDAS EN EL CIELO. LAS</t>
  </si>
  <si>
    <t>A2899R</t>
  </si>
  <si>
    <t>A2355R</t>
  </si>
  <si>
    <t>ALBUMES ILUSTRADOS tapa dura</t>
  </si>
  <si>
    <t>A2868E</t>
  </si>
  <si>
    <t>A2834E</t>
  </si>
  <si>
    <t>ARTE PARA LOS NIÑOS. 20 HISTORIAS PARA CONOCER A LOS GRANDES MAESTROS DE LA PINTURA</t>
  </si>
  <si>
    <t>A2813E</t>
  </si>
  <si>
    <t>A2767E</t>
  </si>
  <si>
    <t>A2851E</t>
  </si>
  <si>
    <t>Colección 50 COSAS QUE DEBES SABER…</t>
  </si>
  <si>
    <t xml:space="preserve">50 COSAS QUE DEBES SABER SOBRE EL CUERPO HUMANO </t>
  </si>
  <si>
    <t>Colección MIL VENTANAS</t>
  </si>
  <si>
    <t>A2838E</t>
  </si>
  <si>
    <t>ANIMALES - 1000 ventanas para descubrir</t>
  </si>
  <si>
    <t>A2852E</t>
  </si>
  <si>
    <t>ESCUELA - 1000 ventanas para descubrir</t>
  </si>
  <si>
    <t>A2721E</t>
  </si>
  <si>
    <t>CASA - 1000 ventanas para descubrir</t>
  </si>
  <si>
    <t>A2722E</t>
  </si>
  <si>
    <t>CIUDAD - 1000 ventanas para descubrir</t>
  </si>
  <si>
    <t>ALBUM MUSICAL</t>
  </si>
  <si>
    <t>A2860E</t>
  </si>
  <si>
    <t>A2743E</t>
  </si>
  <si>
    <t>CUATRO ESTACIONES EN UN DÍA, LAS</t>
  </si>
  <si>
    <t>Colección STEPHEN BIESTY</t>
  </si>
  <si>
    <t>A2734E</t>
  </si>
  <si>
    <t>A2735E</t>
  </si>
  <si>
    <t>A3051R</t>
  </si>
  <si>
    <t>A3049E</t>
  </si>
  <si>
    <t>A3048E</t>
  </si>
  <si>
    <t>A3013E</t>
  </si>
  <si>
    <t>A3015E</t>
  </si>
  <si>
    <t>A3012E</t>
  </si>
  <si>
    <t>CÓMO HABLAN</t>
  </si>
  <si>
    <t>A3014E</t>
  </si>
  <si>
    <t>A3008E</t>
  </si>
  <si>
    <t>A3009R</t>
  </si>
  <si>
    <t>MATERIAL AUXILIAR PARA LA ENSEÑANZA</t>
  </si>
  <si>
    <t>A2948R</t>
  </si>
  <si>
    <t>A2924R</t>
  </si>
  <si>
    <t>A3024R</t>
  </si>
  <si>
    <t>Colección SUPERNATURALEZA</t>
  </si>
  <si>
    <t>A2881E</t>
  </si>
  <si>
    <t>A2882E</t>
  </si>
  <si>
    <t>Colección MINILIBROS</t>
  </si>
  <si>
    <t>MINILIBROS LOS VEHICULOS</t>
  </si>
  <si>
    <t>A1372R</t>
  </si>
  <si>
    <t>MINILIBROS BUENAS NOCHES</t>
  </si>
  <si>
    <t>Colección MIS PRIMEROS LIBROS</t>
  </si>
  <si>
    <t>A2773E</t>
  </si>
  <si>
    <t>MIS PRIMEROS LIBROS: ¡HOLA PAPIS!</t>
  </si>
  <si>
    <t>A2774E</t>
  </si>
  <si>
    <t>MIS PRIMEROS LIBROS: ¡HOLA AMIGOS!</t>
  </si>
  <si>
    <t>Colección BICHILIBROS</t>
  </si>
  <si>
    <t>A2730E</t>
  </si>
  <si>
    <t xml:space="preserve">BICHILIBROS: COLORES </t>
  </si>
  <si>
    <t>Colección SUPER VELOZ</t>
  </si>
  <si>
    <t>A2728E</t>
  </si>
  <si>
    <t>SUPERVELOZ: AUTO DE CARRERAS</t>
  </si>
  <si>
    <t>A2727E</t>
  </si>
  <si>
    <t xml:space="preserve">SUPERVELOZ: CARRO DE BOMBERO </t>
  </si>
  <si>
    <t>Colección ADIVINA Y DESCUBRE…</t>
  </si>
  <si>
    <t>QUIEN SE MUEVE</t>
  </si>
  <si>
    <t>A2709E</t>
  </si>
  <si>
    <t>A2711E</t>
  </si>
  <si>
    <t>Colección MIS AMIGOS DIVERTIDOS</t>
  </si>
  <si>
    <t>A2702E</t>
  </si>
  <si>
    <t>A2703E</t>
  </si>
  <si>
    <t>NÚMEROS, LOS</t>
  </si>
  <si>
    <t>A2705E</t>
  </si>
  <si>
    <t>Colección BUSCA Y EXPLORA</t>
  </si>
  <si>
    <t>A2777E</t>
  </si>
  <si>
    <t>BUSCA Y EXPLORA: LA SELVA</t>
  </si>
  <si>
    <t>Colección ENTRA EN EL LIBRO</t>
  </si>
  <si>
    <t>A2708E</t>
  </si>
  <si>
    <t>A2706E</t>
  </si>
  <si>
    <t>A2707E</t>
  </si>
  <si>
    <t xml:space="preserve">EN LA GRANJA </t>
  </si>
  <si>
    <t>Colección FLUORESCENTES</t>
  </si>
  <si>
    <t>A2750E</t>
  </si>
  <si>
    <t>¡A LA PLAYA!</t>
  </si>
  <si>
    <t>A2751E</t>
  </si>
  <si>
    <t>¡VAMOS DE PICNIC!</t>
  </si>
  <si>
    <t>A2752E</t>
  </si>
  <si>
    <t>A2749E</t>
  </si>
  <si>
    <t>Colección ANIMALITOS</t>
  </si>
  <si>
    <t>A2815E</t>
  </si>
  <si>
    <t>A2817E</t>
  </si>
  <si>
    <t>A2816E</t>
  </si>
  <si>
    <t>A2814E</t>
  </si>
  <si>
    <t>COLECCIÓN AMIGOS INSEPARABLES</t>
  </si>
  <si>
    <t>A2812E</t>
  </si>
  <si>
    <t>A2810E</t>
  </si>
  <si>
    <t>A2811E</t>
  </si>
  <si>
    <t>Colección SORPRESA…</t>
  </si>
  <si>
    <t>Biblioteca J. M. DE VASCONCELOS</t>
  </si>
  <si>
    <t>A1645R</t>
  </si>
  <si>
    <t xml:space="preserve">CORAZON DE VIDRIO </t>
  </si>
  <si>
    <t>A2939R</t>
  </si>
  <si>
    <r>
      <t xml:space="preserve">CORAZON DE VIDRIO  </t>
    </r>
    <r>
      <rPr>
        <b/>
        <sz val="8"/>
        <rFont val="Arial"/>
        <family val="2"/>
      </rPr>
      <t>Ed. Escolar</t>
    </r>
  </si>
  <si>
    <t>A2176R</t>
  </si>
  <si>
    <t xml:space="preserve">MI PLANTA DE NARANJA LIMA </t>
  </si>
  <si>
    <t>A2927R</t>
  </si>
  <si>
    <r>
      <t xml:space="preserve">MI PLANTA DE NARANJA LIMA </t>
    </r>
    <r>
      <rPr>
        <b/>
        <sz val="8"/>
        <rFont val="Arial"/>
        <family val="2"/>
      </rPr>
      <t>Ed. Esc.</t>
    </r>
  </si>
  <si>
    <r>
      <t xml:space="preserve">MI PLANTA DE NARANJA LIMA </t>
    </r>
    <r>
      <rPr>
        <b/>
        <sz val="8"/>
        <rFont val="Arial"/>
        <family val="2"/>
      </rPr>
      <t>Ed. Esp.</t>
    </r>
  </si>
  <si>
    <t>A1594R</t>
  </si>
  <si>
    <t>ROSINHA MI CANOA</t>
  </si>
  <si>
    <t>A2940R</t>
  </si>
  <si>
    <r>
      <t xml:space="preserve">ROSINHA MI CANOA  </t>
    </r>
    <r>
      <rPr>
        <b/>
        <sz val="8"/>
        <rFont val="Arial"/>
        <family val="2"/>
      </rPr>
      <t>Ed. Esc.</t>
    </r>
  </si>
  <si>
    <t>A1614R</t>
  </si>
  <si>
    <t>A2937R</t>
  </si>
  <si>
    <r>
      <t xml:space="preserve">VAMOS A CALENTAR EL SOL </t>
    </r>
    <r>
      <rPr>
        <b/>
        <sz val="8"/>
        <rFont val="Arial"/>
        <family val="2"/>
      </rPr>
      <t>Ed Esc.</t>
    </r>
  </si>
  <si>
    <t>A2933R</t>
  </si>
  <si>
    <r>
      <t xml:space="preserve">VAMOS A CALENTAR EL SOL </t>
    </r>
    <r>
      <rPr>
        <b/>
        <sz val="8"/>
        <rFont val="Arial"/>
        <family val="2"/>
      </rPr>
      <t>Ed Esp.</t>
    </r>
  </si>
  <si>
    <t>A1615R</t>
  </si>
  <si>
    <t>VELERO DE CRISTAL, EL     950028538X</t>
  </si>
  <si>
    <t>A2941R</t>
  </si>
  <si>
    <r>
      <t xml:space="preserve">VELERO DE CRISTAL, EL  </t>
    </r>
    <r>
      <rPr>
        <b/>
        <sz val="8"/>
        <rFont val="Arial"/>
        <family val="2"/>
      </rPr>
      <t>Ed. Esc.</t>
    </r>
  </si>
  <si>
    <t>A1971R</t>
  </si>
  <si>
    <t>A1970R</t>
  </si>
  <si>
    <t>DICC. DE SINÓNIMOS Y ANTÓNIMOS     17,46</t>
  </si>
  <si>
    <t>EN LP</t>
  </si>
  <si>
    <t>A8022</t>
  </si>
  <si>
    <t>consultar</t>
  </si>
  <si>
    <t>D4678E</t>
  </si>
  <si>
    <t>con</t>
  </si>
  <si>
    <t>D4673E</t>
  </si>
  <si>
    <t>los</t>
  </si>
  <si>
    <t>D4452</t>
  </si>
  <si>
    <t>dueños</t>
  </si>
  <si>
    <t>A2961R</t>
  </si>
  <si>
    <t>CONOZCAMOS LO NUESTRO / THE GAUCHO’S HERITAGE</t>
  </si>
  <si>
    <t xml:space="preserve">de </t>
  </si>
  <si>
    <t>D3290R</t>
  </si>
  <si>
    <t xml:space="preserve">los </t>
  </si>
  <si>
    <t>A8020R</t>
  </si>
  <si>
    <t>COLECCIONISMO DE ARTE EN BUENOS AIRES</t>
  </si>
  <si>
    <t>libros</t>
  </si>
  <si>
    <t>A8072R</t>
  </si>
  <si>
    <t xml:space="preserve">con </t>
  </si>
  <si>
    <t>SOLO CADENA</t>
  </si>
  <si>
    <t>JUN</t>
  </si>
  <si>
    <t>A8023R</t>
  </si>
  <si>
    <t>9789500211055</t>
  </si>
  <si>
    <t>A8026R</t>
  </si>
  <si>
    <t>devolucion total</t>
  </si>
  <si>
    <t>?????</t>
  </si>
  <si>
    <t>DESCATALOGADOS</t>
  </si>
  <si>
    <t>D</t>
  </si>
  <si>
    <t>A2553R</t>
  </si>
  <si>
    <t>A2518R</t>
  </si>
  <si>
    <t>A2462R</t>
  </si>
  <si>
    <t xml:space="preserve">UNA NUEVA MUJER  </t>
  </si>
  <si>
    <t>A2520R</t>
  </si>
  <si>
    <t>ROY, SALLY - CAPALBO, CARLA</t>
  </si>
  <si>
    <t>VENECIA</t>
  </si>
  <si>
    <t>A2443R</t>
  </si>
  <si>
    <t>A3186R</t>
  </si>
  <si>
    <t xml:space="preserve">PEREYRA, FACUNDO </t>
  </si>
  <si>
    <t>HABITOS.</t>
  </si>
  <si>
    <t>A3217R</t>
  </si>
  <si>
    <t xml:space="preserve">MIGUEL, RODRIGO </t>
  </si>
  <si>
    <t>BEETHOVEN</t>
  </si>
  <si>
    <t>A3170R</t>
  </si>
  <si>
    <t xml:space="preserve">BADÍA, MARIANA GÓMEZ </t>
  </si>
  <si>
    <t>SANA QUIEN INSISTE</t>
  </si>
  <si>
    <t>A3153R</t>
  </si>
  <si>
    <t xml:space="preserve">YA NO TE CREO </t>
  </si>
  <si>
    <t>A3174R</t>
  </si>
  <si>
    <t xml:space="preserve">PLAGER, SILVIA </t>
  </si>
  <si>
    <t>SIMALE CUMPLE 70</t>
  </si>
  <si>
    <t>A3194R</t>
  </si>
  <si>
    <t xml:space="preserve">GILGES, GISELA  </t>
  </si>
  <si>
    <t>CUENTOS DE AMOR PROPIO</t>
  </si>
  <si>
    <t>A3207R</t>
  </si>
  <si>
    <t xml:space="preserve">ALVAREZ RIVERA, VERÓNICA  </t>
  </si>
  <si>
    <t>A3187R</t>
  </si>
  <si>
    <t>A3222R</t>
  </si>
  <si>
    <t>A3223R</t>
  </si>
  <si>
    <t xml:space="preserve">SERAPIO VA A LA ESCUELA            </t>
  </si>
  <si>
    <t>para</t>
  </si>
  <si>
    <t xml:space="preserve">MINICUENTOS DE OTOÑO              </t>
  </si>
  <si>
    <t>EN LISTA DE PRECIOS y CON CAMBIO DE PRECIOS</t>
  </si>
  <si>
    <r>
      <t>U$S</t>
    </r>
    <r>
      <rPr>
        <b/>
        <i/>
        <sz val="8"/>
        <rFont val="Arial"/>
        <family val="2"/>
      </rPr>
      <t>:</t>
    </r>
  </si>
  <si>
    <t>Fecha:</t>
  </si>
  <si>
    <t>STOCK AL</t>
  </si>
  <si>
    <t>ML</t>
  </si>
  <si>
    <t>DEP</t>
  </si>
  <si>
    <t>CAD</t>
  </si>
  <si>
    <t>=BUSCARV('UTILIDAD NETA ENE'!C11;stocks!$A$3:$V$2551;6;FALSO)</t>
  </si>
  <si>
    <t>=BUSCARV('UTILIDAD NETA ENE'!C11;stocks!$A$3:$V$2551;7;FALSO)</t>
  </si>
  <si>
    <t>=BUSCARV('UTILIDAD NETA ENE'!C11;stocks!$A$3:$V$2551;10;FALSO)</t>
  </si>
  <si>
    <t>=BUSCARV('UTILIDAD NETA ENE'!C11;stocks!$A$3:$V$2551;11;FALSO)</t>
  </si>
  <si>
    <t>IMPERFECTOS</t>
  </si>
  <si>
    <t>MEDITACIONES</t>
  </si>
  <si>
    <t>SE TU PROPIO CEO</t>
  </si>
  <si>
    <t>SEGUIMOS SIENDO FAMILIA</t>
  </si>
  <si>
    <t>TEIA EN LA PLAZA</t>
  </si>
  <si>
    <t>A3195R</t>
  </si>
  <si>
    <t>MARCO AURELIO</t>
  </si>
  <si>
    <t>A3182R</t>
  </si>
  <si>
    <t>PICCIOLI, LEO</t>
  </si>
  <si>
    <t>A3202R</t>
  </si>
  <si>
    <t>A3228R</t>
  </si>
  <si>
    <t>YAÑEZ, GISELA</t>
  </si>
  <si>
    <t>A3199R</t>
  </si>
  <si>
    <t>CLÁSICOS DE PRINCESAS PARA LEER Y JUGAR</t>
  </si>
  <si>
    <t>A3161R</t>
  </si>
  <si>
    <t>SPERANZA. SANTIAGO S.</t>
  </si>
  <si>
    <t xml:space="preserve">TU AMIGO INVISIBLE 2 </t>
  </si>
  <si>
    <t>A3188R</t>
  </si>
  <si>
    <t>BENEDETTI, ORNELLA-SILBERMAN, SANTIAGO S.</t>
  </si>
  <si>
    <t>A3200R</t>
  </si>
  <si>
    <t>MC COUBREY, MAXIMILIANO</t>
  </si>
  <si>
    <t>AMOR DESPUES DEL DESAMOR, EL</t>
  </si>
  <si>
    <t>A3205R</t>
  </si>
  <si>
    <t>CONTRERAS, LEONEL HERNÁN</t>
  </si>
  <si>
    <t>FUTBOL, PASION PORTEÑA</t>
  </si>
  <si>
    <t>A3209R</t>
  </si>
  <si>
    <t>FERNANDEZ PANIZZA, GABRIELA</t>
  </si>
  <si>
    <t>APRENDER A ESTUDIAR</t>
  </si>
  <si>
    <t>A3231R</t>
  </si>
  <si>
    <t>CORCUERA, MILAGROS</t>
  </si>
  <si>
    <t>CALEIDOSCOPIO, EL</t>
  </si>
  <si>
    <t>=+L1/$AE$1</t>
  </si>
  <si>
    <t>RENT:</t>
  </si>
  <si>
    <t>TC</t>
  </si>
  <si>
    <t>1USD = $</t>
  </si>
  <si>
    <t>EN</t>
  </si>
  <si>
    <t>PVP Arg</t>
  </si>
  <si>
    <t>Costo Ind</t>
  </si>
  <si>
    <t>DA</t>
  </si>
  <si>
    <t>Margen</t>
  </si>
  <si>
    <t>USD</t>
  </si>
  <si>
    <t>L10</t>
  </si>
  <si>
    <t>K10</t>
  </si>
  <si>
    <t>M10</t>
  </si>
  <si>
    <t>W10/2-X10-Y10</t>
  </si>
  <si>
    <t>Z10/(W10/2)</t>
  </si>
  <si>
    <t>REDONDEAR($w10/2/$X$1;1)</t>
  </si>
  <si>
    <t>(AB10*$X$1-$X10-$Y10)/(AB10*$X$1)</t>
  </si>
  <si>
    <t>SI.ERROR(REDONDEAR(($X10+$Y10)/(1-$X$2)/$X$1;1);0)</t>
  </si>
  <si>
    <t>(AD10*$X$1-$X10-$Y10)/(AD10*$X$1)</t>
  </si>
  <si>
    <t>CABALLOS</t>
  </si>
  <si>
    <t>CHAU, TETA</t>
  </si>
  <si>
    <t>¿Y SI NOS CALMAMOS?</t>
  </si>
  <si>
    <t>JUL</t>
  </si>
  <si>
    <t>A3235R</t>
  </si>
  <si>
    <t>TOYOS, ISABEL - ROMEO, FLORENCIA</t>
  </si>
  <si>
    <t>400 PREGUNTAS Y RESPUESTAS SOBRE LOS JUEGOS OLiMPICOS</t>
  </si>
  <si>
    <t>A3181R</t>
  </si>
  <si>
    <t>SCHWINDT, CARINA</t>
  </si>
  <si>
    <t>A3185R</t>
  </si>
  <si>
    <t>CAMARA, AGUS</t>
  </si>
  <si>
    <t>PUEDO APRENDER A QUERERTE</t>
  </si>
  <si>
    <t>A3248R</t>
  </si>
  <si>
    <t>CUENTOS DE AMOR PROPIO 2DA EDICIÓN</t>
  </si>
  <si>
    <t>A3227R</t>
  </si>
  <si>
    <t>CONTRERA, ILEANA - CONTRERA, ALDANA</t>
  </si>
  <si>
    <t>A3244R</t>
  </si>
  <si>
    <t>A3210R</t>
  </si>
  <si>
    <t>-</t>
  </si>
  <si>
    <t>TEO Y ANA INVESTIGAN EL UNIVERSO</t>
  </si>
  <si>
    <t>A3197R</t>
  </si>
  <si>
    <t>VARIAS</t>
  </si>
  <si>
    <t>NATURALISTAS</t>
  </si>
  <si>
    <t>A3212R</t>
  </si>
  <si>
    <t>VOLLMANN, MARINA</t>
  </si>
  <si>
    <t>YO, DISLEXICA</t>
  </si>
  <si>
    <t>A3166R</t>
  </si>
  <si>
    <t>A3179R</t>
  </si>
  <si>
    <t>A3214R</t>
  </si>
  <si>
    <t>CLÁSICOS DE ANIMALES PARA LEER Y JUGAR</t>
  </si>
  <si>
    <t>AGO</t>
  </si>
  <si>
    <t>ENSEÑAR A LEER Y ESCRIBIR A ADOLESCENTES: 30 PREGUNTAS Y RESPUESTAS</t>
  </si>
  <si>
    <t>MUSICA DE D10S</t>
  </si>
  <si>
    <t>SERAS TAN FELIZ COMO INSISTAS</t>
  </si>
  <si>
    <t>A3206R</t>
  </si>
  <si>
    <t>GILGES, GISELA</t>
  </si>
  <si>
    <t>A3208R</t>
  </si>
  <si>
    <t>MARSIMIAN, SILVIA</t>
  </si>
  <si>
    <t>A3211R</t>
  </si>
  <si>
    <t>PICO, FABIAN</t>
  </si>
  <si>
    <t>A3251R</t>
  </si>
  <si>
    <t>A3234R</t>
  </si>
  <si>
    <t>HARTMAN, ALEJANDRA-DIAZ, AMORINA</t>
  </si>
  <si>
    <t>PONE(TE) PRIMERA</t>
  </si>
  <si>
    <t>A3215R</t>
  </si>
  <si>
    <t>BOURDIEU, M. G.</t>
  </si>
  <si>
    <t>SIN LIMITES</t>
  </si>
  <si>
    <t>A3216R</t>
  </si>
  <si>
    <t>SEMILLA DEL PECADO, LA</t>
  </si>
  <si>
    <t>A3220R</t>
  </si>
  <si>
    <t>LUCHETTI, E. / GREGORCHUCK, P. / SCHIERLOH, S. / FONTANA, E. / MEDINA, P. / ROSSI, A.</t>
  </si>
  <si>
    <t>MINICUENTOS DE SUSTO</t>
  </si>
  <si>
    <t>A3204R</t>
  </si>
  <si>
    <t>SEMIOLOGIA DEL SISTEMA NERVIOSO  16va. Edición</t>
  </si>
  <si>
    <t>A3067E</t>
  </si>
  <si>
    <t>GRATTI, CARLA</t>
  </si>
  <si>
    <t>LETRAS</t>
  </si>
  <si>
    <t>A3085E</t>
  </si>
  <si>
    <t>VOY A TOMAR EN MI TAZA  - Rustica</t>
  </si>
  <si>
    <t>VOY AL BAÑO - Rustica</t>
  </si>
  <si>
    <t>A3082R</t>
  </si>
  <si>
    <t>A3233R</t>
  </si>
  <si>
    <t xml:space="preserve">BASILE, DAMIAN  </t>
  </si>
  <si>
    <t xml:space="preserve">COCINA EXPRES </t>
  </si>
  <si>
    <t>A3229R</t>
  </si>
  <si>
    <t>SENOSIAIN  ARIEL</t>
  </si>
  <si>
    <t>MESSI INTIMO</t>
  </si>
  <si>
    <t>A3213R</t>
  </si>
  <si>
    <t>MANTERO, LUCIANA</t>
  </si>
  <si>
    <t>DISCAPACIDAD EN PRIMERA PERSONA</t>
  </si>
  <si>
    <t>A3203R</t>
  </si>
  <si>
    <t>QUINTANA, ASH</t>
  </si>
  <si>
    <t>CAMBIO DE CORAZON</t>
  </si>
  <si>
    <t>A3226R</t>
  </si>
  <si>
    <t>ANSELMO, DANIELA</t>
  </si>
  <si>
    <t>SANGRE QUE HEREDAMOS, LA</t>
  </si>
  <si>
    <t>A3236E</t>
  </si>
  <si>
    <t>ANIMALES DE LA SELVA</t>
  </si>
  <si>
    <t>A3237E</t>
  </si>
  <si>
    <t>ANIMALES DEL MAR</t>
  </si>
  <si>
    <t>A3268R</t>
  </si>
  <si>
    <t>CAM PVP?</t>
  </si>
  <si>
    <t>NOV</t>
  </si>
  <si>
    <t>Colección con SOLAPAS</t>
  </si>
  <si>
    <t>NO CAMBIA</t>
  </si>
  <si>
    <t>LO QUE NADIE CONTO DE LA TRAGEDIA DE LOS ANDES</t>
  </si>
  <si>
    <t>A3270R</t>
  </si>
  <si>
    <t>VOY AL JARDÍN - Rustica</t>
  </si>
  <si>
    <t>VACA NO SE CALLA, LA   - Rustica</t>
  </si>
  <si>
    <t>VACA SUS MIEDOS ATACA, LA   - Rustica</t>
  </si>
  <si>
    <t>VACA SE EMPACA, LA   - Rustica</t>
  </si>
  <si>
    <t>VACA EN SU HAMACA, LA  - Rustica</t>
  </si>
  <si>
    <t xml:space="preserve">VOY A DORMIR EN MI CAMA  - Rustica   </t>
  </si>
  <si>
    <t>A3221R</t>
  </si>
  <si>
    <t>A3253R</t>
  </si>
  <si>
    <t>FURMAN, JAVIER E.</t>
  </si>
  <si>
    <t>FIBROMIALGIA</t>
  </si>
  <si>
    <t>A3262R</t>
  </si>
  <si>
    <t>GUANELLA, EMILIANO</t>
  </si>
  <si>
    <t>DALE ALEGRIA MI CORAZON</t>
  </si>
  <si>
    <t>A3241R</t>
  </si>
  <si>
    <t>SEÑORA DE LAS INDIAS</t>
  </si>
  <si>
    <t>A3275R</t>
  </si>
  <si>
    <t>ESTAS PARA MAS (CUADERNO)</t>
  </si>
  <si>
    <t>A3249R</t>
  </si>
  <si>
    <t>ENOJO DE INTI, EL</t>
  </si>
  <si>
    <t>A3219R</t>
  </si>
  <si>
    <t>AGOTADOS</t>
  </si>
  <si>
    <t>A3247R</t>
  </si>
  <si>
    <t>SANCHEZ, MARY</t>
  </si>
  <si>
    <t>VENDETE ANTES DE VENDER</t>
  </si>
  <si>
    <t>A3201R</t>
  </si>
  <si>
    <t>DEVI, DAKSHA-COLOMBO, MARIA L.</t>
  </si>
  <si>
    <t>AYURVEDA PARA TODOS LOS DIAS</t>
  </si>
  <si>
    <t>A3263R</t>
  </si>
  <si>
    <t>A3083R</t>
  </si>
  <si>
    <t>A3232R</t>
  </si>
  <si>
    <t>NAVARRO, ELISABET-LONGO,ELSA-GONZALEZ, ANDREA F.</t>
  </si>
  <si>
    <t>TERAPEUTICA ALIMENTARIA NUTRICIONAL</t>
  </si>
  <si>
    <t>A3243E</t>
  </si>
  <si>
    <t>MAÑERU, MARIA</t>
  </si>
  <si>
    <t>ENIGMAS PARA DESCUBRIR LA HISTORIA ANTIGUA</t>
  </si>
  <si>
    <t>A3242E</t>
  </si>
  <si>
    <t>ENIGMAS PARA DESCUBRIR LA HISTORIA MODERNA</t>
  </si>
  <si>
    <t>VOY A RECORDARTE  - Rustica</t>
  </si>
  <si>
    <t>A3255R</t>
  </si>
  <si>
    <t>SENECA, LUCIO A. - COMENT. GRUPE, NICO</t>
  </si>
  <si>
    <t>SOBRE LA VIDA FELIZ</t>
  </si>
  <si>
    <t>A3252R</t>
  </si>
  <si>
    <t>ZORRAQUIN, VICTORIA</t>
  </si>
  <si>
    <t>NO APRENDIMOS NADA</t>
  </si>
  <si>
    <t>A3259R</t>
  </si>
  <si>
    <t>CUENTOS CORTOS PARA EL RECREO</t>
  </si>
  <si>
    <t>A3261R</t>
  </si>
  <si>
    <t xml:space="preserve">MARTINEZ, LUCAS I.- RUIZ, GONZALO M. - ROSIANI DA ROSA, YESICA - SANCHEZ RANGEL, CARLOS D. -CENTINEO ALESSI, CARMEN - MENDEZ, JONATAN M. </t>
  </si>
  <si>
    <t>FILOSOFIA COMO NUNCA LA VISTE</t>
  </si>
  <si>
    <t>A3245E</t>
  </si>
  <si>
    <t>APRENDO A LEER LAS LETRAS</t>
  </si>
  <si>
    <t>A3246E</t>
  </si>
  <si>
    <t>APRENDO A LEER LAS SILABAS</t>
  </si>
  <si>
    <t>A3274R</t>
  </si>
  <si>
    <t>MUTTI, JULIO B,</t>
  </si>
  <si>
    <t>ULTIMA GUARIDA DE HITLER, LA</t>
  </si>
  <si>
    <t>FONTANA, ELISABETH-GREGORCHUK, PATRICIA-ZIMMERMANN, MABEL-MEDINA, PATRICIA-LUCHETTI, ELENA-ROSSI, AMELIA</t>
  </si>
  <si>
    <t>A3269R</t>
  </si>
  <si>
    <t>NUEVO DICCIONARIO ESCOLAR DE LA LENGUA ESPAÑOLA</t>
  </si>
  <si>
    <t>VACA Y LA ESPINACA, LA  (Rústica)</t>
  </si>
  <si>
    <t>COLECCIÓN AULA</t>
  </si>
  <si>
    <t xml:space="preserve">VAMOS A CALENTAR EL SOL </t>
  </si>
  <si>
    <t>A3240R</t>
  </si>
  <si>
    <t>FRANCO, ANABELLE</t>
  </si>
  <si>
    <t>BESOS DE CRISTAL</t>
  </si>
  <si>
    <t>A3257R</t>
  </si>
  <si>
    <t>CONSTELACIONES FAMILIARES</t>
  </si>
  <si>
    <t>A3256R</t>
  </si>
  <si>
    <t>MORIÑIGO, NICOLAS</t>
  </si>
  <si>
    <t>QUIERO, PERO NO PUEDO</t>
  </si>
  <si>
    <t>A3250R</t>
  </si>
  <si>
    <t>MICHELENA, ADRIAN - LANZILLOTTA, NAHUEL</t>
  </si>
  <si>
    <t>SUEÑOS DE SELECCIÓN</t>
  </si>
  <si>
    <t>A3265R</t>
  </si>
  <si>
    <t>CUENTOS DE AMOR PROPIO 2</t>
  </si>
  <si>
    <t>A3290E</t>
  </si>
  <si>
    <t>CUENTOS DE AMOR PROPIO - TD</t>
  </si>
  <si>
    <t>A3294R</t>
  </si>
  <si>
    <t>A3273R</t>
  </si>
  <si>
    <t>TOYOS, MARIA ISABLE</t>
  </si>
  <si>
    <t>PREGUNTON. ENCICLOPEDIA DE LA ARGENTINA, EL</t>
  </si>
  <si>
    <t>inclusive</t>
  </si>
  <si>
    <t>SEÑORA DE LAS INDIAS 2da. Edicion</t>
  </si>
  <si>
    <t>A3272R</t>
  </si>
  <si>
    <t>CERUTTI, FLOR</t>
  </si>
  <si>
    <t xml:space="preserve">DECODIFICA TU VIDA </t>
  </si>
  <si>
    <t>A3238R</t>
  </si>
  <si>
    <t>PORCELLI PIUSSI, ANTONIO</t>
  </si>
  <si>
    <t>¿POR QUÉ TE QUEDAS?</t>
  </si>
  <si>
    <t>A3180R</t>
  </si>
  <si>
    <t xml:space="preserve">EGRESADOS </t>
  </si>
  <si>
    <t>A3295R</t>
  </si>
  <si>
    <t xml:space="preserve">PISTINER, LUCILA - FRANCOMANO, LAURA </t>
  </si>
  <si>
    <t>NO QUIERO DORMIR - TD</t>
  </si>
  <si>
    <t>A3276R</t>
  </si>
  <si>
    <t>ALVAREZ, GUADALUPE - MORÁN, LOURDES - DIFABIO DE ANGLAT, HILDA</t>
  </si>
  <si>
    <t xml:space="preserve">INTELIGENCIA ARTIFICIAL </t>
  </si>
  <si>
    <t>A3296R</t>
  </si>
  <si>
    <t>COLOMBO, MARIANO</t>
  </si>
  <si>
    <t xml:space="preserve">400 PREGUNTAS Y RESPUESTAS SOBRE FÓRMULA 1 </t>
  </si>
  <si>
    <t>A3302R</t>
  </si>
  <si>
    <t>VACA DE LA AMISTAD NOS HABLA, LA</t>
  </si>
  <si>
    <t>A3315R</t>
  </si>
  <si>
    <t>VOY A TENER UN HERMANITO  TR</t>
  </si>
  <si>
    <t>A3266R</t>
  </si>
  <si>
    <t xml:space="preserve">ZUBIRI, MARIA PAZ </t>
  </si>
  <si>
    <t>A3281R</t>
  </si>
  <si>
    <t xml:space="preserve">MARUSO, STELLA MARIS </t>
  </si>
  <si>
    <t xml:space="preserve">NUEVO LABORATORIO DEL ALMA, EL. </t>
  </si>
  <si>
    <t>A3267R</t>
  </si>
  <si>
    <t>AISEN, LEILA  </t>
  </si>
  <si>
    <t>RINCONES DE BUENOS AIRES.</t>
  </si>
  <si>
    <t>A3313R</t>
  </si>
  <si>
    <t xml:space="preserve">LERMAN, ADRIANA  </t>
  </si>
  <si>
    <t>ADN DE CAMPEON</t>
  </si>
  <si>
    <t xml:space="preserve">CHICO QUE SOBREVIVIO A AUSCHWITZ, EL </t>
  </si>
  <si>
    <t>A3271R</t>
  </si>
  <si>
    <t>BIOPAUSIA</t>
  </si>
  <si>
    <t>A3286R</t>
  </si>
  <si>
    <t>BLANCO, DEBORA</t>
  </si>
  <si>
    <t>LUDOPATIA</t>
  </si>
  <si>
    <t>A3291R</t>
  </si>
  <si>
    <t>TORRES, EVELYN M.</t>
  </si>
  <si>
    <t>UNA VUELTA MAS</t>
  </si>
  <si>
    <t>A3335R</t>
  </si>
  <si>
    <t>SUR, CAROLINA</t>
  </si>
  <si>
    <t>DE GASTADORA A INVERSORA</t>
  </si>
  <si>
    <t>A3292R</t>
  </si>
  <si>
    <t>TEO Y ANA INVESTIGAN LOS SERES FANTASTICOS</t>
  </si>
  <si>
    <t>A3299R</t>
  </si>
  <si>
    <t>64+2stk</t>
  </si>
  <si>
    <t>HABLEMOS DE LOS SECRETOS</t>
  </si>
  <si>
    <t>A3287E</t>
  </si>
  <si>
    <t>LEON PANAL, ANGEL LUIS</t>
  </si>
  <si>
    <t>ANIMALES CON SUPERPODERES</t>
  </si>
  <si>
    <t>A9059E</t>
  </si>
  <si>
    <t>HEROLT PETITPAS, SOPHIE</t>
  </si>
  <si>
    <t>ASTRO COACH</t>
  </si>
  <si>
    <t>A9060E</t>
  </si>
  <si>
    <t>204+8</t>
  </si>
  <si>
    <t>LAVAGNE, SARINA - DAUBET, CHARLOTTE</t>
  </si>
  <si>
    <t>BRUJA MODERNA</t>
  </si>
  <si>
    <t>FINANZAS</t>
  </si>
  <si>
    <t>A3293R</t>
  </si>
  <si>
    <t>BUSCIO, SOL</t>
  </si>
  <si>
    <t>ANSIEDAD</t>
  </si>
  <si>
    <t>A3288R</t>
  </si>
  <si>
    <t>DI CIONE, ERICA</t>
  </si>
  <si>
    <t>A3307R</t>
  </si>
  <si>
    <t>ILUSTRADORA PEÑA, PATRICIA</t>
  </si>
  <si>
    <t>FIESTA DE LOS CARPINCHOS, LA</t>
  </si>
  <si>
    <t>A3308R</t>
  </si>
  <si>
    <t>MIS AMIGOS CARPINCHOS</t>
  </si>
  <si>
    <t>A8028E</t>
  </si>
  <si>
    <t>GOLDFARB, DAN</t>
  </si>
  <si>
    <t>MANTOS (DISTRIBUCIÓN, CON SELLO DE EL ATENEO)</t>
  </si>
  <si>
    <t>A3278E</t>
  </si>
  <si>
    <t>ILUSTR. KENDALL, WENDY</t>
  </si>
  <si>
    <t>¡ACA ESTOY!  BALLENITA</t>
  </si>
  <si>
    <t>A3279E</t>
  </si>
  <si>
    <t>¡ACA ESTOY! VAQUITA</t>
  </si>
  <si>
    <t>YOGA FUERA DEL MAT</t>
  </si>
  <si>
    <t>A3283R</t>
  </si>
  <si>
    <t>FACUNDO PEREYRA</t>
  </si>
  <si>
    <t>SIBO</t>
  </si>
  <si>
    <t>PICONE, MELLI</t>
  </si>
  <si>
    <t>¿POR QUE A MI? UNA HISTORIA DE AMOR, PERDON Y SUPERACION</t>
  </si>
  <si>
    <t>ALVAREZ LARRONDO, FEDERICO M. - CAMILA </t>
  </si>
  <si>
    <t>IA ¿AMENAZA O SOLUCIÓN?</t>
  </si>
  <si>
    <t>CINELLI, SILVIA</t>
  </si>
  <si>
    <t>PAUL, SANDRA J.</t>
  </si>
  <si>
    <t>CHICAS MUERTAS NO HABLAN, LAS</t>
  </si>
  <si>
    <t>CONTIERI, MALENA @LAMALELUNA</t>
  </si>
  <si>
    <t>MAGIA DE IVY, LA</t>
  </si>
  <si>
    <t>GONZALEZ MANENT-ILUSTRADORA: ZERBOLA MERCEDES</t>
  </si>
  <si>
    <t>BIBLIA DE LOS NIÑOS, LA</t>
  </si>
  <si>
    <t>LUCHETTI,ELENA-FONTANA, ELISABETH-ZIMMERMANN, MABEL-ILUSTR. CLUTTERBUCK, ALEJANDRA</t>
  </si>
  <si>
    <t>100 HISTORIAS DE LA BIBLIA</t>
  </si>
  <si>
    <t>A3289E</t>
  </si>
  <si>
    <t>PRIDDY, ROGER</t>
  </si>
  <si>
    <t>A3301R</t>
  </si>
  <si>
    <t>STUDIO IMAGE GROUP</t>
  </si>
  <si>
    <t xml:space="preserve">PASEO POR LA GRANJA </t>
  </si>
  <si>
    <t>A3300R</t>
  </si>
  <si>
    <t xml:space="preserve">PASEO POR LA PLAYA </t>
  </si>
  <si>
    <t>SEP</t>
  </si>
  <si>
    <t>JUEGO Y APRENDO! DINOSAURIOS</t>
  </si>
  <si>
    <t>Colección MINILIBROS DE TELA</t>
  </si>
  <si>
    <t>CASA DEL COCTEL ROJO, LA. LA SAGA DE LA FAMILIA CAMPARI</t>
  </si>
  <si>
    <t>NOVEDAD</t>
  </si>
  <si>
    <t>Nuevo PVP</t>
  </si>
  <si>
    <t>Promoción</t>
  </si>
  <si>
    <t>No cambio PVP</t>
  </si>
  <si>
    <t>Novedad</t>
  </si>
  <si>
    <t>FRIDA Y DIEGO EN EL PAÍS DE LAS CALAVERAS 6803,78</t>
  </si>
  <si>
    <t>A3326R</t>
  </si>
  <si>
    <t xml:space="preserve">MEDICI, LOS. DE MERCADERES A REYES. </t>
  </si>
  <si>
    <t>A3344R</t>
  </si>
  <si>
    <t xml:space="preserve">FAUR, PATRICIA </t>
  </si>
  <si>
    <t xml:space="preserve">TODOS QUEREMOS UN BUEN AMOR </t>
  </si>
  <si>
    <t>A3280R</t>
  </si>
  <si>
    <t xml:space="preserve">ESCOBAR, CAMUCHA </t>
  </si>
  <si>
    <t>MEDIANOCHE DEL ALMA, LA</t>
  </si>
  <si>
    <t>A3304R</t>
  </si>
  <si>
    <t xml:space="preserve">LIEBRE, NEREA </t>
  </si>
  <si>
    <t xml:space="preserve">CUARTOSCURO </t>
  </si>
  <si>
    <t>A3310R</t>
  </si>
  <si>
    <t>COEDICION</t>
  </si>
  <si>
    <t>A3311R</t>
  </si>
  <si>
    <t>OCT</t>
  </si>
  <si>
    <t>SUPER UNICORNIOS: MUNDO MAGICO con Stickers</t>
  </si>
  <si>
    <t>SUPER UNICORNIOS. FIESTA DE FLORES con Stickers</t>
  </si>
  <si>
    <t>REINA, LA</t>
  </si>
  <si>
    <t>A3317R</t>
  </si>
  <si>
    <t xml:space="preserve">DE LUCÍA, DANIELA </t>
  </si>
  <si>
    <t>A3327R</t>
  </si>
  <si>
    <t>HERNÁNDEZ, JOSE</t>
  </si>
  <si>
    <t>MARTÍN FIERRO</t>
  </si>
  <si>
    <t>A3312R</t>
  </si>
  <si>
    <t>VESCO, LEANDRO. </t>
  </si>
  <si>
    <t>PATAGONIA</t>
  </si>
  <si>
    <t>A3298R</t>
  </si>
  <si>
    <t xml:space="preserve">LARENN, LUZ </t>
  </si>
  <si>
    <t>RUEGA VITA</t>
  </si>
  <si>
    <t>A3306R</t>
  </si>
  <si>
    <t>A3282R</t>
  </si>
  <si>
    <t xml:space="preserve">LUCHETTI, ELENA-ZIMMERMANN, MABEL-FONTANA, ELISABETH-ROSSI, AMELIA-GREGORCHUK, PATRICIA-MEDINA,PATRICIA </t>
  </si>
  <si>
    <t>CUENTOS CORTOS DE NAVIDAD</t>
  </si>
  <si>
    <t>A3325R</t>
  </si>
  <si>
    <t xml:space="preserve">SCHWINDT, CARINA -FERNÁNDEZ, MARIANA  </t>
  </si>
  <si>
    <t>INTI Y EL CELULAR</t>
  </si>
  <si>
    <t>A3350R</t>
  </si>
  <si>
    <t>SELF-LOVE STORIES</t>
  </si>
  <si>
    <t>A3321R</t>
  </si>
  <si>
    <t>VINI, EL GUARDIAN DE LOS DESEOS + TARJETAS</t>
  </si>
  <si>
    <t>A3318E</t>
  </si>
  <si>
    <t xml:space="preserve">¿QUIÉN ESTÁ AHÍ? EN LA SELVA </t>
  </si>
  <si>
    <t>A3331R</t>
  </si>
  <si>
    <t>SUN TZU</t>
  </si>
  <si>
    <t>ARTE DE LA GUERRA, EL</t>
  </si>
  <si>
    <t>KAFKA, FRANZ</t>
  </si>
  <si>
    <t>METAMORFOSIS, LA</t>
  </si>
  <si>
    <t>A3328R</t>
  </si>
  <si>
    <t>STEVENSON,,  ROBERT LOUIS</t>
  </si>
  <si>
    <t>EXTRAÑO CASO DEL DR. JEKYLL Y MR. HYDE, EL</t>
  </si>
  <si>
    <r>
      <t xml:space="preserve">ASI COCINAN LOS ARGENTINOS  </t>
    </r>
    <r>
      <rPr>
        <b/>
        <sz val="8"/>
        <rFont val="Arial"/>
        <family val="2"/>
      </rPr>
      <t>6ª edición</t>
    </r>
  </si>
  <si>
    <t>A3333E</t>
  </si>
  <si>
    <t>APRENDO A LEER LAS PALABRAS</t>
  </si>
  <si>
    <t>A3369R</t>
  </si>
  <si>
    <t>LERI, MAGGIE</t>
  </si>
  <si>
    <t>BRAVA</t>
  </si>
  <si>
    <t>A3346R</t>
  </si>
  <si>
    <t>BJERG M.M.-PÉREZ, I.-BELEJ, C.-ALLEMANDI, C.-GARAZI, D.-LOBATO, M.</t>
  </si>
  <si>
    <t>A3322R</t>
  </si>
  <si>
    <t xml:space="preserve">LUCHETTI, ELENA </t>
  </si>
  <si>
    <t>FILOSOFÍA EN 3 MINUTOS. AMOR,</t>
  </si>
  <si>
    <t>A3343R</t>
  </si>
  <si>
    <t>RAMIS, LUDMILA</t>
  </si>
  <si>
    <t>AMOR QUE DETUVO TODOS LOS RELOJES, EL</t>
  </si>
  <si>
    <t>A3348R</t>
  </si>
  <si>
    <t>ULTIMA GUARIDA DE HITLER, LA - 2ª Ed. Ampliada</t>
  </si>
  <si>
    <t>A3334E</t>
  </si>
  <si>
    <t>ALLEN, PETER</t>
  </si>
  <si>
    <t>AUGE Y CAIDA  27900</t>
  </si>
  <si>
    <t>A9061E</t>
  </si>
  <si>
    <t>JAY, NIKKIE</t>
  </si>
  <si>
    <t>TAROT</t>
  </si>
  <si>
    <t xml:space="preserve">ABUELAS </t>
  </si>
  <si>
    <t>ENE</t>
  </si>
  <si>
    <t>A3342R</t>
  </si>
  <si>
    <t>SCHUJMAN, ALEJANDRO-MOYANO, LAURA</t>
  </si>
  <si>
    <t>CON EL AMOR NO ALCANZA</t>
  </si>
  <si>
    <t>A3316R</t>
  </si>
  <si>
    <t xml:space="preserve">SARKANY,RICKY </t>
  </si>
  <si>
    <t>SARKANY: MEMORIAS DE UN ZAPATERO</t>
  </si>
  <si>
    <t>A3323R</t>
  </si>
  <si>
    <t>PLATON</t>
  </si>
  <si>
    <t>FILOSOFIA EN 3 MINUTOS: FELICIDAD</t>
  </si>
  <si>
    <t>A3264R</t>
  </si>
  <si>
    <t xml:space="preserve">BUSNELLI, MARÍA VIRGINIA </t>
  </si>
  <si>
    <t>OBESIDAD</t>
  </si>
  <si>
    <t>A3359R</t>
  </si>
  <si>
    <t>VOY A LA ESCUELA</t>
  </si>
  <si>
    <t>A3338E</t>
  </si>
  <si>
    <t>SHUTTERSHOCK</t>
  </si>
  <si>
    <t>BENJAMiN EN EL JARDiN</t>
  </si>
  <si>
    <t>A3339E</t>
  </si>
  <si>
    <t xml:space="preserve">RENATA EN LA GRANJA </t>
  </si>
  <si>
    <t>A3340E</t>
  </si>
  <si>
    <t>VAMOS A CONTAR LOS NUMEROS</t>
  </si>
  <si>
    <t>Colección ANIMALITOS TITERES</t>
  </si>
  <si>
    <t>FEB</t>
  </si>
  <si>
    <t>A3330R</t>
  </si>
  <si>
    <t>SANCHEZ, MERY</t>
  </si>
  <si>
    <t>¿COMO SE LO DIGO?</t>
  </si>
  <si>
    <t>A3351R</t>
  </si>
  <si>
    <t>PENSAR DE NUEVO</t>
  </si>
  <si>
    <t>A3394R</t>
  </si>
  <si>
    <t>LIBRO MAGICO DE LOS NIÑOS VALIENTES, EL</t>
  </si>
  <si>
    <t>A3358R</t>
  </si>
  <si>
    <t>PREGUNTON, EL. ENCICLOPEDIA DE LOS ANIMALES</t>
  </si>
  <si>
    <t>TABOADA, MARIA BEATRIZ</t>
  </si>
  <si>
    <t>CONSIGNAS DIDACTICAS</t>
  </si>
  <si>
    <t>A3356R</t>
  </si>
  <si>
    <t>THE BLOOD WE INHERIT</t>
  </si>
  <si>
    <t>A3381R</t>
  </si>
  <si>
    <t>AFRODITA</t>
  </si>
  <si>
    <t>MAR</t>
  </si>
  <si>
    <t>A3398R</t>
  </si>
  <si>
    <t>Colección AMIGOS…</t>
  </si>
  <si>
    <t>A3354E</t>
  </si>
  <si>
    <t>DOHERTY, DAVIS</t>
  </si>
  <si>
    <t>AMIGOS DE LA GRANJA</t>
  </si>
  <si>
    <t>A3353E</t>
  </si>
  <si>
    <t>AMIGOS DEL BOSQUE</t>
  </si>
  <si>
    <t>ESTUDIO EN ESCARLATA (pocket)</t>
  </si>
  <si>
    <t>A3361E</t>
  </si>
  <si>
    <t>STUDIO IMAGEBOOKS</t>
  </si>
  <si>
    <t>EXPLOREMOS LA GRANJA</t>
  </si>
  <si>
    <t>A3362E</t>
  </si>
  <si>
    <t>EXPLOREMOS LA CASA</t>
  </si>
  <si>
    <t>A3348E</t>
  </si>
  <si>
    <t>LOCK, SARAH</t>
  </si>
  <si>
    <t>PEQUEÑOS PASOS: MIS ANIMALES</t>
  </si>
  <si>
    <t>A3347E</t>
  </si>
  <si>
    <t>PEQUEÑOS PASOS: MI MUNDO</t>
  </si>
  <si>
    <t>Colección PEQUEÑOS PASOS</t>
  </si>
  <si>
    <t>devolver</t>
  </si>
  <si>
    <t>observ.</t>
  </si>
  <si>
    <t>A3345R</t>
  </si>
  <si>
    <t>EPICTETO - NICO GRUPE </t>
  </si>
  <si>
    <t>MANUAL DE VIDA</t>
  </si>
  <si>
    <t>A3391R</t>
  </si>
  <si>
    <t xml:space="preserve">ANSELMO, DANIELA </t>
  </si>
  <si>
    <t>CASA ABANDONADA, LA </t>
  </si>
  <si>
    <t>A3366R</t>
  </si>
  <si>
    <t>DE PAOLIS, MARCO</t>
  </si>
  <si>
    <t>CAZADOR DE NAZIS</t>
  </si>
  <si>
    <t>A3403R</t>
  </si>
  <si>
    <t>KAPLAN, ANDREA</t>
  </si>
  <si>
    <t>VIOLENCIA EN LAS ESCUELAS</t>
  </si>
  <si>
    <t>A3413R</t>
  </si>
  <si>
    <t>A3357R</t>
  </si>
  <si>
    <t>RESETEA TUS INTESTINOS - 3ª EDICIÓN </t>
  </si>
  <si>
    <t>A3370E</t>
  </si>
  <si>
    <t>A3408R</t>
  </si>
  <si>
    <t>9789500217453</t>
  </si>
  <si>
    <t>THE BOY WHO SURVIVED AUSCHWITZ</t>
  </si>
  <si>
    <t>A3349R</t>
  </si>
  <si>
    <t>9789500217422</t>
  </si>
  <si>
    <t>GRADUATES</t>
  </si>
  <si>
    <t>A3314R</t>
  </si>
  <si>
    <t>9789500217217</t>
  </si>
  <si>
    <t>AGENDA GRAND SPLENDID</t>
  </si>
  <si>
    <t>A3387E</t>
  </si>
  <si>
    <t>VACA NO SE CALLA, LA</t>
  </si>
  <si>
    <t>VOY A COMPARTIR  - Rustica  2ª Ed.</t>
  </si>
  <si>
    <t>VACA VA A SER HERMANA, LA</t>
  </si>
  <si>
    <t>A3355R</t>
  </si>
  <si>
    <t>GALLINO, FLORENCIA</t>
  </si>
  <si>
    <t>HUERTA URBANA</t>
  </si>
  <si>
    <t>A3336R</t>
  </si>
  <si>
    <t>SPERANZA, SANTIAGO</t>
  </si>
  <si>
    <t>CUMPLE DE 15</t>
  </si>
  <si>
    <t>A3352R</t>
  </si>
  <si>
    <t>ENREDOS DEL CORAZON</t>
  </si>
  <si>
    <t>A3399R</t>
  </si>
  <si>
    <t>SABUESO DE LOS BASKERVILLE, EL (Pocket)</t>
  </si>
  <si>
    <t>A3420R</t>
  </si>
  <si>
    <t>IMAGE BOOKS</t>
  </si>
  <si>
    <t>BANDERAS DEL MUNDO (inc costo Importados</t>
  </si>
  <si>
    <t>A3365E</t>
  </si>
  <si>
    <t>HOLA, BEBE. MI MUNDO</t>
  </si>
  <si>
    <t>A3364E</t>
  </si>
  <si>
    <t>HOLA, BEBE. ANIMALES</t>
  </si>
  <si>
    <t>A3376E</t>
  </si>
  <si>
    <t>JIN,CINDY</t>
  </si>
  <si>
    <t>100 MENSAJES PARA NIÑOS FELICES</t>
  </si>
  <si>
    <t>MAY</t>
  </si>
  <si>
    <t>Colección HOLA BEBE</t>
  </si>
  <si>
    <t>38760,33 + iva</t>
  </si>
  <si>
    <t>A3324R</t>
  </si>
  <si>
    <t>FILOSOFIA EN 3 MINUTOS: AMISTAD</t>
  </si>
  <si>
    <t>A3401R</t>
  </si>
  <si>
    <t>ALVAREZ, GUADALUPE-DIFABIO, HILDA DIFABIO-MORAN, LOURDES</t>
  </si>
  <si>
    <t>PEDAGOGIAS EMERGENTES -  ATENEO AULA </t>
  </si>
  <si>
    <t>A3390R</t>
  </si>
  <si>
    <t>DEUTSCH,  VICTOR</t>
  </si>
  <si>
    <t>LEGION SECRETA DEL SUR, LA</t>
  </si>
  <si>
    <t>A3393R</t>
  </si>
  <si>
    <t>COMO RAJAR A TU JEFE</t>
  </si>
  <si>
    <t>A3382R</t>
  </si>
  <si>
    <t>LOPATA, GUILLERMINA </t>
  </si>
  <si>
    <t>ISIS</t>
  </si>
  <si>
    <t>A3416R</t>
  </si>
  <si>
    <t>MEMORIAS DE SHERLOCK HOLMES, LAS</t>
  </si>
  <si>
    <t>A3422R</t>
  </si>
  <si>
    <t>LUCHETTI, E. / GREGORCHUCK, P. / ZIMMERMANN, M. / FONTANA, E. / ROSSI, A. / MEDINA, P./SCHIERLOH S.</t>
  </si>
  <si>
    <t>SUPERCUENTOS DE GOL  </t>
  </si>
  <si>
    <t>A3385R</t>
  </si>
  <si>
    <t>PEÑA, PATRICIA</t>
  </si>
  <si>
    <t>CARPINCHOS MAGICOS</t>
  </si>
  <si>
    <t>A3386R</t>
  </si>
  <si>
    <t>CARPINCHOS AVENTUREROS</t>
  </si>
  <si>
    <t>AVENTURAS DE SHERLOCK HOLMES, LAS (Pocket)</t>
  </si>
  <si>
    <t>A3384R</t>
  </si>
  <si>
    <t xml:space="preserve">GILGES, GISELA </t>
  </si>
  <si>
    <t>AMARANTIA. HAY UN NUEVO MODO DE HABITARTE</t>
  </si>
  <si>
    <t>A3395R</t>
  </si>
  <si>
    <t xml:space="preserve">GIOVANNONE, PABLO - PIROY, FEDERICO </t>
  </si>
  <si>
    <t xml:space="preserve">VENDER ES PODER. </t>
  </si>
  <si>
    <t>A3402R</t>
  </si>
  <si>
    <t>BELLOCCHIO, LUCIA-GARCIA RESTA, ALVARO</t>
  </si>
  <si>
    <t>CIUDADES AZULES</t>
  </si>
  <si>
    <t>A3415R</t>
  </si>
  <si>
    <t>A3427R</t>
  </si>
  <si>
    <t>LUCCHETTI, ELENA</t>
  </si>
  <si>
    <t>GIMNASIA MENTAL: ENIGMAS Y ASOCIACIONES (COGNITIVOS PARA MAYORES)</t>
  </si>
  <si>
    <t>A3409R</t>
  </si>
  <si>
    <t>GIMNASIA MENTAL: JUEGOS DE LÓGICA (COGNITIVOS PARA MAYORES)</t>
  </si>
  <si>
    <t>EJERCICIOS COGNITIVOS PARA PERSONAS MAYORES</t>
  </si>
  <si>
    <t>A3371E</t>
  </si>
  <si>
    <t>DINOMIN</t>
  </si>
  <si>
    <t>PEQUEÑOS LIBROS - LITTLE BOOKS  (Caja con 6 libros bilingües)</t>
  </si>
  <si>
    <t>A3372E</t>
  </si>
  <si>
    <t>GATITO, ¿POR QUE ESTAS ENOJADO?</t>
  </si>
  <si>
    <t>A3373E</t>
  </si>
  <si>
    <t xml:space="preserve">DINO, ¿POR QUE ESTAS TRISTE? </t>
  </si>
  <si>
    <t>A3374E</t>
  </si>
  <si>
    <t>STICKERS MAGICOS DINOSAURIOS</t>
  </si>
  <si>
    <t>A3375E</t>
  </si>
  <si>
    <t>STICKERS MAGICOS GRANJA</t>
  </si>
  <si>
    <t>BILINGÜES</t>
  </si>
  <si>
    <t xml:space="preserve">Colección EXPLOREMOS…  </t>
  </si>
  <si>
    <t>A3407R</t>
  </si>
  <si>
    <t>PEREZ, LORENA</t>
  </si>
  <si>
    <t xml:space="preserve">MODISTAS. UNA HISTORIA DE LA MODA EN ARGENTINA, </t>
  </si>
  <si>
    <t>A3436R</t>
  </si>
  <si>
    <t xml:space="preserve">MARTIN LOMBARDERO </t>
  </si>
  <si>
    <t xml:space="preserve">TIRANÍA DEL DIAGNÓSTICO, LA. EL IMPACTO INVISIBLE DE LA PALABRA MÉDICA. </t>
  </si>
  <si>
    <t>A3396R</t>
  </si>
  <si>
    <t xml:space="preserve">PONCE, MARIA CECILIA </t>
  </si>
  <si>
    <t>EDAD QUE ELEGIMOS, LA. LO QUE TU CUERPO NECESITA PARA UNA LONGEVIDAD SALUDABLE.</t>
  </si>
  <si>
    <t>A3440R</t>
  </si>
  <si>
    <t xml:space="preserve">CURA PABLO SAVOIA </t>
  </si>
  <si>
    <t xml:space="preserve">VOLVER A CREER. </t>
  </si>
  <si>
    <t>A3434R</t>
  </si>
  <si>
    <t xml:space="preserve">LAO TSE </t>
  </si>
  <si>
    <t>TAO TE CHING.  (Ed. Pocket)</t>
  </si>
  <si>
    <t>A3397R</t>
  </si>
  <si>
    <t>ARCHIVO DE SHERLOCK HOLMES, EL (Ed. Pocket)</t>
  </si>
  <si>
    <t>A3452R</t>
  </si>
  <si>
    <t xml:space="preserve">ANTOINE DE SAINT-EXUPERY </t>
  </si>
  <si>
    <t>A3400E</t>
  </si>
  <si>
    <t>WEERASEKERA, REBECCA</t>
  </si>
  <si>
    <t>¡AQUÍ ESTOY! DINOSAURITO</t>
  </si>
  <si>
    <t>A3410E</t>
  </si>
  <si>
    <t>ROBAARD, JEDDA</t>
  </si>
  <si>
    <t>PEQUEÑO UNICORNIO QUE PERDIO SU MAGIA, EL</t>
  </si>
  <si>
    <t>A3411E</t>
  </si>
  <si>
    <t>PEQUEÑO MONO QUE PERDIO SU MIEDO, EL</t>
  </si>
  <si>
    <t>A3412E</t>
  </si>
  <si>
    <t>PEQUEÑO DRAGON QUE PERDIO SU FUEGO, EL</t>
  </si>
  <si>
    <t>PRINCIPITO, EL Ed. Economica</t>
  </si>
  <si>
    <t>EMOCIONES</t>
  </si>
  <si>
    <t>A3429R</t>
  </si>
  <si>
    <t>MANSILLA, LUCIO V.</t>
  </si>
  <si>
    <t>ROZAS</t>
  </si>
  <si>
    <t>A3450R</t>
  </si>
  <si>
    <t>FRANCO, MATIAS</t>
  </si>
  <si>
    <t>LIDERAZGO CON PROPOSITO</t>
  </si>
  <si>
    <t>A3367R</t>
  </si>
  <si>
    <t>CASTELLANOS, BELEN - CARRIQUIRI, ENRIQUE</t>
  </si>
  <si>
    <t>VIVE TU ASCENDENTE</t>
  </si>
  <si>
    <t>A3392R</t>
  </si>
  <si>
    <t>CAMUCHA ESCOBAR, CAMUCHA</t>
  </si>
  <si>
    <t>PROMESA DE SANGRE</t>
  </si>
  <si>
    <t>A3428R</t>
  </si>
  <si>
    <t>QUIROGA, HORACIO</t>
  </si>
  <si>
    <t xml:space="preserve">CUENTOS DE AMOR, DE LOCURA Y DE MUERTE. </t>
  </si>
  <si>
    <t>A3418E</t>
  </si>
  <si>
    <t>MIS EXCAVADORAS</t>
  </si>
  <si>
    <t>A3419E</t>
  </si>
  <si>
    <t>MIS AUTOS DE CARRERA</t>
  </si>
  <si>
    <t>1000</t>
  </si>
  <si>
    <t xml:space="preserve">DICCIONARIO ESPAÑOL-INGLÉS </t>
  </si>
  <si>
    <t xml:space="preserve">PRINCIPE, EL                  </t>
  </si>
  <si>
    <t>Colección SOBRE RUEDAS</t>
  </si>
  <si>
    <t>Modifica</t>
  </si>
  <si>
    <t>SEP'26</t>
  </si>
  <si>
    <t>A3377R</t>
  </si>
  <si>
    <t>GOMEZ BADÍA, MARIANA-LEZAMA, CRISTY   </t>
  </si>
  <si>
    <t>DESPIERTA</t>
  </si>
  <si>
    <t>A3426R</t>
  </si>
  <si>
    <t>AUTOESTIMA</t>
  </si>
  <si>
    <t>A3389R</t>
  </si>
  <si>
    <t>SOBREPESO</t>
  </si>
  <si>
    <t>A3421R</t>
  </si>
  <si>
    <t>DECODIFICA TUS VINCULOS</t>
  </si>
  <si>
    <t>A3433R</t>
  </si>
  <si>
    <t>PERKINS GILMAN, CHARLOTTE -COMENT. ANSELMO, DANIELA</t>
  </si>
  <si>
    <t>EMPAPELADO AMARILLO, EL (THE YELLOW WALLPAPER)</t>
  </si>
  <si>
    <t>A3424R</t>
  </si>
  <si>
    <t>INTI SE COME LAS UÑAS</t>
  </si>
  <si>
    <t>A3406R</t>
  </si>
  <si>
    <t>SUPERCUENTOS DE MIEDO</t>
  </si>
  <si>
    <t>A3486E</t>
  </si>
  <si>
    <t>A3430E</t>
  </si>
  <si>
    <t>A3404E</t>
  </si>
  <si>
    <t>SUSAETA DE.</t>
  </si>
  <si>
    <t>MIRA Y DESCUBRE: EL ESPACIO - PREGUNTAS Y RESPUESTAS</t>
  </si>
  <si>
    <t>A3405E</t>
  </si>
  <si>
    <t>SUSAETA ED.</t>
  </si>
  <si>
    <t>MIRA Y DESCUBRE: EL CUERPO HUMANO - PREGUNTAS Y RESPUESTAS</t>
  </si>
  <si>
    <t>A3439E</t>
  </si>
  <si>
    <t>VAMOS A APRENDER SUMAS Y RESTAS</t>
  </si>
  <si>
    <t>PROMO OCTUBRE</t>
  </si>
  <si>
    <t>BIOPAUSIA. 2da.EDICIÓN ESPECIAL (Tapa dura)</t>
  </si>
  <si>
    <t>Colección MIRA Y DESCUBRE</t>
  </si>
  <si>
    <t>OCT'26</t>
  </si>
  <si>
    <t>SLOPEZ: ANALISIS PRECIOS AL 28/09/2026 incluye modificación precios para OCTUBRE 2026</t>
  </si>
  <si>
    <t>28/09/2026</t>
  </si>
  <si>
    <t>27/09/2026</t>
  </si>
  <si>
    <t>PROMO OCT</t>
  </si>
  <si>
    <t>VENTA ANUAL</t>
  </si>
  <si>
    <t>Libro Sorpresa Ensayo 1</t>
  </si>
  <si>
    <t>Libro Sorpresa Ensayo 2</t>
  </si>
  <si>
    <t>Libro Sorpresa Ficción Juvenil</t>
  </si>
  <si>
    <t>Libro Sorpresa Ficción Relatos de viaje</t>
  </si>
  <si>
    <t>Libro Sorpresa Ficción Thriller</t>
  </si>
  <si>
    <t>Libro Sorpresa Ficción Terror</t>
  </si>
  <si>
    <t>Libro Sorpresa Superación Personal 1</t>
  </si>
  <si>
    <t>Libro Sorpresa Superación Personal 2</t>
  </si>
  <si>
    <t>Libro Sorpresa Superación Personal 3</t>
  </si>
  <si>
    <t>Libro Sorpresa Superación Personal 4</t>
  </si>
  <si>
    <t>Libro Sorpresa Superación Personal 5</t>
  </si>
  <si>
    <t>Libro Sorpresa Salud 1</t>
  </si>
  <si>
    <t>Libro Sorpresa Liderazgo 1</t>
  </si>
  <si>
    <t>Libro Sorpresa Salud 2</t>
  </si>
  <si>
    <t>Libro Sorpresa Pareja 1</t>
  </si>
  <si>
    <t>Libro Sorpresa Pareja 2</t>
  </si>
  <si>
    <t>Libro Sorpresa Pareja 3</t>
  </si>
  <si>
    <t>Libro Sorpresa Liderazgo 2</t>
  </si>
  <si>
    <t>Libro Sorpresa Superación Personal 6</t>
  </si>
  <si>
    <t>Libro Sorpresa Testimonio 1</t>
  </si>
  <si>
    <t>Libro Sorpresa Testimonio 2</t>
  </si>
  <si>
    <t>Libro Sorpresa Testimonio 3</t>
  </si>
  <si>
    <t>Libro Sorpresa Infantil 1</t>
  </si>
  <si>
    <t>Libro Sorpresa Infantil 2</t>
  </si>
  <si>
    <t>Libro Sorpresa Infantil 3</t>
  </si>
  <si>
    <t>Libro Sorpresa Infantil 4</t>
  </si>
  <si>
    <t>Libro Sorpresa Infantil 5</t>
  </si>
  <si>
    <t>Libro Sorpresa Infantil 6</t>
  </si>
  <si>
    <t>Libro Sorpresa Infantil 7</t>
  </si>
  <si>
    <t>Nombre</t>
  </si>
  <si>
    <t>Cod Yenny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</si>
</sst>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0.0000"/>
    <numFmt numFmtId="166" formatCode="&quot;$&quot;\ #,##0.00"/>
    <numFmt numFmtId="167" formatCode="0.0"/>
    <numFmt numFmtId="168" formatCode="0.0%"/>
    <numFmt numFmtId="169" formatCode="#,##0.00_ ;[Red]\-#,##0.00\ "/>
    <numFmt numFmtId="170" formatCode="0.0000000"/>
    <numFmt numFmtId="171" formatCode="0.000000000"/>
    <numFmt numFmtId="172" formatCode="0.00_ ;[Red]\-0.00\ "/>
    <numFmt numFmtId="173" formatCode="dd/mm/yy;@"/>
    <numFmt numFmtId="174" formatCode="_-* #,##0.00\ &quot;€&quot;_-;\-* #,##0.00\ &quot;€&quot;_-;_-* &quot;-&quot;??\ &quot;€&quot;_-;_-@_-"/>
  </numFmts>
  <fonts count="3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color indexed="8"/>
      <name val="Trebuchet MS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Tahoma"/>
      <family val="2"/>
    </font>
    <font>
      <b/>
      <i/>
      <sz val="8"/>
      <name val="Arial"/>
      <family val="2"/>
    </font>
    <font>
      <b/>
      <u/>
      <sz val="12"/>
      <name val="Arial"/>
      <family val="2"/>
    </font>
    <font>
      <b/>
      <u/>
      <sz val="8"/>
      <name val="Arial"/>
      <family val="2"/>
    </font>
    <font>
      <i/>
      <sz val="6"/>
      <name val="Arial"/>
      <family val="2"/>
    </font>
    <font>
      <b/>
      <i/>
      <u/>
      <sz val="10"/>
      <name val="Arial"/>
      <family val="2"/>
    </font>
    <font>
      <sz val="6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 Black"/>
      <family val="2"/>
    </font>
    <font>
      <sz val="8"/>
      <color rgb="FFFF0000"/>
      <name val="Arial"/>
      <family val="2"/>
    </font>
    <font>
      <sz val="8"/>
      <name val="Calibri"/>
      <family val="2"/>
    </font>
    <font>
      <b/>
      <u/>
      <sz val="20"/>
      <name val="Arial"/>
      <family val="2"/>
    </font>
    <font>
      <sz val="20"/>
      <name val="Arial"/>
      <family val="2"/>
    </font>
    <font>
      <b/>
      <i/>
      <u/>
      <sz val="8"/>
      <name val="Arial"/>
      <family val="2"/>
    </font>
    <font>
      <b/>
      <sz val="6"/>
      <name val="Arial"/>
      <family val="2"/>
    </font>
    <font>
      <b/>
      <sz val="6"/>
      <name val="Tahoma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DCDB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166" fontId="4" fillId="2" borderId="1" applyFont="0" applyFill="0" applyBorder="0" applyAlignment="0">
      <alignment horizontal="center" vertical="center" wrapText="1"/>
    </xf>
    <xf numFmtId="164" fontId="5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7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9" fillId="0" borderId="0"/>
  </cellStyleXfs>
  <cellXfs count="40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3" borderId="1" xfId="0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/>
    <xf numFmtId="1" fontId="1" fillId="0" borderId="1" xfId="0" quotePrefix="1" applyNumberFormat="1" applyFont="1" applyBorder="1" applyAlignment="1">
      <alignment horizontal="left"/>
    </xf>
    <xf numFmtId="1" fontId="1" fillId="0" borderId="0" xfId="0" applyNumberFormat="1" applyFont="1"/>
    <xf numFmtId="2" fontId="1" fillId="0" borderId="0" xfId="0" applyNumberFormat="1" applyFont="1"/>
    <xf numFmtId="0" fontId="1" fillId="0" borderId="1" xfId="0" quotePrefix="1" applyFont="1" applyBorder="1"/>
    <xf numFmtId="0" fontId="8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left"/>
    </xf>
    <xf numFmtId="165" fontId="1" fillId="0" borderId="1" xfId="0" applyNumberFormat="1" applyFont="1" applyBorder="1"/>
    <xf numFmtId="1" fontId="6" fillId="0" borderId="1" xfId="0" applyNumberFormat="1" applyFont="1" applyBorder="1" applyAlignment="1">
      <alignment horizontal="left" vertical="center"/>
    </xf>
    <xf numFmtId="1" fontId="1" fillId="0" borderId="1" xfId="0" quotePrefix="1" applyNumberFormat="1" applyFont="1" applyBorder="1"/>
    <xf numFmtId="1" fontId="1" fillId="0" borderId="1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1" xfId="0" quotePrefix="1" applyNumberFormat="1" applyFont="1" applyBorder="1"/>
    <xf numFmtId="0" fontId="1" fillId="0" borderId="1" xfId="0" applyFont="1" applyBorder="1" applyAlignment="1">
      <alignment wrapText="1"/>
    </xf>
    <xf numFmtId="0" fontId="1" fillId="0" borderId="1" xfId="4" applyFont="1" applyBorder="1"/>
    <xf numFmtId="165" fontId="1" fillId="0" borderId="1" xfId="3" applyNumberFormat="1" applyFont="1" applyBorder="1"/>
    <xf numFmtId="0" fontId="1" fillId="0" borderId="1" xfId="3" applyFont="1" applyBorder="1" applyAlignment="1">
      <alignment horizontal="left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" xfId="4" applyNumberFormat="1" applyFont="1" applyBorder="1" applyAlignment="1">
      <alignment horizontal="left"/>
    </xf>
    <xf numFmtId="2" fontId="1" fillId="0" borderId="1" xfId="9" applyNumberFormat="1" applyFont="1" applyBorder="1"/>
    <xf numFmtId="0" fontId="1" fillId="0" borderId="1" xfId="9" applyFont="1" applyBorder="1" applyAlignment="1">
      <alignment horizontal="left"/>
    </xf>
    <xf numFmtId="1" fontId="1" fillId="0" borderId="1" xfId="9" applyNumberFormat="1" applyFont="1" applyBorder="1" applyAlignment="1">
      <alignment horizontal="left"/>
    </xf>
    <xf numFmtId="0" fontId="1" fillId="0" borderId="1" xfId="9" applyFont="1" applyBorder="1"/>
    <xf numFmtId="0" fontId="2" fillId="0" borderId="0" xfId="0" applyFont="1"/>
    <xf numFmtId="16" fontId="1" fillId="0" borderId="0" xfId="0" applyNumberFormat="1" applyFont="1"/>
    <xf numFmtId="1" fontId="1" fillId="0" borderId="1" xfId="0" applyNumberFormat="1" applyFont="1" applyBorder="1" applyAlignment="1">
      <alignment horizontal="right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" fontId="2" fillId="0" borderId="0" xfId="0" quotePrefix="1" applyNumberFormat="1" applyFont="1" applyAlignment="1">
      <alignment horizontal="left" vertical="center"/>
    </xf>
    <xf numFmtId="167" fontId="1" fillId="0" borderId="0" xfId="0" quotePrefix="1" applyNumberFormat="1" applyFont="1" applyAlignment="1">
      <alignment horizontal="right"/>
    </xf>
    <xf numFmtId="2" fontId="1" fillId="0" borderId="0" xfId="0" quotePrefix="1" applyNumberFormat="1" applyFont="1" applyAlignment="1">
      <alignment horizont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quotePrefix="1" applyFont="1"/>
    <xf numFmtId="0" fontId="14" fillId="0" borderId="0" xfId="0" quotePrefix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17" fontId="14" fillId="0" borderId="15" xfId="0" applyNumberFormat="1" applyFont="1" applyBorder="1" applyAlignment="1">
      <alignment horizontal="center" vertical="center"/>
    </xf>
    <xf numFmtId="0" fontId="14" fillId="0" borderId="0" xfId="0" applyFont="1"/>
    <xf numFmtId="0" fontId="17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8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9" fontId="1" fillId="0" borderId="16" xfId="0" applyNumberFormat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17" fontId="14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49" fontId="1" fillId="0" borderId="16" xfId="0" quotePrefix="1" applyNumberFormat="1" applyFont="1" applyBorder="1" applyAlignment="1">
      <alignment horizontal="center" vertical="center"/>
    </xf>
    <xf numFmtId="17" fontId="1" fillId="0" borderId="16" xfId="0" quotePrefix="1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1" fillId="3" borderId="4" xfId="0" applyNumberFormat="1" applyFont="1" applyFill="1" applyBorder="1"/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7" fillId="3" borderId="17" xfId="0" applyFont="1" applyFill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/>
    <xf numFmtId="0" fontId="3" fillId="5" borderId="0" xfId="0" applyFont="1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1" fontId="1" fillId="0" borderId="0" xfId="0" applyNumberFormat="1" applyFont="1" applyAlignment="1">
      <alignment horizontal="center"/>
    </xf>
    <xf numFmtId="0" fontId="16" fillId="0" borderId="0" xfId="0" applyFont="1" applyProtection="1"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16" fillId="0" borderId="18" xfId="0" applyFont="1" applyBorder="1"/>
    <xf numFmtId="0" fontId="3" fillId="0" borderId="19" xfId="0" applyFont="1" applyBorder="1"/>
    <xf numFmtId="0" fontId="3" fillId="0" borderId="0" xfId="0" applyFont="1" applyAlignment="1" applyProtection="1">
      <alignment horizontal="right"/>
      <protection locked="0"/>
    </xf>
    <xf numFmtId="17" fontId="1" fillId="0" borderId="1" xfId="0" applyNumberFormat="1" applyFont="1" applyBorder="1" applyAlignment="1">
      <alignment horizontal="left"/>
    </xf>
    <xf numFmtId="17" fontId="1" fillId="0" borderId="1" xfId="0" quotePrefix="1" applyNumberFormat="1" applyFont="1" applyBorder="1" applyAlignment="1">
      <alignment horizontal="left"/>
    </xf>
    <xf numFmtId="10" fontId="1" fillId="0" borderId="1" xfId="6" applyNumberFormat="1" applyFont="1" applyFill="1" applyBorder="1"/>
    <xf numFmtId="169" fontId="1" fillId="0" borderId="1" xfId="0" applyNumberFormat="1" applyFont="1" applyBorder="1"/>
    <xf numFmtId="2" fontId="1" fillId="3" borderId="1" xfId="0" quotePrefix="1" applyNumberFormat="1" applyFont="1" applyFill="1" applyBorder="1"/>
    <xf numFmtId="2" fontId="1" fillId="0" borderId="9" xfId="0" applyNumberFormat="1" applyFont="1" applyBorder="1"/>
    <xf numFmtId="2" fontId="2" fillId="0" borderId="1" xfId="0" applyNumberFormat="1" applyFont="1" applyBorder="1" applyAlignment="1">
      <alignment horizontal="center"/>
    </xf>
    <xf numFmtId="2" fontId="1" fillId="0" borderId="0" xfId="0" quotePrefix="1" applyNumberFormat="1" applyFont="1"/>
    <xf numFmtId="2" fontId="2" fillId="0" borderId="1" xfId="6" applyNumberFormat="1" applyFont="1" applyFill="1" applyBorder="1" applyAlignment="1">
      <alignment horizontal="center"/>
    </xf>
    <xf numFmtId="0" fontId="1" fillId="0" borderId="9" xfId="0" applyFont="1" applyBorder="1"/>
    <xf numFmtId="2" fontId="1" fillId="0" borderId="1" xfId="3" applyNumberFormat="1" applyFont="1" applyBorder="1"/>
    <xf numFmtId="17" fontId="1" fillId="0" borderId="9" xfId="0" applyNumberFormat="1" applyFont="1" applyBorder="1" applyAlignment="1">
      <alignment horizontal="left"/>
    </xf>
    <xf numFmtId="17" fontId="1" fillId="4" borderId="1" xfId="0" applyNumberFormat="1" applyFont="1" applyFill="1" applyBorder="1" applyAlignment="1">
      <alignment horizontal="left"/>
    </xf>
    <xf numFmtId="17" fontId="1" fillId="4" borderId="1" xfId="0" quotePrefix="1" applyNumberFormat="1" applyFont="1" applyFill="1" applyBorder="1" applyAlignment="1">
      <alignment horizontal="left"/>
    </xf>
    <xf numFmtId="0" fontId="1" fillId="4" borderId="1" xfId="0" applyFont="1" applyFill="1" applyBorder="1"/>
    <xf numFmtId="2" fontId="1" fillId="4" borderId="1" xfId="0" quotePrefix="1" applyNumberFormat="1" applyFont="1" applyFill="1" applyBorder="1"/>
    <xf numFmtId="2" fontId="1" fillId="4" borderId="1" xfId="0" applyNumberFormat="1" applyFont="1" applyFill="1" applyBorder="1"/>
    <xf numFmtId="2" fontId="1" fillId="4" borderId="9" xfId="0" applyNumberFormat="1" applyFont="1" applyFill="1" applyBorder="1"/>
    <xf numFmtId="10" fontId="1" fillId="4" borderId="1" xfId="6" applyNumberFormat="1" applyFont="1" applyFill="1" applyBorder="1"/>
    <xf numFmtId="2" fontId="1" fillId="4" borderId="1" xfId="0" applyNumberFormat="1" applyFont="1" applyFill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2" fontId="1" fillId="0" borderId="9" xfId="0" quotePrefix="1" applyNumberFormat="1" applyFont="1" applyBorder="1"/>
    <xf numFmtId="1" fontId="1" fillId="4" borderId="1" xfId="0" quotePrefix="1" applyNumberFormat="1" applyFont="1" applyFill="1" applyBorder="1"/>
    <xf numFmtId="0" fontId="2" fillId="0" borderId="1" xfId="0" applyFont="1" applyBorder="1"/>
    <xf numFmtId="0" fontId="1" fillId="4" borderId="1" xfId="0" applyFont="1" applyFill="1" applyBorder="1" applyAlignment="1">
      <alignment horizontal="right"/>
    </xf>
    <xf numFmtId="0" fontId="3" fillId="0" borderId="0" xfId="0" applyFont="1"/>
    <xf numFmtId="1" fontId="3" fillId="0" borderId="0" xfId="0" applyNumberFormat="1" applyFont="1" applyAlignment="1">
      <alignment horizontal="left"/>
    </xf>
    <xf numFmtId="2" fontId="3" fillId="0" borderId="0" xfId="0" applyNumberFormat="1" applyFont="1"/>
    <xf numFmtId="0" fontId="14" fillId="0" borderId="0" xfId="0" applyFont="1" applyAlignment="1">
      <alignment horizontal="center"/>
    </xf>
    <xf numFmtId="0" fontId="16" fillId="0" borderId="12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0" fontId="1" fillId="0" borderId="1" xfId="6" applyNumberFormat="1" applyFont="1" applyFill="1" applyBorder="1" applyAlignment="1">
      <alignment horizontal="right"/>
    </xf>
    <xf numFmtId="1" fontId="1" fillId="0" borderId="1" xfId="6" applyNumberFormat="1" applyFont="1" applyFill="1" applyBorder="1" applyAlignment="1">
      <alignment horizontal="center"/>
    </xf>
    <xf numFmtId="2" fontId="1" fillId="0" borderId="9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6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1" fontId="1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2" fontId="1" fillId="0" borderId="1" xfId="8" applyNumberFormat="1" applyFont="1" applyBorder="1"/>
    <xf numFmtId="1" fontId="1" fillId="0" borderId="1" xfId="9" applyNumberFormat="1" applyFont="1" applyBorder="1" applyAlignment="1">
      <alignment horizontal="right"/>
    </xf>
    <xf numFmtId="2" fontId="1" fillId="0" borderId="11" xfId="0" quotePrefix="1" applyNumberFormat="1" applyFont="1" applyBorder="1"/>
    <xf numFmtId="2" fontId="1" fillId="0" borderId="11" xfId="0" applyNumberFormat="1" applyFont="1" applyBorder="1"/>
    <xf numFmtId="0" fontId="1" fillId="0" borderId="11" xfId="0" applyFont="1" applyBorder="1"/>
    <xf numFmtId="1" fontId="1" fillId="0" borderId="1" xfId="0" applyNumberFormat="1" applyFont="1" applyBorder="1" applyAlignment="1">
      <alignment horizontal="left" wrapText="1"/>
    </xf>
    <xf numFmtId="1" fontId="3" fillId="0" borderId="0" xfId="0" applyNumberFormat="1" applyFont="1"/>
    <xf numFmtId="0" fontId="16" fillId="0" borderId="12" xfId="0" applyFont="1" applyBorder="1"/>
    <xf numFmtId="0" fontId="3" fillId="0" borderId="13" xfId="0" applyFont="1" applyBorder="1"/>
    <xf numFmtId="1" fontId="1" fillId="0" borderId="1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left"/>
    </xf>
    <xf numFmtId="2" fontId="1" fillId="0" borderId="20" xfId="0" applyNumberFormat="1" applyFont="1" applyBorder="1"/>
    <xf numFmtId="0" fontId="19" fillId="0" borderId="9" xfId="0" applyFont="1" applyBorder="1"/>
    <xf numFmtId="1" fontId="20" fillId="0" borderId="11" xfId="0" applyNumberFormat="1" applyFont="1" applyBorder="1" applyAlignment="1">
      <alignment horizontal="left"/>
    </xf>
    <xf numFmtId="0" fontId="20" fillId="0" borderId="0" xfId="0" applyFont="1"/>
    <xf numFmtId="0" fontId="3" fillId="0" borderId="21" xfId="0" applyFont="1" applyBorder="1"/>
    <xf numFmtId="2" fontId="1" fillId="3" borderId="1" xfId="6" applyNumberFormat="1" applyFont="1" applyFill="1" applyBorder="1" applyAlignment="1">
      <alignment horizontal="center"/>
    </xf>
    <xf numFmtId="0" fontId="1" fillId="0" borderId="5" xfId="0" applyFont="1" applyBorder="1"/>
    <xf numFmtId="0" fontId="1" fillId="0" borderId="22" xfId="0" applyFont="1" applyBorder="1"/>
    <xf numFmtId="1" fontId="1" fillId="0" borderId="22" xfId="0" applyNumberFormat="1" applyFont="1" applyBorder="1" applyAlignment="1">
      <alignment horizontal="left"/>
    </xf>
    <xf numFmtId="1" fontId="20" fillId="0" borderId="10" xfId="0" applyNumberFormat="1" applyFont="1" applyBorder="1" applyAlignment="1">
      <alignment horizontal="left"/>
    </xf>
    <xf numFmtId="2" fontId="20" fillId="0" borderId="11" xfId="0" applyNumberFormat="1" applyFont="1" applyBorder="1"/>
    <xf numFmtId="0" fontId="6" fillId="0" borderId="1" xfId="3" applyFont="1" applyBorder="1" applyAlignment="1">
      <alignment horizontal="left"/>
    </xf>
    <xf numFmtId="2" fontId="1" fillId="0" borderId="22" xfId="0" applyNumberFormat="1" applyFont="1" applyBorder="1"/>
    <xf numFmtId="169" fontId="1" fillId="0" borderId="1" xfId="0" quotePrefix="1" applyNumberFormat="1" applyFont="1" applyBorder="1"/>
    <xf numFmtId="1" fontId="20" fillId="0" borderId="10" xfId="0" applyNumberFormat="1" applyFont="1" applyBorder="1"/>
    <xf numFmtId="0" fontId="20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vertical="center"/>
    </xf>
    <xf numFmtId="0" fontId="7" fillId="0" borderId="9" xfId="0" applyFont="1" applyBorder="1"/>
    <xf numFmtId="1" fontId="20" fillId="0" borderId="11" xfId="0" applyNumberFormat="1" applyFont="1" applyBorder="1"/>
    <xf numFmtId="10" fontId="1" fillId="0" borderId="9" xfId="6" applyNumberFormat="1" applyFont="1" applyFill="1" applyBorder="1" applyAlignment="1">
      <alignment horizontal="right"/>
    </xf>
    <xf numFmtId="1" fontId="3" fillId="0" borderId="23" xfId="0" applyNumberFormat="1" applyFont="1" applyBorder="1" applyAlignment="1">
      <alignment horizontal="left"/>
    </xf>
    <xf numFmtId="0" fontId="3" fillId="0" borderId="23" xfId="0" applyFont="1" applyBorder="1"/>
    <xf numFmtId="1" fontId="1" fillId="0" borderId="22" xfId="0" applyNumberFormat="1" applyFont="1" applyBorder="1"/>
    <xf numFmtId="17" fontId="1" fillId="0" borderId="22" xfId="0" applyNumberFormat="1" applyFont="1" applyBorder="1" applyAlignment="1">
      <alignment horizontal="left"/>
    </xf>
    <xf numFmtId="17" fontId="1" fillId="0" borderId="22" xfId="0" quotePrefix="1" applyNumberFormat="1" applyFont="1" applyBorder="1" applyAlignment="1">
      <alignment horizontal="left"/>
    </xf>
    <xf numFmtId="1" fontId="1" fillId="0" borderId="22" xfId="0" quotePrefix="1" applyNumberFormat="1" applyFont="1" applyBorder="1"/>
    <xf numFmtId="2" fontId="1" fillId="0" borderId="22" xfId="0" quotePrefix="1" applyNumberFormat="1" applyFont="1" applyBorder="1"/>
    <xf numFmtId="2" fontId="1" fillId="0" borderId="24" xfId="0" applyNumberFormat="1" applyFont="1" applyBorder="1"/>
    <xf numFmtId="10" fontId="1" fillId="0" borderId="22" xfId="6" applyNumberFormat="1" applyFont="1" applyFill="1" applyBorder="1" applyAlignment="1">
      <alignment horizontal="right"/>
    </xf>
    <xf numFmtId="2" fontId="1" fillId="0" borderId="22" xfId="6" applyNumberFormat="1" applyFont="1" applyFill="1" applyBorder="1" applyAlignment="1">
      <alignment horizontal="center"/>
    </xf>
    <xf numFmtId="10" fontId="1" fillId="0" borderId="0" xfId="6" applyNumberFormat="1" applyFont="1" applyFill="1" applyBorder="1" applyAlignment="1">
      <alignment horizontal="right"/>
    </xf>
    <xf numFmtId="0" fontId="19" fillId="0" borderId="1" xfId="0" applyFont="1" applyBorder="1"/>
    <xf numFmtId="1" fontId="3" fillId="0" borderId="10" xfId="0" applyNumberFormat="1" applyFont="1" applyBorder="1" applyAlignment="1">
      <alignment horizontal="left"/>
    </xf>
    <xf numFmtId="1" fontId="3" fillId="0" borderId="11" xfId="0" applyNumberFormat="1" applyFont="1" applyBorder="1"/>
    <xf numFmtId="0" fontId="16" fillId="0" borderId="2" xfId="0" applyFont="1" applyBorder="1"/>
    <xf numFmtId="0" fontId="3" fillId="0" borderId="25" xfId="0" applyFont="1" applyBorder="1"/>
    <xf numFmtId="0" fontId="16" fillId="0" borderId="0" xfId="0" applyFont="1"/>
    <xf numFmtId="1" fontId="1" fillId="0" borderId="1" xfId="9" applyNumberFormat="1" applyFont="1" applyBorder="1"/>
    <xf numFmtId="0" fontId="19" fillId="0" borderId="9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" fontId="1" fillId="0" borderId="5" xfId="0" applyNumberFormat="1" applyFont="1" applyBorder="1"/>
    <xf numFmtId="0" fontId="19" fillId="0" borderId="24" xfId="0" applyFont="1" applyBorder="1"/>
    <xf numFmtId="1" fontId="20" fillId="0" borderId="26" xfId="0" applyNumberFormat="1" applyFont="1" applyBorder="1" applyAlignment="1">
      <alignment horizontal="left"/>
    </xf>
    <xf numFmtId="1" fontId="20" fillId="0" borderId="26" xfId="0" applyNumberFormat="1" applyFont="1" applyBorder="1"/>
    <xf numFmtId="0" fontId="20" fillId="0" borderId="27" xfId="0" applyFont="1" applyBorder="1"/>
    <xf numFmtId="0" fontId="20" fillId="0" borderId="10" xfId="0" applyFont="1" applyBorder="1"/>
    <xf numFmtId="1" fontId="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/>
    <xf numFmtId="0" fontId="3" fillId="0" borderId="1" xfId="0" applyFont="1" applyBorder="1"/>
    <xf numFmtId="1" fontId="7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horizontal="left"/>
    </xf>
    <xf numFmtId="2" fontId="22" fillId="0" borderId="1" xfId="6" applyNumberFormat="1" applyFont="1" applyFill="1" applyBorder="1" applyAlignment="1">
      <alignment horizontal="center"/>
    </xf>
    <xf numFmtId="0" fontId="23" fillId="0" borderId="1" xfId="0" applyFont="1" applyBorder="1"/>
    <xf numFmtId="1" fontId="6" fillId="0" borderId="10" xfId="0" applyNumberFormat="1" applyFont="1" applyBorder="1" applyAlignment="1">
      <alignment horizontal="left"/>
    </xf>
    <xf numFmtId="1" fontId="1" fillId="0" borderId="10" xfId="0" applyNumberFormat="1" applyFont="1" applyBorder="1" applyAlignment="1">
      <alignment horizontal="left"/>
    </xf>
    <xf numFmtId="0" fontId="23" fillId="0" borderId="1" xfId="0" applyFont="1" applyBorder="1" applyAlignment="1">
      <alignment horizontal="justify" vertical="center"/>
    </xf>
    <xf numFmtId="1" fontId="1" fillId="0" borderId="1" xfId="0" applyNumberFormat="1" applyFont="1" applyBorder="1" applyAlignment="1">
      <alignment vertical="center"/>
    </xf>
    <xf numFmtId="0" fontId="1" fillId="3" borderId="9" xfId="0" applyFont="1" applyFill="1" applyBorder="1"/>
    <xf numFmtId="1" fontId="8" fillId="6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1" fontId="1" fillId="7" borderId="1" xfId="0" applyNumberFormat="1" applyFont="1" applyFill="1" applyBorder="1" applyAlignment="1">
      <alignment horizontal="left"/>
    </xf>
    <xf numFmtId="165" fontId="1" fillId="7" borderId="1" xfId="0" applyNumberFormat="1" applyFont="1" applyFill="1" applyBorder="1"/>
    <xf numFmtId="0" fontId="1" fillId="5" borderId="1" xfId="0" applyFont="1" applyFill="1" applyBorder="1"/>
    <xf numFmtId="2" fontId="1" fillId="3" borderId="1" xfId="0" applyNumberFormat="1" applyFont="1" applyFill="1" applyBorder="1" applyAlignment="1">
      <alignment horizontal="left"/>
    </xf>
    <xf numFmtId="0" fontId="1" fillId="8" borderId="1" xfId="0" applyFont="1" applyFill="1" applyBorder="1"/>
    <xf numFmtId="1" fontId="1" fillId="0" borderId="0" xfId="0" quotePrefix="1" applyNumberFormat="1" applyFont="1" applyAlignment="1">
      <alignment horizontal="center"/>
    </xf>
    <xf numFmtId="2" fontId="2" fillId="0" borderId="0" xfId="0" quotePrefix="1" applyNumberFormat="1" applyFont="1"/>
    <xf numFmtId="0" fontId="8" fillId="0" borderId="1" xfId="0" applyFon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49" fontId="1" fillId="0" borderId="0" xfId="0" quotePrefix="1" applyNumberFormat="1" applyFont="1"/>
    <xf numFmtId="0" fontId="24" fillId="0" borderId="0" xfId="0" applyFont="1"/>
    <xf numFmtId="1" fontId="25" fillId="0" borderId="0" xfId="0" applyNumberFormat="1" applyFont="1" applyAlignment="1">
      <alignment horizontal="left"/>
    </xf>
    <xf numFmtId="0" fontId="25" fillId="0" borderId="0" xfId="0" applyFont="1"/>
    <xf numFmtId="0" fontId="2" fillId="3" borderId="0" xfId="0" applyFont="1" applyFill="1"/>
    <xf numFmtId="1" fontId="1" fillId="0" borderId="9" xfId="0" applyNumberFormat="1" applyFont="1" applyBorder="1"/>
    <xf numFmtId="1" fontId="0" fillId="0" borderId="0" xfId="0" applyNumberFormat="1" applyAlignment="1">
      <alignment horizontal="left"/>
    </xf>
    <xf numFmtId="0" fontId="1" fillId="0" borderId="1" xfId="0" applyFont="1" applyBorder="1" applyAlignment="1">
      <alignment horizontal="right"/>
    </xf>
    <xf numFmtId="2" fontId="26" fillId="0" borderId="0" xfId="0" applyNumberFormat="1" applyFont="1" applyAlignment="1">
      <alignment horizontal="right"/>
    </xf>
    <xf numFmtId="2" fontId="26" fillId="0" borderId="0" xfId="0" applyNumberFormat="1" applyFont="1" applyAlignment="1">
      <alignment horizontal="left"/>
    </xf>
    <xf numFmtId="49" fontId="26" fillId="0" borderId="0" xfId="0" applyNumberFormat="1" applyFont="1" applyAlignment="1">
      <alignment horizontal="right"/>
    </xf>
    <xf numFmtId="49" fontId="9" fillId="0" borderId="0" xfId="5" applyNumberFormat="1" applyFont="1" applyAlignment="1">
      <alignment horizontal="left" vertical="center"/>
    </xf>
    <xf numFmtId="49" fontId="1" fillId="0" borderId="0" xfId="5" applyNumberFormat="1" applyFont="1"/>
    <xf numFmtId="49" fontId="13" fillId="0" borderId="0" xfId="5" applyNumberFormat="1" applyFont="1" applyAlignment="1">
      <alignment horizontal="left"/>
    </xf>
    <xf numFmtId="0" fontId="27" fillId="0" borderId="0" xfId="0" applyFont="1"/>
    <xf numFmtId="0" fontId="28" fillId="0" borderId="7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9" fontId="1" fillId="0" borderId="0" xfId="0" applyNumberFormat="1" applyFont="1"/>
    <xf numFmtId="173" fontId="26" fillId="0" borderId="0" xfId="0" applyNumberFormat="1" applyFont="1" applyAlignment="1">
      <alignment horizontal="left"/>
    </xf>
    <xf numFmtId="0" fontId="9" fillId="0" borderId="0" xfId="0" applyFont="1" applyAlignment="1">
      <alignment horizontal="right" vertical="center"/>
    </xf>
    <xf numFmtId="9" fontId="9" fillId="0" borderId="0" xfId="0" applyNumberFormat="1" applyFont="1" applyAlignment="1">
      <alignment horizontal="left" vertical="center"/>
    </xf>
    <xf numFmtId="9" fontId="1" fillId="0" borderId="15" xfId="0" applyNumberFormat="1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1" fillId="0" borderId="17" xfId="0" applyFont="1" applyBorder="1"/>
    <xf numFmtId="2" fontId="1" fillId="0" borderId="17" xfId="0" applyNumberFormat="1" applyFont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0" fontId="1" fillId="0" borderId="1" xfId="0" applyNumberFormat="1" applyFont="1" applyBorder="1"/>
    <xf numFmtId="10" fontId="1" fillId="0" borderId="1" xfId="0" quotePrefix="1" applyNumberFormat="1" applyFont="1" applyBorder="1"/>
    <xf numFmtId="9" fontId="1" fillId="0" borderId="1" xfId="0" quotePrefix="1" applyNumberFormat="1" applyFont="1" applyBorder="1"/>
    <xf numFmtId="2" fontId="0" fillId="3" borderId="0" xfId="0" applyNumberFormat="1" applyFill="1"/>
    <xf numFmtId="0" fontId="1" fillId="0" borderId="1" xfId="0" applyFont="1" applyBorder="1" applyAlignment="1">
      <alignment horizontal="right" wrapText="1"/>
    </xf>
    <xf numFmtId="0" fontId="1" fillId="9" borderId="1" xfId="0" applyFont="1" applyFill="1" applyBorder="1"/>
    <xf numFmtId="0" fontId="1" fillId="9" borderId="1" xfId="0" applyFont="1" applyFill="1" applyBorder="1" applyAlignment="1">
      <alignment wrapText="1"/>
    </xf>
    <xf numFmtId="0" fontId="1" fillId="0" borderId="9" xfId="0" applyFont="1" applyBorder="1" applyAlignment="1">
      <alignment horizontal="right" wrapText="1"/>
    </xf>
    <xf numFmtId="10" fontId="1" fillId="0" borderId="0" xfId="0" applyNumberFormat="1" applyFont="1"/>
    <xf numFmtId="10" fontId="1" fillId="0" borderId="0" xfId="0" quotePrefix="1" applyNumberFormat="1" applyFont="1"/>
    <xf numFmtId="9" fontId="1" fillId="0" borderId="0" xfId="0" quotePrefix="1" applyNumberFormat="1" applyFont="1"/>
    <xf numFmtId="2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5" fontId="1" fillId="0" borderId="0" xfId="3" applyNumberFormat="1" applyFont="1"/>
    <xf numFmtId="0" fontId="1" fillId="0" borderId="0" xfId="3" applyFont="1" applyAlignment="1">
      <alignment horizontal="left"/>
    </xf>
    <xf numFmtId="0" fontId="21" fillId="0" borderId="0" xfId="0" applyFont="1" applyAlignment="1">
      <alignment horizontal="left"/>
    </xf>
    <xf numFmtId="1" fontId="6" fillId="0" borderId="5" xfId="11" applyNumberFormat="1" applyFont="1" applyBorder="1" applyAlignment="1">
      <alignment horizontal="left"/>
    </xf>
    <xf numFmtId="0" fontId="1" fillId="0" borderId="1" xfId="11" applyFont="1" applyBorder="1"/>
    <xf numFmtId="1" fontId="6" fillId="0" borderId="1" xfId="11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2" fontId="1" fillId="0" borderId="1" xfId="3" applyNumberFormat="1" applyFont="1" applyBorder="1" applyAlignment="1">
      <alignment horizontal="center"/>
    </xf>
    <xf numFmtId="1" fontId="6" fillId="0" borderId="1" xfId="11" applyNumberFormat="1" applyFont="1" applyBorder="1" applyAlignment="1">
      <alignment horizontal="center"/>
    </xf>
    <xf numFmtId="1" fontId="6" fillId="0" borderId="5" xfId="11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right"/>
    </xf>
    <xf numFmtId="1" fontId="1" fillId="0" borderId="9" xfId="0" quotePrefix="1" applyNumberFormat="1" applyFont="1" applyBorder="1"/>
    <xf numFmtId="0" fontId="1" fillId="5" borderId="9" xfId="0" applyFont="1" applyFill="1" applyBorder="1" applyAlignment="1">
      <alignment horizontal="left"/>
    </xf>
    <xf numFmtId="0" fontId="1" fillId="0" borderId="11" xfId="3" applyFont="1" applyBorder="1" applyAlignment="1">
      <alignment horizontal="left"/>
    </xf>
    <xf numFmtId="0" fontId="1" fillId="0" borderId="1" xfId="11" applyFont="1" applyBorder="1" applyAlignment="1">
      <alignment horizontal="left"/>
    </xf>
    <xf numFmtId="172" fontId="1" fillId="0" borderId="1" xfId="8" applyNumberFormat="1" applyFont="1" applyBorder="1" applyAlignment="1">
      <alignment horizontal="right"/>
    </xf>
    <xf numFmtId="2" fontId="13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left"/>
    </xf>
    <xf numFmtId="2" fontId="1" fillId="0" borderId="9" xfId="8" applyNumberFormat="1" applyFont="1" applyBorder="1"/>
    <xf numFmtId="0" fontId="7" fillId="0" borderId="1" xfId="0" applyFont="1" applyBorder="1" applyAlignment="1">
      <alignment horizontal="right"/>
    </xf>
    <xf numFmtId="0" fontId="1" fillId="9" borderId="1" xfId="0" applyFont="1" applyFill="1" applyBorder="1" applyAlignment="1">
      <alignment horizontal="left"/>
    </xf>
    <xf numFmtId="2" fontId="7" fillId="0" borderId="1" xfId="0" applyNumberFormat="1" applyFont="1" applyBorder="1" applyAlignment="1">
      <alignment horizontal="right"/>
    </xf>
    <xf numFmtId="0" fontId="1" fillId="10" borderId="15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168" fontId="1" fillId="10" borderId="16" xfId="0" applyNumberFormat="1" applyFont="1" applyFill="1" applyBorder="1" applyAlignment="1">
      <alignment horizontal="center" vertical="center"/>
    </xf>
    <xf numFmtId="0" fontId="1" fillId="10" borderId="16" xfId="0" quotePrefix="1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10" fontId="1" fillId="10" borderId="17" xfId="0" applyNumberFormat="1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10" borderId="0" xfId="0" applyFont="1" applyFill="1" applyAlignment="1" applyProtection="1">
      <alignment horizontal="left"/>
      <protection locked="0"/>
    </xf>
    <xf numFmtId="2" fontId="1" fillId="10" borderId="1" xfId="0" quotePrefix="1" applyNumberFormat="1" applyFont="1" applyFill="1" applyBorder="1"/>
    <xf numFmtId="10" fontId="1" fillId="10" borderId="1" xfId="6" quotePrefix="1" applyNumberFormat="1" applyFont="1" applyFill="1" applyBorder="1"/>
    <xf numFmtId="2" fontId="1" fillId="10" borderId="0" xfId="0" quotePrefix="1" applyNumberFormat="1" applyFont="1" applyFill="1"/>
    <xf numFmtId="0" fontId="1" fillId="10" borderId="0" xfId="0" applyFont="1" applyFill="1"/>
    <xf numFmtId="10" fontId="1" fillId="10" borderId="22" xfId="6" quotePrefix="1" applyNumberFormat="1" applyFont="1" applyFill="1" applyBorder="1"/>
    <xf numFmtId="0" fontId="8" fillId="9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0" fontId="1" fillId="11" borderId="1" xfId="0" applyFont="1" applyFill="1" applyBorder="1"/>
    <xf numFmtId="0" fontId="11" fillId="0" borderId="0" xfId="0" applyFont="1"/>
    <xf numFmtId="2" fontId="1" fillId="3" borderId="1" xfId="0" applyNumberFormat="1" applyFont="1" applyFill="1" applyBorder="1"/>
    <xf numFmtId="1" fontId="20" fillId="0" borderId="0" xfId="0" applyNumberFormat="1" applyFont="1" applyAlignment="1">
      <alignment horizontal="right"/>
    </xf>
    <xf numFmtId="0" fontId="1" fillId="0" borderId="9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1" fillId="3" borderId="9" xfId="0" applyFont="1" applyFill="1" applyBorder="1" applyAlignment="1">
      <alignment horizontal="right"/>
    </xf>
    <xf numFmtId="0" fontId="1" fillId="3" borderId="1" xfId="0" applyFont="1" applyFill="1" applyBorder="1"/>
    <xf numFmtId="0" fontId="7" fillId="0" borderId="9" xfId="0" applyFont="1" applyBorder="1" applyAlignment="1">
      <alignment horizontal="left"/>
    </xf>
    <xf numFmtId="49" fontId="2" fillId="10" borderId="1" xfId="0" applyNumberFormat="1" applyFont="1" applyFill="1" applyBorder="1" applyAlignment="1">
      <alignment horizontal="left"/>
    </xf>
    <xf numFmtId="1" fontId="1" fillId="0" borderId="0" xfId="0" applyNumberFormat="1" applyFont="1" applyAlignment="1">
      <alignment vertical="center"/>
    </xf>
    <xf numFmtId="49" fontId="1" fillId="6" borderId="1" xfId="0" applyNumberFormat="1" applyFont="1" applyFill="1" applyBorder="1"/>
    <xf numFmtId="49" fontId="1" fillId="0" borderId="1" xfId="0" applyNumberFormat="1" applyFont="1" applyBorder="1" applyAlignment="1">
      <alignment horizontal="left"/>
    </xf>
    <xf numFmtId="1" fontId="2" fillId="0" borderId="0" xfId="0" applyNumberFormat="1" applyFont="1" applyAlignment="1">
      <alignment vertical="center"/>
    </xf>
    <xf numFmtId="0" fontId="16" fillId="5" borderId="0" xfId="0" applyFont="1" applyFill="1" applyAlignment="1" applyProtection="1">
      <alignment horizontal="left"/>
      <protection locked="0"/>
    </xf>
    <xf numFmtId="0" fontId="16" fillId="10" borderId="0" xfId="0" applyFont="1" applyFill="1" applyAlignment="1" applyProtection="1">
      <alignment horizontal="left"/>
      <protection locked="0"/>
    </xf>
    <xf numFmtId="2" fontId="2" fillId="10" borderId="0" xfId="0" quotePrefix="1" applyNumberFormat="1" applyFont="1" applyFill="1"/>
    <xf numFmtId="2" fontId="1" fillId="0" borderId="1" xfId="13" applyNumberFormat="1" applyFont="1" applyFill="1" applyBorder="1"/>
    <xf numFmtId="16" fontId="1" fillId="0" borderId="1" xfId="0" applyNumberFormat="1" applyFont="1" applyBorder="1" applyAlignment="1">
      <alignment horizontal="left"/>
    </xf>
    <xf numFmtId="17" fontId="1" fillId="0" borderId="0" xfId="0" applyNumberFormat="1" applyFont="1" applyAlignment="1">
      <alignment horizontal="left"/>
    </xf>
    <xf numFmtId="17" fontId="1" fillId="0" borderId="0" xfId="0" quotePrefix="1" applyNumberFormat="1" applyFont="1" applyAlignment="1">
      <alignment horizontal="left"/>
    </xf>
    <xf numFmtId="1" fontId="1" fillId="0" borderId="0" xfId="0" quotePrefix="1" applyNumberFormat="1" applyFont="1"/>
    <xf numFmtId="1" fontId="14" fillId="0" borderId="0" xfId="0" applyNumberFormat="1" applyFont="1" applyAlignment="1">
      <alignment horizontal="left"/>
    </xf>
    <xf numFmtId="17" fontId="1" fillId="10" borderId="16" xfId="0" applyNumberFormat="1" applyFont="1" applyFill="1" applyBorder="1" applyAlignment="1">
      <alignment horizontal="center" vertical="center"/>
    </xf>
    <xf numFmtId="2" fontId="1" fillId="12" borderId="1" xfId="0" quotePrefix="1" applyNumberFormat="1" applyFont="1" applyFill="1" applyBorder="1"/>
    <xf numFmtId="2" fontId="1" fillId="12" borderId="1" xfId="0" applyNumberFormat="1" applyFont="1" applyFill="1" applyBorder="1"/>
    <xf numFmtId="14" fontId="1" fillId="0" borderId="0" xfId="0" applyNumberFormat="1" applyFont="1"/>
    <xf numFmtId="14" fontId="9" fillId="0" borderId="0" xfId="0" applyNumberFormat="1" applyFont="1" applyAlignment="1">
      <alignment horizontal="left" vertical="center"/>
    </xf>
    <xf numFmtId="1" fontId="6" fillId="0" borderId="1" xfId="14" applyNumberFormat="1" applyFont="1" applyBorder="1" applyAlignment="1">
      <alignment horizontal="left"/>
    </xf>
    <xf numFmtId="0" fontId="6" fillId="0" borderId="9" xfId="14" applyFont="1" applyBorder="1"/>
    <xf numFmtId="0" fontId="1" fillId="0" borderId="22" xfId="0" applyFont="1" applyBorder="1" applyAlignment="1">
      <alignment horizontal="left"/>
    </xf>
    <xf numFmtId="1" fontId="1" fillId="0" borderId="22" xfId="0" applyNumberFormat="1" applyFont="1" applyBorder="1" applyAlignment="1">
      <alignment horizontal="left" wrapText="1"/>
    </xf>
    <xf numFmtId="1" fontId="1" fillId="0" borderId="22" xfId="0" applyNumberFormat="1" applyFont="1" applyBorder="1" applyAlignment="1">
      <alignment horizontal="right"/>
    </xf>
    <xf numFmtId="1" fontId="6" fillId="0" borderId="1" xfId="11" quotePrefix="1" applyNumberFormat="1" applyFont="1" applyBorder="1" applyAlignment="1">
      <alignment horizontal="center"/>
    </xf>
    <xf numFmtId="2" fontId="7" fillId="12" borderId="1" xfId="0" applyNumberFormat="1" applyFont="1" applyFill="1" applyBorder="1" applyAlignment="1">
      <alignment horizontal="right"/>
    </xf>
    <xf numFmtId="1" fontId="14" fillId="0" borderId="0" xfId="0" applyNumberFormat="1" applyFont="1"/>
    <xf numFmtId="0" fontId="20" fillId="0" borderId="0" xfId="0" applyFont="1" applyAlignment="1">
      <alignment horizontal="right"/>
    </xf>
    <xf numFmtId="2" fontId="20" fillId="0" borderId="0" xfId="0" applyNumberFormat="1" applyFont="1"/>
    <xf numFmtId="0" fontId="14" fillId="0" borderId="0" xfId="3" applyFont="1" applyAlignment="1">
      <alignment horizontal="left"/>
    </xf>
    <xf numFmtId="2" fontId="1" fillId="3" borderId="1" xfId="8" applyNumberFormat="1" applyFont="1" applyFill="1" applyBorder="1"/>
    <xf numFmtId="0" fontId="1" fillId="3" borderId="9" xfId="0" applyFont="1" applyFill="1" applyBorder="1" applyAlignment="1">
      <alignment horizontal="right" wrapText="1"/>
    </xf>
    <xf numFmtId="2" fontId="7" fillId="0" borderId="1" xfId="0" applyNumberFormat="1" applyFont="1" applyBorder="1"/>
    <xf numFmtId="2" fontId="2" fillId="0" borderId="1" xfId="0" applyNumberFormat="1" applyFont="1" applyBorder="1"/>
    <xf numFmtId="171" fontId="3" fillId="0" borderId="0" xfId="0" applyNumberFormat="1" applyFont="1" applyAlignment="1">
      <alignment horizontal="left"/>
    </xf>
    <xf numFmtId="170" fontId="3" fillId="0" borderId="0" xfId="0" applyNumberFormat="1" applyFont="1" applyAlignment="1">
      <alignment horizontal="left"/>
    </xf>
    <xf numFmtId="2" fontId="1" fillId="12" borderId="0" xfId="0" quotePrefix="1" applyNumberFormat="1" applyFont="1" applyFill="1"/>
    <xf numFmtId="16" fontId="2" fillId="0" borderId="0" xfId="0" applyNumberFormat="1" applyFont="1"/>
    <xf numFmtId="0" fontId="2" fillId="0" borderId="0" xfId="0" quotePrefix="1" applyFont="1"/>
    <xf numFmtId="10" fontId="2" fillId="10" borderId="1" xfId="6" quotePrefix="1" applyNumberFormat="1" applyFont="1" applyFill="1" applyBorder="1"/>
    <xf numFmtId="0" fontId="2" fillId="10" borderId="0" xfId="0" applyFont="1" applyFill="1"/>
    <xf numFmtId="10" fontId="2" fillId="10" borderId="22" xfId="6" quotePrefix="1" applyNumberFormat="1" applyFont="1" applyFill="1" applyBorder="1"/>
    <xf numFmtId="1" fontId="30" fillId="0" borderId="1" xfId="15" applyNumberFormat="1" applyFont="1" applyBorder="1" applyAlignment="1">
      <alignment horizontal="left"/>
    </xf>
    <xf numFmtId="0" fontId="7" fillId="0" borderId="10" xfId="0" applyFont="1" applyBorder="1"/>
    <xf numFmtId="0" fontId="6" fillId="0" borderId="9" xfId="14" applyFont="1" applyBorder="1" applyAlignment="1">
      <alignment horizontal="left"/>
    </xf>
    <xf numFmtId="2" fontId="7" fillId="3" borderId="1" xfId="0" applyNumberFormat="1" applyFont="1" applyFill="1" applyBorder="1"/>
    <xf numFmtId="0" fontId="7" fillId="0" borderId="10" xfId="0" applyFont="1" applyBorder="1" applyAlignment="1">
      <alignment horizontal="left"/>
    </xf>
    <xf numFmtId="2" fontId="1" fillId="0" borderId="1" xfId="8" applyNumberFormat="1" applyFont="1" applyBorder="1" applyAlignment="1">
      <alignment horizontal="right"/>
    </xf>
    <xf numFmtId="0" fontId="3" fillId="12" borderId="0" xfId="0" applyFont="1" applyFill="1" applyAlignment="1" applyProtection="1">
      <alignment horizontal="left"/>
      <protection locked="0"/>
    </xf>
    <xf numFmtId="2" fontId="7" fillId="12" borderId="1" xfId="0" applyNumberFormat="1" applyFont="1" applyFill="1" applyBorder="1"/>
    <xf numFmtId="2" fontId="1" fillId="12" borderId="9" xfId="0" applyNumberFormat="1" applyFont="1" applyFill="1" applyBorder="1"/>
    <xf numFmtId="2" fontId="2" fillId="12" borderId="0" xfId="0" quotePrefix="1" applyNumberFormat="1" applyFont="1" applyFill="1"/>
    <xf numFmtId="2" fontId="1" fillId="12" borderId="1" xfId="8" applyNumberFormat="1" applyFont="1" applyFill="1" applyBorder="1"/>
    <xf numFmtId="2" fontId="1" fillId="12" borderId="9" xfId="0" quotePrefix="1" applyNumberFormat="1" applyFont="1" applyFill="1" applyBorder="1"/>
    <xf numFmtId="0" fontId="19" fillId="0" borderId="0" xfId="0" applyFont="1"/>
    <xf numFmtId="1" fontId="20" fillId="0" borderId="0" xfId="0" applyNumberFormat="1" applyFont="1" applyAlignment="1">
      <alignment horizontal="left"/>
    </xf>
    <xf numFmtId="1" fontId="20" fillId="0" borderId="0" xfId="0" applyNumberFormat="1" applyFont="1"/>
    <xf numFmtId="0" fontId="1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1" fillId="0" borderId="0" xfId="0" quotePrefix="1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14" fillId="0" borderId="0" xfId="3" applyNumberFormat="1" applyFont="1"/>
    <xf numFmtId="165" fontId="3" fillId="0" borderId="0" xfId="0" applyNumberFormat="1" applyFont="1"/>
    <xf numFmtId="0" fontId="20" fillId="0" borderId="0" xfId="0" quotePrefix="1" applyFont="1" applyAlignment="1">
      <alignment horizontal="left"/>
    </xf>
    <xf numFmtId="172" fontId="1" fillId="0" borderId="0" xfId="0" applyNumberFormat="1" applyFont="1"/>
    <xf numFmtId="2" fontId="1" fillId="10" borderId="1" xfId="0" applyNumberFormat="1" applyFont="1" applyFill="1" applyBorder="1"/>
    <xf numFmtId="2" fontId="1" fillId="10" borderId="1" xfId="8" applyNumberFormat="1" applyFont="1" applyFill="1" applyBorder="1"/>
    <xf numFmtId="2" fontId="7" fillId="10" borderId="1" xfId="0" applyNumberFormat="1" applyFont="1" applyFill="1" applyBorder="1" applyAlignment="1">
      <alignment horizontal="right"/>
    </xf>
    <xf numFmtId="2" fontId="7" fillId="10" borderId="1" xfId="0" applyNumberFormat="1" applyFont="1" applyFill="1" applyBorder="1"/>
    <xf numFmtId="2" fontId="1" fillId="10" borderId="9" xfId="0" applyNumberFormat="1" applyFont="1" applyFill="1" applyBorder="1"/>
    <xf numFmtId="1" fontId="14" fillId="0" borderId="0" xfId="0" applyNumberFormat="1" applyFont="1" applyAlignment="1">
      <alignment horizontal="center" vertical="center"/>
    </xf>
    <xf numFmtId="1" fontId="14" fillId="0" borderId="0" xfId="0" quotePrefix="1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1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left"/>
    </xf>
    <xf numFmtId="1" fontId="1" fillId="0" borderId="1" xfId="6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6">
    <cellStyle name="Millares" xfId="13" builtinId="3"/>
    <cellStyle name="MONE" xfId="1" xr:uid="{00000000-0005-0000-0000-000000000000}"/>
    <cellStyle name="Moneda 2" xfId="2" xr:uid="{00000000-0005-0000-0000-000001000000}"/>
    <cellStyle name="Moneda 4" xfId="12" xr:uid="{70665EF7-E261-445A-9FAB-B2F749069BFC}"/>
    <cellStyle name="Normal" xfId="0" builtinId="0"/>
    <cellStyle name="Normal 10" xfId="14" xr:uid="{3DA43C8B-A6A7-4333-BFA1-F4CCD8A4E3B5}"/>
    <cellStyle name="Normal 2" xfId="3" xr:uid="{00000000-0005-0000-0000-000003000000}"/>
    <cellStyle name="Normal 2 3" xfId="8" xr:uid="{00000000-0005-0000-0000-000004000000}"/>
    <cellStyle name="Normal 3" xfId="4" xr:uid="{00000000-0005-0000-0000-000005000000}"/>
    <cellStyle name="Normal 3 2" xfId="11" xr:uid="{F95E92BA-891B-43BB-B954-2DED495FB843}"/>
    <cellStyle name="Normal 4" xfId="5" xr:uid="{00000000-0005-0000-0000-000006000000}"/>
    <cellStyle name="Normal 5" xfId="7" xr:uid="{00000000-0005-0000-0000-000007000000}"/>
    <cellStyle name="Normal 9" xfId="9" xr:uid="{00000000-0005-0000-0000-000008000000}"/>
    <cellStyle name="Normal_Hoja1" xfId="15" xr:uid="{2786521B-1EA7-4A76-A424-4E6441F1211F}"/>
    <cellStyle name="Porcentaje 3" xfId="6" xr:uid="{00000000-0005-0000-0000-000009000000}"/>
    <cellStyle name="Porcentaje 3 2" xfId="10" xr:uid="{00000000-0005-0000-0000-00000A000000}"/>
  </cellStyles>
  <dxfs count="0"/>
  <tableStyles count="0" defaultTableStyle="TableStyleMedium2" defaultPivotStyle="PivotStyleLight16"/>
  <colors>
    <mruColors>
      <color rgb="FFF2DCDB"/>
      <color rgb="FFFFFF99"/>
      <color rgb="FFFF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b05169b82970c7c/Desktop/Venta%20anual%20octubre%2025%2026.xlsx" TargetMode="External"/><Relationship Id="rId1" Type="http://schemas.openxmlformats.org/officeDocument/2006/relationships/externalLinkPath" Target="https://d.docs.live.net/ab05169b82970c7c/Desktop/Venta%20anual%20octubre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"/>
      <sheetName val="ORIGINAL (2)"/>
    </sheetNames>
    <sheetDataSet>
      <sheetData sheetId="0"/>
      <sheetData sheetId="1">
        <row r="11">
          <cell r="A11" t="str">
            <v>Id Artículo</v>
          </cell>
          <cell r="B11" t="str">
            <v>Título</v>
          </cell>
          <cell r="C11" t="str">
            <v>Cantidad</v>
          </cell>
        </row>
        <row r="12">
          <cell r="A12">
            <v>732485</v>
          </cell>
          <cell r="B12" t="str">
            <v>¡ACA ESTOY! BALLENITA</v>
          </cell>
          <cell r="C12">
            <v>797</v>
          </cell>
        </row>
        <row r="13">
          <cell r="A13">
            <v>732486</v>
          </cell>
          <cell r="B13" t="str">
            <v>¡ACA ESTOY! VAQUITA</v>
          </cell>
          <cell r="C13">
            <v>1783</v>
          </cell>
        </row>
        <row r="14">
          <cell r="A14">
            <v>741691</v>
          </cell>
          <cell r="B14" t="str">
            <v>¿COMO SE LO DIGO?</v>
          </cell>
          <cell r="C14">
            <v>1970</v>
          </cell>
        </row>
        <row r="15">
          <cell r="A15">
            <v>717947</v>
          </cell>
          <cell r="B15" t="str">
            <v>¿Y SI NOS CALMAMOS?</v>
          </cell>
          <cell r="C15">
            <v>35</v>
          </cell>
        </row>
        <row r="16">
          <cell r="A16">
            <v>734152</v>
          </cell>
          <cell r="B16" t="str">
            <v>100 HISTORIAS DE LA BIBLIA</v>
          </cell>
          <cell r="C16">
            <v>1493</v>
          </cell>
        </row>
        <row r="17">
          <cell r="A17">
            <v>744141</v>
          </cell>
          <cell r="B17" t="str">
            <v>100 MENSAJES PARA NIÑOS FELICES</v>
          </cell>
          <cell r="C17">
            <v>818</v>
          </cell>
        </row>
        <row r="18">
          <cell r="A18">
            <v>625422</v>
          </cell>
          <cell r="B18" t="str">
            <v>1000 VENTANAS PARA DESCUBRIR LA CASA</v>
          </cell>
          <cell r="C18">
            <v>322</v>
          </cell>
        </row>
        <row r="19">
          <cell r="A19">
            <v>625423</v>
          </cell>
          <cell r="B19" t="str">
            <v>1000 VENTANAS PARA DESCUBRIR LA CIUDAD</v>
          </cell>
          <cell r="C19">
            <v>258</v>
          </cell>
        </row>
        <row r="20">
          <cell r="A20">
            <v>653546</v>
          </cell>
          <cell r="B20" t="str">
            <v>1000 VENTANAS PARA DESCUBRIR LA ESCUELA</v>
          </cell>
          <cell r="C20">
            <v>327</v>
          </cell>
        </row>
        <row r="21">
          <cell r="A21">
            <v>653547</v>
          </cell>
          <cell r="B21" t="str">
            <v>1000 VENTANAS PARA DESCUBRIR LOS ANIMALES</v>
          </cell>
          <cell r="C21">
            <v>59</v>
          </cell>
        </row>
        <row r="22">
          <cell r="A22">
            <v>637754</v>
          </cell>
          <cell r="B22" t="str">
            <v>101 DALMATAS</v>
          </cell>
          <cell r="C22">
            <v>6</v>
          </cell>
        </row>
        <row r="23">
          <cell r="A23">
            <v>198548</v>
          </cell>
          <cell r="B23" t="str">
            <v>20 GRANDES CONSPIRACIONES DE LA HISTORIA</v>
          </cell>
          <cell r="C23">
            <v>19</v>
          </cell>
        </row>
        <row r="24">
          <cell r="A24">
            <v>729380</v>
          </cell>
          <cell r="B24" t="str">
            <v>400 PREGUNTAS Y RESPUESTAS SOBRE FORMULA 1</v>
          </cell>
          <cell r="C24">
            <v>237</v>
          </cell>
        </row>
        <row r="25">
          <cell r="A25">
            <v>711851</v>
          </cell>
          <cell r="B25" t="str">
            <v>400 PREGUNTAS Y RESPUESTAS SOBRE FUTBOL</v>
          </cell>
          <cell r="C25">
            <v>442</v>
          </cell>
        </row>
        <row r="26">
          <cell r="A26">
            <v>717946</v>
          </cell>
          <cell r="B26" t="str">
            <v>400 PREGUNTAS Y RESPUESTAS SOBRE LOS JUEGOS OLIMPICOS</v>
          </cell>
          <cell r="C26">
            <v>20</v>
          </cell>
        </row>
        <row r="27">
          <cell r="A27">
            <v>682011</v>
          </cell>
          <cell r="B27" t="str">
            <v>5 TRAMPAS DEL AMOR, LAS</v>
          </cell>
          <cell r="C27">
            <v>1</v>
          </cell>
        </row>
        <row r="28">
          <cell r="A28">
            <v>631530</v>
          </cell>
          <cell r="B28" t="str">
            <v>5 TRAMPAS DEL AMOR, LAS</v>
          </cell>
          <cell r="C28">
            <v>2</v>
          </cell>
        </row>
        <row r="29">
          <cell r="A29">
            <v>683963</v>
          </cell>
          <cell r="B29" t="str">
            <v>60 INVENTOS QUE NOS CAMBIARON LA VIDA: CUANDO LA NATURALEZA Y LA CIENCIA SE DAN LA MANO</v>
          </cell>
          <cell r="C29">
            <v>52</v>
          </cell>
        </row>
        <row r="30">
          <cell r="A30">
            <v>725181</v>
          </cell>
          <cell r="B30" t="str">
            <v>A CONTRALUZ</v>
          </cell>
          <cell r="C30">
            <v>137</v>
          </cell>
        </row>
        <row r="31">
          <cell r="A31">
            <v>676702</v>
          </cell>
          <cell r="B31" t="str">
            <v>A JUGAR CON EL ARTE</v>
          </cell>
          <cell r="C31">
            <v>162</v>
          </cell>
        </row>
        <row r="32">
          <cell r="A32">
            <v>687543</v>
          </cell>
          <cell r="B32" t="str">
            <v>A MI NO ME VA A PASAR</v>
          </cell>
          <cell r="C32">
            <v>368</v>
          </cell>
        </row>
        <row r="33">
          <cell r="A33">
            <v>696625</v>
          </cell>
          <cell r="B33" t="str">
            <v>A OTRO LUGAR</v>
          </cell>
          <cell r="C33">
            <v>45</v>
          </cell>
        </row>
        <row r="34">
          <cell r="A34">
            <v>704438</v>
          </cell>
          <cell r="B34" t="str">
            <v>A PINTAR CON LA VACA PACA</v>
          </cell>
          <cell r="C34">
            <v>171</v>
          </cell>
        </row>
        <row r="35">
          <cell r="A35">
            <v>673645</v>
          </cell>
          <cell r="B35" t="str">
            <v>A(R)MAME</v>
          </cell>
          <cell r="C35">
            <v>559</v>
          </cell>
        </row>
        <row r="36">
          <cell r="A36">
            <v>740153</v>
          </cell>
          <cell r="B36" t="str">
            <v>ABUELAS</v>
          </cell>
          <cell r="C36">
            <v>708</v>
          </cell>
        </row>
        <row r="37">
          <cell r="A37">
            <v>617594</v>
          </cell>
          <cell r="B37" t="str">
            <v>ACEITE DE OLIVA ASTUTO, EL</v>
          </cell>
          <cell r="C37">
            <v>5</v>
          </cell>
        </row>
        <row r="38">
          <cell r="A38">
            <v>730436</v>
          </cell>
          <cell r="B38" t="str">
            <v>ADN DE CAMPEON</v>
          </cell>
          <cell r="C38">
            <v>181</v>
          </cell>
        </row>
        <row r="39">
          <cell r="A39">
            <v>710538</v>
          </cell>
          <cell r="B39" t="str">
            <v>ADN DE EMPRENDEDORA</v>
          </cell>
          <cell r="C39">
            <v>458</v>
          </cell>
        </row>
        <row r="40">
          <cell r="A40">
            <v>741699</v>
          </cell>
          <cell r="B40" t="str">
            <v>AFRODITA</v>
          </cell>
          <cell r="C40">
            <v>819</v>
          </cell>
        </row>
        <row r="41">
          <cell r="A41">
            <v>742448</v>
          </cell>
          <cell r="B41" t="str">
            <v>AFRODITA + BOLSA</v>
          </cell>
          <cell r="C41">
            <v>249</v>
          </cell>
        </row>
        <row r="42">
          <cell r="A42">
            <v>632045</v>
          </cell>
          <cell r="B42" t="str">
            <v>AGATHA</v>
          </cell>
          <cell r="C42">
            <v>72</v>
          </cell>
        </row>
        <row r="43">
          <cell r="A43">
            <v>632046</v>
          </cell>
          <cell r="B43" t="str">
            <v>AGATHA Y LA OSCURIDAD</v>
          </cell>
          <cell r="C43">
            <v>81</v>
          </cell>
        </row>
        <row r="44">
          <cell r="A44">
            <v>743071</v>
          </cell>
          <cell r="B44" t="str">
            <v>AGENDA GRAND SPLENDID</v>
          </cell>
          <cell r="C44">
            <v>236</v>
          </cell>
        </row>
        <row r="45">
          <cell r="A45">
            <v>725690</v>
          </cell>
          <cell r="B45" t="str">
            <v>AGOTADOS</v>
          </cell>
          <cell r="C45">
            <v>1067</v>
          </cell>
        </row>
        <row r="46">
          <cell r="A46">
            <v>671439</v>
          </cell>
          <cell r="B46" t="str">
            <v>AGRADECE - 48 TIPS PARA SER MAS FELIZ</v>
          </cell>
          <cell r="C46">
            <v>9</v>
          </cell>
        </row>
        <row r="47">
          <cell r="A47">
            <v>628252</v>
          </cell>
          <cell r="B47" t="str">
            <v>AL RESCATE!</v>
          </cell>
          <cell r="C47">
            <v>1</v>
          </cell>
        </row>
        <row r="48">
          <cell r="A48">
            <v>689370</v>
          </cell>
          <cell r="B48" t="str">
            <v>ALFONSO X</v>
          </cell>
          <cell r="C48">
            <v>7</v>
          </cell>
        </row>
        <row r="49">
          <cell r="A49">
            <v>511852</v>
          </cell>
          <cell r="B49" t="str">
            <v>ALIMENTACION Y DEPORTE</v>
          </cell>
          <cell r="C49">
            <v>59</v>
          </cell>
        </row>
        <row r="50">
          <cell r="A50">
            <v>682010</v>
          </cell>
          <cell r="B50" t="str">
            <v>AMANTES DE BUENOS AIRES</v>
          </cell>
          <cell r="C50">
            <v>1546</v>
          </cell>
        </row>
        <row r="51">
          <cell r="A51">
            <v>683091</v>
          </cell>
          <cell r="B51" t="str">
            <v>AMANTES DE BUENOS AIRES ¿ EBOOK</v>
          </cell>
          <cell r="C51">
            <v>1</v>
          </cell>
        </row>
        <row r="52">
          <cell r="A52">
            <v>706234</v>
          </cell>
          <cell r="B52" t="str">
            <v>AMAR CON EL ALMA</v>
          </cell>
          <cell r="C52">
            <v>787</v>
          </cell>
        </row>
        <row r="53">
          <cell r="A53">
            <v>747595</v>
          </cell>
          <cell r="B53" t="str">
            <v>AMARANTIA</v>
          </cell>
          <cell r="C53">
            <v>1702</v>
          </cell>
        </row>
        <row r="54">
          <cell r="A54">
            <v>747699</v>
          </cell>
          <cell r="B54" t="str">
            <v>AMARANTIA CON OBSEQUIO PREVENTA WEB</v>
          </cell>
          <cell r="C54">
            <v>248</v>
          </cell>
        </row>
        <row r="55">
          <cell r="A55">
            <v>741979</v>
          </cell>
          <cell r="B55" t="str">
            <v>AMIGOS DE LA GRANJA</v>
          </cell>
          <cell r="C55">
            <v>1582</v>
          </cell>
        </row>
        <row r="56">
          <cell r="A56">
            <v>741981</v>
          </cell>
          <cell r="B56" t="str">
            <v>AMIGOS DEL BOSQUE</v>
          </cell>
          <cell r="C56">
            <v>1206</v>
          </cell>
        </row>
        <row r="57">
          <cell r="A57">
            <v>716992</v>
          </cell>
          <cell r="B57" t="str">
            <v>AMOR DESPUES DEL DESAMOR, EL</v>
          </cell>
          <cell r="C57">
            <v>158</v>
          </cell>
        </row>
        <row r="58">
          <cell r="A58">
            <v>740161</v>
          </cell>
          <cell r="B58" t="str">
            <v>AMOR QUE DETUVO TODOS LOS RELOJES, EL</v>
          </cell>
          <cell r="C58">
            <v>745</v>
          </cell>
        </row>
        <row r="59">
          <cell r="A59">
            <v>698749</v>
          </cell>
          <cell r="B59" t="str">
            <v>AMOR REAL HUELE A TOSTADAS, EL</v>
          </cell>
          <cell r="C59">
            <v>213</v>
          </cell>
        </row>
        <row r="60">
          <cell r="A60">
            <v>87843</v>
          </cell>
          <cell r="B60" t="str">
            <v>ANATOMIA ODONTOLOGICA - FUNCIONAL Y APLICADA</v>
          </cell>
          <cell r="C60">
            <v>8</v>
          </cell>
        </row>
        <row r="61">
          <cell r="A61">
            <v>130054</v>
          </cell>
          <cell r="B61" t="str">
            <v>ANATOMIA ODONTOLOGICA - FUNCIONAL Y APLICADA - NUEVA EDICION</v>
          </cell>
          <cell r="C61">
            <v>1</v>
          </cell>
        </row>
        <row r="62">
          <cell r="A62">
            <v>731835</v>
          </cell>
          <cell r="B62" t="str">
            <v>ANIMALES CON SUPERPODERES</v>
          </cell>
          <cell r="C62">
            <v>748</v>
          </cell>
        </row>
        <row r="63">
          <cell r="A63">
            <v>690838</v>
          </cell>
          <cell r="B63" t="str">
            <v>ANIMALES DE LA GRANJA A OSCURAS</v>
          </cell>
          <cell r="C63">
            <v>17</v>
          </cell>
        </row>
        <row r="64">
          <cell r="A64">
            <v>722620</v>
          </cell>
          <cell r="B64" t="str">
            <v>ANIMALES DE LA SELVA (CON SOLAPAS)</v>
          </cell>
          <cell r="C64">
            <v>136</v>
          </cell>
        </row>
        <row r="65">
          <cell r="A65">
            <v>688424</v>
          </cell>
          <cell r="B65" t="str">
            <v>ANIMALES DE LA SELVA A OSCURAS</v>
          </cell>
          <cell r="C65">
            <v>27</v>
          </cell>
        </row>
        <row r="66">
          <cell r="A66">
            <v>722621</v>
          </cell>
          <cell r="B66" t="str">
            <v>ANIMALES DEL MAR (CON SOLAPAS)</v>
          </cell>
          <cell r="C66">
            <v>325</v>
          </cell>
        </row>
        <row r="67">
          <cell r="A67">
            <v>751243</v>
          </cell>
          <cell r="B67" t="str">
            <v>ANIMALES SALVAJES</v>
          </cell>
          <cell r="C67">
            <v>172</v>
          </cell>
        </row>
        <row r="68">
          <cell r="A68">
            <v>671440</v>
          </cell>
          <cell r="B68" t="str">
            <v>ANIMATE - 48 TIPS PARA SER MAS FELIZ</v>
          </cell>
          <cell r="C68">
            <v>9</v>
          </cell>
        </row>
        <row r="69">
          <cell r="A69">
            <v>732723</v>
          </cell>
          <cell r="B69" t="str">
            <v>ANSIEDAD</v>
          </cell>
          <cell r="C69">
            <v>1929</v>
          </cell>
        </row>
        <row r="70">
          <cell r="A70">
            <v>713926</v>
          </cell>
          <cell r="B70" t="str">
            <v>ANTEOJOS DE INTI, LOS</v>
          </cell>
          <cell r="C70">
            <v>334</v>
          </cell>
        </row>
        <row r="71">
          <cell r="A71">
            <v>711847</v>
          </cell>
          <cell r="B71" t="str">
            <v>ANTES DE ENCONTRARTE</v>
          </cell>
          <cell r="C71">
            <v>283</v>
          </cell>
        </row>
        <row r="72">
          <cell r="A72">
            <v>572863</v>
          </cell>
          <cell r="B72" t="str">
            <v>ANTOLOGIA DE CUENTO ARGENTINO</v>
          </cell>
          <cell r="C72">
            <v>1</v>
          </cell>
        </row>
        <row r="73">
          <cell r="A73">
            <v>709128</v>
          </cell>
          <cell r="B73" t="str">
            <v>ANTOLOGIA DE CUENTO CLASICO ARGENTINO</v>
          </cell>
          <cell r="C73">
            <v>482</v>
          </cell>
        </row>
        <row r="74">
          <cell r="A74">
            <v>716994</v>
          </cell>
          <cell r="B74" t="str">
            <v>APRENDER A ESTUDIAR</v>
          </cell>
          <cell r="C74">
            <v>275</v>
          </cell>
        </row>
        <row r="75">
          <cell r="A75">
            <v>726373</v>
          </cell>
          <cell r="B75" t="str">
            <v>APRENDO A LEER LAS LETRAS</v>
          </cell>
          <cell r="C75">
            <v>2500</v>
          </cell>
        </row>
        <row r="76">
          <cell r="A76">
            <v>737808</v>
          </cell>
          <cell r="B76" t="str">
            <v>APRENDO A LEER LAS PALABRAS</v>
          </cell>
          <cell r="C76">
            <v>1656</v>
          </cell>
        </row>
        <row r="77">
          <cell r="A77">
            <v>726374</v>
          </cell>
          <cell r="B77" t="str">
            <v>APRENDO A LEER LAS SILABAS</v>
          </cell>
          <cell r="C77">
            <v>2492</v>
          </cell>
        </row>
        <row r="78">
          <cell r="A78">
            <v>748590</v>
          </cell>
          <cell r="B78" t="str">
            <v>AQUI ESTOY! DINOSAURITO</v>
          </cell>
          <cell r="C78">
            <v>376</v>
          </cell>
        </row>
        <row r="79">
          <cell r="A79">
            <v>660112</v>
          </cell>
          <cell r="B79" t="str">
            <v>ARCHIVO DE SHERLOCK HOLMES, EL</v>
          </cell>
          <cell r="C79">
            <v>219</v>
          </cell>
        </row>
        <row r="80">
          <cell r="A80">
            <v>748669</v>
          </cell>
          <cell r="B80" t="str">
            <v>ARCHIVO DE SHERLOCK HOLMES, EL (ED. POCKET)</v>
          </cell>
          <cell r="C80">
            <v>95</v>
          </cell>
        </row>
        <row r="81">
          <cell r="A81">
            <v>674460</v>
          </cell>
          <cell r="B81" t="str">
            <v>ARCOIRIS DE EMOCIONES</v>
          </cell>
          <cell r="C81">
            <v>169</v>
          </cell>
        </row>
        <row r="82">
          <cell r="A82">
            <v>547829</v>
          </cell>
          <cell r="B82" t="str">
            <v>ARGENTINA INCONCLUSA, LA</v>
          </cell>
          <cell r="C82">
            <v>5</v>
          </cell>
        </row>
        <row r="83">
          <cell r="A83">
            <v>737450</v>
          </cell>
          <cell r="B83" t="str">
            <v>ARTE DE LA GUERRA, EL</v>
          </cell>
          <cell r="C83">
            <v>1862</v>
          </cell>
        </row>
        <row r="84">
          <cell r="A84">
            <v>707942</v>
          </cell>
          <cell r="B84" t="str">
            <v>ARTE EN TIEMPOS DE GUERRA, EL</v>
          </cell>
          <cell r="C84">
            <v>17</v>
          </cell>
        </row>
        <row r="85">
          <cell r="A85">
            <v>648599</v>
          </cell>
          <cell r="B85" t="str">
            <v>ARTE PARA LOS NIÑOS - 20 HISTORIAS PARA CONOCER A LOS GRANDES MAESTROS DE LA PINTURA</v>
          </cell>
          <cell r="C85">
            <v>1</v>
          </cell>
        </row>
        <row r="86">
          <cell r="A86">
            <v>655253</v>
          </cell>
          <cell r="B86" t="str">
            <v>ASES DE LA LUFTWAFFE DE LA SEGUNDA GUERRA MUNDIAL</v>
          </cell>
          <cell r="C86">
            <v>82</v>
          </cell>
        </row>
        <row r="87">
          <cell r="A87">
            <v>657291</v>
          </cell>
          <cell r="B87" t="str">
            <v>ASESINAS POR EL PUÑAL O EL VENENO</v>
          </cell>
          <cell r="C87">
            <v>4</v>
          </cell>
        </row>
        <row r="88">
          <cell r="A88">
            <v>691773</v>
          </cell>
          <cell r="B88" t="str">
            <v>ASI COCINAN LOS ARGENTINOS - HOW ARGENTINA COOKS</v>
          </cell>
          <cell r="C88">
            <v>970</v>
          </cell>
        </row>
        <row r="89">
          <cell r="A89">
            <v>645343</v>
          </cell>
          <cell r="B89" t="str">
            <v>ASTOR PIAZZOLLA</v>
          </cell>
          <cell r="C89">
            <v>9</v>
          </cell>
        </row>
        <row r="90">
          <cell r="A90">
            <v>651680</v>
          </cell>
          <cell r="B90" t="str">
            <v>ASTROLABIO DE EL PRINCIPITO, EL</v>
          </cell>
          <cell r="C90">
            <v>23</v>
          </cell>
        </row>
        <row r="91">
          <cell r="A91">
            <v>589995</v>
          </cell>
          <cell r="B91" t="str">
            <v>ATLAS DE HISTOLOGIA NORMAL - 8VA EDICION</v>
          </cell>
          <cell r="C91">
            <v>6</v>
          </cell>
        </row>
        <row r="92">
          <cell r="A92">
            <v>737882</v>
          </cell>
          <cell r="B92" t="str">
            <v>AUGE Y CAIDA</v>
          </cell>
          <cell r="C92">
            <v>221</v>
          </cell>
        </row>
        <row r="93">
          <cell r="A93">
            <v>751233</v>
          </cell>
          <cell r="B93" t="str">
            <v>AUTOESTIMA</v>
          </cell>
          <cell r="C93">
            <v>64</v>
          </cell>
        </row>
        <row r="94">
          <cell r="A94">
            <v>705128</v>
          </cell>
          <cell r="B94" t="str">
            <v>AVENTURA EN CASA DE LOS ABUELOS - PREMIO MI PLANTA DE NARANJA LIMA 2023</v>
          </cell>
          <cell r="C94">
            <v>22</v>
          </cell>
        </row>
        <row r="95">
          <cell r="A95">
            <v>655252</v>
          </cell>
          <cell r="B95" t="str">
            <v>AVENTURAS DE SHERLOCK HOLMES, LAS</v>
          </cell>
          <cell r="C95">
            <v>66</v>
          </cell>
        </row>
        <row r="96">
          <cell r="A96">
            <v>743066</v>
          </cell>
          <cell r="B96" t="str">
            <v>AVENTURAS DE SHERLOCK HOLMES, LAS (ED. POCKET)</v>
          </cell>
          <cell r="C96">
            <v>458</v>
          </cell>
        </row>
        <row r="97">
          <cell r="A97">
            <v>725691</v>
          </cell>
          <cell r="B97" t="str">
            <v>AYURVEDA PARA TODOS LOS DIAS</v>
          </cell>
          <cell r="C97">
            <v>178</v>
          </cell>
        </row>
        <row r="98">
          <cell r="A98">
            <v>744138</v>
          </cell>
          <cell r="B98" t="str">
            <v>BANDERAS DEL MUNDO</v>
          </cell>
          <cell r="C98">
            <v>2210</v>
          </cell>
        </row>
        <row r="99">
          <cell r="A99">
            <v>713924</v>
          </cell>
          <cell r="B99" t="str">
            <v>BARBARIE</v>
          </cell>
          <cell r="C99">
            <v>107</v>
          </cell>
        </row>
        <row r="100">
          <cell r="A100">
            <v>725692</v>
          </cell>
          <cell r="B100" t="str">
            <v>BATALLA FINAL</v>
          </cell>
          <cell r="C100">
            <v>105</v>
          </cell>
        </row>
        <row r="101">
          <cell r="A101">
            <v>613394</v>
          </cell>
          <cell r="B101" t="str">
            <v>BATALLAS QUE CAMBIARON LA HISTORIA, LAS</v>
          </cell>
          <cell r="C101">
            <v>1</v>
          </cell>
        </row>
        <row r="102">
          <cell r="A102">
            <v>714587</v>
          </cell>
          <cell r="B102" t="str">
            <v>BEETHOVEN</v>
          </cell>
          <cell r="C102">
            <v>63</v>
          </cell>
        </row>
        <row r="103">
          <cell r="A103">
            <v>628253</v>
          </cell>
          <cell r="B103" t="str">
            <v>BELLA Y LA BESTIA, LA - PARA COLOREAR</v>
          </cell>
          <cell r="C103">
            <v>5</v>
          </cell>
        </row>
        <row r="104">
          <cell r="A104">
            <v>704433</v>
          </cell>
          <cell r="B104" t="str">
            <v>BEMBERG</v>
          </cell>
          <cell r="C104">
            <v>9</v>
          </cell>
        </row>
        <row r="105">
          <cell r="A105">
            <v>692883</v>
          </cell>
          <cell r="B105" t="str">
            <v>BENEDIT A CONTRAPELO</v>
          </cell>
          <cell r="C105">
            <v>11</v>
          </cell>
        </row>
        <row r="106">
          <cell r="A106">
            <v>740173</v>
          </cell>
          <cell r="B106" t="str">
            <v>BENJAMIN EN EL JARDIN</v>
          </cell>
          <cell r="C106">
            <v>1159</v>
          </cell>
        </row>
        <row r="107">
          <cell r="A107">
            <v>728112</v>
          </cell>
          <cell r="B107" t="str">
            <v>BESOS DE CRISTAL</v>
          </cell>
          <cell r="C107">
            <v>1283</v>
          </cell>
        </row>
        <row r="108">
          <cell r="A108">
            <v>734151</v>
          </cell>
          <cell r="B108" t="str">
            <v>BIBLIA DE LOS NIÑOS, LA</v>
          </cell>
          <cell r="C108">
            <v>1651</v>
          </cell>
        </row>
        <row r="109">
          <cell r="A109">
            <v>683962</v>
          </cell>
          <cell r="B109" t="str">
            <v>BIEN NUTRIDOS; SUPER GUIA ALIMENTARIA PARA FUTUROS GRANDES DEPORTISTAS</v>
          </cell>
          <cell r="C109">
            <v>20</v>
          </cell>
        </row>
        <row r="110">
          <cell r="A110">
            <v>731828</v>
          </cell>
          <cell r="B110" t="str">
            <v>BIOPAUSIA</v>
          </cell>
          <cell r="C110">
            <v>4257</v>
          </cell>
        </row>
        <row r="111">
          <cell r="A111">
            <v>751239</v>
          </cell>
          <cell r="B111" t="str">
            <v>BIOPAUSIA. 2DA. EDICION ESPECIAL (TAPA DURA)</v>
          </cell>
          <cell r="C111">
            <v>58</v>
          </cell>
        </row>
        <row r="112">
          <cell r="A112">
            <v>699697</v>
          </cell>
          <cell r="B112" t="str">
            <v>BITACORA ASTROLOGICA</v>
          </cell>
          <cell r="C112">
            <v>493</v>
          </cell>
        </row>
        <row r="113">
          <cell r="A113">
            <v>639247</v>
          </cell>
          <cell r="B113" t="str">
            <v>BORGIA, LOS</v>
          </cell>
          <cell r="C113">
            <v>80</v>
          </cell>
        </row>
        <row r="114">
          <cell r="A114">
            <v>740155</v>
          </cell>
          <cell r="B114" t="str">
            <v>BRAVA</v>
          </cell>
          <cell r="C114">
            <v>268</v>
          </cell>
        </row>
        <row r="115">
          <cell r="A115">
            <v>697474</v>
          </cell>
          <cell r="B115" t="str">
            <v>BRILLA</v>
          </cell>
          <cell r="C115">
            <v>447</v>
          </cell>
        </row>
        <row r="116">
          <cell r="A116">
            <v>702717</v>
          </cell>
          <cell r="B116" t="str">
            <v>BRILLO, EL</v>
          </cell>
          <cell r="C116">
            <v>202</v>
          </cell>
        </row>
        <row r="117">
          <cell r="A117">
            <v>686373</v>
          </cell>
          <cell r="B117" t="str">
            <v>BROTA</v>
          </cell>
          <cell r="C117">
            <v>182</v>
          </cell>
        </row>
        <row r="118">
          <cell r="A118">
            <v>594407</v>
          </cell>
          <cell r="B118" t="str">
            <v>BUDA</v>
          </cell>
          <cell r="C118">
            <v>4</v>
          </cell>
        </row>
        <row r="119">
          <cell r="A119">
            <v>651427</v>
          </cell>
          <cell r="B119" t="str">
            <v>BUENAS NOCHES</v>
          </cell>
          <cell r="C119">
            <v>1</v>
          </cell>
        </row>
        <row r="120">
          <cell r="A120">
            <v>613396</v>
          </cell>
          <cell r="B120" t="str">
            <v>BUENOS AMIGOS</v>
          </cell>
          <cell r="C120">
            <v>2</v>
          </cell>
        </row>
        <row r="121">
          <cell r="A121">
            <v>645284</v>
          </cell>
          <cell r="B121" t="str">
            <v>BUHO HUGO, EL</v>
          </cell>
          <cell r="C121">
            <v>206</v>
          </cell>
        </row>
        <row r="122">
          <cell r="A122">
            <v>717945</v>
          </cell>
          <cell r="B122" t="str">
            <v>CABALLOS</v>
          </cell>
          <cell r="C122">
            <v>304</v>
          </cell>
        </row>
        <row r="123">
          <cell r="A123">
            <v>716995</v>
          </cell>
          <cell r="B123" t="str">
            <v>CALEIDOSCOPIO, EL</v>
          </cell>
          <cell r="C123">
            <v>10</v>
          </cell>
        </row>
        <row r="124">
          <cell r="A124">
            <v>722605</v>
          </cell>
          <cell r="B124" t="str">
            <v>CAMBIO DE CORAZON</v>
          </cell>
          <cell r="C124">
            <v>334</v>
          </cell>
        </row>
        <row r="125">
          <cell r="A125">
            <v>745994</v>
          </cell>
          <cell r="B125" t="str">
            <v>CARPINCHOS AVENTUREROS</v>
          </cell>
          <cell r="C125">
            <v>566</v>
          </cell>
        </row>
        <row r="126">
          <cell r="A126">
            <v>745993</v>
          </cell>
          <cell r="B126" t="str">
            <v>CARPINCHOS MAGICOS</v>
          </cell>
          <cell r="C126">
            <v>603</v>
          </cell>
        </row>
        <row r="127">
          <cell r="A127">
            <v>743064</v>
          </cell>
          <cell r="B127" t="str">
            <v>CASA ABANDONADA, LA</v>
          </cell>
          <cell r="C127">
            <v>944</v>
          </cell>
        </row>
        <row r="128">
          <cell r="A128">
            <v>734148</v>
          </cell>
          <cell r="B128" t="str">
            <v>CASA DEL COCTEL ROJO, LA</v>
          </cell>
          <cell r="C128">
            <v>1064</v>
          </cell>
        </row>
        <row r="129">
          <cell r="A129">
            <v>743063</v>
          </cell>
          <cell r="B129" t="str">
            <v>CAZADOR DE NAZIS</v>
          </cell>
          <cell r="C129">
            <v>293</v>
          </cell>
        </row>
        <row r="130">
          <cell r="A130">
            <v>643879</v>
          </cell>
          <cell r="B130" t="str">
            <v>CENICIENTA</v>
          </cell>
          <cell r="C130">
            <v>4</v>
          </cell>
        </row>
        <row r="131">
          <cell r="A131">
            <v>647013</v>
          </cell>
          <cell r="B131" t="str">
            <v>CEREBRO EN EL SIGLO XXI, EL</v>
          </cell>
          <cell r="C131">
            <v>63</v>
          </cell>
        </row>
        <row r="132">
          <cell r="A132">
            <v>685397</v>
          </cell>
          <cell r="B132" t="str">
            <v>CEREBRO Y EL ARTE MODERNO, EL</v>
          </cell>
          <cell r="C132">
            <v>18</v>
          </cell>
        </row>
        <row r="133">
          <cell r="A133">
            <v>596844</v>
          </cell>
          <cell r="B133" t="str">
            <v>CEREBRO Y LA MUSICA, EL</v>
          </cell>
          <cell r="C133">
            <v>3</v>
          </cell>
        </row>
        <row r="134">
          <cell r="A134">
            <v>599836</v>
          </cell>
          <cell r="B134" t="str">
            <v>CESARES</v>
          </cell>
          <cell r="C134">
            <v>6</v>
          </cell>
        </row>
        <row r="135">
          <cell r="A135">
            <v>593815</v>
          </cell>
          <cell r="B135" t="str">
            <v>CHARLES DICKENS</v>
          </cell>
          <cell r="C135">
            <v>9</v>
          </cell>
        </row>
        <row r="136">
          <cell r="A136">
            <v>614605</v>
          </cell>
          <cell r="B136" t="str">
            <v>CHARLES EN LA ESCUELA DE DRAGONES</v>
          </cell>
          <cell r="C136">
            <v>4</v>
          </cell>
        </row>
        <row r="137">
          <cell r="A137">
            <v>640868</v>
          </cell>
          <cell r="B137" t="str">
            <v>CHARLES Y LA PRINCESA</v>
          </cell>
          <cell r="C137">
            <v>5</v>
          </cell>
        </row>
        <row r="138">
          <cell r="A138">
            <v>717943</v>
          </cell>
          <cell r="B138" t="str">
            <v>CHAU, TETA</v>
          </cell>
          <cell r="C138">
            <v>760</v>
          </cell>
        </row>
        <row r="139">
          <cell r="A139">
            <v>734149</v>
          </cell>
          <cell r="B139" t="str">
            <v>CHICAS MUERTAS NO HABLAN, LAS</v>
          </cell>
          <cell r="C139">
            <v>1291</v>
          </cell>
        </row>
        <row r="140">
          <cell r="A140">
            <v>730439</v>
          </cell>
          <cell r="B140" t="str">
            <v>CHICO QUE SOBREVIVIO A AUSCHWITZ, EL</v>
          </cell>
          <cell r="C140">
            <v>939</v>
          </cell>
        </row>
        <row r="141">
          <cell r="A141">
            <v>706237</v>
          </cell>
          <cell r="B141" t="str">
            <v>CIENCIA NAZI</v>
          </cell>
          <cell r="C141">
            <v>93</v>
          </cell>
        </row>
        <row r="142">
          <cell r="A142">
            <v>703397</v>
          </cell>
          <cell r="B142" t="str">
            <v>CIENCIAS NATURALES: 26 PREGUNTAS Y RESPUESTAS</v>
          </cell>
          <cell r="C142">
            <v>16</v>
          </cell>
        </row>
        <row r="143">
          <cell r="A143">
            <v>688408</v>
          </cell>
          <cell r="B143" t="str">
            <v>CIRUGIA DE MICHANS</v>
          </cell>
          <cell r="C143">
            <v>34</v>
          </cell>
        </row>
        <row r="144">
          <cell r="A144">
            <v>689371</v>
          </cell>
          <cell r="B144" t="str">
            <v>CIUDAD DE ANGELES / CITY OF ANGELS</v>
          </cell>
          <cell r="C144">
            <v>61</v>
          </cell>
        </row>
        <row r="145">
          <cell r="A145">
            <v>747597</v>
          </cell>
          <cell r="B145" t="str">
            <v>CIUDADES AZULES</v>
          </cell>
          <cell r="C145">
            <v>244</v>
          </cell>
        </row>
        <row r="146">
          <cell r="A146">
            <v>706236</v>
          </cell>
          <cell r="B146" t="str">
            <v>CIUDADES DEL FUTURO</v>
          </cell>
          <cell r="C146">
            <v>90</v>
          </cell>
        </row>
        <row r="147">
          <cell r="A147">
            <v>695679</v>
          </cell>
          <cell r="B147" t="str">
            <v>CLAROSCURO</v>
          </cell>
          <cell r="C147">
            <v>470</v>
          </cell>
        </row>
        <row r="148">
          <cell r="A148">
            <v>718920</v>
          </cell>
          <cell r="B148" t="str">
            <v>CLASICOS DE ANIMALES PARA LEER Y JUGAR</v>
          </cell>
          <cell r="C148">
            <v>58</v>
          </cell>
        </row>
        <row r="149">
          <cell r="A149">
            <v>715426</v>
          </cell>
          <cell r="B149" t="str">
            <v>CLASICOS DE PRINCESAS PARA LEER Y JUGAR</v>
          </cell>
          <cell r="C149">
            <v>457</v>
          </cell>
        </row>
        <row r="150">
          <cell r="A150">
            <v>713085</v>
          </cell>
          <cell r="B150" t="str">
            <v>CLASICOS MARAVILLOSOS PARA LEER Y JUGAR</v>
          </cell>
          <cell r="C150">
            <v>88</v>
          </cell>
        </row>
        <row r="151">
          <cell r="A151">
            <v>682656</v>
          </cell>
          <cell r="B151" t="str">
            <v>COCINA DE DAKSHA, LA</v>
          </cell>
          <cell r="C151">
            <v>89</v>
          </cell>
        </row>
        <row r="152">
          <cell r="A152">
            <v>697475</v>
          </cell>
          <cell r="B152" t="str">
            <v>COCINA DE LAS CUATRO ESTACIONES</v>
          </cell>
          <cell r="C152">
            <v>143</v>
          </cell>
        </row>
        <row r="153">
          <cell r="A153">
            <v>707253</v>
          </cell>
          <cell r="B153" t="str">
            <v>COCINA EN FAMILIA</v>
          </cell>
          <cell r="C153">
            <v>73</v>
          </cell>
        </row>
        <row r="154">
          <cell r="A154">
            <v>722599</v>
          </cell>
          <cell r="B154" t="str">
            <v>COCINA EXPRES</v>
          </cell>
          <cell r="C154">
            <v>330</v>
          </cell>
        </row>
        <row r="155">
          <cell r="A155">
            <v>564886</v>
          </cell>
          <cell r="B155" t="str">
            <v>COLECCIONISMO DE ARTE EN BUENOS AIRES 1924-1942</v>
          </cell>
          <cell r="C155">
            <v>13</v>
          </cell>
        </row>
        <row r="156">
          <cell r="A156">
            <v>439030</v>
          </cell>
          <cell r="B156" t="str">
            <v>COLLIVADINO</v>
          </cell>
          <cell r="C156">
            <v>12</v>
          </cell>
        </row>
        <row r="157">
          <cell r="A157">
            <v>582180</v>
          </cell>
          <cell r="B157" t="str">
            <v>COLMILLO BLANCO</v>
          </cell>
          <cell r="C157">
            <v>1</v>
          </cell>
        </row>
        <row r="158">
          <cell r="A158">
            <v>684675</v>
          </cell>
          <cell r="B158" t="str">
            <v>COLORES</v>
          </cell>
          <cell r="C158">
            <v>558</v>
          </cell>
        </row>
        <row r="159">
          <cell r="A159">
            <v>688423</v>
          </cell>
          <cell r="B159" t="str">
            <v>COMO DUERMEN</v>
          </cell>
          <cell r="C159">
            <v>79</v>
          </cell>
        </row>
        <row r="160">
          <cell r="A160">
            <v>685399</v>
          </cell>
          <cell r="B160" t="str">
            <v>COMO HABLAN</v>
          </cell>
          <cell r="C160">
            <v>39</v>
          </cell>
        </row>
        <row r="161">
          <cell r="A161">
            <v>745989</v>
          </cell>
          <cell r="B161" t="str">
            <v>COMO RAJAR A TU JEFE</v>
          </cell>
          <cell r="C161">
            <v>693</v>
          </cell>
        </row>
        <row r="162">
          <cell r="A162">
            <v>690837</v>
          </cell>
          <cell r="B162" t="str">
            <v>COMO SE BAÑAN</v>
          </cell>
          <cell r="C162">
            <v>22</v>
          </cell>
        </row>
        <row r="163">
          <cell r="A163">
            <v>740756</v>
          </cell>
          <cell r="B163" t="str">
            <v>CON EL AMOR NO ALCANZA</v>
          </cell>
          <cell r="C163">
            <v>605</v>
          </cell>
        </row>
        <row r="164">
          <cell r="A164">
            <v>648600</v>
          </cell>
          <cell r="B164" t="str">
            <v>CONOCE A LOS AMIGOS DE EL PRINCIPITO</v>
          </cell>
          <cell r="C164">
            <v>14</v>
          </cell>
        </row>
        <row r="165">
          <cell r="A165">
            <v>741695</v>
          </cell>
          <cell r="B165" t="str">
            <v>CONSIGNAS DIDACTICAS</v>
          </cell>
          <cell r="C165">
            <v>215</v>
          </cell>
        </row>
        <row r="166">
          <cell r="A166">
            <v>728113</v>
          </cell>
          <cell r="B166" t="str">
            <v>CONSTELACIONES FAMILIARES</v>
          </cell>
          <cell r="C166">
            <v>608</v>
          </cell>
        </row>
        <row r="167">
          <cell r="A167">
            <v>609572</v>
          </cell>
          <cell r="B167" t="str">
            <v>CONSTITUCION NACIONAL</v>
          </cell>
          <cell r="C167">
            <v>1586</v>
          </cell>
        </row>
        <row r="168">
          <cell r="A168">
            <v>685398</v>
          </cell>
          <cell r="B168" t="str">
            <v>CORAZON DE VIDRIO - EDICION ESCOLAR</v>
          </cell>
          <cell r="C168">
            <v>50</v>
          </cell>
        </row>
        <row r="169">
          <cell r="A169">
            <v>633016</v>
          </cell>
          <cell r="B169" t="str">
            <v>CORRUPTA ROMA</v>
          </cell>
          <cell r="C169">
            <v>47</v>
          </cell>
        </row>
        <row r="170">
          <cell r="A170">
            <v>710537</v>
          </cell>
          <cell r="B170" t="str">
            <v>CUANTO TE PESA TU PESO</v>
          </cell>
          <cell r="C170">
            <v>84</v>
          </cell>
        </row>
        <row r="171">
          <cell r="A171">
            <v>735113</v>
          </cell>
          <cell r="B171" t="str">
            <v>CUARTOSCURO</v>
          </cell>
          <cell r="C171">
            <v>465</v>
          </cell>
        </row>
        <row r="172">
          <cell r="A172">
            <v>625981</v>
          </cell>
          <cell r="B172" t="str">
            <v>CUATRO ESTACIONES EN UN DIA, LAS</v>
          </cell>
          <cell r="C172">
            <v>396</v>
          </cell>
        </row>
        <row r="173">
          <cell r="A173">
            <v>737018</v>
          </cell>
          <cell r="B173" t="str">
            <v>CUENTOS CORTOS DE NAVIDAD</v>
          </cell>
          <cell r="C173">
            <v>1543</v>
          </cell>
        </row>
        <row r="174">
          <cell r="A174">
            <v>727009</v>
          </cell>
          <cell r="B174" t="str">
            <v>CUENTOS CORTOS PARA EL RECREO</v>
          </cell>
          <cell r="C174">
            <v>1217</v>
          </cell>
        </row>
        <row r="175">
          <cell r="A175">
            <v>694755</v>
          </cell>
          <cell r="B175" t="str">
            <v>CUENTOS CORTOS PARA PINTAR</v>
          </cell>
          <cell r="C175">
            <v>990</v>
          </cell>
        </row>
        <row r="176">
          <cell r="A176">
            <v>703398</v>
          </cell>
          <cell r="B176" t="str">
            <v>CUENTOS CORTOS PARA PINTAR 2</v>
          </cell>
          <cell r="C176">
            <v>789</v>
          </cell>
        </row>
        <row r="177">
          <cell r="A177">
            <v>668113</v>
          </cell>
          <cell r="B177" t="str">
            <v>CUENTOS CORTOS PARA SOÑAR</v>
          </cell>
          <cell r="C177">
            <v>1195</v>
          </cell>
        </row>
        <row r="178">
          <cell r="A178">
            <v>673647</v>
          </cell>
          <cell r="B178" t="str">
            <v>CUENTOS CORTOS PARA SOÑAR 2</v>
          </cell>
          <cell r="C178">
            <v>484</v>
          </cell>
        </row>
        <row r="179">
          <cell r="A179">
            <v>678281</v>
          </cell>
          <cell r="B179" t="str">
            <v>CUENTOS CORTOS PARA SOÑAR 3</v>
          </cell>
          <cell r="C179">
            <v>444</v>
          </cell>
        </row>
        <row r="180">
          <cell r="A180">
            <v>685401</v>
          </cell>
          <cell r="B180" t="str">
            <v>CUENTOS CORTOS PARA SOÑAR 4</v>
          </cell>
          <cell r="C180">
            <v>401</v>
          </cell>
        </row>
        <row r="181">
          <cell r="A181">
            <v>692882</v>
          </cell>
          <cell r="B181" t="str">
            <v>CUENTOS CORTOS PARA SOÑAR 5</v>
          </cell>
          <cell r="C181">
            <v>445</v>
          </cell>
        </row>
        <row r="182">
          <cell r="A182">
            <v>698861</v>
          </cell>
          <cell r="B182" t="str">
            <v>CUENTOS CORTOS PARA SOÑAR 6</v>
          </cell>
          <cell r="C182">
            <v>467</v>
          </cell>
        </row>
        <row r="183">
          <cell r="A183">
            <v>714591</v>
          </cell>
          <cell r="B183" t="str">
            <v>CUENTOS DE AMOR PROPIO</v>
          </cell>
          <cell r="C183">
            <v>9</v>
          </cell>
        </row>
        <row r="184">
          <cell r="A184">
            <v>718511</v>
          </cell>
          <cell r="B184" t="str">
            <v>CUENTOS DE AMOR PROPIO</v>
          </cell>
          <cell r="C184">
            <v>3848</v>
          </cell>
        </row>
        <row r="185">
          <cell r="A185">
            <v>728157</v>
          </cell>
          <cell r="B185" t="str">
            <v>CUENTOS DE AMOR PROPIO - TD</v>
          </cell>
          <cell r="C185">
            <v>898</v>
          </cell>
        </row>
        <row r="186">
          <cell r="A186">
            <v>728156</v>
          </cell>
          <cell r="B186" t="str">
            <v>CUENTOS DE AMOR PROPIO 2</v>
          </cell>
          <cell r="C186">
            <v>1960</v>
          </cell>
        </row>
        <row r="187">
          <cell r="A187">
            <v>750391</v>
          </cell>
          <cell r="B187" t="str">
            <v>CUENTOS DE AMOR, DE LOCURA Y DE MUERTE.</v>
          </cell>
          <cell r="C187">
            <v>224</v>
          </cell>
        </row>
        <row r="188">
          <cell r="A188">
            <v>713925</v>
          </cell>
          <cell r="B188" t="str">
            <v>CUENTOS DE TERRORRAN</v>
          </cell>
          <cell r="C188">
            <v>603</v>
          </cell>
        </row>
        <row r="189">
          <cell r="A189">
            <v>744133</v>
          </cell>
          <cell r="B189" t="str">
            <v>CUMPLE DE 15</v>
          </cell>
          <cell r="C189">
            <v>2779</v>
          </cell>
        </row>
        <row r="190">
          <cell r="A190">
            <v>725161</v>
          </cell>
          <cell r="B190" t="str">
            <v>DALE ALEGRIA A MI CORAZON</v>
          </cell>
          <cell r="C190">
            <v>46</v>
          </cell>
        </row>
        <row r="191">
          <cell r="A191">
            <v>731832</v>
          </cell>
          <cell r="B191" t="str">
            <v>DE GASTADORA A INVERSORA</v>
          </cell>
          <cell r="C191">
            <v>1591</v>
          </cell>
        </row>
        <row r="192">
          <cell r="A192">
            <v>384572</v>
          </cell>
          <cell r="B192" t="str">
            <v>DE GAULLE Y CHURCHILL</v>
          </cell>
          <cell r="C192">
            <v>1</v>
          </cell>
        </row>
        <row r="193">
          <cell r="A193">
            <v>711849</v>
          </cell>
          <cell r="B193" t="str">
            <v>DE LA TIERRA A LA MESA</v>
          </cell>
          <cell r="C193">
            <v>95</v>
          </cell>
        </row>
        <row r="194">
          <cell r="A194">
            <v>729375</v>
          </cell>
          <cell r="B194" t="str">
            <v>DECODIFICA TU VIDA</v>
          </cell>
          <cell r="C194">
            <v>1076</v>
          </cell>
        </row>
        <row r="195">
          <cell r="A195">
            <v>751235</v>
          </cell>
          <cell r="B195" t="str">
            <v>DECODIFICA TUS VINCULOS</v>
          </cell>
          <cell r="C195">
            <v>145</v>
          </cell>
        </row>
        <row r="196">
          <cell r="A196">
            <v>714035</v>
          </cell>
          <cell r="B196" t="str">
            <v>DESBLOQUEA TU PROXIMO NIVEL</v>
          </cell>
          <cell r="C196">
            <v>831</v>
          </cell>
        </row>
        <row r="197">
          <cell r="A197">
            <v>670526</v>
          </cell>
          <cell r="B197" t="str">
            <v>DESCONOCIDA BUENOS AIRES HISTORIAS DE FRONTERA</v>
          </cell>
          <cell r="C197">
            <v>3</v>
          </cell>
        </row>
        <row r="198">
          <cell r="A198">
            <v>679307</v>
          </cell>
          <cell r="B198" t="str">
            <v>DESCONOCIDA BUENOS AIRES. ESCAPADAS SOÑADAS</v>
          </cell>
          <cell r="C198">
            <v>39</v>
          </cell>
        </row>
        <row r="199">
          <cell r="A199">
            <v>688421</v>
          </cell>
          <cell r="B199" t="str">
            <v>DESCONOCIDA BUENOS AIRES. HISTORIAS DE FRONTERA</v>
          </cell>
          <cell r="C199">
            <v>25</v>
          </cell>
        </row>
        <row r="200">
          <cell r="A200">
            <v>689373</v>
          </cell>
          <cell r="B200" t="str">
            <v>DESCONOCIDA BUENOS AIRES. PULPERIAS Y BODEGONES</v>
          </cell>
          <cell r="C200">
            <v>36</v>
          </cell>
        </row>
        <row r="201">
          <cell r="A201">
            <v>688420</v>
          </cell>
          <cell r="B201" t="str">
            <v>DESCONOCIDA BUENOS AIRES. SECRETOS DE UNA PROVINCIA</v>
          </cell>
          <cell r="C201">
            <v>31</v>
          </cell>
        </row>
        <row r="202">
          <cell r="A202">
            <v>751232</v>
          </cell>
          <cell r="B202" t="str">
            <v>DESPIERTA</v>
          </cell>
          <cell r="C202">
            <v>93</v>
          </cell>
        </row>
        <row r="203">
          <cell r="A203">
            <v>704436</v>
          </cell>
          <cell r="B203" t="str">
            <v>DETECTIVES DE LEYENDAS</v>
          </cell>
          <cell r="C203">
            <v>55</v>
          </cell>
        </row>
        <row r="204">
          <cell r="A204">
            <v>696626</v>
          </cell>
          <cell r="B204" t="str">
            <v>DETECTIVES DE MITOS</v>
          </cell>
          <cell r="C204">
            <v>61</v>
          </cell>
        </row>
        <row r="205">
          <cell r="A205">
            <v>698774</v>
          </cell>
          <cell r="B205" t="str">
            <v>DIA Y LA NOCHE, EL</v>
          </cell>
          <cell r="C205">
            <v>5</v>
          </cell>
        </row>
        <row r="206">
          <cell r="A206">
            <v>579604</v>
          </cell>
          <cell r="B206" t="str">
            <v>DIALOGO CON BORGES</v>
          </cell>
          <cell r="C206">
            <v>1</v>
          </cell>
        </row>
        <row r="207">
          <cell r="A207">
            <v>706235</v>
          </cell>
          <cell r="B207" t="str">
            <v>DIARIO DE UN ABUELO SALVAJE</v>
          </cell>
          <cell r="C207">
            <v>23</v>
          </cell>
        </row>
        <row r="208">
          <cell r="A208">
            <v>660730</v>
          </cell>
          <cell r="B208" t="str">
            <v>DICCIONARIO DE DINOSAURIOS</v>
          </cell>
          <cell r="C208">
            <v>1</v>
          </cell>
        </row>
        <row r="209">
          <cell r="A209">
            <v>392615</v>
          </cell>
          <cell r="B209" t="str">
            <v>DICCIONARIO DE SINONIMOS Y ANTONIMOS</v>
          </cell>
          <cell r="C209">
            <v>206</v>
          </cell>
        </row>
        <row r="210">
          <cell r="A210">
            <v>673649</v>
          </cell>
          <cell r="B210" t="str">
            <v>DICCIONARIO ESCOLAR DE LA LENGUA ESPAÑOLA</v>
          </cell>
          <cell r="C210">
            <v>2</v>
          </cell>
        </row>
        <row r="211">
          <cell r="A211">
            <v>392614</v>
          </cell>
          <cell r="B211" t="str">
            <v>DICCIONARIO ESPAÑOL-INGLES ENGLISH-SPANISH</v>
          </cell>
          <cell r="C211">
            <v>916</v>
          </cell>
        </row>
        <row r="212">
          <cell r="A212">
            <v>710536</v>
          </cell>
          <cell r="B212" t="str">
            <v>DIEZ DIAS PARA NO MORIR</v>
          </cell>
          <cell r="C212">
            <v>792</v>
          </cell>
        </row>
        <row r="213">
          <cell r="A213">
            <v>747645</v>
          </cell>
          <cell r="B213" t="str">
            <v>DINO, ¿POR QUE ESTAS TRISTE?</v>
          </cell>
          <cell r="C213">
            <v>1223</v>
          </cell>
        </row>
        <row r="214">
          <cell r="A214">
            <v>722601</v>
          </cell>
          <cell r="B214" t="str">
            <v>DISCAPACIDAD EN PRIMERA PERSONA</v>
          </cell>
          <cell r="C214">
            <v>12</v>
          </cell>
        </row>
        <row r="215">
          <cell r="A215">
            <v>698748</v>
          </cell>
          <cell r="B215" t="str">
            <v>DOC EN CASA, EL</v>
          </cell>
          <cell r="C215">
            <v>96</v>
          </cell>
        </row>
        <row r="216">
          <cell r="A216">
            <v>700536</v>
          </cell>
          <cell r="B216" t="str">
            <v>DOLOR DE ESTAR VIVO, EL</v>
          </cell>
          <cell r="C216">
            <v>245</v>
          </cell>
        </row>
        <row r="217">
          <cell r="A217">
            <v>680635</v>
          </cell>
          <cell r="B217" t="str">
            <v>DORMIR SIN LAGRIMAS: DEJARLOS LLORAR NO ES LA SOLUCION</v>
          </cell>
          <cell r="C217">
            <v>3</v>
          </cell>
        </row>
        <row r="218">
          <cell r="A218">
            <v>686346</v>
          </cell>
          <cell r="B218" t="str">
            <v>DOY GRACIAS</v>
          </cell>
          <cell r="C218">
            <v>41</v>
          </cell>
        </row>
        <row r="219">
          <cell r="A219">
            <v>584957</v>
          </cell>
          <cell r="B219" t="str">
            <v>DRACULA</v>
          </cell>
          <cell r="C219">
            <v>4</v>
          </cell>
        </row>
        <row r="220">
          <cell r="A220">
            <v>655164</v>
          </cell>
          <cell r="B220" t="str">
            <v>DRAGON DEL BOSQUE, EL</v>
          </cell>
          <cell r="C220">
            <v>1</v>
          </cell>
        </row>
        <row r="221">
          <cell r="A221">
            <v>692881</v>
          </cell>
          <cell r="B221" t="str">
            <v>DUEÑA DE TU DINERO</v>
          </cell>
          <cell r="C221">
            <v>358</v>
          </cell>
        </row>
        <row r="222">
          <cell r="A222">
            <v>748666</v>
          </cell>
          <cell r="B222" t="str">
            <v>EDAD QUE ELEGIMOS, LA</v>
          </cell>
          <cell r="C222">
            <v>778</v>
          </cell>
        </row>
        <row r="223">
          <cell r="A223">
            <v>729056</v>
          </cell>
          <cell r="B223" t="str">
            <v>EDITORIAL EL ATENEO - BOLSA SANTI SPERANZA</v>
          </cell>
          <cell r="C223">
            <v>138</v>
          </cell>
        </row>
        <row r="224">
          <cell r="A224">
            <v>676167</v>
          </cell>
          <cell r="B224" t="str">
            <v>EDUCACION EMOCIONAL: 50 PREGUNTAS Y RESPUESTAS</v>
          </cell>
          <cell r="C224">
            <v>60</v>
          </cell>
        </row>
        <row r="225">
          <cell r="A225">
            <v>553650</v>
          </cell>
          <cell r="B225" t="str">
            <v>EDUCAR SIN GRITAR</v>
          </cell>
          <cell r="C225">
            <v>1</v>
          </cell>
        </row>
        <row r="226">
          <cell r="A226">
            <v>729377</v>
          </cell>
          <cell r="B226" t="str">
            <v>EGRESADOS</v>
          </cell>
          <cell r="C226">
            <v>2122</v>
          </cell>
        </row>
        <row r="227">
          <cell r="A227">
            <v>706239</v>
          </cell>
          <cell r="B227" t="str">
            <v>EMOCIONES DE INTI, LAS</v>
          </cell>
          <cell r="C227">
            <v>1647</v>
          </cell>
        </row>
        <row r="228">
          <cell r="A228">
            <v>751236</v>
          </cell>
          <cell r="B228" t="str">
            <v>EMPAPELADO AMARILLO, EL // THE YELLOW WALLPAPER</v>
          </cell>
          <cell r="C228">
            <v>18</v>
          </cell>
        </row>
        <row r="229">
          <cell r="A229">
            <v>595692</v>
          </cell>
          <cell r="B229" t="str">
            <v>EN BUSQUEDA DE LA FELICIDAD</v>
          </cell>
          <cell r="C229">
            <v>1</v>
          </cell>
        </row>
        <row r="230">
          <cell r="A230">
            <v>621803</v>
          </cell>
          <cell r="B230" t="str">
            <v>EN EL CIRCO</v>
          </cell>
          <cell r="C230">
            <v>1</v>
          </cell>
        </row>
        <row r="231">
          <cell r="A231">
            <v>621804</v>
          </cell>
          <cell r="B231" t="str">
            <v>EN LA SELVA</v>
          </cell>
          <cell r="C231">
            <v>5</v>
          </cell>
        </row>
        <row r="232">
          <cell r="A232">
            <v>667000</v>
          </cell>
          <cell r="B232" t="str">
            <v>ENCICLOPEDIA DE DINOSAURIOS</v>
          </cell>
          <cell r="C232">
            <v>72</v>
          </cell>
        </row>
        <row r="233">
          <cell r="A233">
            <v>705129</v>
          </cell>
          <cell r="B233" t="str">
            <v>ENCICLOPEDIA DE MITOLOGIA</v>
          </cell>
          <cell r="C233">
            <v>185</v>
          </cell>
        </row>
        <row r="234">
          <cell r="A234">
            <v>674461</v>
          </cell>
          <cell r="B234" t="str">
            <v>ENDOCRINOLOGIA -  BASES BIOQUIMICAS</v>
          </cell>
          <cell r="C234">
            <v>17</v>
          </cell>
        </row>
        <row r="235">
          <cell r="A235">
            <v>677292</v>
          </cell>
          <cell r="B235" t="str">
            <v>ENERGIA SIN LIMITES</v>
          </cell>
          <cell r="C235">
            <v>201</v>
          </cell>
        </row>
        <row r="236">
          <cell r="A236">
            <v>725693</v>
          </cell>
          <cell r="B236" t="str">
            <v>ENIGMAS PARA DESCUBRIR HISTORIA ANTIGUA</v>
          </cell>
          <cell r="C236">
            <v>214</v>
          </cell>
        </row>
        <row r="237">
          <cell r="A237">
            <v>725694</v>
          </cell>
          <cell r="B237" t="str">
            <v>ENIGMAS PARA DESCUBRIR HISTORIA MODERNA</v>
          </cell>
          <cell r="C237">
            <v>226</v>
          </cell>
        </row>
        <row r="238">
          <cell r="A238">
            <v>725188</v>
          </cell>
          <cell r="B238" t="str">
            <v>ENOJO DE INTI, EL</v>
          </cell>
          <cell r="C238">
            <v>673</v>
          </cell>
        </row>
        <row r="239">
          <cell r="A239">
            <v>744136</v>
          </cell>
          <cell r="B239" t="str">
            <v>ENREDOS DEL CORAZON</v>
          </cell>
          <cell r="C239">
            <v>1037</v>
          </cell>
        </row>
        <row r="240">
          <cell r="A240">
            <v>681370</v>
          </cell>
          <cell r="B240" t="str">
            <v>ENSEÑANZA VIRTUAL: 27 PREGUNTAS Y RESPUESTAS</v>
          </cell>
          <cell r="C240">
            <v>28</v>
          </cell>
        </row>
        <row r="241">
          <cell r="A241">
            <v>719964</v>
          </cell>
          <cell r="B241" t="str">
            <v>ENSEÑAR A LEER Y ESCRIBIR A ADOLESCENTES: 30 PREGUNTAS Y RESPUESTAS</v>
          </cell>
          <cell r="C241">
            <v>58</v>
          </cell>
        </row>
        <row r="242">
          <cell r="A242">
            <v>565381</v>
          </cell>
          <cell r="B242" t="str">
            <v>ENTREVISTA CON LA HISTORIA</v>
          </cell>
          <cell r="C242">
            <v>1</v>
          </cell>
        </row>
        <row r="243">
          <cell r="A243">
            <v>691779</v>
          </cell>
          <cell r="B243" t="str">
            <v>ES ESTRES O TU TIROIDES?</v>
          </cell>
          <cell r="C243">
            <v>98</v>
          </cell>
        </row>
        <row r="244">
          <cell r="A244">
            <v>691781</v>
          </cell>
          <cell r="B244" t="str">
            <v>ESTAS PARA MAS</v>
          </cell>
          <cell r="C244">
            <v>1373</v>
          </cell>
        </row>
        <row r="245">
          <cell r="A245">
            <v>725174</v>
          </cell>
          <cell r="B245" t="str">
            <v>ESTAS PARA MAS (CUADERNO)</v>
          </cell>
          <cell r="C245">
            <v>360</v>
          </cell>
        </row>
        <row r="246">
          <cell r="A246">
            <v>699696</v>
          </cell>
          <cell r="B246" t="str">
            <v>ESTAS PARA MAS (DIARIO)</v>
          </cell>
          <cell r="C246">
            <v>31</v>
          </cell>
        </row>
        <row r="247">
          <cell r="A247">
            <v>683673</v>
          </cell>
          <cell r="B247" t="str">
            <v>ESTRELLAMAS - JUEGOS Y MAS</v>
          </cell>
          <cell r="C247">
            <v>2</v>
          </cell>
        </row>
        <row r="248">
          <cell r="A248">
            <v>683671</v>
          </cell>
          <cell r="B248" t="str">
            <v>ESTRELLAMAS - SUPER ACTIVIDADES</v>
          </cell>
          <cell r="C248">
            <v>8</v>
          </cell>
        </row>
        <row r="249">
          <cell r="A249">
            <v>698752</v>
          </cell>
          <cell r="B249" t="str">
            <v>ESTUDIO EN ESCARLATA</v>
          </cell>
          <cell r="C249">
            <v>330</v>
          </cell>
        </row>
        <row r="250">
          <cell r="A250">
            <v>741702</v>
          </cell>
          <cell r="B250" t="str">
            <v>ESTUDIO EN ESCARLATA</v>
          </cell>
          <cell r="C250">
            <v>532</v>
          </cell>
        </row>
        <row r="251">
          <cell r="A251">
            <v>655251</v>
          </cell>
          <cell r="B251" t="str">
            <v>ESTUDIO EN ESCARLATA - LA SEÑAL DE LOS CUATRO</v>
          </cell>
          <cell r="C251">
            <v>259</v>
          </cell>
        </row>
        <row r="252">
          <cell r="A252">
            <v>693798</v>
          </cell>
          <cell r="B252" t="str">
            <v>EVALUACIONES : 29 PREGUNTAS Y RESPUESTAS</v>
          </cell>
          <cell r="C252">
            <v>66</v>
          </cell>
        </row>
        <row r="253">
          <cell r="A253">
            <v>742444</v>
          </cell>
          <cell r="B253" t="str">
            <v>EXPLOREMOS LA CASA</v>
          </cell>
          <cell r="C253">
            <v>707</v>
          </cell>
        </row>
        <row r="254">
          <cell r="A254">
            <v>742443</v>
          </cell>
          <cell r="B254" t="str">
            <v>EXPLOREMOS LA GRANJA</v>
          </cell>
          <cell r="C254">
            <v>387</v>
          </cell>
        </row>
        <row r="255">
          <cell r="A255">
            <v>737452</v>
          </cell>
          <cell r="B255" t="str">
            <v>EXTRAÑO CASO DEL DR. JEKYLL Y MR. HYDE, EL</v>
          </cell>
          <cell r="C255">
            <v>548</v>
          </cell>
        </row>
        <row r="256">
          <cell r="A256">
            <v>639248</v>
          </cell>
          <cell r="B256" t="str">
            <v>FEDERICO GARCIA LORCA</v>
          </cell>
          <cell r="C256">
            <v>7</v>
          </cell>
        </row>
        <row r="257">
          <cell r="A257">
            <v>725156</v>
          </cell>
          <cell r="B257" t="str">
            <v>FIBROMIALGIA</v>
          </cell>
          <cell r="C257">
            <v>163</v>
          </cell>
        </row>
        <row r="258">
          <cell r="A258">
            <v>732721</v>
          </cell>
          <cell r="B258" t="str">
            <v>FIESTA DE LOS CARPINCHOS, LA</v>
          </cell>
          <cell r="C258">
            <v>1717</v>
          </cell>
        </row>
        <row r="259">
          <cell r="A259">
            <v>727017</v>
          </cell>
          <cell r="B259" t="str">
            <v>FILOSOFIA COMO NUNCA LA VISTE</v>
          </cell>
          <cell r="C259">
            <v>543</v>
          </cell>
        </row>
        <row r="260">
          <cell r="A260">
            <v>651679</v>
          </cell>
          <cell r="B260" t="str">
            <v>FILOSOFIA DE EL PRINCIPITO, LA</v>
          </cell>
          <cell r="C260">
            <v>3</v>
          </cell>
        </row>
        <row r="261">
          <cell r="A261">
            <v>740160</v>
          </cell>
          <cell r="B261" t="str">
            <v>FILOSOFIA EN 3 MINUTOS: AMOR</v>
          </cell>
          <cell r="C261">
            <v>547</v>
          </cell>
        </row>
        <row r="262">
          <cell r="A262">
            <v>740758</v>
          </cell>
          <cell r="B262" t="str">
            <v>FILOSOFIA EN 3 MINUTOS: FELICIDAD</v>
          </cell>
          <cell r="C262">
            <v>485</v>
          </cell>
        </row>
        <row r="263">
          <cell r="A263">
            <v>745986</v>
          </cell>
          <cell r="B263" t="str">
            <v>FILOSOFIA EN 3 MINUTOS: AMISTAD</v>
          </cell>
          <cell r="C263">
            <v>232</v>
          </cell>
        </row>
        <row r="264">
          <cell r="A264">
            <v>681371</v>
          </cell>
          <cell r="B264" t="str">
            <v>FIN DEL AUTOODIO, EL</v>
          </cell>
          <cell r="C264">
            <v>206</v>
          </cell>
        </row>
        <row r="265">
          <cell r="A265">
            <v>737016</v>
          </cell>
          <cell r="B265" t="str">
            <v>FINANZAS</v>
          </cell>
          <cell r="C265">
            <v>4179</v>
          </cell>
        </row>
        <row r="266">
          <cell r="A266">
            <v>686376</v>
          </cell>
          <cell r="B266" t="str">
            <v>FORMAS Y OPUESTOS</v>
          </cell>
          <cell r="C266">
            <v>281</v>
          </cell>
        </row>
        <row r="267">
          <cell r="A267">
            <v>558909</v>
          </cell>
          <cell r="B267" t="str">
            <v>FRANCES - GUIA DE CONVERSACION</v>
          </cell>
          <cell r="C267">
            <v>11</v>
          </cell>
        </row>
        <row r="268">
          <cell r="A268">
            <v>571756</v>
          </cell>
          <cell r="B268" t="str">
            <v>FRANCISCO. VIDA Y REVOLUCION</v>
          </cell>
          <cell r="C268">
            <v>1</v>
          </cell>
        </row>
        <row r="269">
          <cell r="A269">
            <v>647073</v>
          </cell>
          <cell r="B269" t="str">
            <v>FRANKENSTEIN</v>
          </cell>
          <cell r="C269">
            <v>15</v>
          </cell>
        </row>
        <row r="270">
          <cell r="A270">
            <v>586577</v>
          </cell>
          <cell r="B270" t="str">
            <v>FRIDA Y DIEGO EN EL PAIS DE LAS CALAVERAS</v>
          </cell>
          <cell r="C270">
            <v>157</v>
          </cell>
        </row>
        <row r="271">
          <cell r="A271">
            <v>594406</v>
          </cell>
          <cell r="B271" t="str">
            <v>FUNDAMENTOS DE MEDICINA LEGAL DEONTOLOGIA Y BIOETICA</v>
          </cell>
          <cell r="C271">
            <v>15</v>
          </cell>
        </row>
        <row r="272">
          <cell r="A272">
            <v>682012</v>
          </cell>
          <cell r="B272" t="str">
            <v>FUNDAMENTOS DE NUTRICION EN EL DEPORTE</v>
          </cell>
          <cell r="C272">
            <v>246</v>
          </cell>
        </row>
        <row r="273">
          <cell r="A273">
            <v>681369</v>
          </cell>
          <cell r="B273" t="str">
            <v>FUNDAMENTOS DE NUTRICION NORMAL</v>
          </cell>
          <cell r="C273">
            <v>434</v>
          </cell>
        </row>
        <row r="274">
          <cell r="A274">
            <v>193913</v>
          </cell>
          <cell r="B274" t="str">
            <v>FUNDAMENTOS DE VALORACION NUTRICIONAL Y COMPOSICION CORPORAL</v>
          </cell>
          <cell r="C274">
            <v>3</v>
          </cell>
        </row>
        <row r="275">
          <cell r="A275">
            <v>716993</v>
          </cell>
          <cell r="B275" t="str">
            <v>FUTBOL, PASION PORTEÑA</v>
          </cell>
          <cell r="C275">
            <v>191</v>
          </cell>
        </row>
        <row r="276">
          <cell r="A276">
            <v>690478</v>
          </cell>
          <cell r="B276" t="str">
            <v>GARDEL . EN IMAGENES - IN PICTURES</v>
          </cell>
          <cell r="C276">
            <v>152</v>
          </cell>
        </row>
        <row r="277">
          <cell r="A277">
            <v>645289</v>
          </cell>
          <cell r="B277" t="str">
            <v>GATITO TITO, EL</v>
          </cell>
          <cell r="C277">
            <v>386</v>
          </cell>
        </row>
        <row r="278">
          <cell r="A278">
            <v>747643</v>
          </cell>
          <cell r="B278" t="str">
            <v>GATITO, ¿POR QUE ESTAS ENOJADO?</v>
          </cell>
          <cell r="C278">
            <v>1983</v>
          </cell>
        </row>
        <row r="279">
          <cell r="A279">
            <v>586574</v>
          </cell>
          <cell r="B279" t="str">
            <v>GIACOMO CASANOVA</v>
          </cell>
          <cell r="C279">
            <v>1</v>
          </cell>
        </row>
        <row r="280">
          <cell r="A280">
            <v>747599</v>
          </cell>
          <cell r="B280" t="str">
            <v>GIMNASIA MENTAL: ENIGMAS Y ASOCIACIONES</v>
          </cell>
          <cell r="C280">
            <v>749</v>
          </cell>
        </row>
        <row r="281">
          <cell r="A281">
            <v>747600</v>
          </cell>
          <cell r="B281" t="str">
            <v>GIMNASIA MENTAL: JUEGOS DE LOGICA</v>
          </cell>
          <cell r="C281">
            <v>896</v>
          </cell>
        </row>
        <row r="282">
          <cell r="A282">
            <v>743070</v>
          </cell>
          <cell r="B282" t="str">
            <v>GRADUATES</v>
          </cell>
          <cell r="C282">
            <v>143</v>
          </cell>
        </row>
        <row r="283">
          <cell r="A283">
            <v>618705</v>
          </cell>
          <cell r="B283" t="str">
            <v>GRAN AVENTURA DE LOS GRIEGOS, LA</v>
          </cell>
          <cell r="C283">
            <v>6</v>
          </cell>
        </row>
        <row r="284">
          <cell r="A284">
            <v>647075</v>
          </cell>
          <cell r="B284" t="str">
            <v>GRAN GATSBY, EL</v>
          </cell>
          <cell r="C284">
            <v>322</v>
          </cell>
        </row>
        <row r="285">
          <cell r="A285">
            <v>645344</v>
          </cell>
          <cell r="B285" t="str">
            <v>GRANDES AVANCES DE LA HUMANIDAD</v>
          </cell>
          <cell r="C285">
            <v>14</v>
          </cell>
        </row>
        <row r="286">
          <cell r="A286">
            <v>636946</v>
          </cell>
          <cell r="B286" t="str">
            <v>GRANDES CARTAS DE AMOR</v>
          </cell>
          <cell r="C286">
            <v>-1</v>
          </cell>
        </row>
        <row r="287">
          <cell r="A287">
            <v>668112</v>
          </cell>
          <cell r="B287" t="str">
            <v>GRANDES CARTAS DE AMOR</v>
          </cell>
          <cell r="C287">
            <v>806</v>
          </cell>
        </row>
        <row r="288">
          <cell r="A288">
            <v>649882</v>
          </cell>
          <cell r="B288" t="str">
            <v>GRANDES RIVALES DE LA HISTORIA</v>
          </cell>
          <cell r="C288">
            <v>1</v>
          </cell>
        </row>
        <row r="289">
          <cell r="A289">
            <v>636947</v>
          </cell>
          <cell r="B289" t="str">
            <v>GREGORI RASPUTIN</v>
          </cell>
          <cell r="C289">
            <v>4</v>
          </cell>
        </row>
        <row r="290">
          <cell r="A290">
            <v>687545</v>
          </cell>
          <cell r="B290" t="str">
            <v>GUERRA DE LAS GRANJAS, LA</v>
          </cell>
          <cell r="C290">
            <v>148</v>
          </cell>
        </row>
        <row r="291">
          <cell r="A291">
            <v>700537</v>
          </cell>
          <cell r="B291" t="str">
            <v>GUERRAS DE INFLUENCIA</v>
          </cell>
          <cell r="C291">
            <v>17</v>
          </cell>
        </row>
        <row r="292">
          <cell r="A292">
            <v>711395</v>
          </cell>
          <cell r="B292" t="str">
            <v>HABITOS PARA TU BIENESTAR</v>
          </cell>
          <cell r="C292">
            <v>137</v>
          </cell>
        </row>
        <row r="293">
          <cell r="A293">
            <v>714586</v>
          </cell>
          <cell r="B293" t="str">
            <v>HABITOS.</v>
          </cell>
          <cell r="C293">
            <v>1680</v>
          </cell>
        </row>
        <row r="294">
          <cell r="A294">
            <v>731834</v>
          </cell>
          <cell r="B294" t="str">
            <v>HABLEMOS DE LOS SECRETOS</v>
          </cell>
          <cell r="C294">
            <v>512</v>
          </cell>
        </row>
        <row r="295">
          <cell r="A295">
            <v>702979</v>
          </cell>
          <cell r="B295" t="str">
            <v>HACKEA TU MENTE</v>
          </cell>
          <cell r="C295">
            <v>1334</v>
          </cell>
        </row>
        <row r="296">
          <cell r="A296">
            <v>707943</v>
          </cell>
          <cell r="B296" t="str">
            <v>HAMBRE O GANAS DE COMER?</v>
          </cell>
          <cell r="C296">
            <v>108</v>
          </cell>
        </row>
        <row r="297">
          <cell r="A297">
            <v>677839</v>
          </cell>
          <cell r="B297" t="str">
            <v>HEDY</v>
          </cell>
          <cell r="C297">
            <v>780</v>
          </cell>
        </row>
        <row r="298">
          <cell r="A298">
            <v>594412</v>
          </cell>
          <cell r="B298" t="str">
            <v>HEIDI</v>
          </cell>
          <cell r="C298">
            <v>1</v>
          </cell>
        </row>
        <row r="299">
          <cell r="A299">
            <v>582266</v>
          </cell>
          <cell r="B299" t="str">
            <v>HEYDRICH</v>
          </cell>
          <cell r="C299">
            <v>1</v>
          </cell>
        </row>
        <row r="300">
          <cell r="A300">
            <v>508891</v>
          </cell>
          <cell r="B300" t="str">
            <v>HIERBAS</v>
          </cell>
          <cell r="C300">
            <v>6</v>
          </cell>
        </row>
        <row r="301">
          <cell r="A301">
            <v>719961</v>
          </cell>
          <cell r="B301" t="str">
            <v>HIJO DEL CODICE, EL</v>
          </cell>
          <cell r="C301">
            <v>233</v>
          </cell>
        </row>
        <row r="302">
          <cell r="A302">
            <v>622048</v>
          </cell>
          <cell r="B302" t="str">
            <v>HIJOS DE NAZIS</v>
          </cell>
          <cell r="C302">
            <v>146</v>
          </cell>
        </row>
        <row r="303">
          <cell r="A303">
            <v>657292</v>
          </cell>
          <cell r="B303" t="str">
            <v>HISTORIA COMO NUNCA ANTES DE LA HABIAN CONTADO, LA</v>
          </cell>
          <cell r="C303">
            <v>251</v>
          </cell>
        </row>
        <row r="304">
          <cell r="A304">
            <v>576586</v>
          </cell>
          <cell r="B304" t="str">
            <v>HISTORIA DE BELGRANO</v>
          </cell>
          <cell r="C304">
            <v>99</v>
          </cell>
        </row>
        <row r="305">
          <cell r="A305">
            <v>707252</v>
          </cell>
          <cell r="B305" t="str">
            <v>HISTORIA DE LA CONSTRUCCION DE EUROPA DESPUES DE 1945</v>
          </cell>
          <cell r="C305">
            <v>25</v>
          </cell>
        </row>
        <row r="306">
          <cell r="A306">
            <v>571763</v>
          </cell>
          <cell r="B306" t="str">
            <v>HISTORIA DE LA GESTAPO</v>
          </cell>
          <cell r="C306">
            <v>1</v>
          </cell>
        </row>
        <row r="307">
          <cell r="A307">
            <v>600866</v>
          </cell>
          <cell r="B307" t="str">
            <v>HISTORIA DE LA YIHAD</v>
          </cell>
          <cell r="C307">
            <v>5</v>
          </cell>
        </row>
        <row r="308">
          <cell r="A308">
            <v>516660</v>
          </cell>
          <cell r="B308" t="str">
            <v>HISTORIA DE SAN MARTIN Y DE LA EMANCIPACION SUDAMERICANA</v>
          </cell>
          <cell r="C308">
            <v>225</v>
          </cell>
        </row>
        <row r="309">
          <cell r="A309">
            <v>348212</v>
          </cell>
          <cell r="B309" t="str">
            <v>HISTORIA DEL FEMINISMO</v>
          </cell>
          <cell r="C309">
            <v>13</v>
          </cell>
        </row>
        <row r="310">
          <cell r="A310">
            <v>647012</v>
          </cell>
          <cell r="B310" t="str">
            <v>HISTORIA ECONOMICA DE LA ARGENTINA</v>
          </cell>
          <cell r="C310">
            <v>400</v>
          </cell>
        </row>
        <row r="311">
          <cell r="A311">
            <v>618574</v>
          </cell>
          <cell r="B311" t="str">
            <v>HISTORIA ILUSTRADA DEL VESTIDO</v>
          </cell>
          <cell r="C311">
            <v>1</v>
          </cell>
        </row>
        <row r="312">
          <cell r="A312">
            <v>633018</v>
          </cell>
          <cell r="B312" t="str">
            <v>HISTORIAS DE LA BIBLIA</v>
          </cell>
          <cell r="C312">
            <v>2</v>
          </cell>
        </row>
        <row r="313">
          <cell r="A313">
            <v>569646</v>
          </cell>
          <cell r="B313" t="str">
            <v>HISTORIAS DE LA HISTORIA ARGENTINA</v>
          </cell>
          <cell r="C313">
            <v>2</v>
          </cell>
        </row>
        <row r="314">
          <cell r="A314">
            <v>635047</v>
          </cell>
          <cell r="B314" t="str">
            <v>HISTORIAS DE LA PREHISTORIA</v>
          </cell>
          <cell r="C314">
            <v>4</v>
          </cell>
        </row>
        <row r="315">
          <cell r="A315">
            <v>744140</v>
          </cell>
          <cell r="B315" t="str">
            <v>HOLA, BEBE. ANIMALES</v>
          </cell>
          <cell r="C315">
            <v>336</v>
          </cell>
        </row>
        <row r="316">
          <cell r="A316">
            <v>744139</v>
          </cell>
          <cell r="B316" t="str">
            <v>HOLA, BEBE. MI MUNDO</v>
          </cell>
          <cell r="C316">
            <v>399</v>
          </cell>
        </row>
        <row r="317">
          <cell r="A317">
            <v>713082</v>
          </cell>
          <cell r="B317" t="str">
            <v>HONGOS</v>
          </cell>
          <cell r="C317">
            <v>136</v>
          </cell>
        </row>
        <row r="318">
          <cell r="A318">
            <v>695681</v>
          </cell>
          <cell r="B318" t="str">
            <v>HUERTA</v>
          </cell>
          <cell r="C318">
            <v>265</v>
          </cell>
        </row>
        <row r="319">
          <cell r="A319">
            <v>744132</v>
          </cell>
          <cell r="B319" t="str">
            <v>HUERTA URBANA</v>
          </cell>
          <cell r="C319">
            <v>369</v>
          </cell>
        </row>
        <row r="320">
          <cell r="A320">
            <v>734147</v>
          </cell>
          <cell r="B320" t="str">
            <v>IA ¿AMENAZA O SOLUCION?</v>
          </cell>
          <cell r="C320">
            <v>881</v>
          </cell>
        </row>
        <row r="321">
          <cell r="A321">
            <v>396704</v>
          </cell>
          <cell r="B321" t="str">
            <v>IGOR SE VA DE CASA - PELIGRO EXTRATERRESTRE</v>
          </cell>
          <cell r="C321">
            <v>2</v>
          </cell>
        </row>
        <row r="322">
          <cell r="A322">
            <v>715421</v>
          </cell>
          <cell r="B322" t="str">
            <v>IMPERFECTOS</v>
          </cell>
          <cell r="C322">
            <v>291</v>
          </cell>
        </row>
        <row r="323">
          <cell r="A323">
            <v>592801</v>
          </cell>
          <cell r="B323" t="str">
            <v>INCREIBLE UNIVERSO DEL RECIEN NACIDO, EL</v>
          </cell>
          <cell r="C323">
            <v>8</v>
          </cell>
        </row>
        <row r="324">
          <cell r="A324">
            <v>558911</v>
          </cell>
          <cell r="B324" t="str">
            <v>INGLES - GUIA DE CONVERSACION</v>
          </cell>
          <cell r="C324">
            <v>1</v>
          </cell>
        </row>
        <row r="325">
          <cell r="A325">
            <v>729379</v>
          </cell>
          <cell r="B325" t="str">
            <v>INTELIGENCIA ARTIFICIAL</v>
          </cell>
          <cell r="C325">
            <v>309</v>
          </cell>
        </row>
        <row r="326">
          <cell r="A326">
            <v>751237</v>
          </cell>
          <cell r="B326" t="str">
            <v>INTI SE COME LAS UÑAS</v>
          </cell>
          <cell r="C326">
            <v>91</v>
          </cell>
        </row>
        <row r="327">
          <cell r="A327">
            <v>737019</v>
          </cell>
          <cell r="B327" t="str">
            <v>INTI Y EL CELULAR</v>
          </cell>
          <cell r="C327">
            <v>1359</v>
          </cell>
        </row>
        <row r="328">
          <cell r="A328">
            <v>745990</v>
          </cell>
          <cell r="B328" t="str">
            <v>ISIS</v>
          </cell>
          <cell r="C328">
            <v>440</v>
          </cell>
        </row>
        <row r="329">
          <cell r="A329">
            <v>508890</v>
          </cell>
          <cell r="B329" t="str">
            <v>JARDINERIA PARA TODA LA FAMILIA</v>
          </cell>
          <cell r="C329">
            <v>7</v>
          </cell>
        </row>
        <row r="330">
          <cell r="A330">
            <v>709127</v>
          </cell>
          <cell r="B330" t="str">
            <v>JEFE, EL: MIGUEL MATEOS, LA BIOGRAFIA</v>
          </cell>
          <cell r="C330">
            <v>27</v>
          </cell>
        </row>
        <row r="331">
          <cell r="A331">
            <v>734395</v>
          </cell>
          <cell r="B331" t="str">
            <v>JUEGO Y APRENDO! DINOSAURIOS</v>
          </cell>
          <cell r="C331">
            <v>1092</v>
          </cell>
        </row>
        <row r="332">
          <cell r="A332">
            <v>691782</v>
          </cell>
          <cell r="B332" t="str">
            <v>LECTURA Y ESCRITURA: 31 PREGUNTAS Y RESPUESTAS</v>
          </cell>
          <cell r="C332">
            <v>67</v>
          </cell>
        </row>
        <row r="333">
          <cell r="A333">
            <v>745988</v>
          </cell>
          <cell r="B333" t="str">
            <v>LEGION SECRETA DEL SUR, LA</v>
          </cell>
          <cell r="C333">
            <v>641</v>
          </cell>
        </row>
        <row r="334">
          <cell r="A334">
            <v>720931</v>
          </cell>
          <cell r="B334" t="str">
            <v>LETRAS</v>
          </cell>
          <cell r="C334">
            <v>248</v>
          </cell>
        </row>
        <row r="335">
          <cell r="A335">
            <v>741700</v>
          </cell>
          <cell r="B335" t="str">
            <v>LIBRO MAGICO DE LOS NIÑOS VALIENTES, EL</v>
          </cell>
          <cell r="C335">
            <v>3336</v>
          </cell>
        </row>
        <row r="336">
          <cell r="A336">
            <v>750373</v>
          </cell>
          <cell r="B336" t="str">
            <v>LIDERAZGO CON PROPOSITO</v>
          </cell>
          <cell r="C336">
            <v>650</v>
          </cell>
        </row>
        <row r="337">
          <cell r="A337">
            <v>709893</v>
          </cell>
          <cell r="B337" t="str">
            <v>LIDERES DE HOY</v>
          </cell>
          <cell r="C337">
            <v>78</v>
          </cell>
        </row>
        <row r="338">
          <cell r="A338">
            <v>722604</v>
          </cell>
          <cell r="B338" t="str">
            <v>LO QUE NADIE CONTO DE LA TRAGEDIA DE LOS ANDES</v>
          </cell>
          <cell r="C338">
            <v>193</v>
          </cell>
        </row>
        <row r="339">
          <cell r="A339">
            <v>699695</v>
          </cell>
          <cell r="B339" t="str">
            <v>LO QUE VA VUELVE</v>
          </cell>
          <cell r="C339">
            <v>140</v>
          </cell>
        </row>
        <row r="340">
          <cell r="A340">
            <v>696627</v>
          </cell>
          <cell r="B340" t="str">
            <v>LUCERO Y LAS NUBES</v>
          </cell>
          <cell r="C340">
            <v>182</v>
          </cell>
        </row>
        <row r="341">
          <cell r="A341">
            <v>731829</v>
          </cell>
          <cell r="B341" t="str">
            <v>LUDOPATIA</v>
          </cell>
          <cell r="C341">
            <v>130</v>
          </cell>
        </row>
        <row r="342">
          <cell r="A342">
            <v>584132</v>
          </cell>
          <cell r="B342" t="str">
            <v>LUDWIG VAN BEETHOVEN</v>
          </cell>
          <cell r="C342">
            <v>1</v>
          </cell>
        </row>
        <row r="343">
          <cell r="A343">
            <v>734150</v>
          </cell>
          <cell r="B343" t="str">
            <v>MAGIA DE IVY, LA</v>
          </cell>
          <cell r="C343">
            <v>1558</v>
          </cell>
        </row>
        <row r="344">
          <cell r="A344">
            <v>683672</v>
          </cell>
          <cell r="B344" t="str">
            <v>MAGIA UNICORNIA - JUEGOS Y MAS</v>
          </cell>
          <cell r="C344">
            <v>1</v>
          </cell>
        </row>
        <row r="345">
          <cell r="A345">
            <v>718918</v>
          </cell>
          <cell r="B345" t="str">
            <v>MAGO DE LOS LIBROS, EL</v>
          </cell>
          <cell r="C345">
            <v>1011</v>
          </cell>
        </row>
        <row r="346">
          <cell r="A346">
            <v>669515</v>
          </cell>
          <cell r="B346" t="str">
            <v>MAL DE MUCHAS</v>
          </cell>
          <cell r="C346">
            <v>303</v>
          </cell>
        </row>
        <row r="347">
          <cell r="A347">
            <v>703396</v>
          </cell>
          <cell r="B347" t="str">
            <v>MALVINAS</v>
          </cell>
          <cell r="C347">
            <v>418</v>
          </cell>
        </row>
        <row r="348">
          <cell r="A348">
            <v>743067</v>
          </cell>
          <cell r="B348" t="str">
            <v>MANUAL DE VIDA</v>
          </cell>
          <cell r="C348">
            <v>1268</v>
          </cell>
        </row>
        <row r="349">
          <cell r="A349">
            <v>622634</v>
          </cell>
          <cell r="B349" t="str">
            <v>MARAVILLOSA NATURALEZA</v>
          </cell>
          <cell r="C349">
            <v>1</v>
          </cell>
        </row>
        <row r="350">
          <cell r="A350">
            <v>584135</v>
          </cell>
          <cell r="B350" t="str">
            <v>MARIA ANTONIETA</v>
          </cell>
          <cell r="C350">
            <v>1</v>
          </cell>
        </row>
        <row r="351">
          <cell r="A351">
            <v>737013</v>
          </cell>
          <cell r="B351" t="str">
            <v>MARTIN FIERRO (ED. BILINGÜE)</v>
          </cell>
          <cell r="C351">
            <v>618</v>
          </cell>
        </row>
        <row r="352">
          <cell r="A352">
            <v>685400</v>
          </cell>
          <cell r="B352" t="str">
            <v>MASCOTAS A OSCURAS</v>
          </cell>
          <cell r="C352">
            <v>25</v>
          </cell>
        </row>
        <row r="353">
          <cell r="A353">
            <v>683318</v>
          </cell>
          <cell r="B353" t="str">
            <v>MATANZA NEGADA: AUTOBIOGRAFIA DE MIS PADRES, LA</v>
          </cell>
          <cell r="C353">
            <v>11</v>
          </cell>
        </row>
        <row r="354">
          <cell r="A354">
            <v>707254</v>
          </cell>
          <cell r="B354" t="str">
            <v>ME ABURRO!</v>
          </cell>
          <cell r="C354">
            <v>336</v>
          </cell>
        </row>
        <row r="355">
          <cell r="A355">
            <v>686372</v>
          </cell>
          <cell r="B355" t="str">
            <v>ME ANIMO</v>
          </cell>
          <cell r="C355">
            <v>39</v>
          </cell>
        </row>
        <row r="356">
          <cell r="A356">
            <v>690477</v>
          </cell>
          <cell r="B356" t="str">
            <v>MEDIADORA : EN CUERPO Y ALMAS, LA</v>
          </cell>
          <cell r="C356">
            <v>722</v>
          </cell>
        </row>
        <row r="357">
          <cell r="A357">
            <v>735112</v>
          </cell>
          <cell r="B357" t="str">
            <v>MEDIANOCHE DEL ALMA, LA</v>
          </cell>
          <cell r="C357">
            <v>2867</v>
          </cell>
        </row>
        <row r="358">
          <cell r="A358">
            <v>735110</v>
          </cell>
          <cell r="B358" t="str">
            <v>MEDICI, LOS</v>
          </cell>
          <cell r="C358">
            <v>1259</v>
          </cell>
        </row>
        <row r="359">
          <cell r="A359">
            <v>656687</v>
          </cell>
          <cell r="B359" t="str">
            <v>MEDICOS NAZIS</v>
          </cell>
          <cell r="C359">
            <v>104</v>
          </cell>
        </row>
        <row r="360">
          <cell r="A360">
            <v>715419</v>
          </cell>
          <cell r="B360" t="str">
            <v>MEDITACIONES</v>
          </cell>
          <cell r="C360">
            <v>3379</v>
          </cell>
        </row>
        <row r="361">
          <cell r="A361">
            <v>647070</v>
          </cell>
          <cell r="B361" t="str">
            <v>MEJORES CUENTOS DE AMOR, LOS</v>
          </cell>
          <cell r="C361">
            <v>321</v>
          </cell>
        </row>
        <row r="362">
          <cell r="A362">
            <v>647076</v>
          </cell>
          <cell r="B362" t="str">
            <v>MEJORES CUENTOS DE FANTASMAS, LOS</v>
          </cell>
          <cell r="C362">
            <v>14</v>
          </cell>
        </row>
        <row r="363">
          <cell r="A363">
            <v>647074</v>
          </cell>
          <cell r="B363" t="str">
            <v>MEJORES CUENTOS DE MISTERIO, LOS</v>
          </cell>
          <cell r="C363">
            <v>212</v>
          </cell>
        </row>
        <row r="364">
          <cell r="A364">
            <v>647077</v>
          </cell>
          <cell r="B364" t="str">
            <v>MEJORES CUENTOS DE TERROR, LOS</v>
          </cell>
          <cell r="C364">
            <v>174</v>
          </cell>
        </row>
        <row r="365">
          <cell r="A365">
            <v>647069</v>
          </cell>
          <cell r="B365" t="str">
            <v>MEJORES CUENTOS DE VAMPIROS, LOS</v>
          </cell>
          <cell r="C365">
            <v>88</v>
          </cell>
        </row>
        <row r="366">
          <cell r="A366">
            <v>647071</v>
          </cell>
          <cell r="B366" t="str">
            <v>MEJORES CUENTOS FANTASTICOS, LOS</v>
          </cell>
          <cell r="C366">
            <v>161</v>
          </cell>
        </row>
        <row r="367">
          <cell r="A367">
            <v>709895</v>
          </cell>
          <cell r="B367" t="str">
            <v>MEMORIA DEL MAL, LA</v>
          </cell>
          <cell r="C367">
            <v>1586</v>
          </cell>
        </row>
        <row r="368">
          <cell r="A368">
            <v>745991</v>
          </cell>
          <cell r="B368" t="str">
            <v>MEMORIAS DE SHERLOCK HOLMES, LAS - ED. POCKET</v>
          </cell>
          <cell r="C368">
            <v>169</v>
          </cell>
        </row>
        <row r="369">
          <cell r="A369">
            <v>417764</v>
          </cell>
          <cell r="B369" t="str">
            <v>MENA</v>
          </cell>
          <cell r="C369">
            <v>4</v>
          </cell>
        </row>
        <row r="370">
          <cell r="A370">
            <v>665951</v>
          </cell>
          <cell r="B370" t="str">
            <v>MENTIRAS DE LA SEGUNDA GUERRA MUNDIAL, LAS</v>
          </cell>
          <cell r="C370">
            <v>2</v>
          </cell>
        </row>
        <row r="371">
          <cell r="A371">
            <v>722600</v>
          </cell>
          <cell r="B371" t="str">
            <v>MESSI INTIMO</v>
          </cell>
          <cell r="C371">
            <v>315</v>
          </cell>
        </row>
        <row r="372">
          <cell r="A372">
            <v>690469</v>
          </cell>
          <cell r="B372" t="str">
            <v>MESSI, EL GENIO COMPLETO</v>
          </cell>
          <cell r="C372">
            <v>87</v>
          </cell>
        </row>
        <row r="373">
          <cell r="A373">
            <v>737451</v>
          </cell>
          <cell r="B373" t="str">
            <v>METAMORFOSIS, LA</v>
          </cell>
          <cell r="C373">
            <v>2037</v>
          </cell>
        </row>
        <row r="374">
          <cell r="A374">
            <v>670527</v>
          </cell>
          <cell r="B374" t="str">
            <v>METODO EFE, EL</v>
          </cell>
          <cell r="C374">
            <v>13</v>
          </cell>
        </row>
        <row r="375">
          <cell r="A375">
            <v>609581</v>
          </cell>
          <cell r="B375" t="str">
            <v>MI AMIGO DEGAS</v>
          </cell>
          <cell r="C375">
            <v>17</v>
          </cell>
        </row>
        <row r="376">
          <cell r="A376">
            <v>609580</v>
          </cell>
          <cell r="B376" t="str">
            <v>MI AMIGO GAUGUIN</v>
          </cell>
          <cell r="C376">
            <v>15</v>
          </cell>
        </row>
        <row r="377">
          <cell r="A377">
            <v>703457</v>
          </cell>
          <cell r="B377" t="str">
            <v>MI AMIGO MONET</v>
          </cell>
          <cell r="C377">
            <v>45</v>
          </cell>
        </row>
        <row r="378">
          <cell r="A378">
            <v>609578</v>
          </cell>
          <cell r="B378" t="str">
            <v>MI AMIGO MONET</v>
          </cell>
          <cell r="C378">
            <v>6</v>
          </cell>
        </row>
        <row r="379">
          <cell r="A379">
            <v>703456</v>
          </cell>
          <cell r="B379" t="str">
            <v>MI AMIGO VAN GOGH</v>
          </cell>
          <cell r="C379">
            <v>26</v>
          </cell>
        </row>
        <row r="380">
          <cell r="A380">
            <v>610473</v>
          </cell>
          <cell r="B380" t="str">
            <v>MI MUNDO MARAVILLOSO</v>
          </cell>
          <cell r="C380">
            <v>2</v>
          </cell>
        </row>
        <row r="381">
          <cell r="A381">
            <v>672057</v>
          </cell>
          <cell r="B381" t="str">
            <v>MI PLANTA DE NARANJA LIMA - EDICION ESCOLAR</v>
          </cell>
          <cell r="C381">
            <v>1035</v>
          </cell>
        </row>
        <row r="382">
          <cell r="A382">
            <v>668114</v>
          </cell>
          <cell r="B382" t="str">
            <v>MI PLANTA DE NARANJA LIMA - EDICION ESPECIAL</v>
          </cell>
          <cell r="C382">
            <v>686</v>
          </cell>
        </row>
        <row r="383">
          <cell r="A383">
            <v>598710</v>
          </cell>
          <cell r="B383" t="str">
            <v>MI VIAJE CUADERNO DE BITACORA - 2 TOMOS</v>
          </cell>
          <cell r="C383">
            <v>10</v>
          </cell>
        </row>
        <row r="384">
          <cell r="A384">
            <v>707255</v>
          </cell>
          <cell r="B384" t="str">
            <v>MINICUENTOS DE INVIERNO</v>
          </cell>
          <cell r="C384">
            <v>539</v>
          </cell>
        </row>
        <row r="385">
          <cell r="A385">
            <v>714593</v>
          </cell>
          <cell r="B385" t="str">
            <v>MINICUENTOS DE OTOÑO</v>
          </cell>
          <cell r="C385">
            <v>165</v>
          </cell>
        </row>
        <row r="386">
          <cell r="A386">
            <v>709131</v>
          </cell>
          <cell r="B386" t="str">
            <v>MINICUENTOS DE PRIMAVERA</v>
          </cell>
          <cell r="C386">
            <v>187</v>
          </cell>
        </row>
        <row r="387">
          <cell r="A387">
            <v>721549</v>
          </cell>
          <cell r="B387" t="str">
            <v>MINICUENTOS DE SUSTO</v>
          </cell>
          <cell r="C387">
            <v>388</v>
          </cell>
        </row>
        <row r="388">
          <cell r="A388">
            <v>711850</v>
          </cell>
          <cell r="B388" t="str">
            <v>MINICUENTOS DE VERANO</v>
          </cell>
          <cell r="C388">
            <v>867</v>
          </cell>
        </row>
        <row r="389">
          <cell r="A389">
            <v>691776</v>
          </cell>
          <cell r="B389" t="str">
            <v>MINIMA INTERVENCION</v>
          </cell>
          <cell r="C389">
            <v>2</v>
          </cell>
        </row>
        <row r="390">
          <cell r="A390">
            <v>751241</v>
          </cell>
          <cell r="B390" t="str">
            <v>MIRA Y DESCUBRE: EL CUERPO HUMANO</v>
          </cell>
          <cell r="C390">
            <v>77</v>
          </cell>
        </row>
        <row r="391">
          <cell r="A391">
            <v>751240</v>
          </cell>
          <cell r="B391" t="str">
            <v>MIRA Y DESCUBRE: EL ESPACIO</v>
          </cell>
          <cell r="C391">
            <v>62</v>
          </cell>
        </row>
        <row r="392">
          <cell r="A392">
            <v>732722</v>
          </cell>
          <cell r="B392" t="str">
            <v>MIS AMIGOS LOS CARPINCHOS</v>
          </cell>
          <cell r="C392">
            <v>1657</v>
          </cell>
        </row>
        <row r="393">
          <cell r="A393">
            <v>750397</v>
          </cell>
          <cell r="B393" t="str">
            <v>MIS AUTOS DE CARRERA</v>
          </cell>
          <cell r="C393">
            <v>163</v>
          </cell>
        </row>
        <row r="394">
          <cell r="A394">
            <v>666999</v>
          </cell>
          <cell r="B394" t="str">
            <v>MIS CUENTOS INOLVIDABLES</v>
          </cell>
          <cell r="C394">
            <v>84</v>
          </cell>
        </row>
        <row r="395">
          <cell r="A395">
            <v>750395</v>
          </cell>
          <cell r="B395" t="str">
            <v>MIS EXCAVADORAS</v>
          </cell>
          <cell r="C395">
            <v>192</v>
          </cell>
        </row>
        <row r="396">
          <cell r="A396">
            <v>690836</v>
          </cell>
          <cell r="B396" t="str">
            <v>MISTERIO DE LOS ZAPATOS ROTOS, EL</v>
          </cell>
          <cell r="C396">
            <v>19</v>
          </cell>
        </row>
        <row r="397">
          <cell r="A397">
            <v>647011</v>
          </cell>
          <cell r="B397" t="str">
            <v>MITOLOGIA GRIEGA Y ROMANA</v>
          </cell>
          <cell r="C397">
            <v>278</v>
          </cell>
        </row>
        <row r="398">
          <cell r="A398">
            <v>748661</v>
          </cell>
          <cell r="B398" t="str">
            <v>MODISTAS</v>
          </cell>
          <cell r="C398">
            <v>151</v>
          </cell>
        </row>
        <row r="399">
          <cell r="A399">
            <v>680641</v>
          </cell>
          <cell r="B399" t="str">
            <v>MOMENTO EICHMANN, EL</v>
          </cell>
          <cell r="C399">
            <v>14</v>
          </cell>
        </row>
        <row r="400">
          <cell r="A400">
            <v>640866</v>
          </cell>
          <cell r="B400" t="str">
            <v>MUERTE DE LOS CESARES, LA</v>
          </cell>
          <cell r="C400">
            <v>73</v>
          </cell>
        </row>
        <row r="401">
          <cell r="A401">
            <v>677291</v>
          </cell>
          <cell r="B401" t="str">
            <v>MUJER POCO PROBABLE, LA</v>
          </cell>
          <cell r="C401">
            <v>132</v>
          </cell>
        </row>
        <row r="402">
          <cell r="A402">
            <v>686375</v>
          </cell>
          <cell r="B402" t="str">
            <v>MUJERES FARO</v>
          </cell>
          <cell r="C402">
            <v>16</v>
          </cell>
        </row>
        <row r="403">
          <cell r="A403">
            <v>719963</v>
          </cell>
          <cell r="B403" t="str">
            <v>MUSICA DE D10S</v>
          </cell>
          <cell r="C403">
            <v>64</v>
          </cell>
        </row>
        <row r="404">
          <cell r="A404">
            <v>702715</v>
          </cell>
          <cell r="B404" t="str">
            <v>NACE UN PAPA</v>
          </cell>
          <cell r="C404">
            <v>365</v>
          </cell>
        </row>
        <row r="405">
          <cell r="A405">
            <v>690835</v>
          </cell>
          <cell r="B405" t="str">
            <v>NADIE TE ENSEÑA</v>
          </cell>
          <cell r="C405">
            <v>123</v>
          </cell>
        </row>
        <row r="406">
          <cell r="A406">
            <v>596841</v>
          </cell>
          <cell r="B406" t="str">
            <v>NAPOLEON BONAPARTE</v>
          </cell>
          <cell r="C406">
            <v>226</v>
          </cell>
        </row>
        <row r="407">
          <cell r="A407">
            <v>718922</v>
          </cell>
          <cell r="B407" t="str">
            <v>NATURALISTAS</v>
          </cell>
          <cell r="C407">
            <v>387</v>
          </cell>
        </row>
        <row r="408">
          <cell r="A408">
            <v>713081</v>
          </cell>
          <cell r="B408" t="str">
            <v>NAZIS ARGENTINOS</v>
          </cell>
          <cell r="C408">
            <v>147</v>
          </cell>
        </row>
        <row r="409">
          <cell r="A409">
            <v>673646</v>
          </cell>
          <cell r="B409" t="str">
            <v>NINA</v>
          </cell>
          <cell r="C409">
            <v>13</v>
          </cell>
        </row>
        <row r="410">
          <cell r="A410">
            <v>617595</v>
          </cell>
          <cell r="B410" t="str">
            <v>NIÑA QUE QUERIA ATRAPAR LAS NUBES, LA</v>
          </cell>
          <cell r="C410">
            <v>1</v>
          </cell>
        </row>
        <row r="411">
          <cell r="A411">
            <v>727019</v>
          </cell>
          <cell r="B411" t="str">
            <v>NO APRENDIMOS NADA</v>
          </cell>
          <cell r="C411">
            <v>91</v>
          </cell>
        </row>
        <row r="412">
          <cell r="A412">
            <v>713083</v>
          </cell>
          <cell r="B412" t="str">
            <v>NO PIENSO LLAMARTE MAS</v>
          </cell>
          <cell r="C412">
            <v>71</v>
          </cell>
        </row>
        <row r="413">
          <cell r="A413">
            <v>729378</v>
          </cell>
          <cell r="B413" t="str">
            <v>NO QUIERO DORMIR</v>
          </cell>
          <cell r="C413">
            <v>534</v>
          </cell>
        </row>
        <row r="414">
          <cell r="A414">
            <v>687544</v>
          </cell>
          <cell r="B414" t="str">
            <v>NO SOY NADA SIN TU AMOR</v>
          </cell>
          <cell r="C414">
            <v>207</v>
          </cell>
        </row>
        <row r="415">
          <cell r="A415">
            <v>707946</v>
          </cell>
          <cell r="B415" t="str">
            <v>NUESTRO ARBOL DE JACARANDA</v>
          </cell>
          <cell r="C415">
            <v>25</v>
          </cell>
        </row>
        <row r="416">
          <cell r="A416">
            <v>728160</v>
          </cell>
          <cell r="B416" t="str">
            <v>NUEVO DICCIONARIO ESCOLAR DE LA LENGUA ESPAÑOLA</v>
          </cell>
          <cell r="C416">
            <v>2769</v>
          </cell>
        </row>
        <row r="417">
          <cell r="A417">
            <v>730437</v>
          </cell>
          <cell r="B417" t="str">
            <v>NUEVO LABORATORIO DEL ALMA, EL</v>
          </cell>
          <cell r="C417">
            <v>543</v>
          </cell>
        </row>
        <row r="418">
          <cell r="A418">
            <v>720932</v>
          </cell>
          <cell r="B418" t="str">
            <v>NUMEROS</v>
          </cell>
          <cell r="C418">
            <v>294</v>
          </cell>
        </row>
        <row r="419">
          <cell r="A419">
            <v>621801</v>
          </cell>
          <cell r="B419" t="str">
            <v>NUMEROS, LOS</v>
          </cell>
          <cell r="C419">
            <v>1</v>
          </cell>
        </row>
        <row r="420">
          <cell r="A420">
            <v>705125</v>
          </cell>
          <cell r="B420" t="str">
            <v>NUNCA TE OLVIDE</v>
          </cell>
          <cell r="C420">
            <v>170</v>
          </cell>
        </row>
        <row r="421">
          <cell r="A421">
            <v>740759</v>
          </cell>
          <cell r="B421" t="str">
            <v>OBESIDAD</v>
          </cell>
          <cell r="C421">
            <v>375</v>
          </cell>
        </row>
        <row r="422">
          <cell r="A422">
            <v>580536</v>
          </cell>
          <cell r="B422" t="str">
            <v>OLIVER TWIST</v>
          </cell>
          <cell r="C422">
            <v>1</v>
          </cell>
        </row>
        <row r="423">
          <cell r="A423">
            <v>627250</v>
          </cell>
          <cell r="B423" t="str">
            <v>OPERACIONES ESPECIALES DE LA SEGUNDA GUERRA MUNDIAL</v>
          </cell>
          <cell r="C423">
            <v>3</v>
          </cell>
        </row>
        <row r="424">
          <cell r="A424">
            <v>621798</v>
          </cell>
          <cell r="B424" t="str">
            <v>ORBIL, EL LIBRO PATAS ARRIBA</v>
          </cell>
          <cell r="C424">
            <v>3</v>
          </cell>
        </row>
        <row r="425">
          <cell r="A425">
            <v>633017</v>
          </cell>
          <cell r="B425" t="str">
            <v>OSO Y EL PIANO, EL</v>
          </cell>
          <cell r="C425">
            <v>6</v>
          </cell>
        </row>
        <row r="426">
          <cell r="A426">
            <v>645286</v>
          </cell>
          <cell r="B426" t="str">
            <v>PANDA AMANDA, LA</v>
          </cell>
          <cell r="C426">
            <v>236</v>
          </cell>
        </row>
        <row r="427">
          <cell r="A427">
            <v>710539</v>
          </cell>
          <cell r="B427" t="str">
            <v>PANES Y MASAS</v>
          </cell>
          <cell r="C427">
            <v>437</v>
          </cell>
        </row>
        <row r="428">
          <cell r="A428">
            <v>734398</v>
          </cell>
          <cell r="B428" t="str">
            <v>PASEO POR LA GRANJA</v>
          </cell>
          <cell r="C428">
            <v>680</v>
          </cell>
        </row>
        <row r="429">
          <cell r="A429">
            <v>734399</v>
          </cell>
          <cell r="B429" t="str">
            <v>PASEO POR LA PLAYA</v>
          </cell>
          <cell r="C429">
            <v>594</v>
          </cell>
        </row>
        <row r="430">
          <cell r="A430">
            <v>700534</v>
          </cell>
          <cell r="B430" t="str">
            <v>PASTELERIA ARGENTINA</v>
          </cell>
          <cell r="C430">
            <v>387</v>
          </cell>
        </row>
        <row r="431">
          <cell r="A431">
            <v>671438</v>
          </cell>
          <cell r="B431" t="str">
            <v>PASTELERIA URBANA</v>
          </cell>
          <cell r="C431">
            <v>182</v>
          </cell>
        </row>
        <row r="432">
          <cell r="A432">
            <v>737014</v>
          </cell>
          <cell r="B432" t="str">
            <v>PATAGONIA</v>
          </cell>
          <cell r="C432">
            <v>542</v>
          </cell>
        </row>
        <row r="433">
          <cell r="A433">
            <v>745987</v>
          </cell>
          <cell r="B433" t="str">
            <v>PEDAGOGIAS EMERGENTES: 22 PREGUNTAS Y RESPUESTAS -  ATENEO AULA</v>
          </cell>
          <cell r="C433">
            <v>115</v>
          </cell>
        </row>
        <row r="434">
          <cell r="A434">
            <v>709894</v>
          </cell>
          <cell r="B434" t="str">
            <v>PEDIATRA AL RESCATE</v>
          </cell>
          <cell r="C434">
            <v>130</v>
          </cell>
        </row>
        <row r="435">
          <cell r="A435">
            <v>741692</v>
          </cell>
          <cell r="B435" t="str">
            <v>PENSAR DE NUEVO</v>
          </cell>
          <cell r="C435">
            <v>450</v>
          </cell>
        </row>
        <row r="436">
          <cell r="A436">
            <v>749100</v>
          </cell>
          <cell r="B436" t="str">
            <v>PEQUEÑO DRAGON QUE PERDIO SU FUEGO, EL</v>
          </cell>
          <cell r="C436">
            <v>112</v>
          </cell>
        </row>
        <row r="437">
          <cell r="A437">
            <v>749099</v>
          </cell>
          <cell r="B437" t="str">
            <v>PEQUEÑO MONO QUE PERDIO SU MIEDO, EL</v>
          </cell>
          <cell r="C437">
            <v>327</v>
          </cell>
        </row>
        <row r="438">
          <cell r="A438">
            <v>749098</v>
          </cell>
          <cell r="B438" t="str">
            <v>PEQUEÑO UNICORNIO QUE PERDIO SU MAGIA, EL</v>
          </cell>
          <cell r="C438">
            <v>240</v>
          </cell>
        </row>
        <row r="439">
          <cell r="A439">
            <v>747642</v>
          </cell>
          <cell r="B439" t="str">
            <v>PEQUEÑOS LIBROS - LITTLE BOOKS</v>
          </cell>
          <cell r="C439">
            <v>929</v>
          </cell>
        </row>
        <row r="440">
          <cell r="A440">
            <v>742446</v>
          </cell>
          <cell r="B440" t="str">
            <v>PEQUEÑOS PASOS: MI MUNDO</v>
          </cell>
          <cell r="C440">
            <v>759</v>
          </cell>
        </row>
        <row r="441">
          <cell r="A441">
            <v>742445</v>
          </cell>
          <cell r="B441" t="str">
            <v>PEQUEÑOS PASOS: MIS ANIMALES</v>
          </cell>
          <cell r="C441">
            <v>931</v>
          </cell>
        </row>
        <row r="442">
          <cell r="A442">
            <v>693800</v>
          </cell>
          <cell r="B442" t="str">
            <v>PERRO QUE LADRA</v>
          </cell>
          <cell r="C442">
            <v>18</v>
          </cell>
        </row>
        <row r="443">
          <cell r="A443">
            <v>695683</v>
          </cell>
          <cell r="B443" t="str">
            <v>PIDE UN DESEO / MAKE A WISH</v>
          </cell>
          <cell r="C443">
            <v>120</v>
          </cell>
        </row>
        <row r="444">
          <cell r="A444">
            <v>674459</v>
          </cell>
          <cell r="B444" t="str">
            <v>PINTO Y APRENDO CURSIVA</v>
          </cell>
          <cell r="C444">
            <v>108</v>
          </cell>
        </row>
        <row r="445">
          <cell r="A445">
            <v>677841</v>
          </cell>
          <cell r="B445" t="str">
            <v>PINTO Y APRENDO FORMAS, OPUESTOS Y MAS</v>
          </cell>
          <cell r="C445">
            <v>83</v>
          </cell>
        </row>
        <row r="446">
          <cell r="A446">
            <v>670529</v>
          </cell>
          <cell r="B446" t="str">
            <v>PINTO Y APRENDO LAS LETRAS</v>
          </cell>
          <cell r="C446">
            <v>308</v>
          </cell>
        </row>
        <row r="447">
          <cell r="A447">
            <v>503493</v>
          </cell>
          <cell r="B447" t="str">
            <v>PLANTAS PARA SOMBRA</v>
          </cell>
          <cell r="C447">
            <v>1</v>
          </cell>
        </row>
        <row r="448">
          <cell r="A448">
            <v>655250</v>
          </cell>
          <cell r="B448" t="str">
            <v>PODEMOS QUERERNOS MAS</v>
          </cell>
          <cell r="C448">
            <v>45</v>
          </cell>
        </row>
        <row r="449">
          <cell r="A449">
            <v>348065</v>
          </cell>
          <cell r="B449" t="str">
            <v>POLITICA ECONOMICA PARA DECIDIR EN TIEMPOS DIFICILES</v>
          </cell>
          <cell r="C449">
            <v>1</v>
          </cell>
        </row>
        <row r="450">
          <cell r="A450">
            <v>721546</v>
          </cell>
          <cell r="B450" t="str">
            <v>PONE(TE) PRIMERA</v>
          </cell>
          <cell r="C450">
            <v>90</v>
          </cell>
        </row>
        <row r="451">
          <cell r="A451">
            <v>734146</v>
          </cell>
          <cell r="B451" t="str">
            <v>POR QUE A MI?</v>
          </cell>
          <cell r="C451">
            <v>171</v>
          </cell>
        </row>
        <row r="452">
          <cell r="A452">
            <v>631529</v>
          </cell>
          <cell r="B452" t="str">
            <v>POR QUE DE LA HISTORIA 3, LOS</v>
          </cell>
          <cell r="C452">
            <v>4</v>
          </cell>
        </row>
        <row r="453">
          <cell r="A453">
            <v>595690</v>
          </cell>
          <cell r="B453" t="str">
            <v>POR QUE DE LA HISTORIA, LOS</v>
          </cell>
          <cell r="C453">
            <v>1</v>
          </cell>
        </row>
        <row r="454">
          <cell r="A454">
            <v>658649</v>
          </cell>
          <cell r="B454" t="str">
            <v>POR QUE FRACASAN TODOS LOS GOBIERNOS</v>
          </cell>
          <cell r="C454">
            <v>3</v>
          </cell>
        </row>
        <row r="455">
          <cell r="A455">
            <v>729376</v>
          </cell>
          <cell r="B455" t="str">
            <v>POR QUE TE QUEDAS?</v>
          </cell>
          <cell r="C455">
            <v>217</v>
          </cell>
        </row>
        <row r="456">
          <cell r="A456">
            <v>676701</v>
          </cell>
          <cell r="B456" t="str">
            <v>PREGUNTON, EL</v>
          </cell>
          <cell r="C456">
            <v>549</v>
          </cell>
        </row>
        <row r="457">
          <cell r="A457">
            <v>741701</v>
          </cell>
          <cell r="B457" t="str">
            <v>PREGUNTON, EL: ENCICLOPEDIA DE LOS ANIMALES</v>
          </cell>
          <cell r="C457">
            <v>658</v>
          </cell>
        </row>
        <row r="458">
          <cell r="A458">
            <v>728159</v>
          </cell>
          <cell r="B458" t="str">
            <v>PREGUNTON. ENCICLOPEDIA DE LA ARGENTINA, EL</v>
          </cell>
          <cell r="C458">
            <v>361</v>
          </cell>
        </row>
        <row r="459">
          <cell r="A459">
            <v>693799</v>
          </cell>
          <cell r="B459" t="str">
            <v>PREGUNTON. ENCICLOPEDIA DE LOS DINOSAURIOS Y LA PREHISTORIA, EL</v>
          </cell>
          <cell r="C459">
            <v>288</v>
          </cell>
        </row>
        <row r="460">
          <cell r="A460">
            <v>699698</v>
          </cell>
          <cell r="B460" t="str">
            <v>PREGUNTON. ENCICLOPEDIA DEL CUERPO HUMANO, EL</v>
          </cell>
          <cell r="C460">
            <v>145</v>
          </cell>
        </row>
        <row r="461">
          <cell r="A461">
            <v>706238</v>
          </cell>
          <cell r="B461" t="str">
            <v>PREGUNTON. ENCICLOPEDIA DEL MUNDO, EL</v>
          </cell>
          <cell r="C461">
            <v>318</v>
          </cell>
        </row>
        <row r="462">
          <cell r="A462">
            <v>686345</v>
          </cell>
          <cell r="B462" t="str">
            <v>PREGUNTON: ENCICLOPEDIA DEL ESPACIO, EL</v>
          </cell>
          <cell r="C462">
            <v>369</v>
          </cell>
        </row>
        <row r="463">
          <cell r="A463">
            <v>618707</v>
          </cell>
          <cell r="B463" t="str">
            <v>PRINCESA DE LA PLUMA BLANCA, LA</v>
          </cell>
          <cell r="C463">
            <v>1</v>
          </cell>
        </row>
        <row r="464">
          <cell r="A464">
            <v>513074</v>
          </cell>
          <cell r="B464" t="str">
            <v>PRINCESA FEDERAL, LA</v>
          </cell>
          <cell r="C464">
            <v>1</v>
          </cell>
        </row>
        <row r="465">
          <cell r="A465">
            <v>188707</v>
          </cell>
          <cell r="B465" t="str">
            <v>PRINCIPE, EL</v>
          </cell>
          <cell r="C465">
            <v>2167</v>
          </cell>
        </row>
        <row r="466">
          <cell r="A466">
            <v>679310</v>
          </cell>
          <cell r="B466" t="str">
            <v>PRINCIPITO, EL</v>
          </cell>
          <cell r="C466">
            <v>699</v>
          </cell>
        </row>
        <row r="467">
          <cell r="A467">
            <v>748670</v>
          </cell>
          <cell r="B467" t="str">
            <v>PRINCIPITO, EL</v>
          </cell>
          <cell r="C467">
            <v>2210</v>
          </cell>
        </row>
        <row r="468">
          <cell r="A468">
            <v>617598</v>
          </cell>
          <cell r="B468" t="str">
            <v>PRINCIPITO, EL</v>
          </cell>
          <cell r="C468">
            <v>998</v>
          </cell>
        </row>
        <row r="469">
          <cell r="A469">
            <v>692878</v>
          </cell>
          <cell r="B469" t="str">
            <v>PROFECIA DE ESTAMBUL, LA</v>
          </cell>
          <cell r="C469">
            <v>661</v>
          </cell>
        </row>
        <row r="470">
          <cell r="A470">
            <v>750390</v>
          </cell>
          <cell r="B470" t="str">
            <v>PROMESA DE SANGRE</v>
          </cell>
          <cell r="C470">
            <v>642</v>
          </cell>
        </row>
        <row r="471">
          <cell r="A471">
            <v>717940</v>
          </cell>
          <cell r="B471" t="str">
            <v>PUEDO APRENDER A QUERERTE</v>
          </cell>
          <cell r="C471">
            <v>320</v>
          </cell>
        </row>
        <row r="472">
          <cell r="A472">
            <v>692880</v>
          </cell>
          <cell r="B472" t="str">
            <v>PUENTE DEL REY, EL</v>
          </cell>
          <cell r="C472">
            <v>4</v>
          </cell>
        </row>
        <row r="473">
          <cell r="A473">
            <v>671437</v>
          </cell>
          <cell r="B473" t="str">
            <v>QUE NADIE TE SALVE LA VIDA</v>
          </cell>
          <cell r="C473">
            <v>64</v>
          </cell>
        </row>
        <row r="474">
          <cell r="A474">
            <v>569653</v>
          </cell>
          <cell r="B474" t="str">
            <v>QUE NOMBRE LE PONDREMOS?</v>
          </cell>
          <cell r="C474">
            <v>2</v>
          </cell>
        </row>
        <row r="475">
          <cell r="A475">
            <v>698775</v>
          </cell>
          <cell r="B475" t="str">
            <v>QUE PELO DIFICIL!</v>
          </cell>
          <cell r="C475">
            <v>10</v>
          </cell>
        </row>
        <row r="476">
          <cell r="A476">
            <v>694753</v>
          </cell>
          <cell r="B476" t="str">
            <v>QUE SEA MUTUO O NO SEA NADA</v>
          </cell>
          <cell r="C476">
            <v>361</v>
          </cell>
        </row>
        <row r="477">
          <cell r="A477">
            <v>707945</v>
          </cell>
          <cell r="B477" t="str">
            <v>QUE SEA MUTUO Y QUE SEA AMOR</v>
          </cell>
          <cell r="C477">
            <v>85</v>
          </cell>
        </row>
        <row r="478">
          <cell r="A478">
            <v>737041</v>
          </cell>
          <cell r="B478" t="str">
            <v>QUIEN ESTA AHI? EN LA SELVA</v>
          </cell>
          <cell r="C478">
            <v>1012</v>
          </cell>
        </row>
        <row r="479">
          <cell r="A479">
            <v>728123</v>
          </cell>
          <cell r="B479" t="str">
            <v>QUIERO, PERO NO PUEDO</v>
          </cell>
          <cell r="C479">
            <v>173</v>
          </cell>
        </row>
        <row r="480">
          <cell r="A480">
            <v>702978</v>
          </cell>
          <cell r="B480" t="str">
            <v>QUIMICA BIOLOGICA  - 11ª EDICION</v>
          </cell>
          <cell r="C480">
            <v>97</v>
          </cell>
        </row>
        <row r="481">
          <cell r="A481">
            <v>681102</v>
          </cell>
          <cell r="B481" t="str">
            <v>QUISIERA SER</v>
          </cell>
          <cell r="C481">
            <v>4</v>
          </cell>
        </row>
        <row r="482">
          <cell r="A482">
            <v>645291</v>
          </cell>
          <cell r="B482" t="str">
            <v>RANA LILIANA, LA</v>
          </cell>
          <cell r="C482">
            <v>296</v>
          </cell>
        </row>
        <row r="483">
          <cell r="A483">
            <v>707247</v>
          </cell>
          <cell r="B483" t="str">
            <v>RECUERDOS VIVOS, LOS</v>
          </cell>
          <cell r="C483">
            <v>62</v>
          </cell>
        </row>
        <row r="484">
          <cell r="A484">
            <v>689372</v>
          </cell>
          <cell r="B484" t="str">
            <v>REGRESO A MI</v>
          </cell>
          <cell r="C484">
            <v>89</v>
          </cell>
        </row>
        <row r="485">
          <cell r="A485">
            <v>659629</v>
          </cell>
          <cell r="B485" t="str">
            <v>REHABILITACION COGNITIVA</v>
          </cell>
          <cell r="C485">
            <v>43</v>
          </cell>
        </row>
        <row r="486">
          <cell r="A486">
            <v>681368</v>
          </cell>
          <cell r="B486" t="str">
            <v>REHABILITACION COGNITIVA. CASOS CLINICOS.</v>
          </cell>
          <cell r="C486">
            <v>25</v>
          </cell>
        </row>
        <row r="487">
          <cell r="A487">
            <v>736772</v>
          </cell>
          <cell r="B487" t="str">
            <v>REINA, LA</v>
          </cell>
          <cell r="C487">
            <v>2477</v>
          </cell>
        </row>
        <row r="488">
          <cell r="A488">
            <v>677293</v>
          </cell>
          <cell r="B488" t="str">
            <v>REINVENTARSE</v>
          </cell>
          <cell r="C488">
            <v>7</v>
          </cell>
        </row>
        <row r="489">
          <cell r="A489">
            <v>740175</v>
          </cell>
          <cell r="B489" t="str">
            <v>RENATA EN LA GRANJA</v>
          </cell>
          <cell r="C489">
            <v>1148</v>
          </cell>
        </row>
        <row r="490">
          <cell r="A490">
            <v>610467</v>
          </cell>
          <cell r="B490" t="str">
            <v>REPENSANDO MALVINAS</v>
          </cell>
          <cell r="C490">
            <v>2</v>
          </cell>
        </row>
        <row r="491">
          <cell r="A491">
            <v>680634</v>
          </cell>
          <cell r="B491" t="str">
            <v>REPLICAS</v>
          </cell>
          <cell r="C491">
            <v>278</v>
          </cell>
        </row>
        <row r="492">
          <cell r="A492">
            <v>705123</v>
          </cell>
          <cell r="B492" t="str">
            <v>RESETEA TUS INTESTINOS - EDICION ANIVERSARIO</v>
          </cell>
          <cell r="C492">
            <v>1010</v>
          </cell>
        </row>
        <row r="493">
          <cell r="A493">
            <v>743062</v>
          </cell>
          <cell r="B493" t="str">
            <v>RESETEA TUS INTESTINOS (3ª EDICION)</v>
          </cell>
          <cell r="C493">
            <v>1215</v>
          </cell>
        </row>
        <row r="494">
          <cell r="A494">
            <v>647078</v>
          </cell>
          <cell r="B494" t="str">
            <v>RETRATO DE DORIAN GRAY, EL</v>
          </cell>
          <cell r="C494">
            <v>418</v>
          </cell>
        </row>
        <row r="495">
          <cell r="A495">
            <v>730438</v>
          </cell>
          <cell r="B495" t="str">
            <v>RINCONES DE BUENOS AIRES</v>
          </cell>
          <cell r="C495">
            <v>871</v>
          </cell>
        </row>
        <row r="496">
          <cell r="A496">
            <v>683319</v>
          </cell>
          <cell r="B496" t="str">
            <v>ROBIN WOOD: UNA VIDA DE AVENTURAS</v>
          </cell>
          <cell r="C496">
            <v>21</v>
          </cell>
        </row>
        <row r="497">
          <cell r="A497">
            <v>580535</v>
          </cell>
          <cell r="B497" t="str">
            <v>ROMA VICTORIOSA</v>
          </cell>
          <cell r="C497">
            <v>3</v>
          </cell>
        </row>
        <row r="498">
          <cell r="A498">
            <v>702716</v>
          </cell>
          <cell r="B498" t="str">
            <v>ROMPER EL CICLO</v>
          </cell>
          <cell r="C498">
            <v>2181</v>
          </cell>
        </row>
        <row r="499">
          <cell r="A499">
            <v>674457</v>
          </cell>
          <cell r="B499" t="str">
            <v>ROSINHA MI CANOA - EDICION ESCOLAR</v>
          </cell>
          <cell r="C499">
            <v>38</v>
          </cell>
        </row>
        <row r="500">
          <cell r="A500">
            <v>750372</v>
          </cell>
          <cell r="B500" t="str">
            <v>ROZAS</v>
          </cell>
          <cell r="C500">
            <v>594</v>
          </cell>
        </row>
        <row r="501">
          <cell r="A501">
            <v>737015</v>
          </cell>
          <cell r="B501" t="str">
            <v>RUEGA VITA</v>
          </cell>
          <cell r="C501">
            <v>649</v>
          </cell>
        </row>
        <row r="502">
          <cell r="A502">
            <v>711848</v>
          </cell>
          <cell r="B502" t="str">
            <v>RUTAS ARGENTINAS</v>
          </cell>
          <cell r="C502">
            <v>72</v>
          </cell>
        </row>
        <row r="503">
          <cell r="A503">
            <v>549273</v>
          </cell>
          <cell r="B503" t="str">
            <v>S.O.S. MANUAL DE SUPERVIVENCIA PARA FAMILIAS CON MELLIZOS, TRILLIZOS Y MAS</v>
          </cell>
          <cell r="C503">
            <v>1</v>
          </cell>
        </row>
        <row r="504">
          <cell r="A504">
            <v>684659</v>
          </cell>
          <cell r="B504" t="str">
            <v>SABER ACOMPAÑAR</v>
          </cell>
          <cell r="C504">
            <v>34</v>
          </cell>
        </row>
        <row r="505">
          <cell r="A505">
            <v>657294</v>
          </cell>
          <cell r="B505" t="str">
            <v>SABUESO DE LOS BASKERVILLE, EL</v>
          </cell>
          <cell r="C505">
            <v>263</v>
          </cell>
        </row>
        <row r="506">
          <cell r="A506">
            <v>707248</v>
          </cell>
          <cell r="B506" t="str">
            <v>SABUESO DE LOS BASKERVILLE, EL</v>
          </cell>
          <cell r="C506">
            <v>249</v>
          </cell>
        </row>
        <row r="507">
          <cell r="A507">
            <v>744137</v>
          </cell>
          <cell r="B507" t="str">
            <v>SABUESO DE LOS BASKERVILLE, EL (POCKET)</v>
          </cell>
          <cell r="C507">
            <v>258</v>
          </cell>
        </row>
        <row r="508">
          <cell r="A508">
            <v>656688</v>
          </cell>
          <cell r="B508" t="str">
            <v>SAGA DE LOS BONAPARTE, LA</v>
          </cell>
          <cell r="C508">
            <v>410</v>
          </cell>
        </row>
        <row r="509">
          <cell r="A509">
            <v>610466</v>
          </cell>
          <cell r="B509" t="str">
            <v>SAGA DE LOS HABSBURGO, LA</v>
          </cell>
          <cell r="C509">
            <v>174</v>
          </cell>
        </row>
        <row r="510">
          <cell r="A510">
            <v>593816</v>
          </cell>
          <cell r="B510" t="str">
            <v>SAGA DE LOS ROMANOV, LA</v>
          </cell>
          <cell r="C510">
            <v>375</v>
          </cell>
        </row>
        <row r="511">
          <cell r="A511">
            <v>662546</v>
          </cell>
          <cell r="B511" t="str">
            <v>SAKURA</v>
          </cell>
          <cell r="C511">
            <v>393</v>
          </cell>
        </row>
        <row r="512">
          <cell r="A512">
            <v>709134</v>
          </cell>
          <cell r="B512" t="str">
            <v>SALIR DE LOS MIEDOS</v>
          </cell>
          <cell r="C512">
            <v>383</v>
          </cell>
        </row>
        <row r="513">
          <cell r="A513">
            <v>687542</v>
          </cell>
          <cell r="B513" t="str">
            <v>SALTAR AL BUEN VIVIR</v>
          </cell>
          <cell r="C513">
            <v>230</v>
          </cell>
        </row>
        <row r="514">
          <cell r="A514">
            <v>714588</v>
          </cell>
          <cell r="B514" t="str">
            <v>SANA QUIEN INSISTE</v>
          </cell>
          <cell r="C514">
            <v>155</v>
          </cell>
        </row>
        <row r="515">
          <cell r="A515">
            <v>722614</v>
          </cell>
          <cell r="B515" t="str">
            <v>SANGRE QUE HEREDAMOS, LA</v>
          </cell>
          <cell r="C515">
            <v>463</v>
          </cell>
        </row>
        <row r="516">
          <cell r="A516">
            <v>740757</v>
          </cell>
          <cell r="B516" t="str">
            <v>SARKANY: MEMORIAS DE UN ZAPATERO</v>
          </cell>
          <cell r="C516">
            <v>344</v>
          </cell>
        </row>
        <row r="517">
          <cell r="A517">
            <v>715420</v>
          </cell>
          <cell r="B517" t="str">
            <v>SE TU PROPIO CEO</v>
          </cell>
          <cell r="C517">
            <v>1403</v>
          </cell>
        </row>
        <row r="518">
          <cell r="A518">
            <v>704434</v>
          </cell>
          <cell r="B518" t="str">
            <v>SECRETO DE COMPOSTELA, EL</v>
          </cell>
          <cell r="C518">
            <v>1334</v>
          </cell>
        </row>
        <row r="519">
          <cell r="A519">
            <v>683961</v>
          </cell>
          <cell r="B519" t="str">
            <v>SECUENCIAS DIDACTICAS: 30 PREGUNTAS Y RESPUESTAS</v>
          </cell>
          <cell r="C519">
            <v>81</v>
          </cell>
        </row>
        <row r="520">
          <cell r="A520">
            <v>715424</v>
          </cell>
          <cell r="B520" t="str">
            <v>SEGUIMOS SIENDO FAMILIA</v>
          </cell>
          <cell r="C520">
            <v>175</v>
          </cell>
        </row>
        <row r="521">
          <cell r="A521">
            <v>557270</v>
          </cell>
          <cell r="B521" t="str">
            <v>SEGUNDA GUERRA MUNDIAL, LA</v>
          </cell>
          <cell r="C521">
            <v>148</v>
          </cell>
        </row>
        <row r="522">
          <cell r="A522">
            <v>737025</v>
          </cell>
          <cell r="B522" t="str">
            <v>SELF-LOVE STORIES</v>
          </cell>
          <cell r="C522">
            <v>220</v>
          </cell>
        </row>
        <row r="523">
          <cell r="A523">
            <v>721548</v>
          </cell>
          <cell r="B523" t="str">
            <v>SEMILLA DEL PECADO, LA</v>
          </cell>
          <cell r="C523">
            <v>1730</v>
          </cell>
        </row>
        <row r="524">
          <cell r="A524">
            <v>575259</v>
          </cell>
          <cell r="B524" t="str">
            <v>SEMIOLOGIA DEL SISTEMA NERVIOSO</v>
          </cell>
          <cell r="C524">
            <v>5</v>
          </cell>
        </row>
        <row r="525">
          <cell r="A525">
            <v>720930</v>
          </cell>
          <cell r="B525" t="str">
            <v>SEMIOLOGIA DEL SISTEMA NERVIOSO -16ª EDICION</v>
          </cell>
          <cell r="C525">
            <v>50</v>
          </cell>
        </row>
        <row r="526">
          <cell r="A526">
            <v>713084</v>
          </cell>
          <cell r="B526" t="str">
            <v>SEÑAL DE LOS CUATRO, LA</v>
          </cell>
          <cell r="C526">
            <v>423</v>
          </cell>
        </row>
        <row r="527">
          <cell r="A527">
            <v>747598</v>
          </cell>
          <cell r="B527" t="str">
            <v>SEÑAL DE LOS CUATRO, LA (ED. POCKET)</v>
          </cell>
          <cell r="C527">
            <v>146</v>
          </cell>
        </row>
        <row r="528">
          <cell r="A528">
            <v>546543</v>
          </cell>
          <cell r="B528" t="str">
            <v>SEÑALES DE GUERRA</v>
          </cell>
          <cell r="C528">
            <v>-1</v>
          </cell>
        </row>
        <row r="529">
          <cell r="A529">
            <v>670528</v>
          </cell>
          <cell r="B529" t="str">
            <v>SEÑOR DE LOS SUEÑOS, EL</v>
          </cell>
          <cell r="C529">
            <v>16</v>
          </cell>
        </row>
        <row r="530">
          <cell r="A530">
            <v>725178</v>
          </cell>
          <cell r="B530" t="str">
            <v>SEÑORA DE LAS INDIAS</v>
          </cell>
          <cell r="C530">
            <v>104</v>
          </cell>
        </row>
        <row r="531">
          <cell r="A531">
            <v>728655</v>
          </cell>
          <cell r="B531" t="str">
            <v>SEÑORA DE LAS INDIAS</v>
          </cell>
          <cell r="C531">
            <v>1096</v>
          </cell>
        </row>
        <row r="532">
          <cell r="A532">
            <v>677294</v>
          </cell>
          <cell r="B532" t="str">
            <v>SEÑORA QUE USABA GALERA, LA</v>
          </cell>
          <cell r="C532">
            <v>37</v>
          </cell>
        </row>
        <row r="533">
          <cell r="A533">
            <v>707951</v>
          </cell>
          <cell r="B533" t="str">
            <v>SERAPIO CUMPLE AÑOS</v>
          </cell>
          <cell r="C533">
            <v>329</v>
          </cell>
        </row>
        <row r="534">
          <cell r="A534">
            <v>700558</v>
          </cell>
          <cell r="B534" t="str">
            <v>SERAPIO PIERDE UN DIENTE</v>
          </cell>
          <cell r="C534">
            <v>92</v>
          </cell>
        </row>
        <row r="535">
          <cell r="A535">
            <v>709126</v>
          </cell>
          <cell r="B535" t="str">
            <v>SERAPIO PIERDE UN DIENTE - 2DA EDICION</v>
          </cell>
          <cell r="C535">
            <v>328</v>
          </cell>
        </row>
        <row r="536">
          <cell r="A536">
            <v>714592</v>
          </cell>
          <cell r="B536" t="str">
            <v>SERAPIO VA A LA ESCUELA</v>
          </cell>
          <cell r="C536">
            <v>369</v>
          </cell>
        </row>
        <row r="537">
          <cell r="A537">
            <v>719962</v>
          </cell>
          <cell r="B537" t="str">
            <v>SERAS TAN FELIZ COMO INSISTAS</v>
          </cell>
          <cell r="C537">
            <v>2184</v>
          </cell>
        </row>
        <row r="538">
          <cell r="A538">
            <v>679308</v>
          </cell>
          <cell r="B538" t="str">
            <v>SEXO SENTIDO</v>
          </cell>
          <cell r="C538">
            <v>154</v>
          </cell>
        </row>
        <row r="539">
          <cell r="A539">
            <v>697477</v>
          </cell>
          <cell r="B539" t="str">
            <v>SI MIRAS CON ATENCION</v>
          </cell>
          <cell r="C539">
            <v>9</v>
          </cell>
        </row>
        <row r="540">
          <cell r="A540">
            <v>697473</v>
          </cell>
          <cell r="B540" t="str">
            <v>SI PUDIERAS ELEGIR DE QUE MANERA MORIR... ¿QUE HARIAS?</v>
          </cell>
          <cell r="C540">
            <v>6</v>
          </cell>
        </row>
        <row r="541">
          <cell r="A541">
            <v>734145</v>
          </cell>
          <cell r="B541" t="str">
            <v>SIBO</v>
          </cell>
          <cell r="C541">
            <v>1446</v>
          </cell>
        </row>
        <row r="542">
          <cell r="A542">
            <v>677840</v>
          </cell>
          <cell r="B542" t="str">
            <v>SIGLO DE LOS DICTADORES, EL</v>
          </cell>
          <cell r="C542">
            <v>38</v>
          </cell>
        </row>
        <row r="543">
          <cell r="A543">
            <v>714590</v>
          </cell>
          <cell r="B543" t="str">
            <v>SIMALE CUMPLE 70</v>
          </cell>
          <cell r="C543">
            <v>208</v>
          </cell>
        </row>
        <row r="544">
          <cell r="A544">
            <v>721547</v>
          </cell>
          <cell r="B544" t="str">
            <v>SIN LIMITES</v>
          </cell>
          <cell r="C544">
            <v>230</v>
          </cell>
        </row>
        <row r="545">
          <cell r="A545">
            <v>727018</v>
          </cell>
          <cell r="B545" t="str">
            <v>SOBRE LA VIDA FELIZ</v>
          </cell>
          <cell r="C545">
            <v>1049</v>
          </cell>
        </row>
        <row r="546">
          <cell r="A546">
            <v>751234</v>
          </cell>
          <cell r="B546" t="str">
            <v>SOBREPESO</v>
          </cell>
          <cell r="C546">
            <v>86</v>
          </cell>
        </row>
        <row r="547">
          <cell r="A547">
            <v>678766</v>
          </cell>
          <cell r="B547" t="str">
            <v>SOLAS - 2DA EDICION</v>
          </cell>
          <cell r="C547">
            <v>2</v>
          </cell>
        </row>
        <row r="548">
          <cell r="A548">
            <v>670525</v>
          </cell>
          <cell r="B548" t="str">
            <v>SOLAS (AUN ACOMPAÑADAS)</v>
          </cell>
          <cell r="C548">
            <v>1</v>
          </cell>
        </row>
        <row r="549">
          <cell r="A549">
            <v>678454</v>
          </cell>
          <cell r="B549" t="str">
            <v>SOLTAR PARA SER FELIZ</v>
          </cell>
          <cell r="C549">
            <v>77</v>
          </cell>
        </row>
        <row r="550">
          <cell r="A550">
            <v>688416</v>
          </cell>
          <cell r="B550" t="str">
            <v>SOLTAR PARA SER FELIZ (PACK LIBRO + LIBRO GUIA)</v>
          </cell>
          <cell r="C550">
            <v>12</v>
          </cell>
        </row>
        <row r="551">
          <cell r="A551">
            <v>688410</v>
          </cell>
          <cell r="B551" t="str">
            <v>SOLTAR PARA SER FELIZ. UNA GUIA SIMPLE Y PODEROSA (EL DIARIO)</v>
          </cell>
          <cell r="C551">
            <v>19</v>
          </cell>
        </row>
        <row r="552">
          <cell r="A552">
            <v>535949</v>
          </cell>
          <cell r="B552" t="str">
            <v>SOLUCIONES CONTRA PLAGAS Y ENFERMEDADES DE LAS PLANTAS</v>
          </cell>
          <cell r="C552">
            <v>1</v>
          </cell>
        </row>
        <row r="553">
          <cell r="A553">
            <v>702981</v>
          </cell>
          <cell r="B553" t="str">
            <v>SOMOS DIFERENTES</v>
          </cell>
          <cell r="C553">
            <v>313</v>
          </cell>
        </row>
        <row r="554">
          <cell r="A554">
            <v>666998</v>
          </cell>
          <cell r="B554" t="str">
            <v>SOMOS TODOS PERONISTAS?</v>
          </cell>
          <cell r="C554">
            <v>1</v>
          </cell>
        </row>
        <row r="555">
          <cell r="A555">
            <v>705126</v>
          </cell>
          <cell r="B555" t="str">
            <v>SOY DUEÑA DE MI VIDA</v>
          </cell>
          <cell r="C555">
            <v>96</v>
          </cell>
        </row>
        <row r="556">
          <cell r="A556">
            <v>747646</v>
          </cell>
          <cell r="B556" t="str">
            <v>STICKERS MAGICOS DINOSAURIOS</v>
          </cell>
          <cell r="C556">
            <v>1693</v>
          </cell>
        </row>
        <row r="557">
          <cell r="A557">
            <v>747647</v>
          </cell>
          <cell r="B557" t="str">
            <v>STICKERS MAGICOS: GRANJA</v>
          </cell>
          <cell r="C557">
            <v>2092</v>
          </cell>
        </row>
        <row r="558">
          <cell r="A558">
            <v>728155</v>
          </cell>
          <cell r="B558" t="str">
            <v>SUEÑOS DE SELECCION</v>
          </cell>
          <cell r="C558">
            <v>329</v>
          </cell>
        </row>
        <row r="559">
          <cell r="A559">
            <v>735115</v>
          </cell>
          <cell r="B559" t="str">
            <v>SUPER UNICORNIOS: FIESTA DE FLORES</v>
          </cell>
          <cell r="C559">
            <v>931</v>
          </cell>
        </row>
        <row r="560">
          <cell r="A560">
            <v>735114</v>
          </cell>
          <cell r="B560" t="str">
            <v>SUPER UNICORNIOS: MUNDO MAGICO</v>
          </cell>
          <cell r="C560">
            <v>581</v>
          </cell>
        </row>
        <row r="561">
          <cell r="A561">
            <v>710541</v>
          </cell>
          <cell r="B561" t="str">
            <v>SUPER YO!</v>
          </cell>
          <cell r="C561">
            <v>144</v>
          </cell>
        </row>
        <row r="562">
          <cell r="A562">
            <v>751238</v>
          </cell>
          <cell r="B562" t="str">
            <v>SUPERCUENTOS DE MIEDO</v>
          </cell>
          <cell r="C562">
            <v>78</v>
          </cell>
        </row>
        <row r="563">
          <cell r="A563">
            <v>745992</v>
          </cell>
          <cell r="B563" t="str">
            <v>SUPERCUENTOS DE GOL</v>
          </cell>
          <cell r="C563">
            <v>1478</v>
          </cell>
        </row>
        <row r="564">
          <cell r="A564">
            <v>673648</v>
          </cell>
          <cell r="B564" t="str">
            <v>SUPERHEROES</v>
          </cell>
          <cell r="C564">
            <v>147</v>
          </cell>
        </row>
        <row r="565">
          <cell r="A565">
            <v>748668</v>
          </cell>
          <cell r="B565" t="str">
            <v>TAO TE CHING.  (ED. POCKET)</v>
          </cell>
          <cell r="C565">
            <v>1300</v>
          </cell>
        </row>
        <row r="566">
          <cell r="A566">
            <v>593817</v>
          </cell>
          <cell r="B566" t="str">
            <v>TE QUIERO MUCHO</v>
          </cell>
          <cell r="C566">
            <v>3</v>
          </cell>
        </row>
        <row r="567">
          <cell r="A567">
            <v>660009</v>
          </cell>
          <cell r="B567" t="str">
            <v>TECNICA DIETOTERAPICA</v>
          </cell>
          <cell r="C567">
            <v>5</v>
          </cell>
        </row>
        <row r="568">
          <cell r="A568">
            <v>715425</v>
          </cell>
          <cell r="B568" t="str">
            <v>TEIA EN LA PLAZA</v>
          </cell>
          <cell r="C568">
            <v>32</v>
          </cell>
        </row>
        <row r="569">
          <cell r="A569">
            <v>731833</v>
          </cell>
          <cell r="B569" t="str">
            <v>TEO Y ANA INVESTIGA LOS SERES FANTASTICOS</v>
          </cell>
          <cell r="C569">
            <v>472</v>
          </cell>
        </row>
        <row r="570">
          <cell r="A570">
            <v>674458</v>
          </cell>
          <cell r="B570" t="str">
            <v>TEO Y ANA INVESTIGAN EL MUNDO</v>
          </cell>
          <cell r="C570">
            <v>338</v>
          </cell>
        </row>
        <row r="571">
          <cell r="A571">
            <v>702718</v>
          </cell>
          <cell r="B571" t="str">
            <v>TEO Y ANA INVESTIGAN EL TERROR</v>
          </cell>
          <cell r="C571">
            <v>369</v>
          </cell>
        </row>
        <row r="572">
          <cell r="A572">
            <v>718919</v>
          </cell>
          <cell r="B572" t="str">
            <v>TEO Y ANA INVESTIGAN EL UNIVERSO</v>
          </cell>
          <cell r="C572">
            <v>371</v>
          </cell>
        </row>
        <row r="573">
          <cell r="A573">
            <v>671443</v>
          </cell>
          <cell r="B573" t="str">
            <v>TEO Y ANA INVESTIGAN LA ARGENTINA</v>
          </cell>
          <cell r="C573">
            <v>993</v>
          </cell>
        </row>
        <row r="574">
          <cell r="A574">
            <v>705127</v>
          </cell>
          <cell r="B574" t="str">
            <v>TEO Y ANA INVESTIGAN LA ARGENTINA - EDICION CON ROMPECABEZAS</v>
          </cell>
          <cell r="C574">
            <v>998</v>
          </cell>
        </row>
        <row r="575">
          <cell r="A575">
            <v>694754</v>
          </cell>
          <cell r="B575" t="str">
            <v>TEO Y ANA INVESTIGAN LA HISTORIA</v>
          </cell>
          <cell r="C575">
            <v>190</v>
          </cell>
        </row>
        <row r="576">
          <cell r="A576">
            <v>678455</v>
          </cell>
          <cell r="B576" t="str">
            <v>TEO Y ANA INVESTIGAN LOS ANIMALES</v>
          </cell>
          <cell r="C576">
            <v>445</v>
          </cell>
        </row>
        <row r="577">
          <cell r="A577">
            <v>707950</v>
          </cell>
          <cell r="B577" t="str">
            <v>TEO Y ANA INVESTIGAN LOS DEPORTES</v>
          </cell>
          <cell r="C577">
            <v>374</v>
          </cell>
        </row>
        <row r="578">
          <cell r="A578">
            <v>725695</v>
          </cell>
          <cell r="B578" t="str">
            <v>TERAPEUTICA ALIMENTARIA NUTRICIONAL</v>
          </cell>
          <cell r="C578">
            <v>295</v>
          </cell>
        </row>
        <row r="579">
          <cell r="A579">
            <v>741697</v>
          </cell>
          <cell r="B579" t="str">
            <v>THE BLOOD WE INHERIT</v>
          </cell>
          <cell r="C579">
            <v>170</v>
          </cell>
        </row>
        <row r="580">
          <cell r="A580">
            <v>743069</v>
          </cell>
          <cell r="B580" t="str">
            <v>THE BOY WHO SURVIVED AUSCHWITZ</v>
          </cell>
          <cell r="C580">
            <v>213</v>
          </cell>
        </row>
        <row r="581">
          <cell r="A581">
            <v>748665</v>
          </cell>
          <cell r="B581" t="str">
            <v>TIRANIA DEL DIAGNOSTICO, LA</v>
          </cell>
          <cell r="C581">
            <v>318</v>
          </cell>
        </row>
        <row r="582">
          <cell r="A582">
            <v>697472</v>
          </cell>
          <cell r="B582" t="str">
            <v>TODO POR VOLVER A VERTE</v>
          </cell>
          <cell r="C582">
            <v>307</v>
          </cell>
        </row>
        <row r="583">
          <cell r="A583">
            <v>735111</v>
          </cell>
          <cell r="B583" t="str">
            <v>TODOS QUEREMOS UN BUEN AMOR</v>
          </cell>
          <cell r="C583">
            <v>672</v>
          </cell>
        </row>
        <row r="584">
          <cell r="A584">
            <v>682655</v>
          </cell>
          <cell r="B584" t="str">
            <v>TOXICOLOGIA</v>
          </cell>
          <cell r="C584">
            <v>24</v>
          </cell>
        </row>
        <row r="585">
          <cell r="A585">
            <v>686377</v>
          </cell>
          <cell r="B585" t="str">
            <v>TRAZOS DE MI ALDEA</v>
          </cell>
          <cell r="C585">
            <v>98</v>
          </cell>
        </row>
        <row r="586">
          <cell r="A586">
            <v>695680</v>
          </cell>
          <cell r="B586" t="str">
            <v>TRES FORMAS DE TOMAR UN HELADO</v>
          </cell>
          <cell r="C586">
            <v>20</v>
          </cell>
        </row>
        <row r="587">
          <cell r="A587">
            <v>627251</v>
          </cell>
          <cell r="B587" t="str">
            <v>TRUMP Y LA CAIDA DE LOS CLINTON</v>
          </cell>
          <cell r="C587">
            <v>5</v>
          </cell>
        </row>
        <row r="588">
          <cell r="A588">
            <v>702980</v>
          </cell>
          <cell r="B588" t="str">
            <v>TU AMIGO INVISIBLE</v>
          </cell>
          <cell r="C588">
            <v>2396</v>
          </cell>
        </row>
        <row r="589">
          <cell r="A589">
            <v>715423</v>
          </cell>
          <cell r="B589" t="str">
            <v>TU AMIGO INVISIBLE 2</v>
          </cell>
          <cell r="C589">
            <v>1007</v>
          </cell>
        </row>
        <row r="590">
          <cell r="A590">
            <v>727394</v>
          </cell>
          <cell r="B590" t="str">
            <v>ULTIMA GUARIDA DE HITLER, LA</v>
          </cell>
          <cell r="C590">
            <v>210</v>
          </cell>
        </row>
        <row r="591">
          <cell r="A591">
            <v>740162</v>
          </cell>
          <cell r="B591" t="str">
            <v>ULTIMA GUARIDA DE HITLER, LA  2ª ED. AMPLIADA</v>
          </cell>
          <cell r="C591">
            <v>410</v>
          </cell>
        </row>
        <row r="592">
          <cell r="A592">
            <v>568564</v>
          </cell>
          <cell r="B592" t="str">
            <v>ULTIMOS DIAS DE MUSSOLINI, LOS</v>
          </cell>
          <cell r="C592">
            <v>1</v>
          </cell>
        </row>
        <row r="593">
          <cell r="A593">
            <v>589611</v>
          </cell>
          <cell r="B593" t="str">
            <v>UN AMOR AL ALBA</v>
          </cell>
          <cell r="C593">
            <v>1</v>
          </cell>
        </row>
        <row r="594">
          <cell r="A594">
            <v>614604</v>
          </cell>
          <cell r="B594" t="str">
            <v>UN GRAN DIA</v>
          </cell>
          <cell r="C594">
            <v>1</v>
          </cell>
        </row>
        <row r="595">
          <cell r="A595">
            <v>683320</v>
          </cell>
          <cell r="B595" t="str">
            <v>UNA CABAÑITA ENTRE MANZANAS</v>
          </cell>
          <cell r="C595">
            <v>62</v>
          </cell>
        </row>
        <row r="596">
          <cell r="A596">
            <v>704435</v>
          </cell>
          <cell r="B596" t="str">
            <v>UNA COCINA QUE TE CAMBIA LA VIDA</v>
          </cell>
          <cell r="C596">
            <v>118</v>
          </cell>
        </row>
        <row r="597">
          <cell r="A597">
            <v>700538</v>
          </cell>
          <cell r="B597" t="str">
            <v>UNA MAMA EN COLORES</v>
          </cell>
          <cell r="C597">
            <v>46</v>
          </cell>
        </row>
        <row r="598">
          <cell r="A598">
            <v>685396</v>
          </cell>
          <cell r="B598" t="str">
            <v>UNA MUJER CON ALAS</v>
          </cell>
          <cell r="C598">
            <v>141</v>
          </cell>
        </row>
        <row r="599">
          <cell r="A599">
            <v>669516</v>
          </cell>
          <cell r="B599" t="str">
            <v>UNA PIZCA DE AMOR</v>
          </cell>
          <cell r="C599">
            <v>68</v>
          </cell>
        </row>
        <row r="600">
          <cell r="A600">
            <v>731830</v>
          </cell>
          <cell r="B600" t="str">
            <v>UNA VUELTA MAS</v>
          </cell>
          <cell r="C600">
            <v>307</v>
          </cell>
        </row>
        <row r="601">
          <cell r="A601">
            <v>696628</v>
          </cell>
          <cell r="B601" t="str">
            <v>UPGRADE CEREBRAL</v>
          </cell>
          <cell r="C601">
            <v>30</v>
          </cell>
        </row>
        <row r="602">
          <cell r="A602">
            <v>729381</v>
          </cell>
          <cell r="B602" t="str">
            <v>VACA DE LA AMISTAD NOS HABLA, LA</v>
          </cell>
          <cell r="C602">
            <v>2257</v>
          </cell>
        </row>
        <row r="603">
          <cell r="A603">
            <v>699699</v>
          </cell>
          <cell r="B603" t="str">
            <v>VACA EN SU HAMACA, LA</v>
          </cell>
          <cell r="C603">
            <v>316</v>
          </cell>
        </row>
        <row r="604">
          <cell r="A604">
            <v>714679</v>
          </cell>
          <cell r="B604" t="str">
            <v>VACA EN SU HAMACA, LA - TR</v>
          </cell>
          <cell r="C604">
            <v>888</v>
          </cell>
        </row>
        <row r="605">
          <cell r="A605">
            <v>743235</v>
          </cell>
          <cell r="B605" t="str">
            <v>VACA NO SE CALLA, LA</v>
          </cell>
          <cell r="C605">
            <v>386</v>
          </cell>
        </row>
        <row r="606">
          <cell r="A606">
            <v>707948</v>
          </cell>
          <cell r="B606" t="str">
            <v>VACA NO SE CALLA, LA - TR</v>
          </cell>
          <cell r="C606">
            <v>1353</v>
          </cell>
        </row>
        <row r="607">
          <cell r="A607">
            <v>699700</v>
          </cell>
          <cell r="B607" t="str">
            <v>VACA SE EMPACA, LA</v>
          </cell>
          <cell r="C607">
            <v>393</v>
          </cell>
        </row>
        <row r="608">
          <cell r="A608">
            <v>709130</v>
          </cell>
          <cell r="B608" t="str">
            <v>VACA SE EMPACA, LA - 2DA EDICION TR</v>
          </cell>
          <cell r="C608">
            <v>1316</v>
          </cell>
        </row>
        <row r="609">
          <cell r="A609">
            <v>699701</v>
          </cell>
          <cell r="B609" t="str">
            <v>VACA SUS MIEDOS ATACA, LA</v>
          </cell>
          <cell r="C609">
            <v>418</v>
          </cell>
        </row>
        <row r="610">
          <cell r="A610">
            <v>709129</v>
          </cell>
          <cell r="B610" t="str">
            <v>VACA SUS MIEDOS ATACA, LA - 2DA. EDICION TR</v>
          </cell>
          <cell r="C610">
            <v>1292</v>
          </cell>
        </row>
        <row r="611">
          <cell r="A611">
            <v>665952</v>
          </cell>
          <cell r="B611" t="str">
            <v>VACA Y LA ESPINACA, LA</v>
          </cell>
          <cell r="C611">
            <v>332</v>
          </cell>
        </row>
        <row r="612">
          <cell r="A612">
            <v>728158</v>
          </cell>
          <cell r="B612" t="str">
            <v>VACA Y LA ESPINACA, LA - RUSTICA</v>
          </cell>
          <cell r="C612">
            <v>808</v>
          </cell>
        </row>
        <row r="613">
          <cell r="A613">
            <v>743068</v>
          </cell>
          <cell r="B613" t="str">
            <v>VACA VA A SER HERMANA, LA</v>
          </cell>
          <cell r="C613">
            <v>1498</v>
          </cell>
        </row>
        <row r="614">
          <cell r="A614">
            <v>688427</v>
          </cell>
          <cell r="B614" t="str">
            <v>VAMOS</v>
          </cell>
          <cell r="C614">
            <v>8</v>
          </cell>
        </row>
        <row r="615">
          <cell r="A615">
            <v>751242</v>
          </cell>
          <cell r="B615" t="str">
            <v>VAMOS A APRENDER SUMAS Y RESTAS</v>
          </cell>
          <cell r="C615">
            <v>68</v>
          </cell>
        </row>
        <row r="616">
          <cell r="A616">
            <v>111751</v>
          </cell>
          <cell r="B616" t="str">
            <v>VAMOS A CALENTAR EL SOL</v>
          </cell>
          <cell r="C616">
            <v>3</v>
          </cell>
        </row>
        <row r="617">
          <cell r="A617">
            <v>672696</v>
          </cell>
          <cell r="B617" t="str">
            <v>VAMOS A CALENTAR EL SOL - EDICION ESCOLAR</v>
          </cell>
          <cell r="C617">
            <v>173</v>
          </cell>
        </row>
        <row r="618">
          <cell r="A618">
            <v>671441</v>
          </cell>
          <cell r="B618" t="str">
            <v>VAMOS A CALENTAR EL SOL - EDICION ESPECIAL</v>
          </cell>
          <cell r="C618">
            <v>216</v>
          </cell>
        </row>
        <row r="619">
          <cell r="A619">
            <v>740761</v>
          </cell>
          <cell r="B619" t="str">
            <v>VAMOS A CONTAR LOS NUMEROS</v>
          </cell>
          <cell r="C619">
            <v>571</v>
          </cell>
        </row>
        <row r="620">
          <cell r="A620">
            <v>651429</v>
          </cell>
          <cell r="B620" t="str">
            <v>VEHICULOS, LOS</v>
          </cell>
          <cell r="C620">
            <v>3</v>
          </cell>
        </row>
        <row r="621">
          <cell r="A621">
            <v>674456</v>
          </cell>
          <cell r="B621" t="str">
            <v>VELERO DE CRISTAL, EL - EDICION ESCOLAR</v>
          </cell>
          <cell r="C621">
            <v>73</v>
          </cell>
        </row>
        <row r="622">
          <cell r="A622">
            <v>747596</v>
          </cell>
          <cell r="B622" t="str">
            <v>VENDER ES PODER</v>
          </cell>
          <cell r="C622">
            <v>1257</v>
          </cell>
        </row>
        <row r="623">
          <cell r="A623">
            <v>725696</v>
          </cell>
          <cell r="B623" t="str">
            <v>VENDETE ANTES DE VENDER</v>
          </cell>
          <cell r="C623">
            <v>2313</v>
          </cell>
        </row>
        <row r="624">
          <cell r="A624">
            <v>703395</v>
          </cell>
          <cell r="B624" t="str">
            <v>VIAJERAS</v>
          </cell>
          <cell r="C624">
            <v>155</v>
          </cell>
        </row>
        <row r="625">
          <cell r="A625">
            <v>705124</v>
          </cell>
          <cell r="B625" t="str">
            <v>VIDA DESPUES DEL RESETEO, LA</v>
          </cell>
          <cell r="C625">
            <v>262</v>
          </cell>
        </row>
        <row r="626">
          <cell r="A626">
            <v>593819</v>
          </cell>
          <cell r="B626" t="str">
            <v>VIENTO EN LOS SAUCES, EL</v>
          </cell>
          <cell r="C626">
            <v>4</v>
          </cell>
        </row>
        <row r="627">
          <cell r="A627">
            <v>649883</v>
          </cell>
          <cell r="B627" t="str">
            <v>VIKINGOS, LOS</v>
          </cell>
          <cell r="C627">
            <v>110</v>
          </cell>
        </row>
        <row r="628">
          <cell r="A628">
            <v>737017</v>
          </cell>
          <cell r="B628" t="str">
            <v>VINI, EL GUARDIAN DE LOS DESEOS</v>
          </cell>
          <cell r="C628">
            <v>1042</v>
          </cell>
        </row>
        <row r="629">
          <cell r="A629">
            <v>743065</v>
          </cell>
          <cell r="B629" t="str">
            <v>VIOLENCIA EN LAS ESCUELAS</v>
          </cell>
          <cell r="C629">
            <v>236</v>
          </cell>
        </row>
        <row r="630">
          <cell r="A630">
            <v>675902</v>
          </cell>
          <cell r="B630" t="str">
            <v>VIRGEN DE LUJAN MADRE DE TODOS</v>
          </cell>
          <cell r="C630">
            <v>12</v>
          </cell>
        </row>
        <row r="631">
          <cell r="A631">
            <v>675903</v>
          </cell>
          <cell r="B631" t="str">
            <v>VIRGEN DE LUJAN: LA MADRE DE TODOS (P)</v>
          </cell>
          <cell r="C631">
            <v>9</v>
          </cell>
        </row>
        <row r="632">
          <cell r="A632">
            <v>703702</v>
          </cell>
          <cell r="B632" t="str">
            <v>VIRGINIA WOOLF Y VICTORIA OCAMPO</v>
          </cell>
          <cell r="C632">
            <v>318</v>
          </cell>
        </row>
        <row r="633">
          <cell r="A633">
            <v>750384</v>
          </cell>
          <cell r="B633" t="str">
            <v>VIVE TU ASCENDENTE</v>
          </cell>
          <cell r="C633">
            <v>188</v>
          </cell>
        </row>
        <row r="634">
          <cell r="A634">
            <v>696630</v>
          </cell>
          <cell r="B634" t="str">
            <v>VIVIR EN EL SONIDO DEL VIENTO</v>
          </cell>
          <cell r="C634">
            <v>7</v>
          </cell>
        </row>
        <row r="635">
          <cell r="A635">
            <v>676168</v>
          </cell>
          <cell r="B635" t="str">
            <v>VIVIR SE ESCRIBE EN PRESENTE</v>
          </cell>
          <cell r="C635">
            <v>12</v>
          </cell>
        </row>
        <row r="636">
          <cell r="A636">
            <v>628863</v>
          </cell>
          <cell r="B636" t="str">
            <v>VLADIMIR PUTIN</v>
          </cell>
          <cell r="C636">
            <v>8</v>
          </cell>
        </row>
        <row r="637">
          <cell r="A637">
            <v>748667</v>
          </cell>
          <cell r="B637" t="str">
            <v>VOLVER A CREER</v>
          </cell>
          <cell r="C637">
            <v>401</v>
          </cell>
        </row>
        <row r="638">
          <cell r="A638">
            <v>647068</v>
          </cell>
          <cell r="B638" t="str">
            <v>VORAGINE, LA</v>
          </cell>
          <cell r="C638">
            <v>29</v>
          </cell>
        </row>
        <row r="639">
          <cell r="A639">
            <v>704437</v>
          </cell>
          <cell r="B639" t="str">
            <v>VOY A COMPARTIR</v>
          </cell>
          <cell r="C639">
            <v>166</v>
          </cell>
        </row>
        <row r="640">
          <cell r="A640">
            <v>722237</v>
          </cell>
          <cell r="B640" t="str">
            <v>VOY A COMPARTIR - TR</v>
          </cell>
          <cell r="C640">
            <v>771</v>
          </cell>
        </row>
        <row r="641">
          <cell r="A641">
            <v>682657</v>
          </cell>
          <cell r="B641" t="str">
            <v>VOY A DORMIR EN MI CAMA</v>
          </cell>
          <cell r="C641">
            <v>8</v>
          </cell>
        </row>
        <row r="642">
          <cell r="A642">
            <v>714678</v>
          </cell>
          <cell r="B642" t="str">
            <v>VOY A DORMIR EN MI CAMA - TR</v>
          </cell>
          <cell r="C642">
            <v>1198</v>
          </cell>
        </row>
        <row r="643">
          <cell r="A643">
            <v>698770</v>
          </cell>
          <cell r="B643" t="str">
            <v>VOY A ESPERARTE JUGANDO</v>
          </cell>
          <cell r="C643">
            <v>219</v>
          </cell>
        </row>
        <row r="644">
          <cell r="A644">
            <v>695682</v>
          </cell>
          <cell r="B644" t="str">
            <v>VOY A LA DOCTORA</v>
          </cell>
          <cell r="C644">
            <v>264</v>
          </cell>
        </row>
        <row r="645">
          <cell r="A645">
            <v>740760</v>
          </cell>
          <cell r="B645" t="str">
            <v>VOY A LA ESCUELA</v>
          </cell>
          <cell r="C645">
            <v>644</v>
          </cell>
        </row>
        <row r="646">
          <cell r="A646">
            <v>725697</v>
          </cell>
          <cell r="B646" t="str">
            <v>VOY A RECORDARTE</v>
          </cell>
          <cell r="C646">
            <v>269</v>
          </cell>
        </row>
        <row r="647">
          <cell r="A647">
            <v>687426</v>
          </cell>
          <cell r="B647" t="str">
            <v>VOY A TENER UN HERMANITO</v>
          </cell>
          <cell r="C647">
            <v>81</v>
          </cell>
        </row>
        <row r="648">
          <cell r="A648">
            <v>729382</v>
          </cell>
          <cell r="B648" t="str">
            <v>VOY A TENER UN HERMANITO - TR</v>
          </cell>
          <cell r="C648">
            <v>722</v>
          </cell>
        </row>
        <row r="649">
          <cell r="A649">
            <v>710540</v>
          </cell>
          <cell r="B649" t="str">
            <v>VOY A TOMAR EN MI TAZA - TR</v>
          </cell>
          <cell r="C649">
            <v>215</v>
          </cell>
        </row>
        <row r="650">
          <cell r="A650">
            <v>679309</v>
          </cell>
          <cell r="B650" t="str">
            <v>VOY AL BAÑO</v>
          </cell>
          <cell r="C650">
            <v>38</v>
          </cell>
        </row>
        <row r="651">
          <cell r="A651">
            <v>717942</v>
          </cell>
          <cell r="B651" t="str">
            <v>VOY AL BAÑO - TR</v>
          </cell>
          <cell r="C651">
            <v>1528</v>
          </cell>
        </row>
        <row r="652">
          <cell r="A652">
            <v>690834</v>
          </cell>
          <cell r="B652" t="str">
            <v>VOY AL JARDIN</v>
          </cell>
          <cell r="C652">
            <v>70</v>
          </cell>
        </row>
        <row r="653">
          <cell r="A653">
            <v>723728</v>
          </cell>
          <cell r="B653" t="str">
            <v>VOY AL JARDIN - TR</v>
          </cell>
          <cell r="C653">
            <v>767</v>
          </cell>
        </row>
        <row r="654">
          <cell r="A654">
            <v>682014</v>
          </cell>
          <cell r="B654" t="str">
            <v>VULNERABLE</v>
          </cell>
          <cell r="C654">
            <v>12</v>
          </cell>
        </row>
        <row r="655">
          <cell r="A655">
            <v>564331</v>
          </cell>
          <cell r="B655" t="str">
            <v>WAGNER</v>
          </cell>
          <cell r="C655">
            <v>2</v>
          </cell>
        </row>
        <row r="656">
          <cell r="A656">
            <v>625988</v>
          </cell>
          <cell r="B656" t="str">
            <v>WATERLOO</v>
          </cell>
          <cell r="C656">
            <v>2</v>
          </cell>
        </row>
        <row r="657">
          <cell r="A657">
            <v>671442</v>
          </cell>
          <cell r="B657" t="str">
            <v>WATSON &amp; CIA</v>
          </cell>
          <cell r="C657">
            <v>887</v>
          </cell>
        </row>
        <row r="658">
          <cell r="A658">
            <v>680645</v>
          </cell>
          <cell r="B658" t="str">
            <v>WATSON &amp; CIA. CODIGO V</v>
          </cell>
          <cell r="C658">
            <v>191</v>
          </cell>
        </row>
        <row r="659">
          <cell r="A659">
            <v>709896</v>
          </cell>
          <cell r="B659" t="str">
            <v>WATSON &amp; CIA. VIAJE AL MUNDO OCULTO</v>
          </cell>
          <cell r="C659">
            <v>225</v>
          </cell>
        </row>
        <row r="660">
          <cell r="A660">
            <v>622049</v>
          </cell>
          <cell r="B660" t="str">
            <v>WINSTON CHURCHILL</v>
          </cell>
          <cell r="C660">
            <v>165</v>
          </cell>
        </row>
        <row r="661">
          <cell r="A661">
            <v>590780</v>
          </cell>
          <cell r="B661" t="str">
            <v>WOLFGANG AMADEUS MOZART</v>
          </cell>
          <cell r="C661">
            <v>3</v>
          </cell>
        </row>
        <row r="662">
          <cell r="A662">
            <v>692861</v>
          </cell>
          <cell r="B662" t="str">
            <v>Y AHORA, ¿QUE?</v>
          </cell>
          <cell r="C662">
            <v>425</v>
          </cell>
        </row>
        <row r="663">
          <cell r="A663">
            <v>714589</v>
          </cell>
          <cell r="B663" t="str">
            <v>YA NO TE CREO</v>
          </cell>
          <cell r="C663">
            <v>46</v>
          </cell>
        </row>
        <row r="664">
          <cell r="A664">
            <v>718921</v>
          </cell>
          <cell r="B664" t="str">
            <v>YO, DISLEXICA</v>
          </cell>
          <cell r="C664">
            <v>76</v>
          </cell>
        </row>
        <row r="665">
          <cell r="A665">
            <v>732724</v>
          </cell>
          <cell r="B665" t="str">
            <v>YOGA FUERA DEL MAT</v>
          </cell>
          <cell r="C665">
            <v>601</v>
          </cell>
        </row>
        <row r="666">
          <cell r="A666">
            <v>660729</v>
          </cell>
          <cell r="B666" t="str">
            <v>YOGA PARA SENTIRSE MEJOR</v>
          </cell>
          <cell r="C666">
            <v>173</v>
          </cell>
        </row>
        <row r="667">
          <cell r="A667">
            <v>635045</v>
          </cell>
          <cell r="B667" t="str">
            <v>ZORZI, EL FABRICANTE DE SUEÑOS</v>
          </cell>
          <cell r="C667">
            <v>3</v>
          </cell>
        </row>
        <row r="668">
          <cell r="C668">
            <v>268375</v>
          </cell>
        </row>
        <row r="669">
          <cell r="A669">
            <v>722861</v>
          </cell>
          <cell r="B669" t="str">
            <v>ASTROCOACH</v>
          </cell>
          <cell r="C669">
            <v>456</v>
          </cell>
        </row>
        <row r="670">
          <cell r="A670">
            <v>722926</v>
          </cell>
          <cell r="B670" t="str">
            <v>BRUJA MODERNA</v>
          </cell>
          <cell r="C670">
            <v>826</v>
          </cell>
        </row>
        <row r="671">
          <cell r="A671">
            <v>740169</v>
          </cell>
          <cell r="B671" t="str">
            <v>TAROT: CARTAS DE ADIVINACION, SABIDURIA Y AUTODESCUBRIMIENTO</v>
          </cell>
          <cell r="C671">
            <v>1716</v>
          </cell>
        </row>
        <row r="672">
          <cell r="C672">
            <v>2998</v>
          </cell>
        </row>
        <row r="673">
          <cell r="A673">
            <v>649061</v>
          </cell>
          <cell r="B673" t="str">
            <v>VACA EN SU HAMACA, LA</v>
          </cell>
          <cell r="C673">
            <v>22</v>
          </cell>
        </row>
        <row r="674">
          <cell r="A674">
            <v>679580</v>
          </cell>
          <cell r="B674" t="str">
            <v>VACA SE EMPACA, LA</v>
          </cell>
          <cell r="C674">
            <v>1</v>
          </cell>
        </row>
        <row r="675">
          <cell r="A675">
            <v>689236</v>
          </cell>
          <cell r="B675" t="str">
            <v>VACA SUS MIEDOS ATACA, LA</v>
          </cell>
          <cell r="C675">
            <v>10</v>
          </cell>
        </row>
        <row r="676">
          <cell r="C676">
            <v>33</v>
          </cell>
        </row>
        <row r="677">
          <cell r="A677">
            <v>640278</v>
          </cell>
          <cell r="B677" t="str">
            <v>ANABELA AL RESCATE</v>
          </cell>
          <cell r="C677">
            <v>1</v>
          </cell>
        </row>
        <row r="678">
          <cell r="A678">
            <v>485228</v>
          </cell>
          <cell r="B678" t="str">
            <v>BUENAS NOCHES, TEDDY!</v>
          </cell>
          <cell r="C678">
            <v>2</v>
          </cell>
        </row>
        <row r="679">
          <cell r="A679">
            <v>589483</v>
          </cell>
          <cell r="B679" t="str">
            <v>COLORES Y FORMAS - BUSCA Y ENCUENTRA</v>
          </cell>
          <cell r="C679">
            <v>1</v>
          </cell>
        </row>
        <row r="680">
          <cell r="A680">
            <v>560758</v>
          </cell>
          <cell r="B680" t="str">
            <v>CUENTOS DE MAMA Y SU BEBE</v>
          </cell>
          <cell r="C680">
            <v>1</v>
          </cell>
        </row>
        <row r="681">
          <cell r="A681">
            <v>614611</v>
          </cell>
          <cell r="B681" t="str">
            <v>DESCUBRE EL MUNDO ANIMAL</v>
          </cell>
          <cell r="C681">
            <v>1</v>
          </cell>
        </row>
        <row r="682">
          <cell r="A682">
            <v>622624</v>
          </cell>
          <cell r="B682" t="str">
            <v>QUE PUEDES ENCONTRAR EN LA NATURALEZA</v>
          </cell>
          <cell r="C682">
            <v>1</v>
          </cell>
        </row>
        <row r="683">
          <cell r="C683">
            <v>7</v>
          </cell>
        </row>
        <row r="684">
          <cell r="A684">
            <v>751430</v>
          </cell>
          <cell r="B684" t="str">
            <v>LIBRO SORPRESA BIO</v>
          </cell>
          <cell r="C684">
            <v>102</v>
          </cell>
        </row>
        <row r="685">
          <cell r="A685">
            <v>751424</v>
          </cell>
          <cell r="B685" t="str">
            <v>LIBRO SORPRESA CONTEMPORANEA</v>
          </cell>
          <cell r="C685">
            <v>389</v>
          </cell>
        </row>
        <row r="686">
          <cell r="A686">
            <v>751428</v>
          </cell>
          <cell r="B686" t="str">
            <v>LIBRO SORPRESA EROTICA</v>
          </cell>
          <cell r="C686">
            <v>464</v>
          </cell>
        </row>
        <row r="687">
          <cell r="A687">
            <v>751420</v>
          </cell>
          <cell r="B687" t="str">
            <v>LIBRO SORPRESA HISTORICA</v>
          </cell>
          <cell r="C687">
            <v>398</v>
          </cell>
        </row>
        <row r="688">
          <cell r="A688">
            <v>751426</v>
          </cell>
          <cell r="B688" t="str">
            <v>LIBRO SORPRESA MISTERIO</v>
          </cell>
          <cell r="C688">
            <v>518</v>
          </cell>
        </row>
        <row r="689">
          <cell r="A689">
            <v>751422</v>
          </cell>
          <cell r="B689" t="str">
            <v>LIBRO SORPRESA ROMANTICA</v>
          </cell>
          <cell r="C689">
            <v>290</v>
          </cell>
        </row>
        <row r="690">
          <cell r="C690">
            <v>2161</v>
          </cell>
        </row>
        <row r="691">
          <cell r="A691">
            <v>647640</v>
          </cell>
          <cell r="B691" t="str">
            <v>ALIANZA, LA</v>
          </cell>
          <cell r="C691">
            <v>14</v>
          </cell>
        </row>
        <row r="692">
          <cell r="C692">
            <v>14</v>
          </cell>
        </row>
        <row r="693">
          <cell r="A693">
            <v>566976</v>
          </cell>
          <cell r="B693" t="str">
            <v>ALMA PARTY</v>
          </cell>
          <cell r="C693">
            <v>1</v>
          </cell>
        </row>
        <row r="694">
          <cell r="C694">
            <v>1</v>
          </cell>
        </row>
        <row r="695">
          <cell r="A695">
            <v>625880</v>
          </cell>
          <cell r="B695" t="str">
            <v>ALADINO - EL FLAUTISTA DE HAMELIN</v>
          </cell>
          <cell r="C695">
            <v>2</v>
          </cell>
        </row>
        <row r="696">
          <cell r="A696">
            <v>625882</v>
          </cell>
          <cell r="B696" t="str">
            <v>ALICIA EN EL PAIS DE LAS MARAVILLAS - LA SIRENITA</v>
          </cell>
          <cell r="C696">
            <v>1</v>
          </cell>
        </row>
        <row r="697">
          <cell r="A697">
            <v>608488</v>
          </cell>
          <cell r="B697" t="str">
            <v>AVENTURAS REALES - PRINCESITA SOFIA</v>
          </cell>
          <cell r="C697">
            <v>1</v>
          </cell>
        </row>
        <row r="698">
          <cell r="A698">
            <v>625881</v>
          </cell>
          <cell r="B698" t="str">
            <v>BELLA DURMIENTE, LA - LA CENICIENTA</v>
          </cell>
          <cell r="C698">
            <v>1</v>
          </cell>
        </row>
        <row r="699">
          <cell r="A699">
            <v>625877</v>
          </cell>
          <cell r="B699" t="str">
            <v>CAPERUCITA ROJA - EL MAGO DE OZ</v>
          </cell>
          <cell r="C699">
            <v>1</v>
          </cell>
        </row>
        <row r="700">
          <cell r="A700">
            <v>619723</v>
          </cell>
          <cell r="B700" t="str">
            <v>CIUDAD, LA</v>
          </cell>
          <cell r="C700">
            <v>1</v>
          </cell>
        </row>
        <row r="701">
          <cell r="A701">
            <v>647178</v>
          </cell>
          <cell r="B701" t="str">
            <v>COLORES</v>
          </cell>
          <cell r="C701">
            <v>1</v>
          </cell>
        </row>
        <row r="702">
          <cell r="A702">
            <v>648268</v>
          </cell>
          <cell r="B702" t="str">
            <v>COLORES, LOS</v>
          </cell>
          <cell r="C702">
            <v>1</v>
          </cell>
        </row>
        <row r="703">
          <cell r="A703">
            <v>669696</v>
          </cell>
          <cell r="B703" t="str">
            <v>COMPARTO CUENTOS DINOSAURIOS</v>
          </cell>
          <cell r="C703">
            <v>1</v>
          </cell>
        </row>
        <row r="704">
          <cell r="A704">
            <v>669698</v>
          </cell>
          <cell r="B704" t="str">
            <v>COMPARTO CUENTOS MASCOTAS</v>
          </cell>
          <cell r="C704">
            <v>1</v>
          </cell>
        </row>
        <row r="705">
          <cell r="A705">
            <v>669695</v>
          </cell>
          <cell r="B705" t="str">
            <v>COMPARTO CUENTOS PRINCESAS</v>
          </cell>
          <cell r="C705">
            <v>4</v>
          </cell>
        </row>
        <row r="706">
          <cell r="A706">
            <v>580566</v>
          </cell>
          <cell r="B706" t="str">
            <v>GALERA MAGICA DE LAS LETRAS, LA</v>
          </cell>
          <cell r="C706">
            <v>1</v>
          </cell>
        </row>
        <row r="707">
          <cell r="A707">
            <v>659861</v>
          </cell>
          <cell r="B707" t="str">
            <v>MAGO VERDE</v>
          </cell>
          <cell r="C707">
            <v>1</v>
          </cell>
        </row>
        <row r="708">
          <cell r="A708">
            <v>640460</v>
          </cell>
          <cell r="B708" t="str">
            <v>MI COFRECITO CON ESTRELLAS</v>
          </cell>
          <cell r="C708">
            <v>1</v>
          </cell>
        </row>
        <row r="709">
          <cell r="A709">
            <v>638965</v>
          </cell>
          <cell r="B709" t="str">
            <v>PATITO FEO, EL</v>
          </cell>
          <cell r="C709">
            <v>1</v>
          </cell>
        </row>
        <row r="710">
          <cell r="A710">
            <v>625884</v>
          </cell>
          <cell r="B710" t="str">
            <v>PULGARCITO - PETER PAN</v>
          </cell>
          <cell r="C710">
            <v>1</v>
          </cell>
        </row>
        <row r="711">
          <cell r="C711">
            <v>20</v>
          </cell>
        </row>
        <row r="712">
          <cell r="A712">
            <v>655767</v>
          </cell>
          <cell r="B712" t="str">
            <v>AFRICA- ESPAÑOL/INGLES</v>
          </cell>
          <cell r="C712">
            <v>1</v>
          </cell>
        </row>
        <row r="713">
          <cell r="C713">
            <v>1</v>
          </cell>
        </row>
        <row r="714">
          <cell r="A714">
            <v>651408</v>
          </cell>
          <cell r="B714" t="str">
            <v>TU Y YO POR SIEMPRE</v>
          </cell>
          <cell r="C714">
            <v>1</v>
          </cell>
        </row>
        <row r="715">
          <cell r="C715">
            <v>1</v>
          </cell>
        </row>
        <row r="716">
          <cell r="A716">
            <v>642955</v>
          </cell>
          <cell r="B716" t="str">
            <v>CLORINDO TESTA PINTOR</v>
          </cell>
          <cell r="C716">
            <v>1</v>
          </cell>
        </row>
        <row r="717">
          <cell r="C717">
            <v>1</v>
          </cell>
        </row>
        <row r="718">
          <cell r="A718">
            <v>649644</v>
          </cell>
          <cell r="B718" t="str">
            <v>SOY SOLO</v>
          </cell>
          <cell r="C718">
            <v>111</v>
          </cell>
        </row>
        <row r="719">
          <cell r="C719">
            <v>111</v>
          </cell>
        </row>
        <row r="720">
          <cell r="A720">
            <v>666599</v>
          </cell>
          <cell r="B720" t="str">
            <v>CAROLINA ANTONIADIS</v>
          </cell>
          <cell r="C720">
            <v>8</v>
          </cell>
        </row>
        <row r="721">
          <cell r="A721">
            <v>665997</v>
          </cell>
          <cell r="B721" t="str">
            <v>VORTICE FLUIDO TURBULENTO - MARIA BONEO</v>
          </cell>
          <cell r="C721">
            <v>1</v>
          </cell>
        </row>
        <row r="722">
          <cell r="C722">
            <v>9</v>
          </cell>
        </row>
        <row r="723">
          <cell r="A723">
            <v>678079</v>
          </cell>
          <cell r="B723" t="str">
            <v>CONOZCAMOS LO NUESTRO / THE GAUCHO¿S HERITAGE</v>
          </cell>
          <cell r="C723">
            <v>56</v>
          </cell>
        </row>
        <row r="724">
          <cell r="C724">
            <v>56</v>
          </cell>
        </row>
        <row r="725">
          <cell r="A725">
            <v>701367</v>
          </cell>
          <cell r="B725" t="str">
            <v>HIDROVIA: PLATAFORMA COMPETITIVA PARA EL DESARROLLO: DEL SIGLO XIX AL XXI</v>
          </cell>
          <cell r="C725">
            <v>6</v>
          </cell>
        </row>
        <row r="726">
          <cell r="C726">
            <v>6</v>
          </cell>
        </row>
        <row r="727">
          <cell r="A727">
            <v>732725</v>
          </cell>
          <cell r="B727" t="str">
            <v>MANTOS</v>
          </cell>
          <cell r="C727">
            <v>638</v>
          </cell>
        </row>
        <row r="728">
          <cell r="C728">
            <v>638</v>
          </cell>
        </row>
        <row r="729">
          <cell r="A729">
            <v>596712</v>
          </cell>
          <cell r="B729" t="str">
            <v>ARGENTINE BARBEQUE SCHOOL - THE BOOK</v>
          </cell>
          <cell r="C729">
            <v>1</v>
          </cell>
        </row>
        <row r="730">
          <cell r="A730">
            <v>659030</v>
          </cell>
          <cell r="B730" t="str">
            <v>MONDONGO ESTA EN EL DETALLE</v>
          </cell>
          <cell r="C730">
            <v>5</v>
          </cell>
        </row>
        <row r="731">
          <cell r="A731">
            <v>625000</v>
          </cell>
          <cell r="B731" t="str">
            <v>SIETE MURALES</v>
          </cell>
          <cell r="C731">
            <v>3</v>
          </cell>
        </row>
        <row r="732">
          <cell r="C732">
            <v>9</v>
          </cell>
        </row>
        <row r="733">
          <cell r="C733">
            <v>274441</v>
          </cell>
        </row>
        <row r="734">
          <cell r="A734" t="str">
            <v/>
          </cell>
          <cell r="B734" t="str">
            <v/>
          </cell>
          <cell r="C734" t="str">
            <v/>
          </cell>
        </row>
        <row r="735">
          <cell r="C735">
            <v>274441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595"/>
  <sheetViews>
    <sheetView topLeftCell="Z1" zoomScale="98" zoomScaleNormal="98" workbookViewId="0">
      <selection sqref="A1:AS1048576"/>
    </sheetView>
  </sheetViews>
  <sheetFormatPr baseColWidth="10" defaultRowHeight="15" x14ac:dyDescent="0.25"/>
  <cols>
    <col min="1" max="1" width="2.7109375" customWidth="1"/>
    <col min="2" max="2" width="12.28515625" style="238" customWidth="1"/>
    <col min="3" max="3" width="7.140625" style="76" customWidth="1"/>
    <col min="4" max="4" width="4.85546875" customWidth="1"/>
    <col min="5" max="5" width="14.28515625" customWidth="1"/>
    <col min="6" max="6" width="39.85546875" customWidth="1"/>
    <col min="7" max="7" width="6" style="76" customWidth="1"/>
    <col min="8" max="8" width="6.140625" style="76" customWidth="1"/>
    <col min="9" max="9" width="5.28515625" style="1" customWidth="1"/>
    <col min="10" max="10" width="4.140625" style="2" customWidth="1"/>
    <col min="11" max="11" width="7.42578125" style="2" customWidth="1"/>
    <col min="12" max="12" width="8.5703125" customWidth="1"/>
    <col min="13" max="13" width="7.42578125" customWidth="1"/>
    <col min="14" max="14" width="7.7109375" style="2" hidden="1" customWidth="1"/>
    <col min="15" max="15" width="7.42578125" style="2" hidden="1" customWidth="1"/>
    <col min="16" max="16" width="8.42578125" style="2" hidden="1" customWidth="1"/>
    <col min="17" max="17" width="8.42578125" style="2" customWidth="1"/>
    <col min="18" max="18" width="11.140625" style="2" customWidth="1"/>
    <col min="19" max="19" width="13" style="39" bestFit="1" customWidth="1"/>
    <col min="20" max="20" width="9.28515625" style="2" customWidth="1"/>
    <col min="21" max="21" width="8.140625" style="135" customWidth="1"/>
    <col min="22" max="22" width="15.5703125" style="2" customWidth="1"/>
    <col min="23" max="23" width="9.5703125" customWidth="1"/>
    <col min="24" max="27" width="8.5703125" customWidth="1"/>
    <col min="28" max="28" width="8" customWidth="1"/>
    <col min="29" max="30" width="8.5703125" customWidth="1"/>
    <col min="31" max="31" width="7" customWidth="1"/>
    <col min="32" max="32" width="1" style="2" customWidth="1"/>
    <col min="33" max="33" width="8.5703125" customWidth="1"/>
    <col min="34" max="34" width="5.7109375" customWidth="1"/>
    <col min="35" max="35" width="1" style="2" customWidth="1"/>
    <col min="36" max="36" width="8.5703125" customWidth="1"/>
    <col min="37" max="37" width="5.7109375" customWidth="1"/>
    <col min="38" max="38" width="1" style="2" customWidth="1"/>
    <col min="39" max="39" width="8.5703125" customWidth="1"/>
    <col min="40" max="40" width="6" customWidth="1"/>
    <col min="41" max="41" width="1" style="2" customWidth="1"/>
    <col min="42" max="42" width="5" customWidth="1"/>
    <col min="43" max="44" width="5.140625" customWidth="1"/>
    <col min="45" max="45" width="5.28515625" customWidth="1"/>
    <col min="46" max="49" width="6.7109375" style="2" customWidth="1"/>
    <col min="51" max="51" width="8.5703125" customWidth="1"/>
  </cols>
  <sheetData>
    <row r="1" spans="1:51" s="2" customFormat="1" ht="12.75" customHeight="1" x14ac:dyDescent="0.2">
      <c r="A1" s="42" t="s">
        <v>895</v>
      </c>
      <c r="B1" s="43"/>
      <c r="C1" s="1"/>
      <c r="E1" s="44"/>
      <c r="F1" s="45" t="s">
        <v>896</v>
      </c>
      <c r="G1" s="46"/>
      <c r="H1" s="46"/>
      <c r="I1" s="46"/>
      <c r="J1" s="47"/>
      <c r="L1" s="290"/>
      <c r="M1" s="291"/>
      <c r="Q1" s="49"/>
      <c r="R1" s="337"/>
      <c r="S1" s="357"/>
      <c r="T1" s="40"/>
      <c r="U1" s="50"/>
      <c r="W1" s="240" t="s">
        <v>1804</v>
      </c>
      <c r="X1" s="241">
        <v>1516.5</v>
      </c>
      <c r="Y1" s="28" t="s">
        <v>1845</v>
      </c>
      <c r="AA1" s="40"/>
      <c r="AD1" s="240"/>
      <c r="AE1" s="251"/>
      <c r="AG1" s="240"/>
      <c r="AH1" s="251"/>
      <c r="AJ1" s="240"/>
      <c r="AK1" s="251"/>
      <c r="AM1" s="240"/>
      <c r="AN1" s="251"/>
      <c r="AQ1" s="290" t="s">
        <v>1805</v>
      </c>
      <c r="AR1" s="291" t="s">
        <v>2472</v>
      </c>
      <c r="AS1" s="242"/>
      <c r="AY1" s="48"/>
    </row>
    <row r="2" spans="1:51" s="2" customFormat="1" ht="12.75" customHeight="1" x14ac:dyDescent="0.2">
      <c r="A2" s="42"/>
      <c r="B2" s="43"/>
      <c r="C2" s="51"/>
      <c r="D2" s="42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338"/>
      <c r="S2" s="51"/>
      <c r="T2" s="51"/>
      <c r="U2" s="52"/>
      <c r="V2" s="51"/>
      <c r="W2" s="252" t="s">
        <v>1846</v>
      </c>
      <c r="X2" s="253">
        <v>0.05</v>
      </c>
      <c r="Y2" s="51"/>
      <c r="Z2" s="51"/>
      <c r="AA2" s="51"/>
      <c r="AB2" s="51"/>
      <c r="AC2" s="51"/>
      <c r="AD2" s="51"/>
      <c r="AE2" s="51"/>
      <c r="AF2" s="51"/>
      <c r="AG2" s="253">
        <v>0.4</v>
      </c>
      <c r="AH2" s="51"/>
      <c r="AI2" s="51"/>
      <c r="AJ2" s="253">
        <v>0.35</v>
      </c>
      <c r="AK2" s="51"/>
      <c r="AL2" s="51"/>
      <c r="AM2" s="253">
        <v>0.3</v>
      </c>
      <c r="AN2" s="51"/>
      <c r="AO2" s="51"/>
      <c r="AP2" s="51"/>
      <c r="AQ2" s="51"/>
      <c r="AR2" s="243"/>
      <c r="AS2" s="51"/>
      <c r="AT2" s="51"/>
      <c r="AU2" s="51"/>
      <c r="AV2" s="51"/>
      <c r="AW2" s="51"/>
      <c r="AY2" s="51"/>
    </row>
    <row r="3" spans="1:51" s="2" customFormat="1" ht="12" customHeight="1" thickBot="1" x14ac:dyDescent="0.25">
      <c r="A3" s="54" t="s">
        <v>2471</v>
      </c>
      <c r="B3" s="55"/>
      <c r="C3" s="1"/>
      <c r="E3" s="44"/>
      <c r="F3" s="56"/>
      <c r="G3" s="56"/>
      <c r="H3" s="56"/>
      <c r="I3" s="56"/>
      <c r="J3" s="56"/>
      <c r="K3" s="53" t="s">
        <v>897</v>
      </c>
      <c r="L3" s="48"/>
      <c r="M3" s="48"/>
      <c r="Q3" s="57"/>
      <c r="R3" s="53"/>
      <c r="S3" s="358"/>
      <c r="T3" s="57"/>
      <c r="U3" s="58"/>
      <c r="W3" s="48"/>
      <c r="X3" s="48"/>
      <c r="Y3" s="48"/>
      <c r="Z3" s="48"/>
      <c r="AA3" s="48"/>
      <c r="AB3" s="48"/>
      <c r="AC3" s="48"/>
      <c r="AD3" s="48"/>
      <c r="AE3" s="48"/>
      <c r="AG3" s="48"/>
      <c r="AH3" s="48"/>
      <c r="AJ3" s="48"/>
      <c r="AK3" s="48"/>
      <c r="AM3" s="48"/>
      <c r="AN3" s="48"/>
      <c r="AR3" s="244"/>
      <c r="AY3" s="48"/>
    </row>
    <row r="4" spans="1:51" s="68" customFormat="1" ht="15" customHeight="1" thickBot="1" x14ac:dyDescent="0.25">
      <c r="A4" s="320"/>
      <c r="B4" s="321" t="s">
        <v>2141</v>
      </c>
      <c r="C4" s="60"/>
      <c r="D4" s="322"/>
      <c r="E4" s="60" t="s">
        <v>2142</v>
      </c>
      <c r="F4" s="54"/>
      <c r="G4" s="62"/>
      <c r="H4" s="62"/>
      <c r="I4" s="62"/>
      <c r="J4" s="39"/>
      <c r="K4" s="63">
        <v>1</v>
      </c>
      <c r="L4" s="64" t="s">
        <v>898</v>
      </c>
      <c r="M4" s="64" t="s">
        <v>899</v>
      </c>
      <c r="N4" s="65" t="s">
        <v>900</v>
      </c>
      <c r="O4" s="66" t="s">
        <v>901</v>
      </c>
      <c r="P4" s="66" t="s">
        <v>811</v>
      </c>
      <c r="Q4" s="65" t="s">
        <v>902</v>
      </c>
      <c r="R4" s="296" t="s">
        <v>910</v>
      </c>
      <c r="S4" s="297"/>
      <c r="T4" s="297"/>
      <c r="U4" s="67"/>
      <c r="V4" s="2"/>
      <c r="W4" s="64"/>
      <c r="X4" s="64"/>
      <c r="Y4" s="64"/>
      <c r="Z4" s="64"/>
      <c r="AA4" s="64"/>
      <c r="AB4" s="64" t="s">
        <v>1847</v>
      </c>
      <c r="AC4" s="64"/>
      <c r="AD4" s="254">
        <v>0.47</v>
      </c>
      <c r="AE4" s="64"/>
      <c r="AF4" s="2"/>
      <c r="AG4" s="254">
        <v>0.4</v>
      </c>
      <c r="AH4" s="64"/>
      <c r="AI4" s="2"/>
      <c r="AJ4" s="254">
        <v>0.35</v>
      </c>
      <c r="AK4" s="64"/>
      <c r="AL4" s="2"/>
      <c r="AM4" s="254">
        <v>0.3</v>
      </c>
      <c r="AN4" s="64"/>
      <c r="AO4" s="2"/>
      <c r="AQ4" s="26" t="s">
        <v>1806</v>
      </c>
      <c r="AR4" s="245" t="s">
        <v>2473</v>
      </c>
      <c r="AT4" s="312" t="s">
        <v>2032</v>
      </c>
      <c r="AU4" s="2"/>
      <c r="AV4" s="2"/>
      <c r="AW4" s="2"/>
      <c r="AY4" s="64" t="s">
        <v>898</v>
      </c>
    </row>
    <row r="5" spans="1:51" s="68" customFormat="1" ht="12.75" customHeight="1" thickBot="1" x14ac:dyDescent="0.25">
      <c r="A5" s="323"/>
      <c r="B5" s="324" t="s">
        <v>2143</v>
      </c>
      <c r="C5" s="62"/>
      <c r="D5" s="318"/>
      <c r="E5" s="54" t="s">
        <v>2144</v>
      </c>
      <c r="F5" s="61"/>
      <c r="G5" s="62"/>
      <c r="H5" s="69" t="s">
        <v>903</v>
      </c>
      <c r="I5" s="70"/>
      <c r="J5" s="71" t="s">
        <v>904</v>
      </c>
      <c r="K5" s="72" t="s">
        <v>811</v>
      </c>
      <c r="L5" s="73" t="s">
        <v>905</v>
      </c>
      <c r="M5" s="73" t="s">
        <v>906</v>
      </c>
      <c r="N5" s="73" t="s">
        <v>886</v>
      </c>
      <c r="O5" s="73" t="s">
        <v>907</v>
      </c>
      <c r="P5" s="73" t="s">
        <v>908</v>
      </c>
      <c r="Q5" s="74" t="s">
        <v>909</v>
      </c>
      <c r="R5" s="298" t="s">
        <v>1801</v>
      </c>
      <c r="S5" s="299"/>
      <c r="T5" s="299"/>
      <c r="U5" s="75" t="s">
        <v>911</v>
      </c>
      <c r="V5" s="2"/>
      <c r="W5" s="73"/>
      <c r="X5" s="73"/>
      <c r="Y5" s="73"/>
      <c r="Z5" s="73"/>
      <c r="AA5" s="73"/>
      <c r="AB5" s="73" t="s">
        <v>885</v>
      </c>
      <c r="AC5" s="73" t="s">
        <v>912</v>
      </c>
      <c r="AD5" s="73" t="s">
        <v>886</v>
      </c>
      <c r="AE5" s="73"/>
      <c r="AF5" s="2"/>
      <c r="AG5" s="73" t="s">
        <v>886</v>
      </c>
      <c r="AH5" s="73"/>
      <c r="AI5" s="2"/>
      <c r="AJ5" s="73" t="s">
        <v>886</v>
      </c>
      <c r="AK5" s="73"/>
      <c r="AL5" s="2"/>
      <c r="AM5" s="73" t="s">
        <v>886</v>
      </c>
      <c r="AN5" s="73"/>
      <c r="AO5" s="2"/>
      <c r="AQ5" s="2"/>
      <c r="AR5" s="246"/>
      <c r="AT5" s="2"/>
      <c r="AU5" s="2"/>
      <c r="AV5" s="2"/>
      <c r="AW5" s="2"/>
      <c r="AY5" s="73" t="s">
        <v>905</v>
      </c>
    </row>
    <row r="6" spans="1:51" ht="12.75" customHeight="1" thickBot="1" x14ac:dyDescent="0.3">
      <c r="A6" s="54"/>
      <c r="B6" s="3"/>
      <c r="D6" s="2"/>
      <c r="E6" s="44"/>
      <c r="F6" s="77"/>
      <c r="G6" s="78" t="s">
        <v>913</v>
      </c>
      <c r="H6" s="79" t="s">
        <v>914</v>
      </c>
      <c r="I6" s="79" t="s">
        <v>915</v>
      </c>
      <c r="J6" s="79" t="s">
        <v>916</v>
      </c>
      <c r="K6" s="80" t="s">
        <v>917</v>
      </c>
      <c r="L6" s="81" t="s">
        <v>2470</v>
      </c>
      <c r="M6" s="72" t="s">
        <v>883</v>
      </c>
      <c r="N6" s="72" t="s">
        <v>884</v>
      </c>
      <c r="O6" s="72" t="s">
        <v>918</v>
      </c>
      <c r="P6" s="72" t="s">
        <v>919</v>
      </c>
      <c r="Q6" s="72" t="s">
        <v>887</v>
      </c>
      <c r="R6" s="334">
        <v>46174</v>
      </c>
      <c r="S6" s="300" t="s">
        <v>2279</v>
      </c>
      <c r="T6" s="300" t="s">
        <v>920</v>
      </c>
      <c r="U6" s="82" t="s">
        <v>921</v>
      </c>
      <c r="W6" s="81" t="s">
        <v>922</v>
      </c>
      <c r="X6" s="81" t="s">
        <v>922</v>
      </c>
      <c r="Y6" s="81" t="s">
        <v>922</v>
      </c>
      <c r="Z6" s="81" t="s">
        <v>912</v>
      </c>
      <c r="AA6" s="81"/>
      <c r="AB6" s="73" t="s">
        <v>1848</v>
      </c>
      <c r="AC6" s="81" t="s">
        <v>885</v>
      </c>
      <c r="AD6" s="255" t="s">
        <v>1849</v>
      </c>
      <c r="AE6" s="81" t="s">
        <v>912</v>
      </c>
      <c r="AG6" s="255" t="s">
        <v>1849</v>
      </c>
      <c r="AH6" s="81" t="s">
        <v>912</v>
      </c>
      <c r="AJ6" s="255" t="s">
        <v>1849</v>
      </c>
      <c r="AK6" s="81" t="s">
        <v>912</v>
      </c>
      <c r="AM6" s="255" t="s">
        <v>1849</v>
      </c>
      <c r="AN6" s="81" t="s">
        <v>912</v>
      </c>
      <c r="AY6" s="81" t="s">
        <v>2440</v>
      </c>
    </row>
    <row r="7" spans="1:51" s="2" customFormat="1" ht="12.75" customHeight="1" thickBot="1" x14ac:dyDescent="0.25">
      <c r="A7" s="83" t="s">
        <v>924</v>
      </c>
      <c r="B7" s="84" t="s">
        <v>7</v>
      </c>
      <c r="C7" s="85" t="s">
        <v>882</v>
      </c>
      <c r="D7" s="86" t="s">
        <v>925</v>
      </c>
      <c r="E7" s="87" t="s">
        <v>8</v>
      </c>
      <c r="F7" s="88" t="s">
        <v>9</v>
      </c>
      <c r="G7" s="89" t="s">
        <v>904</v>
      </c>
      <c r="H7" s="90" t="s">
        <v>923</v>
      </c>
      <c r="I7" s="90" t="s">
        <v>926</v>
      </c>
      <c r="J7" s="91" t="s">
        <v>820</v>
      </c>
      <c r="K7" s="92" t="s">
        <v>922</v>
      </c>
      <c r="L7" s="93" t="s">
        <v>922</v>
      </c>
      <c r="M7" s="93" t="s">
        <v>922</v>
      </c>
      <c r="N7" s="92" t="s">
        <v>922</v>
      </c>
      <c r="O7" s="92" t="s">
        <v>922</v>
      </c>
      <c r="P7" s="92" t="s">
        <v>922</v>
      </c>
      <c r="Q7" s="93" t="s">
        <v>912</v>
      </c>
      <c r="R7" s="301"/>
      <c r="S7" s="302"/>
      <c r="T7" s="302"/>
      <c r="U7" s="94"/>
      <c r="W7" s="256" t="s">
        <v>1850</v>
      </c>
      <c r="X7" s="256" t="s">
        <v>1851</v>
      </c>
      <c r="Y7" s="256" t="s">
        <v>1852</v>
      </c>
      <c r="Z7" s="256" t="s">
        <v>1853</v>
      </c>
      <c r="AA7" s="256" t="s">
        <v>912</v>
      </c>
      <c r="AB7" s="257">
        <f>+X1</f>
        <v>1516.5</v>
      </c>
      <c r="AC7" s="93" t="s">
        <v>922</v>
      </c>
      <c r="AD7" s="258" t="s">
        <v>1854</v>
      </c>
      <c r="AE7" s="256" t="s">
        <v>885</v>
      </c>
      <c r="AG7" s="258" t="s">
        <v>1854</v>
      </c>
      <c r="AH7" s="256" t="s">
        <v>885</v>
      </c>
      <c r="AJ7" s="258" t="s">
        <v>1854</v>
      </c>
      <c r="AK7" s="256" t="s">
        <v>885</v>
      </c>
      <c r="AM7" s="258" t="s">
        <v>1854</v>
      </c>
      <c r="AN7" s="256" t="s">
        <v>885</v>
      </c>
      <c r="AP7" s="247" t="s">
        <v>1807</v>
      </c>
      <c r="AQ7" s="248" t="s">
        <v>1808</v>
      </c>
      <c r="AR7" s="248" t="s">
        <v>1809</v>
      </c>
      <c r="AS7" s="249" t="s">
        <v>851</v>
      </c>
      <c r="AY7" s="93" t="s">
        <v>922</v>
      </c>
    </row>
    <row r="8" spans="1:51" s="17" customFormat="1" ht="12.75" customHeight="1" thickBot="1" x14ac:dyDescent="0.25">
      <c r="A8" s="259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  <c r="R8" s="3">
        <v>17</v>
      </c>
      <c r="S8" s="3">
        <v>18</v>
      </c>
      <c r="T8" s="3">
        <v>19</v>
      </c>
      <c r="U8" s="3">
        <v>20</v>
      </c>
      <c r="V8" s="3"/>
      <c r="W8" s="3">
        <v>22</v>
      </c>
      <c r="X8" s="3">
        <v>23</v>
      </c>
      <c r="Y8" s="3">
        <v>24</v>
      </c>
      <c r="Z8" s="3">
        <v>25</v>
      </c>
      <c r="AA8" s="3">
        <v>26</v>
      </c>
      <c r="AB8" s="3">
        <v>27</v>
      </c>
      <c r="AC8" s="3">
        <v>28</v>
      </c>
      <c r="AD8" s="3">
        <v>29</v>
      </c>
      <c r="AE8" s="3">
        <v>30</v>
      </c>
      <c r="AF8" s="3">
        <v>31</v>
      </c>
      <c r="AG8" s="3">
        <v>32</v>
      </c>
      <c r="AH8" s="3">
        <v>33</v>
      </c>
      <c r="AI8" s="3">
        <v>34</v>
      </c>
      <c r="AJ8" s="3">
        <v>35</v>
      </c>
      <c r="AK8" s="3">
        <v>36</v>
      </c>
      <c r="AL8" s="3">
        <v>37</v>
      </c>
      <c r="AM8" s="3">
        <v>38</v>
      </c>
      <c r="AN8" s="3">
        <v>39</v>
      </c>
      <c r="AO8" s="3">
        <v>40</v>
      </c>
      <c r="AP8" s="3">
        <v>41</v>
      </c>
      <c r="AQ8" s="3">
        <v>42</v>
      </c>
      <c r="AR8" s="3">
        <v>43</v>
      </c>
      <c r="AS8" s="3">
        <v>44</v>
      </c>
      <c r="AT8" s="3">
        <v>45</v>
      </c>
      <c r="AU8" s="3">
        <v>46</v>
      </c>
      <c r="AV8" s="3">
        <v>47</v>
      </c>
      <c r="AW8" s="3">
        <v>48</v>
      </c>
      <c r="AY8" s="3">
        <v>11</v>
      </c>
    </row>
    <row r="9" spans="1:51" s="2" customFormat="1" ht="12.75" hidden="1" customHeight="1" x14ac:dyDescent="0.2">
      <c r="A9" s="95"/>
      <c r="B9" s="3"/>
      <c r="C9" s="59"/>
      <c r="D9" s="96"/>
      <c r="E9" s="59"/>
      <c r="F9" s="96"/>
      <c r="G9" s="59"/>
      <c r="H9" s="96"/>
      <c r="I9" s="59"/>
      <c r="J9" s="96"/>
      <c r="K9" s="59"/>
      <c r="L9" s="96"/>
      <c r="M9" s="59"/>
      <c r="N9" s="96"/>
      <c r="O9" s="59"/>
      <c r="P9" s="96"/>
      <c r="Q9" s="59"/>
      <c r="R9" s="97"/>
      <c r="S9" s="325"/>
      <c r="T9" s="97"/>
      <c r="U9" s="98"/>
      <c r="V9" s="99"/>
      <c r="W9" s="99" t="s">
        <v>1855</v>
      </c>
      <c r="X9" s="99" t="s">
        <v>1856</v>
      </c>
      <c r="Y9" s="99" t="s">
        <v>1857</v>
      </c>
      <c r="Z9" s="99" t="s">
        <v>1858</v>
      </c>
      <c r="AA9" s="99" t="s">
        <v>1859</v>
      </c>
      <c r="AB9" s="99" t="s">
        <v>1860</v>
      </c>
      <c r="AC9" s="99" t="s">
        <v>1861</v>
      </c>
      <c r="AD9" s="99" t="s">
        <v>1862</v>
      </c>
      <c r="AE9" s="99" t="s">
        <v>1863</v>
      </c>
      <c r="AF9" s="99"/>
      <c r="AG9" s="99" t="s">
        <v>1862</v>
      </c>
      <c r="AH9" s="99" t="s">
        <v>1863</v>
      </c>
      <c r="AI9" s="99"/>
      <c r="AJ9" s="99" t="s">
        <v>1862</v>
      </c>
      <c r="AK9" s="99" t="s">
        <v>1863</v>
      </c>
      <c r="AL9" s="99"/>
      <c r="AM9" s="99" t="s">
        <v>1862</v>
      </c>
      <c r="AN9" s="99" t="s">
        <v>1863</v>
      </c>
      <c r="AO9" s="99"/>
      <c r="AP9" s="24" t="s">
        <v>1810</v>
      </c>
      <c r="AQ9" s="24" t="s">
        <v>1811</v>
      </c>
      <c r="AR9" s="24" t="s">
        <v>1812</v>
      </c>
      <c r="AS9" s="24" t="s">
        <v>1813</v>
      </c>
      <c r="AT9" s="100"/>
      <c r="AU9" s="99"/>
      <c r="AV9" s="96"/>
      <c r="AW9" s="96"/>
      <c r="AY9" s="96"/>
    </row>
    <row r="10" spans="1:51" s="103" customFormat="1" ht="12.75" customHeight="1" x14ac:dyDescent="0.2">
      <c r="A10" s="101"/>
      <c r="B10" s="102"/>
      <c r="C10" s="99"/>
      <c r="E10" s="104" t="s">
        <v>595</v>
      </c>
      <c r="F10" s="105"/>
      <c r="G10" s="99"/>
      <c r="H10" s="106"/>
      <c r="I10" s="99"/>
      <c r="J10" s="106"/>
      <c r="K10" s="99"/>
      <c r="L10" s="106"/>
      <c r="M10" s="99"/>
      <c r="N10" s="106"/>
      <c r="O10" s="99"/>
      <c r="P10" s="106"/>
      <c r="Q10" s="99"/>
      <c r="R10" s="368"/>
      <c r="S10" s="326"/>
      <c r="T10" s="303"/>
      <c r="U10" s="98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6"/>
      <c r="AQ10" s="99"/>
      <c r="AR10" s="106"/>
      <c r="AS10" s="99"/>
      <c r="AT10" s="99"/>
      <c r="AU10" s="99"/>
      <c r="AV10" s="99"/>
      <c r="AW10" s="99"/>
      <c r="AY10" s="106"/>
    </row>
    <row r="11" spans="1:51" s="2" customFormat="1" ht="12" customHeight="1" x14ac:dyDescent="0.2">
      <c r="A11" s="6" t="s">
        <v>2229</v>
      </c>
      <c r="B11" s="153">
        <v>9789500217262</v>
      </c>
      <c r="C11" s="6">
        <v>740759</v>
      </c>
      <c r="D11" s="41">
        <v>488</v>
      </c>
      <c r="E11" s="6" t="s">
        <v>2230</v>
      </c>
      <c r="F11" s="6" t="s">
        <v>2231</v>
      </c>
      <c r="G11" s="107">
        <v>46054</v>
      </c>
      <c r="H11" s="108">
        <v>46204</v>
      </c>
      <c r="I11" s="7">
        <v>500</v>
      </c>
      <c r="J11" s="6" t="s">
        <v>1894</v>
      </c>
      <c r="K11" s="148">
        <v>6184.51</v>
      </c>
      <c r="L11" s="352">
        <v>35500</v>
      </c>
      <c r="M11" s="9">
        <f>+L11*0.08</f>
        <v>2840</v>
      </c>
      <c r="N11" s="9">
        <f t="shared" ref="N11:N38" si="0">+L11/2</f>
        <v>17750</v>
      </c>
      <c r="O11" s="9">
        <f t="shared" ref="O11:O38" si="1">+N11-M11-K11</f>
        <v>8725.49</v>
      </c>
      <c r="P11" s="9">
        <f t="shared" ref="P11:P38" si="2">+M11+K11</f>
        <v>9024.51</v>
      </c>
      <c r="Q11" s="109">
        <f t="shared" ref="Q11:Q38" si="3">+O11/N11</f>
        <v>0.49157690140845067</v>
      </c>
      <c r="R11" s="335">
        <v>35500</v>
      </c>
      <c r="S11" s="359" t="s">
        <v>1948</v>
      </c>
      <c r="T11" s="305">
        <v>0.51591362318840583</v>
      </c>
      <c r="U11" s="12"/>
      <c r="V11" s="100"/>
      <c r="W11" s="110">
        <f t="shared" ref="W11:W38" si="4">+L11</f>
        <v>35500</v>
      </c>
      <c r="X11" s="110">
        <f t="shared" ref="X11:X38" si="5">+K11</f>
        <v>6184.51</v>
      </c>
      <c r="Y11" s="110">
        <f t="shared" ref="Y11:Y38" si="6">+M11</f>
        <v>2840</v>
      </c>
      <c r="Z11" s="110">
        <f t="shared" ref="Z11:Z38" si="7">+W11/2-X11-Y11</f>
        <v>8725.49</v>
      </c>
      <c r="AA11" s="260">
        <f t="shared" ref="AA11:AA38" si="8">+Z11/(W11/2)</f>
        <v>0.49157690140845067</v>
      </c>
      <c r="AB11" s="28">
        <f t="shared" ref="AB11:AB38" si="9">ROUND($W11/2/$X$1,1)</f>
        <v>11.7</v>
      </c>
      <c r="AC11" s="261">
        <f t="shared" ref="AC11:AC38" si="10">+(AB11*$X$1-$X11-$Y11)/(AB11*$X$1)</f>
        <v>0.49137775072493173</v>
      </c>
      <c r="AD11" s="111">
        <f t="shared" ref="AD11:AD38" si="11">+IFERROR(ROUND(($X11+$Y11)/(1-$X$2)/$X$1,1),0)</f>
        <v>6.3</v>
      </c>
      <c r="AE11" s="262">
        <f t="shared" ref="AE11:AE38" si="12">+(AD11*$X$1-$X11-$Y11)/(AD11*$X$1)</f>
        <v>5.5415822774873086E-2</v>
      </c>
      <c r="AF11" s="100"/>
      <c r="AG11" s="111">
        <f t="shared" ref="AG11:AG38" si="13">+IFERROR(ROUND(($X11+$Y11)/(1-$AG$2)/$X$1,1),0)</f>
        <v>9.9</v>
      </c>
      <c r="AH11" s="262">
        <f t="shared" ref="AH11:AH38" si="14">+(AG11*$X$1-$X11-$Y11)/(AG11*$X$1)</f>
        <v>0.39890097812946479</v>
      </c>
      <c r="AI11" s="100"/>
      <c r="AJ11" s="111">
        <f t="shared" ref="AJ11:AJ38" si="15">+IFERROR(ROUND(($X11+$Y11)/(1-$AJ$2)/$X$1,1),0)</f>
        <v>9.1999999999999993</v>
      </c>
      <c r="AK11" s="262">
        <f t="shared" ref="AK11:AK38" si="16">+(AJ11*$X$1-$X11-$Y11)/(AJ11*$X$1)</f>
        <v>0.35316518298714139</v>
      </c>
      <c r="AL11" s="100"/>
      <c r="AM11" s="111">
        <f t="shared" ref="AM11:AM38" si="17">+IFERROR(ROUND(($X11+$Y11)/(1-$AM$2)/$X$1,1),0)</f>
        <v>8.5</v>
      </c>
      <c r="AN11" s="262">
        <f t="shared" ref="AN11:AN38" si="18">+(AM11*$X$1-$X11-$Y11)/(AM11*$X$1)</f>
        <v>0.29989643335078836</v>
      </c>
      <c r="AO11" s="100"/>
      <c r="AP11" s="24" t="e">
        <f>VLOOKUP(C11,#REF!,6,FALSE)</f>
        <v>#REF!</v>
      </c>
      <c r="AQ11" s="24" t="e">
        <f>VLOOKUP(C11,#REF!,7,FALSE)</f>
        <v>#REF!</v>
      </c>
      <c r="AR11" s="24" t="e">
        <f>VLOOKUP(C11,#REF!,12,FALSE)</f>
        <v>#REF!</v>
      </c>
      <c r="AS11" s="24" t="e">
        <f>VLOOKUP(C11,#REF!,13,FALSE)</f>
        <v>#REF!</v>
      </c>
      <c r="AT11" s="100"/>
      <c r="AU11" s="100"/>
      <c r="AV11" s="100">
        <v>1</v>
      </c>
      <c r="AW11" s="100"/>
      <c r="AY11" s="352">
        <v>35500</v>
      </c>
    </row>
    <row r="12" spans="1:51" s="2" customFormat="1" ht="12.75" customHeight="1" x14ac:dyDescent="0.2">
      <c r="A12" s="6" t="s">
        <v>1980</v>
      </c>
      <c r="B12" s="8">
        <v>9789500215879</v>
      </c>
      <c r="C12" s="6">
        <v>725695</v>
      </c>
      <c r="D12" s="41">
        <v>576</v>
      </c>
      <c r="E12" s="288" t="s">
        <v>1981</v>
      </c>
      <c r="F12" s="6" t="s">
        <v>1982</v>
      </c>
      <c r="G12" s="107">
        <v>45689</v>
      </c>
      <c r="H12" s="108">
        <v>46082</v>
      </c>
      <c r="I12" s="7">
        <v>2003</v>
      </c>
      <c r="J12" s="7" t="s">
        <v>1762</v>
      </c>
      <c r="K12" s="292">
        <v>5972.16</v>
      </c>
      <c r="L12" s="9">
        <v>48900</v>
      </c>
      <c r="M12" s="9">
        <f>+L12*0.1</f>
        <v>4890</v>
      </c>
      <c r="N12" s="9">
        <f t="shared" si="0"/>
        <v>24450</v>
      </c>
      <c r="O12" s="9">
        <f t="shared" si="1"/>
        <v>13587.84</v>
      </c>
      <c r="P12" s="9">
        <f t="shared" si="2"/>
        <v>10862.16</v>
      </c>
      <c r="Q12" s="109">
        <f t="shared" si="3"/>
        <v>0.55573987730061347</v>
      </c>
      <c r="R12" s="335">
        <v>48900</v>
      </c>
      <c r="S12" s="359" t="s">
        <v>1948</v>
      </c>
      <c r="T12" s="305">
        <v>0.55573987730061347</v>
      </c>
      <c r="U12" s="12"/>
      <c r="V12" s="100"/>
      <c r="W12" s="110">
        <f t="shared" si="4"/>
        <v>48900</v>
      </c>
      <c r="X12" s="110">
        <f t="shared" si="5"/>
        <v>5972.16</v>
      </c>
      <c r="Y12" s="110">
        <f t="shared" si="6"/>
        <v>4890</v>
      </c>
      <c r="Z12" s="110">
        <f t="shared" si="7"/>
        <v>13587.84</v>
      </c>
      <c r="AA12" s="260">
        <f t="shared" si="8"/>
        <v>0.55573987730061347</v>
      </c>
      <c r="AB12" s="28">
        <f t="shared" si="9"/>
        <v>16.100000000000001</v>
      </c>
      <c r="AC12" s="261">
        <f t="shared" si="10"/>
        <v>0.55511485461169374</v>
      </c>
      <c r="AD12" s="111">
        <f t="shared" si="11"/>
        <v>7.5</v>
      </c>
      <c r="AE12" s="262">
        <f t="shared" si="12"/>
        <v>4.4979887899769221E-2</v>
      </c>
      <c r="AF12" s="100"/>
      <c r="AG12" s="111">
        <f t="shared" si="13"/>
        <v>11.9</v>
      </c>
      <c r="AH12" s="262">
        <f t="shared" si="14"/>
        <v>0.39809656800405629</v>
      </c>
      <c r="AI12" s="100"/>
      <c r="AJ12" s="111">
        <f t="shared" si="15"/>
        <v>11</v>
      </c>
      <c r="AK12" s="262">
        <f t="shared" si="16"/>
        <v>0.34884992356802447</v>
      </c>
      <c r="AL12" s="100"/>
      <c r="AM12" s="111">
        <f t="shared" si="17"/>
        <v>10.199999999999999</v>
      </c>
      <c r="AN12" s="262">
        <f t="shared" si="18"/>
        <v>0.29777932933806556</v>
      </c>
      <c r="AO12" s="100"/>
      <c r="AP12" s="24" t="e">
        <f>VLOOKUP(C12,#REF!,6,FALSE)</f>
        <v>#REF!</v>
      </c>
      <c r="AQ12" s="24" t="e">
        <f>VLOOKUP(C12,#REF!,7,FALSE)</f>
        <v>#REF!</v>
      </c>
      <c r="AR12" s="24" t="e">
        <f>VLOOKUP(C12,#REF!,12,FALSE)</f>
        <v>#REF!</v>
      </c>
      <c r="AS12" s="24" t="e">
        <f>VLOOKUP(C12,#REF!,13,FALSE)</f>
        <v>#REF!</v>
      </c>
      <c r="AT12" s="100"/>
      <c r="AU12" s="100"/>
      <c r="AV12" s="100">
        <v>2</v>
      </c>
      <c r="AW12" s="100"/>
      <c r="AY12" s="9">
        <v>48900</v>
      </c>
    </row>
    <row r="13" spans="1:51" s="2" customFormat="1" ht="12.75" customHeight="1" x14ac:dyDescent="0.2">
      <c r="A13" s="7" t="s">
        <v>927</v>
      </c>
      <c r="B13" s="8">
        <v>9789500212465</v>
      </c>
      <c r="C13" s="8">
        <v>691776</v>
      </c>
      <c r="D13" s="25">
        <v>320</v>
      </c>
      <c r="E13" s="7" t="s">
        <v>657</v>
      </c>
      <c r="F13" s="7" t="s">
        <v>821</v>
      </c>
      <c r="G13" s="107">
        <v>44621</v>
      </c>
      <c r="H13" s="108">
        <v>44621</v>
      </c>
      <c r="I13" s="7">
        <v>2000</v>
      </c>
      <c r="J13" s="6" t="s">
        <v>2136</v>
      </c>
      <c r="K13" s="9">
        <v>533.91999999999996</v>
      </c>
      <c r="L13" s="9">
        <v>54900</v>
      </c>
      <c r="M13" s="9">
        <f>+L13*0.08</f>
        <v>4392</v>
      </c>
      <c r="N13" s="9">
        <f t="shared" si="0"/>
        <v>27450</v>
      </c>
      <c r="O13" s="9">
        <f t="shared" si="1"/>
        <v>22524.080000000002</v>
      </c>
      <c r="P13" s="9">
        <f t="shared" si="2"/>
        <v>4925.92</v>
      </c>
      <c r="Q13" s="109">
        <f t="shared" si="3"/>
        <v>0.82054936247723143</v>
      </c>
      <c r="R13" s="335">
        <v>54900</v>
      </c>
      <c r="S13" s="359" t="s">
        <v>1948</v>
      </c>
      <c r="T13" s="305">
        <v>0.82054936247723143</v>
      </c>
      <c r="U13" s="12"/>
      <c r="V13" s="100"/>
      <c r="W13" s="110">
        <f t="shared" si="4"/>
        <v>54900</v>
      </c>
      <c r="X13" s="110">
        <f t="shared" si="5"/>
        <v>533.91999999999996</v>
      </c>
      <c r="Y13" s="110">
        <f t="shared" si="6"/>
        <v>4392</v>
      </c>
      <c r="Z13" s="110">
        <f t="shared" si="7"/>
        <v>22524.080000000002</v>
      </c>
      <c r="AA13" s="260">
        <f t="shared" si="8"/>
        <v>0.82054936247723143</v>
      </c>
      <c r="AB13" s="28">
        <f t="shared" si="9"/>
        <v>18.100000000000001</v>
      </c>
      <c r="AC13" s="261">
        <f t="shared" si="10"/>
        <v>0.82054053660198234</v>
      </c>
      <c r="AD13" s="111">
        <f t="shared" si="11"/>
        <v>3.4</v>
      </c>
      <c r="AE13" s="262">
        <f t="shared" si="12"/>
        <v>4.4642268381140666E-2</v>
      </c>
      <c r="AF13" s="100"/>
      <c r="AG13" s="111">
        <f t="shared" si="13"/>
        <v>5.4</v>
      </c>
      <c r="AH13" s="262">
        <f t="shared" si="14"/>
        <v>0.39847846527701458</v>
      </c>
      <c r="AI13" s="100"/>
      <c r="AJ13" s="111">
        <f t="shared" si="15"/>
        <v>5</v>
      </c>
      <c r="AK13" s="262">
        <f t="shared" si="16"/>
        <v>0.3503567424991757</v>
      </c>
      <c r="AL13" s="100"/>
      <c r="AM13" s="111">
        <f t="shared" si="17"/>
        <v>4.5999999999999996</v>
      </c>
      <c r="AN13" s="262">
        <f t="shared" si="18"/>
        <v>0.29386602445562576</v>
      </c>
      <c r="AO13" s="100"/>
      <c r="AP13" s="24" t="e">
        <f>VLOOKUP(C13,#REF!,6,FALSE)</f>
        <v>#REF!</v>
      </c>
      <c r="AQ13" s="24" t="e">
        <f>VLOOKUP(C13,#REF!,7,FALSE)</f>
        <v>#REF!</v>
      </c>
      <c r="AR13" s="24" t="e">
        <f>VLOOKUP(C13,#REF!,12,FALSE)</f>
        <v>#REF!</v>
      </c>
      <c r="AS13" s="24" t="e">
        <f>VLOOKUP(C13,#REF!,13,FALSE)</f>
        <v>#REF!</v>
      </c>
      <c r="AT13" s="100"/>
      <c r="AU13" s="100"/>
      <c r="AV13" s="100">
        <v>3</v>
      </c>
      <c r="AW13" s="100"/>
      <c r="AY13" s="9">
        <v>54900</v>
      </c>
    </row>
    <row r="14" spans="1:51" s="2" customFormat="1" ht="12.75" customHeight="1" x14ac:dyDescent="0.2">
      <c r="A14" s="7" t="s">
        <v>928</v>
      </c>
      <c r="B14" s="8">
        <v>9789500205320</v>
      </c>
      <c r="C14" s="8">
        <v>511852</v>
      </c>
      <c r="D14" s="25">
        <v>288</v>
      </c>
      <c r="E14" s="9" t="s">
        <v>20</v>
      </c>
      <c r="F14" s="29" t="s">
        <v>378</v>
      </c>
      <c r="G14" s="107">
        <v>40330</v>
      </c>
      <c r="H14" s="108">
        <v>44986</v>
      </c>
      <c r="I14" s="24">
        <v>500</v>
      </c>
      <c r="J14" s="7" t="s">
        <v>1762</v>
      </c>
      <c r="K14" s="28">
        <v>817.97</v>
      </c>
      <c r="L14" s="112">
        <v>38900</v>
      </c>
      <c r="M14" s="112">
        <f>+L14*0.1</f>
        <v>3890</v>
      </c>
      <c r="N14" s="9">
        <f t="shared" si="0"/>
        <v>19450</v>
      </c>
      <c r="O14" s="9">
        <f t="shared" si="1"/>
        <v>14742.03</v>
      </c>
      <c r="P14" s="9">
        <f t="shared" si="2"/>
        <v>4707.97</v>
      </c>
      <c r="Q14" s="109">
        <f t="shared" si="3"/>
        <v>0.75794498714652958</v>
      </c>
      <c r="R14" s="335">
        <v>38900</v>
      </c>
      <c r="S14" s="359" t="s">
        <v>1948</v>
      </c>
      <c r="T14" s="305">
        <v>0.75794498714652958</v>
      </c>
      <c r="U14" s="12"/>
      <c r="V14" s="100"/>
      <c r="W14" s="110">
        <f t="shared" si="4"/>
        <v>38900</v>
      </c>
      <c r="X14" s="110">
        <f t="shared" si="5"/>
        <v>817.97</v>
      </c>
      <c r="Y14" s="110">
        <f t="shared" si="6"/>
        <v>3890</v>
      </c>
      <c r="Z14" s="110">
        <f t="shared" si="7"/>
        <v>14742.029999999999</v>
      </c>
      <c r="AA14" s="260">
        <f t="shared" si="8"/>
        <v>0.75794498714652947</v>
      </c>
      <c r="AB14" s="28">
        <f t="shared" si="9"/>
        <v>12.8</v>
      </c>
      <c r="AC14" s="261">
        <f t="shared" si="10"/>
        <v>0.75746115644576317</v>
      </c>
      <c r="AD14" s="111">
        <f t="shared" si="11"/>
        <v>3.3</v>
      </c>
      <c r="AE14" s="262">
        <f t="shared" si="12"/>
        <v>5.9243273486596845E-2</v>
      </c>
      <c r="AF14" s="100"/>
      <c r="AG14" s="111">
        <f t="shared" si="13"/>
        <v>5.2</v>
      </c>
      <c r="AH14" s="262">
        <f t="shared" si="14"/>
        <v>0.40298130817418648</v>
      </c>
      <c r="AI14" s="100"/>
      <c r="AJ14" s="111">
        <f t="shared" si="15"/>
        <v>4.8</v>
      </c>
      <c r="AK14" s="262">
        <f t="shared" si="16"/>
        <v>0.35322975052203531</v>
      </c>
      <c r="AL14" s="100"/>
      <c r="AM14" s="111">
        <f t="shared" si="17"/>
        <v>4.4000000000000004</v>
      </c>
      <c r="AN14" s="262">
        <f t="shared" si="18"/>
        <v>0.2944324551149477</v>
      </c>
      <c r="AO14" s="100"/>
      <c r="AP14" s="24" t="e">
        <f>VLOOKUP(C14,#REF!,6,FALSE)</f>
        <v>#REF!</v>
      </c>
      <c r="AQ14" s="24" t="e">
        <f>VLOOKUP(C14,#REF!,7,FALSE)</f>
        <v>#REF!</v>
      </c>
      <c r="AR14" s="24" t="e">
        <f>VLOOKUP(C14,#REF!,12,FALSE)</f>
        <v>#REF!</v>
      </c>
      <c r="AS14" s="24" t="e">
        <f>VLOOKUP(C14,#REF!,13,FALSE)</f>
        <v>#REF!</v>
      </c>
      <c r="AT14" s="100"/>
      <c r="AU14" s="100"/>
      <c r="AV14" s="100">
        <v>4</v>
      </c>
      <c r="AW14" s="100"/>
      <c r="AY14" s="112">
        <v>38900</v>
      </c>
    </row>
    <row r="15" spans="1:51" s="2" customFormat="1" ht="12.75" customHeight="1" x14ac:dyDescent="0.2">
      <c r="A15" s="7" t="s">
        <v>929</v>
      </c>
      <c r="B15" s="8">
        <v>9789500201254</v>
      </c>
      <c r="C15" s="8">
        <v>87843</v>
      </c>
      <c r="D15" s="25">
        <v>532</v>
      </c>
      <c r="E15" s="7" t="s">
        <v>930</v>
      </c>
      <c r="F15" s="7" t="s">
        <v>931</v>
      </c>
      <c r="G15" s="107">
        <v>36951</v>
      </c>
      <c r="H15" s="108">
        <v>46174</v>
      </c>
      <c r="I15" s="24">
        <v>500</v>
      </c>
      <c r="J15" s="6" t="s">
        <v>2136</v>
      </c>
      <c r="K15" s="28">
        <v>7288.99</v>
      </c>
      <c r="L15" s="9">
        <v>57000</v>
      </c>
      <c r="M15" s="112">
        <f>+L15*0.1</f>
        <v>5700</v>
      </c>
      <c r="N15" s="9">
        <f t="shared" si="0"/>
        <v>28500</v>
      </c>
      <c r="O15" s="9">
        <f t="shared" si="1"/>
        <v>15511.01</v>
      </c>
      <c r="P15" s="9">
        <f t="shared" si="2"/>
        <v>12988.99</v>
      </c>
      <c r="Q15" s="109">
        <f t="shared" si="3"/>
        <v>0.54424596491228072</v>
      </c>
      <c r="R15" s="335">
        <v>57000</v>
      </c>
      <c r="S15" s="359" t="s">
        <v>1948</v>
      </c>
      <c r="T15" s="305">
        <v>0.73923157894736835</v>
      </c>
      <c r="U15" s="12"/>
      <c r="V15" s="100"/>
      <c r="W15" s="110">
        <f t="shared" si="4"/>
        <v>57000</v>
      </c>
      <c r="X15" s="110">
        <f t="shared" si="5"/>
        <v>7288.99</v>
      </c>
      <c r="Y15" s="110">
        <f t="shared" si="6"/>
        <v>5700</v>
      </c>
      <c r="Z15" s="110">
        <f t="shared" si="7"/>
        <v>15511.010000000002</v>
      </c>
      <c r="AA15" s="260">
        <f t="shared" si="8"/>
        <v>0.54424596491228072</v>
      </c>
      <c r="AB15" s="28">
        <f t="shared" si="9"/>
        <v>18.8</v>
      </c>
      <c r="AC15" s="261">
        <f t="shared" si="10"/>
        <v>0.54440901852670265</v>
      </c>
      <c r="AD15" s="111">
        <f t="shared" si="11"/>
        <v>9</v>
      </c>
      <c r="AE15" s="262">
        <f t="shared" si="12"/>
        <v>4.8321060922445709E-2</v>
      </c>
      <c r="AF15" s="100"/>
      <c r="AG15" s="111">
        <f t="shared" si="13"/>
        <v>14.3</v>
      </c>
      <c r="AH15" s="262">
        <f t="shared" si="14"/>
        <v>0.40104122715398682</v>
      </c>
      <c r="AI15" s="100"/>
      <c r="AJ15" s="111">
        <f t="shared" si="15"/>
        <v>13.2</v>
      </c>
      <c r="AK15" s="262">
        <f t="shared" si="16"/>
        <v>0.35112799608348566</v>
      </c>
      <c r="AL15" s="100"/>
      <c r="AM15" s="111">
        <f t="shared" si="17"/>
        <v>12.2</v>
      </c>
      <c r="AN15" s="262">
        <f t="shared" si="18"/>
        <v>0.29794176625426322</v>
      </c>
      <c r="AO15" s="100"/>
      <c r="AP15" s="24" t="e">
        <f>VLOOKUP(C15,#REF!,6,FALSE)</f>
        <v>#REF!</v>
      </c>
      <c r="AQ15" s="24" t="e">
        <f>VLOOKUP(C15,#REF!,7,FALSE)</f>
        <v>#REF!</v>
      </c>
      <c r="AR15" s="24" t="e">
        <f>VLOOKUP(C15,#REF!,12,FALSE)</f>
        <v>#REF!</v>
      </c>
      <c r="AS15" s="24" t="e">
        <f>VLOOKUP(C15,#REF!,13,FALSE)</f>
        <v>#REF!</v>
      </c>
      <c r="AT15" s="100"/>
      <c r="AU15" s="100"/>
      <c r="AV15" s="100">
        <v>5</v>
      </c>
      <c r="AW15" s="100"/>
      <c r="AY15" s="9">
        <v>57000</v>
      </c>
    </row>
    <row r="16" spans="1:51" s="2" customFormat="1" ht="12.75" customHeight="1" x14ac:dyDescent="0.2">
      <c r="A16" s="7" t="s">
        <v>932</v>
      </c>
      <c r="B16" s="8">
        <v>9789500208451</v>
      </c>
      <c r="C16" s="8">
        <v>589995</v>
      </c>
      <c r="D16" s="7">
        <v>240</v>
      </c>
      <c r="E16" s="7" t="s">
        <v>13</v>
      </c>
      <c r="F16" s="116" t="s">
        <v>933</v>
      </c>
      <c r="G16" s="107">
        <v>42064</v>
      </c>
      <c r="H16" s="108">
        <v>43952</v>
      </c>
      <c r="I16" s="24">
        <v>874</v>
      </c>
      <c r="J16" s="6" t="s">
        <v>2136</v>
      </c>
      <c r="K16" s="28">
        <v>265.58</v>
      </c>
      <c r="L16" s="9">
        <v>57000</v>
      </c>
      <c r="M16" s="112">
        <f>+L16*0.11</f>
        <v>6270</v>
      </c>
      <c r="N16" s="9">
        <f t="shared" si="0"/>
        <v>28500</v>
      </c>
      <c r="O16" s="9">
        <f t="shared" si="1"/>
        <v>21964.42</v>
      </c>
      <c r="P16" s="9">
        <f t="shared" si="2"/>
        <v>6535.58</v>
      </c>
      <c r="Q16" s="109">
        <f t="shared" si="3"/>
        <v>0.7706814035087719</v>
      </c>
      <c r="R16" s="335">
        <v>57000</v>
      </c>
      <c r="S16" s="359" t="s">
        <v>1948</v>
      </c>
      <c r="T16" s="305">
        <v>0.7706814035087719</v>
      </c>
      <c r="U16" s="12"/>
      <c r="V16" s="100"/>
      <c r="W16" s="110">
        <f t="shared" si="4"/>
        <v>57000</v>
      </c>
      <c r="X16" s="110">
        <f t="shared" si="5"/>
        <v>265.58</v>
      </c>
      <c r="Y16" s="110">
        <f t="shared" si="6"/>
        <v>6270</v>
      </c>
      <c r="Z16" s="110">
        <f t="shared" si="7"/>
        <v>21964.42</v>
      </c>
      <c r="AA16" s="260">
        <f t="shared" si="8"/>
        <v>0.7706814035087719</v>
      </c>
      <c r="AB16" s="28">
        <f t="shared" si="9"/>
        <v>18.8</v>
      </c>
      <c r="AC16" s="261">
        <f t="shared" si="10"/>
        <v>0.77076344606491709</v>
      </c>
      <c r="AD16" s="111">
        <f t="shared" si="11"/>
        <v>4.5</v>
      </c>
      <c r="AE16" s="262">
        <f t="shared" si="12"/>
        <v>4.2300619115653748E-2</v>
      </c>
      <c r="AF16" s="100"/>
      <c r="AG16" s="111">
        <f t="shared" si="13"/>
        <v>7.2</v>
      </c>
      <c r="AH16" s="262">
        <f t="shared" si="14"/>
        <v>0.40143788694728366</v>
      </c>
      <c r="AI16" s="100"/>
      <c r="AJ16" s="111">
        <f t="shared" si="15"/>
        <v>6.6</v>
      </c>
      <c r="AK16" s="262">
        <f t="shared" si="16"/>
        <v>0.3470231493970366</v>
      </c>
      <c r="AL16" s="100"/>
      <c r="AM16" s="111">
        <f t="shared" si="17"/>
        <v>6.2</v>
      </c>
      <c r="AN16" s="262">
        <f t="shared" si="18"/>
        <v>0.30489561064845844</v>
      </c>
      <c r="AO16" s="100"/>
      <c r="AP16" s="24" t="e">
        <f>VLOOKUP(C16,#REF!,6,FALSE)</f>
        <v>#REF!</v>
      </c>
      <c r="AQ16" s="24" t="e">
        <f>VLOOKUP(C16,#REF!,7,FALSE)</f>
        <v>#REF!</v>
      </c>
      <c r="AR16" s="24" t="e">
        <f>VLOOKUP(C16,#REF!,12,FALSE)</f>
        <v>#REF!</v>
      </c>
      <c r="AS16" s="24" t="e">
        <f>VLOOKUP(C16,#REF!,13,FALSE)</f>
        <v>#REF!</v>
      </c>
      <c r="AT16" s="100"/>
      <c r="AU16" s="100"/>
      <c r="AV16" s="100">
        <v>6</v>
      </c>
      <c r="AW16" s="100"/>
      <c r="AY16" s="9">
        <v>57000</v>
      </c>
    </row>
    <row r="17" spans="1:51" s="2" customFormat="1" ht="12.75" customHeight="1" x14ac:dyDescent="0.2">
      <c r="A17" s="6" t="s">
        <v>934</v>
      </c>
      <c r="B17" s="8">
        <v>9789500211819</v>
      </c>
      <c r="C17" s="8">
        <v>683962</v>
      </c>
      <c r="D17" s="7">
        <v>160</v>
      </c>
      <c r="E17" s="30" t="s">
        <v>532</v>
      </c>
      <c r="F17" s="116" t="s">
        <v>935</v>
      </c>
      <c r="G17" s="107">
        <v>44348</v>
      </c>
      <c r="H17" s="108">
        <v>44317</v>
      </c>
      <c r="I17" s="24">
        <v>3020</v>
      </c>
      <c r="J17" s="6" t="s">
        <v>2136</v>
      </c>
      <c r="K17" s="28">
        <v>128.69</v>
      </c>
      <c r="L17" s="9">
        <v>28000</v>
      </c>
      <c r="M17" s="112">
        <f>+L17*0.1</f>
        <v>2800</v>
      </c>
      <c r="N17" s="9">
        <f t="shared" si="0"/>
        <v>14000</v>
      </c>
      <c r="O17" s="9">
        <f t="shared" si="1"/>
        <v>11071.31</v>
      </c>
      <c r="P17" s="9">
        <f t="shared" si="2"/>
        <v>2928.69</v>
      </c>
      <c r="Q17" s="109">
        <f t="shared" si="3"/>
        <v>0.79080785714285706</v>
      </c>
      <c r="R17" s="335">
        <v>28000</v>
      </c>
      <c r="S17" s="359" t="s">
        <v>1948</v>
      </c>
      <c r="T17" s="305">
        <v>0.79080785714285706</v>
      </c>
      <c r="U17" s="12"/>
      <c r="V17" s="100"/>
      <c r="W17" s="110">
        <f t="shared" si="4"/>
        <v>28000</v>
      </c>
      <c r="X17" s="110">
        <f t="shared" si="5"/>
        <v>128.69</v>
      </c>
      <c r="Y17" s="110">
        <f t="shared" si="6"/>
        <v>2800</v>
      </c>
      <c r="Z17" s="110">
        <f t="shared" si="7"/>
        <v>11071.31</v>
      </c>
      <c r="AA17" s="260">
        <f t="shared" si="8"/>
        <v>0.79080785714285706</v>
      </c>
      <c r="AB17" s="28">
        <f t="shared" si="9"/>
        <v>9.1999999999999993</v>
      </c>
      <c r="AC17" s="261">
        <f t="shared" si="10"/>
        <v>0.7900851503031866</v>
      </c>
      <c r="AD17" s="111">
        <f t="shared" si="11"/>
        <v>2</v>
      </c>
      <c r="AE17" s="262">
        <f t="shared" si="12"/>
        <v>3.4391691394658738E-2</v>
      </c>
      <c r="AF17" s="100"/>
      <c r="AG17" s="111">
        <f t="shared" si="13"/>
        <v>3.2</v>
      </c>
      <c r="AH17" s="262">
        <f t="shared" si="14"/>
        <v>0.39649480712166185</v>
      </c>
      <c r="AI17" s="100"/>
      <c r="AJ17" s="111">
        <f t="shared" si="15"/>
        <v>3</v>
      </c>
      <c r="AK17" s="262">
        <f t="shared" si="16"/>
        <v>0.35626112759643924</v>
      </c>
      <c r="AL17" s="100"/>
      <c r="AM17" s="111">
        <f t="shared" si="17"/>
        <v>2.8</v>
      </c>
      <c r="AN17" s="262">
        <f t="shared" si="18"/>
        <v>0.31027977956761343</v>
      </c>
      <c r="AO17" s="100"/>
      <c r="AP17" s="24" t="e">
        <f>VLOOKUP(C17,#REF!,6,FALSE)</f>
        <v>#REF!</v>
      </c>
      <c r="AQ17" s="24" t="e">
        <f>VLOOKUP(C17,#REF!,7,FALSE)</f>
        <v>#REF!</v>
      </c>
      <c r="AR17" s="24" t="e">
        <f>VLOOKUP(C17,#REF!,12,FALSE)</f>
        <v>#REF!</v>
      </c>
      <c r="AS17" s="24" t="e">
        <f>VLOOKUP(C17,#REF!,13,FALSE)</f>
        <v>#REF!</v>
      </c>
      <c r="AT17" s="100"/>
      <c r="AU17" s="100"/>
      <c r="AV17" s="100">
        <v>7</v>
      </c>
      <c r="AW17" s="100"/>
      <c r="AY17" s="9">
        <v>28000</v>
      </c>
    </row>
    <row r="18" spans="1:51" s="2" customFormat="1" ht="12.75" customHeight="1" x14ac:dyDescent="0.2">
      <c r="A18" s="7" t="s">
        <v>936</v>
      </c>
      <c r="B18" s="8">
        <v>9789500212236</v>
      </c>
      <c r="C18" s="8">
        <v>688408</v>
      </c>
      <c r="D18" s="7">
        <v>1296</v>
      </c>
      <c r="E18" s="30" t="s">
        <v>587</v>
      </c>
      <c r="F18" s="116" t="s">
        <v>11</v>
      </c>
      <c r="G18" s="107">
        <v>44501</v>
      </c>
      <c r="H18" s="108">
        <v>44470</v>
      </c>
      <c r="I18" s="7">
        <v>3030</v>
      </c>
      <c r="J18" s="6" t="s">
        <v>1762</v>
      </c>
      <c r="K18" s="117">
        <v>1356.9</v>
      </c>
      <c r="L18" s="112">
        <v>129900</v>
      </c>
      <c r="M18" s="112">
        <f>+L18*0.1</f>
        <v>12990</v>
      </c>
      <c r="N18" s="9">
        <f t="shared" si="0"/>
        <v>64950</v>
      </c>
      <c r="O18" s="9">
        <f t="shared" si="1"/>
        <v>50603.1</v>
      </c>
      <c r="P18" s="9">
        <f t="shared" si="2"/>
        <v>14346.9</v>
      </c>
      <c r="Q18" s="109">
        <f t="shared" si="3"/>
        <v>0.779108545034642</v>
      </c>
      <c r="R18" s="335">
        <v>129900</v>
      </c>
      <c r="S18" s="359" t="s">
        <v>1948</v>
      </c>
      <c r="T18" s="305">
        <v>0.779108545034642</v>
      </c>
      <c r="U18" s="12"/>
      <c r="V18" s="100"/>
      <c r="W18" s="110">
        <f t="shared" si="4"/>
        <v>129900</v>
      </c>
      <c r="X18" s="110">
        <f t="shared" si="5"/>
        <v>1356.9</v>
      </c>
      <c r="Y18" s="110">
        <f t="shared" si="6"/>
        <v>12990</v>
      </c>
      <c r="Z18" s="110">
        <f t="shared" si="7"/>
        <v>50603.1</v>
      </c>
      <c r="AA18" s="260">
        <f t="shared" si="8"/>
        <v>0.779108545034642</v>
      </c>
      <c r="AB18" s="28">
        <f t="shared" si="9"/>
        <v>42.8</v>
      </c>
      <c r="AC18" s="261">
        <f t="shared" si="10"/>
        <v>0.77895948306941398</v>
      </c>
      <c r="AD18" s="111">
        <f t="shared" si="11"/>
        <v>10</v>
      </c>
      <c r="AE18" s="262">
        <f t="shared" si="12"/>
        <v>5.3946587537092014E-2</v>
      </c>
      <c r="AF18" s="100"/>
      <c r="AG18" s="111">
        <f t="shared" si="13"/>
        <v>15.8</v>
      </c>
      <c r="AH18" s="262">
        <f t="shared" si="14"/>
        <v>0.4012320174285392</v>
      </c>
      <c r="AI18" s="100"/>
      <c r="AJ18" s="111">
        <f t="shared" si="15"/>
        <v>14.6</v>
      </c>
      <c r="AK18" s="262">
        <f t="shared" si="16"/>
        <v>0.35201821064184369</v>
      </c>
      <c r="AL18" s="100"/>
      <c r="AM18" s="111">
        <f t="shared" si="17"/>
        <v>13.5</v>
      </c>
      <c r="AN18" s="262">
        <f t="shared" si="18"/>
        <v>0.29921969447191993</v>
      </c>
      <c r="AO18" s="100"/>
      <c r="AP18" s="24" t="e">
        <f>VLOOKUP(C18,#REF!,6,FALSE)</f>
        <v>#REF!</v>
      </c>
      <c r="AQ18" s="24" t="e">
        <f>VLOOKUP(C18,#REF!,7,FALSE)</f>
        <v>#REF!</v>
      </c>
      <c r="AR18" s="24" t="e">
        <f>VLOOKUP(C18,#REF!,12,FALSE)</f>
        <v>#REF!</v>
      </c>
      <c r="AS18" s="24" t="e">
        <f>VLOOKUP(C18,#REF!,13,FALSE)</f>
        <v>#REF!</v>
      </c>
      <c r="AT18" s="100"/>
      <c r="AU18" s="100"/>
      <c r="AV18" s="100">
        <v>8</v>
      </c>
      <c r="AW18" s="100"/>
      <c r="AY18" s="112">
        <v>129900</v>
      </c>
    </row>
    <row r="19" spans="1:51" s="2" customFormat="1" ht="12.75" customHeight="1" x14ac:dyDescent="0.2">
      <c r="A19" s="7" t="s">
        <v>937</v>
      </c>
      <c r="B19" s="8">
        <v>9789500210478</v>
      </c>
      <c r="C19" s="8">
        <v>674461</v>
      </c>
      <c r="D19" s="25">
        <v>280</v>
      </c>
      <c r="E19" s="7" t="s">
        <v>486</v>
      </c>
      <c r="F19" s="7" t="s">
        <v>938</v>
      </c>
      <c r="G19" s="107">
        <v>43952</v>
      </c>
      <c r="H19" s="108">
        <v>43891</v>
      </c>
      <c r="I19" s="24">
        <v>2000</v>
      </c>
      <c r="J19" s="6" t="s">
        <v>2136</v>
      </c>
      <c r="K19" s="28">
        <v>136.5</v>
      </c>
      <c r="L19" s="112">
        <v>43900</v>
      </c>
      <c r="M19" s="112">
        <f>+L19*0.12</f>
        <v>5268</v>
      </c>
      <c r="N19" s="9">
        <f t="shared" si="0"/>
        <v>21950</v>
      </c>
      <c r="O19" s="9">
        <f t="shared" si="1"/>
        <v>16545.5</v>
      </c>
      <c r="P19" s="9">
        <f t="shared" si="2"/>
        <v>5404.5</v>
      </c>
      <c r="Q19" s="109">
        <f t="shared" si="3"/>
        <v>0.75378132118451024</v>
      </c>
      <c r="R19" s="335">
        <v>43900</v>
      </c>
      <c r="S19" s="359" t="s">
        <v>1948</v>
      </c>
      <c r="T19" s="305">
        <v>0.75378132118451024</v>
      </c>
      <c r="U19" s="12"/>
      <c r="V19" s="100"/>
      <c r="W19" s="110">
        <f t="shared" si="4"/>
        <v>43900</v>
      </c>
      <c r="X19" s="110">
        <f t="shared" si="5"/>
        <v>136.5</v>
      </c>
      <c r="Y19" s="110">
        <f t="shared" si="6"/>
        <v>5268</v>
      </c>
      <c r="Z19" s="110">
        <f t="shared" si="7"/>
        <v>16545.5</v>
      </c>
      <c r="AA19" s="260">
        <f t="shared" si="8"/>
        <v>0.75378132118451024</v>
      </c>
      <c r="AB19" s="28">
        <f t="shared" si="9"/>
        <v>14.5</v>
      </c>
      <c r="AC19" s="261">
        <f t="shared" si="10"/>
        <v>0.75422081244244343</v>
      </c>
      <c r="AD19" s="111">
        <f t="shared" si="11"/>
        <v>3.8</v>
      </c>
      <c r="AE19" s="262">
        <f t="shared" si="12"/>
        <v>6.2158363267218464E-2</v>
      </c>
      <c r="AF19" s="100"/>
      <c r="AG19" s="111">
        <f t="shared" si="13"/>
        <v>5.9</v>
      </c>
      <c r="AH19" s="262">
        <f t="shared" si="14"/>
        <v>0.39596640346024242</v>
      </c>
      <c r="AI19" s="100"/>
      <c r="AJ19" s="111">
        <f t="shared" si="15"/>
        <v>5.5</v>
      </c>
      <c r="AK19" s="262">
        <f t="shared" si="16"/>
        <v>0.35203668734826005</v>
      </c>
      <c r="AL19" s="100"/>
      <c r="AM19" s="111">
        <f t="shared" si="17"/>
        <v>5.0999999999999996</v>
      </c>
      <c r="AN19" s="262">
        <f t="shared" si="18"/>
        <v>0.30121603537557451</v>
      </c>
      <c r="AO19" s="100"/>
      <c r="AP19" s="24" t="e">
        <f>VLOOKUP(C19,#REF!,6,FALSE)</f>
        <v>#REF!</v>
      </c>
      <c r="AQ19" s="24" t="e">
        <f>VLOOKUP(C19,#REF!,7,FALSE)</f>
        <v>#REF!</v>
      </c>
      <c r="AR19" s="24" t="e">
        <f>VLOOKUP(C19,#REF!,12,FALSE)</f>
        <v>#REF!</v>
      </c>
      <c r="AS19" s="24" t="e">
        <f>VLOOKUP(C19,#REF!,13,FALSE)</f>
        <v>#REF!</v>
      </c>
      <c r="AT19" s="100"/>
      <c r="AU19" s="100"/>
      <c r="AV19" s="100">
        <v>9</v>
      </c>
      <c r="AW19" s="100"/>
      <c r="AY19" s="112">
        <v>43900</v>
      </c>
    </row>
    <row r="20" spans="1:51" s="2" customFormat="1" ht="12.75" customHeight="1" x14ac:dyDescent="0.2">
      <c r="A20" s="6" t="s">
        <v>939</v>
      </c>
      <c r="B20" s="8">
        <v>9789500209014</v>
      </c>
      <c r="C20" s="8">
        <v>594406</v>
      </c>
      <c r="D20" s="25">
        <v>400</v>
      </c>
      <c r="E20" s="22" t="s">
        <v>23</v>
      </c>
      <c r="F20" s="1" t="s">
        <v>940</v>
      </c>
      <c r="G20" s="107">
        <v>42217</v>
      </c>
      <c r="H20" s="108">
        <v>42186</v>
      </c>
      <c r="I20" s="24">
        <v>2052</v>
      </c>
      <c r="J20" s="6" t="s">
        <v>2136</v>
      </c>
      <c r="K20" s="28">
        <v>46.54</v>
      </c>
      <c r="L20" s="112">
        <v>35700</v>
      </c>
      <c r="M20" s="112">
        <f>+L20*0.1</f>
        <v>3570</v>
      </c>
      <c r="N20" s="9">
        <f t="shared" si="0"/>
        <v>17850</v>
      </c>
      <c r="O20" s="9">
        <f t="shared" si="1"/>
        <v>14233.46</v>
      </c>
      <c r="P20" s="9">
        <f t="shared" si="2"/>
        <v>3616.54</v>
      </c>
      <c r="Q20" s="109">
        <f t="shared" si="3"/>
        <v>0.79739271708683468</v>
      </c>
      <c r="R20" s="335">
        <v>35700</v>
      </c>
      <c r="S20" s="359" t="s">
        <v>1948</v>
      </c>
      <c r="T20" s="305">
        <v>0.79739271708683468</v>
      </c>
      <c r="U20" s="12"/>
      <c r="V20" s="100"/>
      <c r="W20" s="110">
        <f t="shared" si="4"/>
        <v>35700</v>
      </c>
      <c r="X20" s="110">
        <f t="shared" si="5"/>
        <v>46.54</v>
      </c>
      <c r="Y20" s="110">
        <f t="shared" si="6"/>
        <v>3570</v>
      </c>
      <c r="Z20" s="110">
        <f t="shared" si="7"/>
        <v>14233.46</v>
      </c>
      <c r="AA20" s="260">
        <f t="shared" si="8"/>
        <v>0.79739271708683468</v>
      </c>
      <c r="AB20" s="28">
        <f t="shared" si="9"/>
        <v>11.8</v>
      </c>
      <c r="AC20" s="261">
        <f t="shared" si="10"/>
        <v>0.79789881920345129</v>
      </c>
      <c r="AD20" s="111">
        <f t="shared" si="11"/>
        <v>2.5</v>
      </c>
      <c r="AE20" s="262">
        <f t="shared" si="12"/>
        <v>4.608242664029015E-2</v>
      </c>
      <c r="AF20" s="100"/>
      <c r="AG20" s="111">
        <f t="shared" si="13"/>
        <v>4</v>
      </c>
      <c r="AH20" s="262">
        <f t="shared" si="14"/>
        <v>0.40380151665018132</v>
      </c>
      <c r="AI20" s="100"/>
      <c r="AJ20" s="111">
        <f t="shared" si="15"/>
        <v>3.7</v>
      </c>
      <c r="AK20" s="262">
        <f t="shared" si="16"/>
        <v>0.35546109908127715</v>
      </c>
      <c r="AL20" s="100"/>
      <c r="AM20" s="111">
        <f t="shared" si="17"/>
        <v>3.4</v>
      </c>
      <c r="AN20" s="262">
        <f t="shared" si="18"/>
        <v>0.29859001958844855</v>
      </c>
      <c r="AO20" s="100"/>
      <c r="AP20" s="24" t="e">
        <f>VLOOKUP(C20,#REF!,6,FALSE)</f>
        <v>#REF!</v>
      </c>
      <c r="AQ20" s="24" t="e">
        <f>VLOOKUP(C20,#REF!,7,FALSE)</f>
        <v>#REF!</v>
      </c>
      <c r="AR20" s="24" t="e">
        <f>VLOOKUP(C20,#REF!,12,FALSE)</f>
        <v>#REF!</v>
      </c>
      <c r="AS20" s="24" t="e">
        <f>VLOOKUP(C20,#REF!,13,FALSE)</f>
        <v>#REF!</v>
      </c>
      <c r="AT20" s="100"/>
      <c r="AU20" s="100"/>
      <c r="AV20" s="100">
        <v>10</v>
      </c>
      <c r="AW20" s="100"/>
      <c r="AY20" s="112">
        <v>35700</v>
      </c>
    </row>
    <row r="21" spans="1:51" s="2" customFormat="1" ht="12.75" customHeight="1" x14ac:dyDescent="0.2">
      <c r="A21" s="6" t="s">
        <v>941</v>
      </c>
      <c r="B21" s="8">
        <v>9789500211451</v>
      </c>
      <c r="C21" s="8">
        <v>682012</v>
      </c>
      <c r="D21" s="7">
        <v>432</v>
      </c>
      <c r="E21" s="7" t="s">
        <v>532</v>
      </c>
      <c r="F21" s="116" t="s">
        <v>942</v>
      </c>
      <c r="G21" s="107">
        <v>44256</v>
      </c>
      <c r="H21" s="108">
        <v>45717</v>
      </c>
      <c r="I21" s="293">
        <v>2022</v>
      </c>
      <c r="J21" s="7" t="s">
        <v>1762</v>
      </c>
      <c r="K21" s="7">
        <v>3156.83</v>
      </c>
      <c r="L21" s="295">
        <v>33500</v>
      </c>
      <c r="M21" s="112">
        <f>+L21*0.1</f>
        <v>3350</v>
      </c>
      <c r="N21" s="9">
        <f t="shared" si="0"/>
        <v>16750</v>
      </c>
      <c r="O21" s="9">
        <f t="shared" si="1"/>
        <v>10243.17</v>
      </c>
      <c r="P21" s="9">
        <f t="shared" si="2"/>
        <v>6506.83</v>
      </c>
      <c r="Q21" s="109">
        <f t="shared" si="3"/>
        <v>0.61153253731343282</v>
      </c>
      <c r="R21" s="335">
        <v>33500</v>
      </c>
      <c r="S21" s="359" t="s">
        <v>1948</v>
      </c>
      <c r="T21" s="305">
        <v>0.61153253731343282</v>
      </c>
      <c r="U21" s="12"/>
      <c r="V21" s="100"/>
      <c r="W21" s="110">
        <f t="shared" si="4"/>
        <v>33500</v>
      </c>
      <c r="X21" s="110">
        <f t="shared" si="5"/>
        <v>3156.83</v>
      </c>
      <c r="Y21" s="110">
        <f t="shared" si="6"/>
        <v>3350</v>
      </c>
      <c r="Z21" s="110">
        <f t="shared" si="7"/>
        <v>10243.17</v>
      </c>
      <c r="AA21" s="260">
        <f t="shared" si="8"/>
        <v>0.61153253731343282</v>
      </c>
      <c r="AB21" s="28">
        <f t="shared" si="9"/>
        <v>11</v>
      </c>
      <c r="AC21" s="261">
        <f t="shared" si="10"/>
        <v>0.60993735575337948</v>
      </c>
      <c r="AD21" s="111">
        <f t="shared" si="11"/>
        <v>4.5</v>
      </c>
      <c r="AE21" s="262">
        <f t="shared" si="12"/>
        <v>4.651353628603877E-2</v>
      </c>
      <c r="AF21" s="100"/>
      <c r="AG21" s="111">
        <f t="shared" si="13"/>
        <v>7.2</v>
      </c>
      <c r="AH21" s="262">
        <f t="shared" si="14"/>
        <v>0.40407096017877431</v>
      </c>
      <c r="AI21" s="100"/>
      <c r="AJ21" s="111">
        <f t="shared" si="15"/>
        <v>6.6</v>
      </c>
      <c r="AK21" s="262">
        <f t="shared" si="16"/>
        <v>0.34989559292229916</v>
      </c>
      <c r="AL21" s="100"/>
      <c r="AM21" s="111">
        <f t="shared" si="17"/>
        <v>6.1</v>
      </c>
      <c r="AN21" s="262">
        <f t="shared" si="18"/>
        <v>0.29660834644052037</v>
      </c>
      <c r="AO21" s="100"/>
      <c r="AP21" s="24" t="e">
        <f>VLOOKUP(C21,#REF!,6,FALSE)</f>
        <v>#REF!</v>
      </c>
      <c r="AQ21" s="24" t="e">
        <f>VLOOKUP(C21,#REF!,7,FALSE)</f>
        <v>#REF!</v>
      </c>
      <c r="AR21" s="24" t="e">
        <f>VLOOKUP(C21,#REF!,12,FALSE)</f>
        <v>#REF!</v>
      </c>
      <c r="AS21" s="24" t="e">
        <f>VLOOKUP(C21,#REF!,13,FALSE)</f>
        <v>#REF!</v>
      </c>
      <c r="AT21" s="100"/>
      <c r="AU21" s="100"/>
      <c r="AV21" s="100">
        <v>11</v>
      </c>
      <c r="AW21" s="100"/>
      <c r="AY21" s="295">
        <v>33500</v>
      </c>
    </row>
    <row r="22" spans="1:51" s="2" customFormat="1" ht="12.75" customHeight="1" x14ac:dyDescent="0.2">
      <c r="A22" s="7" t="s">
        <v>943</v>
      </c>
      <c r="B22" s="8">
        <v>9789500211468</v>
      </c>
      <c r="C22" s="8">
        <v>681369</v>
      </c>
      <c r="D22" s="25">
        <v>520</v>
      </c>
      <c r="E22" s="7" t="s">
        <v>525</v>
      </c>
      <c r="F22" s="116" t="s">
        <v>944</v>
      </c>
      <c r="G22" s="107">
        <v>44228</v>
      </c>
      <c r="H22" s="108">
        <v>45962</v>
      </c>
      <c r="I22" s="24">
        <v>3022</v>
      </c>
      <c r="J22" s="6" t="s">
        <v>2136</v>
      </c>
      <c r="K22" s="9">
        <v>2880.73</v>
      </c>
      <c r="L22" s="112">
        <v>42800</v>
      </c>
      <c r="M22" s="112">
        <f>+L22*0.12</f>
        <v>5136</v>
      </c>
      <c r="N22" s="9">
        <f t="shared" si="0"/>
        <v>21400</v>
      </c>
      <c r="O22" s="9">
        <f t="shared" si="1"/>
        <v>13383.27</v>
      </c>
      <c r="P22" s="9">
        <f t="shared" si="2"/>
        <v>8016.73</v>
      </c>
      <c r="Q22" s="109">
        <f t="shared" si="3"/>
        <v>0.62538644859813086</v>
      </c>
      <c r="R22" s="335">
        <v>42800</v>
      </c>
      <c r="S22" s="359" t="s">
        <v>1948</v>
      </c>
      <c r="T22" s="305">
        <v>0.62538644859813086</v>
      </c>
      <c r="U22" s="12"/>
      <c r="V22" s="100"/>
      <c r="W22" s="110">
        <f t="shared" si="4"/>
        <v>42800</v>
      </c>
      <c r="X22" s="110">
        <f t="shared" si="5"/>
        <v>2880.73</v>
      </c>
      <c r="Y22" s="110">
        <f t="shared" si="6"/>
        <v>5136</v>
      </c>
      <c r="Z22" s="110">
        <f t="shared" si="7"/>
        <v>13383.27</v>
      </c>
      <c r="AA22" s="260">
        <f t="shared" si="8"/>
        <v>0.62538644859813086</v>
      </c>
      <c r="AB22" s="28">
        <f t="shared" si="9"/>
        <v>14.1</v>
      </c>
      <c r="AC22" s="261">
        <f t="shared" si="10"/>
        <v>0.6250824850989003</v>
      </c>
      <c r="AD22" s="111">
        <f t="shared" si="11"/>
        <v>5.6</v>
      </c>
      <c r="AE22" s="262">
        <f t="shared" si="12"/>
        <v>5.6011257124016778E-2</v>
      </c>
      <c r="AF22" s="100"/>
      <c r="AG22" s="111">
        <f t="shared" si="13"/>
        <v>8.8000000000000007</v>
      </c>
      <c r="AH22" s="262">
        <f t="shared" si="14"/>
        <v>0.39927989089710164</v>
      </c>
      <c r="AI22" s="100"/>
      <c r="AJ22" s="111">
        <f t="shared" si="15"/>
        <v>8.1</v>
      </c>
      <c r="AK22" s="262">
        <f t="shared" si="16"/>
        <v>0.347365807394382</v>
      </c>
      <c r="AL22" s="100"/>
      <c r="AM22" s="111">
        <f t="shared" si="17"/>
        <v>7.6</v>
      </c>
      <c r="AN22" s="262">
        <f t="shared" si="18"/>
        <v>0.30442934735453869</v>
      </c>
      <c r="AO22" s="100"/>
      <c r="AP22" s="24" t="e">
        <f>VLOOKUP(C22,#REF!,6,FALSE)</f>
        <v>#REF!</v>
      </c>
      <c r="AQ22" s="24" t="e">
        <f>VLOOKUP(C22,#REF!,7,FALSE)</f>
        <v>#REF!</v>
      </c>
      <c r="AR22" s="24" t="e">
        <f>VLOOKUP(C22,#REF!,12,FALSE)</f>
        <v>#REF!</v>
      </c>
      <c r="AS22" s="24" t="e">
        <f>VLOOKUP(C22,#REF!,13,FALSE)</f>
        <v>#REF!</v>
      </c>
      <c r="AT22" s="100"/>
      <c r="AU22" s="100"/>
      <c r="AV22" s="100">
        <v>12</v>
      </c>
      <c r="AW22" s="100"/>
      <c r="AY22" s="112">
        <v>42800</v>
      </c>
    </row>
    <row r="23" spans="1:51" s="2" customFormat="1" ht="12.75" customHeight="1" x14ac:dyDescent="0.2">
      <c r="A23" s="6" t="s">
        <v>945</v>
      </c>
      <c r="B23" s="8">
        <v>9789500213370</v>
      </c>
      <c r="C23" s="8">
        <v>702978</v>
      </c>
      <c r="D23" s="41">
        <v>760</v>
      </c>
      <c r="E23" s="7" t="s">
        <v>756</v>
      </c>
      <c r="F23" s="7" t="s">
        <v>946</v>
      </c>
      <c r="G23" s="107">
        <v>44958</v>
      </c>
      <c r="H23" s="108">
        <v>44927</v>
      </c>
      <c r="I23" s="7">
        <v>2993</v>
      </c>
      <c r="J23" s="6" t="s">
        <v>1762</v>
      </c>
      <c r="K23" s="9">
        <v>3772.4</v>
      </c>
      <c r="L23" s="112">
        <v>117900</v>
      </c>
      <c r="M23" s="112">
        <f>+L23*0.12</f>
        <v>14148</v>
      </c>
      <c r="N23" s="9">
        <f t="shared" si="0"/>
        <v>58950</v>
      </c>
      <c r="O23" s="9">
        <f t="shared" si="1"/>
        <v>41029.599999999999</v>
      </c>
      <c r="P23" s="9">
        <f t="shared" si="2"/>
        <v>17920.400000000001</v>
      </c>
      <c r="Q23" s="109">
        <f t="shared" si="3"/>
        <v>0.69600678541136551</v>
      </c>
      <c r="R23" s="335">
        <v>117900</v>
      </c>
      <c r="S23" s="359" t="s">
        <v>1948</v>
      </c>
      <c r="T23" s="305">
        <v>0.69600678541136551</v>
      </c>
      <c r="U23" s="12"/>
      <c r="V23" s="100"/>
      <c r="W23" s="110">
        <f t="shared" si="4"/>
        <v>117900</v>
      </c>
      <c r="X23" s="110">
        <f t="shared" si="5"/>
        <v>3772.4</v>
      </c>
      <c r="Y23" s="110">
        <f t="shared" si="6"/>
        <v>14148</v>
      </c>
      <c r="Z23" s="110">
        <f t="shared" si="7"/>
        <v>41029.599999999999</v>
      </c>
      <c r="AA23" s="260">
        <f t="shared" si="8"/>
        <v>0.69600678541136551</v>
      </c>
      <c r="AB23" s="28">
        <f t="shared" si="9"/>
        <v>38.9</v>
      </c>
      <c r="AC23" s="261">
        <f t="shared" si="10"/>
        <v>0.69622244428679547</v>
      </c>
      <c r="AD23" s="111">
        <f t="shared" si="11"/>
        <v>12.4</v>
      </c>
      <c r="AE23" s="262">
        <f t="shared" si="12"/>
        <v>4.7020409899705524E-2</v>
      </c>
      <c r="AF23" s="100"/>
      <c r="AG23" s="111">
        <f t="shared" si="13"/>
        <v>19.7</v>
      </c>
      <c r="AH23" s="262">
        <f t="shared" si="14"/>
        <v>0.40015497882011908</v>
      </c>
      <c r="AI23" s="100"/>
      <c r="AJ23" s="111">
        <f t="shared" si="15"/>
        <v>18.2</v>
      </c>
      <c r="AK23" s="262">
        <f t="shared" si="16"/>
        <v>0.35071720234924975</v>
      </c>
      <c r="AL23" s="100"/>
      <c r="AM23" s="111">
        <f t="shared" si="17"/>
        <v>16.899999999999999</v>
      </c>
      <c r="AN23" s="262">
        <f t="shared" si="18"/>
        <v>0.30077237176073046</v>
      </c>
      <c r="AO23" s="100"/>
      <c r="AP23" s="24" t="e">
        <f>VLOOKUP(C23,#REF!,6,FALSE)</f>
        <v>#REF!</v>
      </c>
      <c r="AQ23" s="24" t="e">
        <f>VLOOKUP(C23,#REF!,7,FALSE)</f>
        <v>#REF!</v>
      </c>
      <c r="AR23" s="24" t="e">
        <f>VLOOKUP(C23,#REF!,12,FALSE)</f>
        <v>#REF!</v>
      </c>
      <c r="AS23" s="24" t="e">
        <f>VLOOKUP(C23,#REF!,13,FALSE)</f>
        <v>#REF!</v>
      </c>
      <c r="AT23" s="100"/>
      <c r="AU23" s="100"/>
      <c r="AV23" s="100">
        <v>13</v>
      </c>
      <c r="AW23" s="100"/>
      <c r="AY23" s="112">
        <v>117900</v>
      </c>
    </row>
    <row r="24" spans="1:51" s="2" customFormat="1" ht="12.75" customHeight="1" x14ac:dyDescent="0.2">
      <c r="A24" s="7" t="s">
        <v>947</v>
      </c>
      <c r="B24" s="8">
        <v>9789500211475</v>
      </c>
      <c r="C24" s="8">
        <v>681368</v>
      </c>
      <c r="D24" s="25">
        <v>320</v>
      </c>
      <c r="E24" s="6" t="s">
        <v>524</v>
      </c>
      <c r="F24" s="7" t="s">
        <v>948</v>
      </c>
      <c r="G24" s="107">
        <v>44228</v>
      </c>
      <c r="H24" s="108">
        <v>44197</v>
      </c>
      <c r="I24" s="24">
        <v>2000</v>
      </c>
      <c r="J24" s="6" t="s">
        <v>2136</v>
      </c>
      <c r="K24" s="28">
        <v>152.07</v>
      </c>
      <c r="L24" s="112">
        <v>41700</v>
      </c>
      <c r="M24" s="112">
        <f t="shared" ref="M24:M29" si="19">+L24*0.1</f>
        <v>4170</v>
      </c>
      <c r="N24" s="9">
        <f t="shared" si="0"/>
        <v>20850</v>
      </c>
      <c r="O24" s="9">
        <f t="shared" si="1"/>
        <v>16527.93</v>
      </c>
      <c r="P24" s="9">
        <f t="shared" si="2"/>
        <v>4322.07</v>
      </c>
      <c r="Q24" s="109">
        <f t="shared" si="3"/>
        <v>0.79270647482014389</v>
      </c>
      <c r="R24" s="335">
        <v>41700</v>
      </c>
      <c r="S24" s="359" t="s">
        <v>1948</v>
      </c>
      <c r="T24" s="305">
        <v>0.79270647482014389</v>
      </c>
      <c r="U24" s="12"/>
      <c r="V24" s="100"/>
      <c r="W24" s="110">
        <f t="shared" si="4"/>
        <v>41700</v>
      </c>
      <c r="X24" s="110">
        <f t="shared" si="5"/>
        <v>152.07</v>
      </c>
      <c r="Y24" s="110">
        <f t="shared" si="6"/>
        <v>4170</v>
      </c>
      <c r="Z24" s="110">
        <f t="shared" si="7"/>
        <v>16527.93</v>
      </c>
      <c r="AA24" s="260">
        <f t="shared" si="8"/>
        <v>0.79270647482014389</v>
      </c>
      <c r="AB24" s="28">
        <f t="shared" si="9"/>
        <v>13.7</v>
      </c>
      <c r="AC24" s="261">
        <f t="shared" si="10"/>
        <v>0.79196863696419673</v>
      </c>
      <c r="AD24" s="111">
        <f t="shared" si="11"/>
        <v>3</v>
      </c>
      <c r="AE24" s="262">
        <f t="shared" si="12"/>
        <v>4.9990108803165248E-2</v>
      </c>
      <c r="AF24" s="100"/>
      <c r="AG24" s="111">
        <f t="shared" si="13"/>
        <v>4.8</v>
      </c>
      <c r="AH24" s="262">
        <f t="shared" si="14"/>
        <v>0.40624381800197829</v>
      </c>
      <c r="AI24" s="100"/>
      <c r="AJ24" s="111">
        <f t="shared" si="15"/>
        <v>4.4000000000000004</v>
      </c>
      <c r="AK24" s="262">
        <f t="shared" si="16"/>
        <v>0.35226598327488545</v>
      </c>
      <c r="AL24" s="100"/>
      <c r="AM24" s="111">
        <f t="shared" si="17"/>
        <v>4.0999999999999996</v>
      </c>
      <c r="AN24" s="262">
        <f t="shared" si="18"/>
        <v>0.30487081131938915</v>
      </c>
      <c r="AO24" s="100"/>
      <c r="AP24" s="24" t="e">
        <f>VLOOKUP(C24,#REF!,6,FALSE)</f>
        <v>#REF!</v>
      </c>
      <c r="AQ24" s="24" t="e">
        <f>VLOOKUP(C24,#REF!,7,FALSE)</f>
        <v>#REF!</v>
      </c>
      <c r="AR24" s="24" t="e">
        <f>VLOOKUP(C24,#REF!,12,FALSE)</f>
        <v>#REF!</v>
      </c>
      <c r="AS24" s="24" t="e">
        <f>VLOOKUP(C24,#REF!,13,FALSE)</f>
        <v>#REF!</v>
      </c>
      <c r="AT24" s="100"/>
      <c r="AU24" s="100"/>
      <c r="AV24" s="100">
        <v>14</v>
      </c>
      <c r="AW24" s="100"/>
      <c r="AY24" s="112">
        <v>41700</v>
      </c>
    </row>
    <row r="25" spans="1:51" s="2" customFormat="1" ht="12.75" customHeight="1" x14ac:dyDescent="0.2">
      <c r="A25" s="6" t="s">
        <v>949</v>
      </c>
      <c r="B25" s="8">
        <v>9789500209984</v>
      </c>
      <c r="C25" s="8">
        <v>659629</v>
      </c>
      <c r="D25" s="7">
        <v>416</v>
      </c>
      <c r="E25" s="7" t="s">
        <v>425</v>
      </c>
      <c r="F25" s="116" t="s">
        <v>950</v>
      </c>
      <c r="G25" s="107">
        <v>43497</v>
      </c>
      <c r="H25" s="108">
        <v>44256</v>
      </c>
      <c r="I25" s="24">
        <v>2101</v>
      </c>
      <c r="J25" s="6" t="s">
        <v>2136</v>
      </c>
      <c r="K25" s="28">
        <v>125.05</v>
      </c>
      <c r="L25" s="112">
        <v>41700</v>
      </c>
      <c r="M25" s="112">
        <f t="shared" si="19"/>
        <v>4170</v>
      </c>
      <c r="N25" s="9">
        <f t="shared" si="0"/>
        <v>20850</v>
      </c>
      <c r="O25" s="9">
        <f t="shared" si="1"/>
        <v>16554.95</v>
      </c>
      <c r="P25" s="9">
        <f t="shared" si="2"/>
        <v>4295.05</v>
      </c>
      <c r="Q25" s="109">
        <f t="shared" si="3"/>
        <v>0.79400239808153483</v>
      </c>
      <c r="R25" s="335">
        <v>41700</v>
      </c>
      <c r="S25" s="359" t="s">
        <v>1948</v>
      </c>
      <c r="T25" s="305">
        <v>0.79400239808153483</v>
      </c>
      <c r="U25" s="12"/>
      <c r="V25" s="100"/>
      <c r="W25" s="110">
        <f t="shared" si="4"/>
        <v>41700</v>
      </c>
      <c r="X25" s="110">
        <f t="shared" si="5"/>
        <v>125.05</v>
      </c>
      <c r="Y25" s="110">
        <f t="shared" si="6"/>
        <v>4170</v>
      </c>
      <c r="Z25" s="110">
        <f t="shared" si="7"/>
        <v>16554.95</v>
      </c>
      <c r="AA25" s="260">
        <f t="shared" si="8"/>
        <v>0.79400239808153483</v>
      </c>
      <c r="AB25" s="28">
        <f t="shared" si="9"/>
        <v>13.7</v>
      </c>
      <c r="AC25" s="261">
        <f t="shared" si="10"/>
        <v>0.79326917291785493</v>
      </c>
      <c r="AD25" s="111">
        <f t="shared" si="11"/>
        <v>3</v>
      </c>
      <c r="AE25" s="262">
        <f t="shared" si="12"/>
        <v>5.5929222991537492E-2</v>
      </c>
      <c r="AF25" s="100"/>
      <c r="AG25" s="111">
        <f t="shared" si="13"/>
        <v>4.7</v>
      </c>
      <c r="AH25" s="262">
        <f t="shared" si="14"/>
        <v>0.3974016316967261</v>
      </c>
      <c r="AI25" s="100"/>
      <c r="AJ25" s="111">
        <f t="shared" si="15"/>
        <v>4.4000000000000004</v>
      </c>
      <c r="AK25" s="262">
        <f t="shared" si="16"/>
        <v>0.35631537931241197</v>
      </c>
      <c r="AL25" s="100"/>
      <c r="AM25" s="111">
        <f t="shared" si="17"/>
        <v>4</v>
      </c>
      <c r="AN25" s="262">
        <f t="shared" si="18"/>
        <v>0.29194691724365313</v>
      </c>
      <c r="AO25" s="100"/>
      <c r="AP25" s="24" t="e">
        <f>VLOOKUP(C25,#REF!,6,FALSE)</f>
        <v>#REF!</v>
      </c>
      <c r="AQ25" s="24" t="e">
        <f>VLOOKUP(C25,#REF!,7,FALSE)</f>
        <v>#REF!</v>
      </c>
      <c r="AR25" s="24" t="e">
        <f>VLOOKUP(C25,#REF!,12,FALSE)</f>
        <v>#REF!</v>
      </c>
      <c r="AS25" s="24" t="e">
        <f>VLOOKUP(C25,#REF!,13,FALSE)</f>
        <v>#REF!</v>
      </c>
      <c r="AT25" s="100"/>
      <c r="AU25" s="100"/>
      <c r="AV25" s="100">
        <v>15</v>
      </c>
      <c r="AW25" s="100"/>
      <c r="AY25" s="112">
        <v>41700</v>
      </c>
    </row>
    <row r="26" spans="1:51" s="2" customFormat="1" ht="12.75" customHeight="1" x14ac:dyDescent="0.2">
      <c r="A26" s="6" t="s">
        <v>1916</v>
      </c>
      <c r="B26" s="8">
        <v>9789500214919</v>
      </c>
      <c r="C26" s="8">
        <v>720930</v>
      </c>
      <c r="D26" s="25">
        <v>554</v>
      </c>
      <c r="E26" s="9" t="s">
        <v>14</v>
      </c>
      <c r="F26" s="116" t="s">
        <v>1917</v>
      </c>
      <c r="G26" s="107">
        <v>45658</v>
      </c>
      <c r="H26" s="108">
        <v>45536</v>
      </c>
      <c r="I26" s="7">
        <v>1020</v>
      </c>
      <c r="J26" s="6" t="s">
        <v>1762</v>
      </c>
      <c r="K26" s="28">
        <v>7806.64</v>
      </c>
      <c r="L26" s="9">
        <v>87900</v>
      </c>
      <c r="M26" s="112">
        <f t="shared" si="19"/>
        <v>8790</v>
      </c>
      <c r="N26" s="9">
        <f t="shared" si="0"/>
        <v>43950</v>
      </c>
      <c r="O26" s="9">
        <f t="shared" si="1"/>
        <v>27353.360000000001</v>
      </c>
      <c r="P26" s="9">
        <f t="shared" si="2"/>
        <v>16596.64</v>
      </c>
      <c r="Q26" s="109">
        <f t="shared" si="3"/>
        <v>0.62237451649601827</v>
      </c>
      <c r="R26" s="335">
        <v>87900</v>
      </c>
      <c r="S26" s="359" t="s">
        <v>1948</v>
      </c>
      <c r="T26" s="305">
        <v>0.62237451649601827</v>
      </c>
      <c r="U26" s="12"/>
      <c r="V26" s="100"/>
      <c r="W26" s="110">
        <f t="shared" si="4"/>
        <v>87900</v>
      </c>
      <c r="X26" s="110">
        <f t="shared" si="5"/>
        <v>7806.64</v>
      </c>
      <c r="Y26" s="110">
        <f t="shared" si="6"/>
        <v>8790</v>
      </c>
      <c r="Z26" s="110">
        <f t="shared" si="7"/>
        <v>27353.360000000001</v>
      </c>
      <c r="AA26" s="260">
        <f t="shared" si="8"/>
        <v>0.62237451649601827</v>
      </c>
      <c r="AB26" s="28">
        <f t="shared" si="9"/>
        <v>29</v>
      </c>
      <c r="AC26" s="261">
        <f t="shared" si="10"/>
        <v>0.62261923439862665</v>
      </c>
      <c r="AD26" s="111">
        <f t="shared" si="11"/>
        <v>11.5</v>
      </c>
      <c r="AE26" s="262">
        <f t="shared" si="12"/>
        <v>4.8344156309580159E-2</v>
      </c>
      <c r="AF26" s="100"/>
      <c r="AG26" s="111">
        <f t="shared" si="13"/>
        <v>18.2</v>
      </c>
      <c r="AH26" s="262">
        <f t="shared" si="14"/>
        <v>0.39867899986594352</v>
      </c>
      <c r="AI26" s="100"/>
      <c r="AJ26" s="111">
        <f t="shared" si="15"/>
        <v>16.8</v>
      </c>
      <c r="AK26" s="262">
        <f t="shared" si="16"/>
        <v>0.34856891652143884</v>
      </c>
      <c r="AL26" s="100"/>
      <c r="AM26" s="111">
        <f t="shared" si="17"/>
        <v>15.6</v>
      </c>
      <c r="AN26" s="262">
        <f t="shared" si="18"/>
        <v>0.298458833176934</v>
      </c>
      <c r="AO26" s="100"/>
      <c r="AP26" s="24" t="e">
        <f>VLOOKUP(C26,#REF!,6,FALSE)</f>
        <v>#REF!</v>
      </c>
      <c r="AQ26" s="24" t="e">
        <f>VLOOKUP(C26,#REF!,7,FALSE)</f>
        <v>#REF!</v>
      </c>
      <c r="AR26" s="24" t="e">
        <f>VLOOKUP(C26,#REF!,12,FALSE)</f>
        <v>#REF!</v>
      </c>
      <c r="AS26" s="24" t="e">
        <f>VLOOKUP(C26,#REF!,13,FALSE)</f>
        <v>#REF!</v>
      </c>
      <c r="AT26" s="100"/>
      <c r="AU26" s="100"/>
      <c r="AV26" s="100">
        <v>16</v>
      </c>
      <c r="AW26" s="100"/>
      <c r="AY26" s="9">
        <v>87900</v>
      </c>
    </row>
    <row r="27" spans="1:51" s="2" customFormat="1" ht="12.75" customHeight="1" x14ac:dyDescent="0.2">
      <c r="A27" s="6" t="s">
        <v>951</v>
      </c>
      <c r="B27" s="8">
        <v>9789500207812</v>
      </c>
      <c r="C27" s="8">
        <v>575259</v>
      </c>
      <c r="D27" s="25">
        <v>554</v>
      </c>
      <c r="E27" s="9" t="s">
        <v>14</v>
      </c>
      <c r="F27" s="116" t="s">
        <v>952</v>
      </c>
      <c r="G27" s="118">
        <v>41699</v>
      </c>
      <c r="H27" s="108">
        <v>44986</v>
      </c>
      <c r="I27" s="24">
        <v>1001</v>
      </c>
      <c r="J27" s="6" t="s">
        <v>2136</v>
      </c>
      <c r="K27" s="28">
        <v>1753.46</v>
      </c>
      <c r="L27" s="112">
        <v>59300</v>
      </c>
      <c r="M27" s="112">
        <f t="shared" si="19"/>
        <v>5930</v>
      </c>
      <c r="N27" s="9">
        <f t="shared" si="0"/>
        <v>29650</v>
      </c>
      <c r="O27" s="9">
        <f t="shared" si="1"/>
        <v>21966.54</v>
      </c>
      <c r="P27" s="9">
        <f t="shared" si="2"/>
        <v>7683.46</v>
      </c>
      <c r="Q27" s="109">
        <f t="shared" si="3"/>
        <v>0.74086138279932545</v>
      </c>
      <c r="R27" s="335">
        <v>59300</v>
      </c>
      <c r="S27" s="359" t="s">
        <v>1948</v>
      </c>
      <c r="T27" s="305">
        <v>0.74086138279932545</v>
      </c>
      <c r="U27" s="12"/>
      <c r="V27" s="100"/>
      <c r="W27" s="110">
        <f t="shared" si="4"/>
        <v>59300</v>
      </c>
      <c r="X27" s="110">
        <f t="shared" si="5"/>
        <v>1753.46</v>
      </c>
      <c r="Y27" s="110">
        <f t="shared" si="6"/>
        <v>5930</v>
      </c>
      <c r="Z27" s="110">
        <f t="shared" si="7"/>
        <v>21966.54</v>
      </c>
      <c r="AA27" s="260">
        <f t="shared" si="8"/>
        <v>0.74086138279932545</v>
      </c>
      <c r="AB27" s="28">
        <f t="shared" si="9"/>
        <v>19.600000000000001</v>
      </c>
      <c r="AC27" s="261">
        <f t="shared" si="10"/>
        <v>0.74150130873318665</v>
      </c>
      <c r="AD27" s="111">
        <f t="shared" si="11"/>
        <v>5.3</v>
      </c>
      <c r="AE27" s="262">
        <f t="shared" si="12"/>
        <v>4.4042575692539276E-2</v>
      </c>
      <c r="AF27" s="100"/>
      <c r="AG27" s="111">
        <f t="shared" si="13"/>
        <v>8.4</v>
      </c>
      <c r="AH27" s="262">
        <f t="shared" si="14"/>
        <v>0.39683638704410212</v>
      </c>
      <c r="AI27" s="100"/>
      <c r="AJ27" s="111">
        <f t="shared" si="15"/>
        <v>7.8</v>
      </c>
      <c r="AK27" s="262">
        <f t="shared" si="16"/>
        <v>0.35043918604749452</v>
      </c>
      <c r="AL27" s="100"/>
      <c r="AM27" s="111">
        <f t="shared" si="17"/>
        <v>7.2</v>
      </c>
      <c r="AN27" s="262">
        <f t="shared" si="18"/>
        <v>0.29630911821811917</v>
      </c>
      <c r="AO27" s="100"/>
      <c r="AP27" s="24" t="e">
        <f>VLOOKUP(C27,#REF!,6,FALSE)</f>
        <v>#REF!</v>
      </c>
      <c r="AQ27" s="24" t="e">
        <f>VLOOKUP(C27,#REF!,7,FALSE)</f>
        <v>#REF!</v>
      </c>
      <c r="AR27" s="24" t="e">
        <f>VLOOKUP(C27,#REF!,12,FALSE)</f>
        <v>#REF!</v>
      </c>
      <c r="AS27" s="24" t="e">
        <f>VLOOKUP(C27,#REF!,13,FALSE)</f>
        <v>#REF!</v>
      </c>
      <c r="AT27" s="100"/>
      <c r="AU27" s="100"/>
      <c r="AV27" s="100">
        <v>17</v>
      </c>
      <c r="AW27" s="100"/>
      <c r="AY27" s="112">
        <v>59300</v>
      </c>
    </row>
    <row r="28" spans="1:51" s="2" customFormat="1" ht="12.75" customHeight="1" x14ac:dyDescent="0.2">
      <c r="A28" s="7" t="s">
        <v>953</v>
      </c>
      <c r="B28" s="8">
        <v>9789500209991</v>
      </c>
      <c r="C28" s="8">
        <v>660009</v>
      </c>
      <c r="D28" s="25">
        <v>544</v>
      </c>
      <c r="E28" s="7" t="s">
        <v>426</v>
      </c>
      <c r="F28" s="7" t="s">
        <v>954</v>
      </c>
      <c r="G28" s="107">
        <v>43525</v>
      </c>
      <c r="H28" s="108">
        <v>44986</v>
      </c>
      <c r="I28" s="24">
        <v>1013</v>
      </c>
      <c r="J28" s="6" t="s">
        <v>2136</v>
      </c>
      <c r="K28" s="28">
        <v>1309.68</v>
      </c>
      <c r="L28" s="112">
        <v>57000</v>
      </c>
      <c r="M28" s="112">
        <f t="shared" si="19"/>
        <v>5700</v>
      </c>
      <c r="N28" s="9">
        <f t="shared" si="0"/>
        <v>28500</v>
      </c>
      <c r="O28" s="9">
        <f t="shared" si="1"/>
        <v>21490.32</v>
      </c>
      <c r="P28" s="9">
        <f t="shared" si="2"/>
        <v>7009.68</v>
      </c>
      <c r="Q28" s="109">
        <f t="shared" si="3"/>
        <v>0.75404631578947368</v>
      </c>
      <c r="R28" s="335">
        <v>57000</v>
      </c>
      <c r="S28" s="359" t="s">
        <v>1948</v>
      </c>
      <c r="T28" s="305">
        <v>0.75404631578947368</v>
      </c>
      <c r="U28" s="12"/>
      <c r="V28" s="100"/>
      <c r="W28" s="110">
        <f t="shared" si="4"/>
        <v>57000</v>
      </c>
      <c r="X28" s="110">
        <f t="shared" si="5"/>
        <v>1309.68</v>
      </c>
      <c r="Y28" s="110">
        <f t="shared" si="6"/>
        <v>5700</v>
      </c>
      <c r="Z28" s="110">
        <f t="shared" si="7"/>
        <v>21490.32</v>
      </c>
      <c r="AA28" s="260">
        <f t="shared" si="8"/>
        <v>0.75404631578947368</v>
      </c>
      <c r="AB28" s="28">
        <f t="shared" si="9"/>
        <v>18.8</v>
      </c>
      <c r="AC28" s="261">
        <f t="shared" si="10"/>
        <v>0.75413430982595697</v>
      </c>
      <c r="AD28" s="111">
        <f t="shared" si="11"/>
        <v>4.9000000000000004</v>
      </c>
      <c r="AE28" s="262">
        <f t="shared" si="12"/>
        <v>5.6678576475100433E-2</v>
      </c>
      <c r="AF28" s="100"/>
      <c r="AG28" s="111">
        <f t="shared" si="13"/>
        <v>7.7</v>
      </c>
      <c r="AH28" s="262">
        <f t="shared" si="14"/>
        <v>0.39970454866597305</v>
      </c>
      <c r="AI28" s="100"/>
      <c r="AJ28" s="111">
        <f t="shared" si="15"/>
        <v>7.1</v>
      </c>
      <c r="AK28" s="262">
        <f t="shared" si="16"/>
        <v>0.34897535559549181</v>
      </c>
      <c r="AL28" s="100"/>
      <c r="AM28" s="111">
        <f t="shared" si="17"/>
        <v>6.6</v>
      </c>
      <c r="AN28" s="262">
        <f t="shared" si="18"/>
        <v>0.29965530677696844</v>
      </c>
      <c r="AO28" s="100"/>
      <c r="AP28" s="24" t="e">
        <f>VLOOKUP(C28,#REF!,6,FALSE)</f>
        <v>#REF!</v>
      </c>
      <c r="AQ28" s="24" t="e">
        <f>VLOOKUP(C28,#REF!,7,FALSE)</f>
        <v>#REF!</v>
      </c>
      <c r="AR28" s="24" t="e">
        <f>VLOOKUP(C28,#REF!,12,FALSE)</f>
        <v>#REF!</v>
      </c>
      <c r="AS28" s="24" t="e">
        <f>VLOOKUP(C28,#REF!,13,FALSE)</f>
        <v>#REF!</v>
      </c>
      <c r="AT28" s="100"/>
      <c r="AU28" s="100"/>
      <c r="AV28" s="100">
        <v>18</v>
      </c>
      <c r="AW28" s="100"/>
      <c r="AY28" s="112">
        <v>57000</v>
      </c>
    </row>
    <row r="29" spans="1:51" s="2" customFormat="1" ht="12.75" customHeight="1" x14ac:dyDescent="0.2">
      <c r="A29" s="6" t="s">
        <v>955</v>
      </c>
      <c r="B29" s="8">
        <v>9789500211628</v>
      </c>
      <c r="C29" s="8">
        <v>682655</v>
      </c>
      <c r="D29" s="7">
        <v>528</v>
      </c>
      <c r="E29" s="7" t="s">
        <v>538</v>
      </c>
      <c r="F29" s="7" t="s">
        <v>956</v>
      </c>
      <c r="G29" s="118">
        <v>44287</v>
      </c>
      <c r="H29" s="108">
        <v>44287</v>
      </c>
      <c r="I29" s="7">
        <v>2858</v>
      </c>
      <c r="J29" s="6" t="s">
        <v>1762</v>
      </c>
      <c r="K29" s="117">
        <v>195.46</v>
      </c>
      <c r="L29" s="112">
        <v>47900</v>
      </c>
      <c r="M29" s="112">
        <f t="shared" si="19"/>
        <v>4790</v>
      </c>
      <c r="N29" s="9">
        <f t="shared" si="0"/>
        <v>23950</v>
      </c>
      <c r="O29" s="9">
        <f t="shared" si="1"/>
        <v>18964.54</v>
      </c>
      <c r="P29" s="9">
        <f t="shared" si="2"/>
        <v>4985.46</v>
      </c>
      <c r="Q29" s="109">
        <f t="shared" si="3"/>
        <v>0.79183883089770357</v>
      </c>
      <c r="R29" s="335">
        <v>47900</v>
      </c>
      <c r="S29" s="359" t="s">
        <v>1948</v>
      </c>
      <c r="T29" s="305">
        <v>0.79183883089770357</v>
      </c>
      <c r="U29" s="12"/>
      <c r="V29" s="100"/>
      <c r="W29" s="110">
        <f t="shared" si="4"/>
        <v>47900</v>
      </c>
      <c r="X29" s="110">
        <f t="shared" si="5"/>
        <v>195.46</v>
      </c>
      <c r="Y29" s="110">
        <f t="shared" si="6"/>
        <v>4790</v>
      </c>
      <c r="Z29" s="110">
        <f t="shared" si="7"/>
        <v>18964.54</v>
      </c>
      <c r="AA29" s="260">
        <f t="shared" si="8"/>
        <v>0.79183883089770357</v>
      </c>
      <c r="AB29" s="28">
        <f t="shared" si="9"/>
        <v>15.8</v>
      </c>
      <c r="AC29" s="261">
        <f t="shared" si="10"/>
        <v>0.79193178830334676</v>
      </c>
      <c r="AD29" s="111">
        <f t="shared" si="11"/>
        <v>3.5</v>
      </c>
      <c r="AE29" s="262">
        <f t="shared" si="12"/>
        <v>6.0720644340822374E-2</v>
      </c>
      <c r="AF29" s="100"/>
      <c r="AG29" s="111">
        <f t="shared" si="13"/>
        <v>5.5</v>
      </c>
      <c r="AH29" s="262">
        <f t="shared" si="14"/>
        <v>0.40227677367143244</v>
      </c>
      <c r="AI29" s="100"/>
      <c r="AJ29" s="111">
        <f t="shared" si="15"/>
        <v>5.0999999999999996</v>
      </c>
      <c r="AK29" s="262">
        <f t="shared" si="16"/>
        <v>0.35539652062605454</v>
      </c>
      <c r="AL29" s="100"/>
      <c r="AM29" s="111">
        <f t="shared" si="17"/>
        <v>4.7</v>
      </c>
      <c r="AN29" s="262">
        <f t="shared" si="18"/>
        <v>0.30053665004103797</v>
      </c>
      <c r="AO29" s="100"/>
      <c r="AP29" s="24" t="e">
        <f>VLOOKUP(C29,#REF!,6,FALSE)</f>
        <v>#REF!</v>
      </c>
      <c r="AQ29" s="24" t="e">
        <f>VLOOKUP(C29,#REF!,7,FALSE)</f>
        <v>#REF!</v>
      </c>
      <c r="AR29" s="24" t="e">
        <f>VLOOKUP(C29,#REF!,12,FALSE)</f>
        <v>#REF!</v>
      </c>
      <c r="AS29" s="24" t="e">
        <f>VLOOKUP(C29,#REF!,13,FALSE)</f>
        <v>#REF!</v>
      </c>
      <c r="AT29" s="100"/>
      <c r="AU29" s="100"/>
      <c r="AV29" s="100">
        <v>19</v>
      </c>
      <c r="AW29" s="100"/>
      <c r="AY29" s="112">
        <v>47900</v>
      </c>
    </row>
    <row r="30" spans="1:51" s="2" customFormat="1" ht="12.75" customHeight="1" x14ac:dyDescent="0.2">
      <c r="A30" s="6" t="s">
        <v>957</v>
      </c>
      <c r="B30" s="16">
        <v>9789500209045</v>
      </c>
      <c r="C30" s="8">
        <v>608708</v>
      </c>
      <c r="D30" s="7">
        <v>736</v>
      </c>
      <c r="E30" s="7" t="s">
        <v>10</v>
      </c>
      <c r="F30" s="116" t="s">
        <v>958</v>
      </c>
      <c r="G30" s="119">
        <v>42401</v>
      </c>
      <c r="H30" s="120">
        <v>44256</v>
      </c>
      <c r="I30" s="121">
        <v>2025</v>
      </c>
      <c r="J30" s="122" t="s">
        <v>1894</v>
      </c>
      <c r="K30" s="123">
        <v>471.18</v>
      </c>
      <c r="L30" s="124">
        <v>74700</v>
      </c>
      <c r="M30" s="124">
        <f>+L30*0.12</f>
        <v>8964</v>
      </c>
      <c r="N30" s="123">
        <f t="shared" si="0"/>
        <v>37350</v>
      </c>
      <c r="O30" s="123">
        <f t="shared" si="1"/>
        <v>27914.82</v>
      </c>
      <c r="P30" s="123">
        <f t="shared" si="2"/>
        <v>9435.18</v>
      </c>
      <c r="Q30" s="125">
        <f t="shared" si="3"/>
        <v>0.74738473895582325</v>
      </c>
      <c r="R30" s="335">
        <v>74700</v>
      </c>
      <c r="S30" s="359" t="s">
        <v>1948</v>
      </c>
      <c r="T30" s="305">
        <v>0.74738473895582325</v>
      </c>
      <c r="U30" s="126"/>
      <c r="V30" s="100"/>
      <c r="W30" s="110">
        <f t="shared" si="4"/>
        <v>74700</v>
      </c>
      <c r="X30" s="110">
        <f t="shared" si="5"/>
        <v>471.18</v>
      </c>
      <c r="Y30" s="110">
        <f t="shared" si="6"/>
        <v>8964</v>
      </c>
      <c r="Z30" s="110">
        <f t="shared" si="7"/>
        <v>27914.82</v>
      </c>
      <c r="AA30" s="260">
        <f t="shared" si="8"/>
        <v>0.74738473895582325</v>
      </c>
      <c r="AB30" s="28">
        <f t="shared" si="9"/>
        <v>24.6</v>
      </c>
      <c r="AC30" s="261">
        <f t="shared" si="10"/>
        <v>0.74708611774545042</v>
      </c>
      <c r="AD30" s="111">
        <f t="shared" si="11"/>
        <v>6.5</v>
      </c>
      <c r="AE30" s="262">
        <f t="shared" si="12"/>
        <v>4.2818230236627834E-2</v>
      </c>
      <c r="AF30" s="100"/>
      <c r="AG30" s="111">
        <f t="shared" si="13"/>
        <v>10.4</v>
      </c>
      <c r="AH30" s="262">
        <f t="shared" si="14"/>
        <v>0.40176139389789239</v>
      </c>
      <c r="AI30" s="100"/>
      <c r="AJ30" s="111">
        <f t="shared" si="15"/>
        <v>9.6</v>
      </c>
      <c r="AK30" s="262">
        <f t="shared" si="16"/>
        <v>0.35190817672271674</v>
      </c>
      <c r="AL30" s="100"/>
      <c r="AM30" s="111">
        <f t="shared" si="17"/>
        <v>8.9</v>
      </c>
      <c r="AN30" s="262">
        <f t="shared" si="18"/>
        <v>0.30093466253236867</v>
      </c>
      <c r="AO30" s="100"/>
      <c r="AP30" s="24" t="e">
        <f>VLOOKUP(C30,#REF!,6,FALSE)</f>
        <v>#REF!</v>
      </c>
      <c r="AQ30" s="24" t="e">
        <f>VLOOKUP(C30,#REF!,7,FALSE)</f>
        <v>#REF!</v>
      </c>
      <c r="AR30" s="24" t="e">
        <f>VLOOKUP(C30,#REF!,12,FALSE)</f>
        <v>#REF!</v>
      </c>
      <c r="AS30" s="24" t="e">
        <f>VLOOKUP(C30,#REF!,13,FALSE)</f>
        <v>#REF!</v>
      </c>
      <c r="AT30" s="100"/>
      <c r="AU30" s="100"/>
      <c r="AV30" s="100">
        <v>20</v>
      </c>
      <c r="AW30" s="100"/>
      <c r="AY30" s="124">
        <v>74700</v>
      </c>
    </row>
    <row r="31" spans="1:51" s="2" customFormat="1" ht="12.75" customHeight="1" x14ac:dyDescent="0.2">
      <c r="A31" s="7" t="s">
        <v>959</v>
      </c>
      <c r="B31" s="8">
        <v>9789500204057</v>
      </c>
      <c r="C31" s="8">
        <v>193913</v>
      </c>
      <c r="D31" s="25">
        <v>490</v>
      </c>
      <c r="E31" s="7" t="s">
        <v>18</v>
      </c>
      <c r="F31" s="116" t="s">
        <v>960</v>
      </c>
      <c r="G31" s="107">
        <v>37742</v>
      </c>
      <c r="H31" s="108">
        <v>43525</v>
      </c>
      <c r="I31" s="24">
        <v>1063</v>
      </c>
      <c r="J31" s="28" t="s">
        <v>1946</v>
      </c>
      <c r="K31" s="28">
        <v>103.5</v>
      </c>
      <c r="L31" s="112">
        <v>34300</v>
      </c>
      <c r="M31" s="112">
        <f>+L31*0.1</f>
        <v>3430</v>
      </c>
      <c r="N31" s="9">
        <f t="shared" si="0"/>
        <v>17150</v>
      </c>
      <c r="O31" s="9">
        <f t="shared" si="1"/>
        <v>13616.5</v>
      </c>
      <c r="P31" s="9">
        <f t="shared" si="2"/>
        <v>3533.5</v>
      </c>
      <c r="Q31" s="109">
        <f t="shared" si="3"/>
        <v>0.79396501457725943</v>
      </c>
      <c r="R31" s="335">
        <v>34300</v>
      </c>
      <c r="S31" s="359" t="s">
        <v>1948</v>
      </c>
      <c r="T31" s="305">
        <v>0.79396501457725943</v>
      </c>
      <c r="U31" s="12"/>
      <c r="V31" s="100"/>
      <c r="W31" s="110">
        <f t="shared" si="4"/>
        <v>34300</v>
      </c>
      <c r="X31" s="110">
        <f t="shared" si="5"/>
        <v>103.5</v>
      </c>
      <c r="Y31" s="110">
        <f t="shared" si="6"/>
        <v>3430</v>
      </c>
      <c r="Z31" s="110">
        <f t="shared" si="7"/>
        <v>13616.5</v>
      </c>
      <c r="AA31" s="260">
        <f t="shared" si="8"/>
        <v>0.79396501457725943</v>
      </c>
      <c r="AB31" s="28">
        <f t="shared" si="9"/>
        <v>11.3</v>
      </c>
      <c r="AC31" s="261">
        <f t="shared" si="10"/>
        <v>0.79380210020161701</v>
      </c>
      <c r="AD31" s="111">
        <f t="shared" si="11"/>
        <v>2.5</v>
      </c>
      <c r="AE31" s="262">
        <f t="shared" si="12"/>
        <v>6.798549291130894E-2</v>
      </c>
      <c r="AF31" s="100"/>
      <c r="AG31" s="111">
        <f t="shared" si="13"/>
        <v>3.9</v>
      </c>
      <c r="AH31" s="262">
        <f t="shared" si="14"/>
        <v>0.40255480314827491</v>
      </c>
      <c r="AI31" s="100"/>
      <c r="AJ31" s="111">
        <f t="shared" si="15"/>
        <v>3.6</v>
      </c>
      <c r="AK31" s="262">
        <f t="shared" si="16"/>
        <v>0.35276770341063129</v>
      </c>
      <c r="AL31" s="100"/>
      <c r="AM31" s="111">
        <f t="shared" si="17"/>
        <v>3.3</v>
      </c>
      <c r="AN31" s="262">
        <f t="shared" si="18"/>
        <v>0.29392840372068857</v>
      </c>
      <c r="AO31" s="100"/>
      <c r="AP31" s="24" t="e">
        <f>VLOOKUP(C31,#REF!,6,FALSE)</f>
        <v>#REF!</v>
      </c>
      <c r="AQ31" s="24" t="e">
        <f>VLOOKUP(C31,#REF!,7,FALSE)</f>
        <v>#REF!</v>
      </c>
      <c r="AR31" s="24" t="e">
        <f>VLOOKUP(C31,#REF!,12,FALSE)</f>
        <v>#REF!</v>
      </c>
      <c r="AS31" s="24" t="e">
        <f>VLOOKUP(C31,#REF!,13,FALSE)</f>
        <v>#REF!</v>
      </c>
      <c r="AT31" s="100"/>
      <c r="AU31" s="100"/>
      <c r="AV31" s="100">
        <v>21</v>
      </c>
      <c r="AW31" s="100"/>
      <c r="AY31" s="112">
        <v>34300</v>
      </c>
    </row>
    <row r="32" spans="1:51" s="2" customFormat="1" ht="12.75" customHeight="1" x14ac:dyDescent="0.2">
      <c r="A32" s="7" t="s">
        <v>961</v>
      </c>
      <c r="B32" s="8">
        <v>9789500206952</v>
      </c>
      <c r="C32" s="8">
        <v>556084</v>
      </c>
      <c r="D32" s="7">
        <v>216</v>
      </c>
      <c r="E32" s="7" t="s">
        <v>20</v>
      </c>
      <c r="F32" s="7" t="s">
        <v>21</v>
      </c>
      <c r="G32" s="107">
        <v>41183</v>
      </c>
      <c r="H32" s="108">
        <v>42887</v>
      </c>
      <c r="I32" s="24">
        <v>1520</v>
      </c>
      <c r="J32" s="7" t="s">
        <v>1762</v>
      </c>
      <c r="K32" s="28">
        <v>28.9</v>
      </c>
      <c r="L32" s="112">
        <v>27900</v>
      </c>
      <c r="M32" s="112">
        <f>+L32*0.1</f>
        <v>2790</v>
      </c>
      <c r="N32" s="9">
        <f t="shared" si="0"/>
        <v>13950</v>
      </c>
      <c r="O32" s="9">
        <f t="shared" si="1"/>
        <v>11131.1</v>
      </c>
      <c r="P32" s="9">
        <f t="shared" si="2"/>
        <v>2818.9</v>
      </c>
      <c r="Q32" s="109">
        <f t="shared" si="3"/>
        <v>0.79792831541218645</v>
      </c>
      <c r="R32" s="335">
        <v>27900</v>
      </c>
      <c r="S32" s="359" t="s">
        <v>1948</v>
      </c>
      <c r="T32" s="305">
        <v>0.79792831541218645</v>
      </c>
      <c r="U32" s="12"/>
      <c r="V32" s="100"/>
      <c r="W32" s="110">
        <f t="shared" si="4"/>
        <v>27900</v>
      </c>
      <c r="X32" s="110">
        <f t="shared" si="5"/>
        <v>28.9</v>
      </c>
      <c r="Y32" s="110">
        <f t="shared" si="6"/>
        <v>2790</v>
      </c>
      <c r="Z32" s="110">
        <f t="shared" si="7"/>
        <v>11131.1</v>
      </c>
      <c r="AA32" s="260">
        <f t="shared" si="8"/>
        <v>0.79792831541218645</v>
      </c>
      <c r="AB32" s="28">
        <f t="shared" si="9"/>
        <v>9.1999999999999993</v>
      </c>
      <c r="AC32" s="261">
        <f t="shared" si="10"/>
        <v>0.7979543858140169</v>
      </c>
      <c r="AD32" s="111">
        <f t="shared" si="11"/>
        <v>2</v>
      </c>
      <c r="AE32" s="262">
        <f t="shared" si="12"/>
        <v>7.0590174744477388E-2</v>
      </c>
      <c r="AF32" s="100"/>
      <c r="AG32" s="111">
        <f t="shared" si="13"/>
        <v>3.1</v>
      </c>
      <c r="AH32" s="262">
        <f t="shared" si="14"/>
        <v>0.40038075789966299</v>
      </c>
      <c r="AI32" s="100"/>
      <c r="AJ32" s="111">
        <f t="shared" si="15"/>
        <v>2.9</v>
      </c>
      <c r="AK32" s="262">
        <f t="shared" si="16"/>
        <v>0.35902770672032924</v>
      </c>
      <c r="AL32" s="100"/>
      <c r="AM32" s="111">
        <f t="shared" si="17"/>
        <v>2.7</v>
      </c>
      <c r="AN32" s="262">
        <f t="shared" si="18"/>
        <v>0.31154827758850179</v>
      </c>
      <c r="AO32" s="100"/>
      <c r="AP32" s="24" t="e">
        <f>VLOOKUP(C32,#REF!,6,FALSE)</f>
        <v>#REF!</v>
      </c>
      <c r="AQ32" s="24" t="e">
        <f>VLOOKUP(C32,#REF!,7,FALSE)</f>
        <v>#REF!</v>
      </c>
      <c r="AR32" s="24" t="e">
        <f>VLOOKUP(C32,#REF!,12,FALSE)</f>
        <v>#REF!</v>
      </c>
      <c r="AS32" s="24" t="e">
        <f>VLOOKUP(C32,#REF!,13,FALSE)</f>
        <v>#REF!</v>
      </c>
      <c r="AT32" s="100">
        <v>1</v>
      </c>
      <c r="AU32" s="100"/>
      <c r="AV32" s="100">
        <v>22</v>
      </c>
      <c r="AW32" s="100"/>
      <c r="AY32" s="112">
        <v>27900</v>
      </c>
    </row>
    <row r="33" spans="1:51" s="2" customFormat="1" ht="12.75" customHeight="1" x14ac:dyDescent="0.2">
      <c r="A33" s="7" t="s">
        <v>962</v>
      </c>
      <c r="B33" s="8">
        <v>9789500201391</v>
      </c>
      <c r="C33" s="8">
        <v>473624</v>
      </c>
      <c r="D33" s="25">
        <v>692</v>
      </c>
      <c r="E33" s="9" t="s">
        <v>19</v>
      </c>
      <c r="F33" s="116" t="s">
        <v>963</v>
      </c>
      <c r="G33" s="107">
        <v>39630</v>
      </c>
      <c r="H33" s="108">
        <v>43252</v>
      </c>
      <c r="I33" s="24">
        <v>486</v>
      </c>
      <c r="J33" s="28" t="s">
        <v>1946</v>
      </c>
      <c r="K33" s="28">
        <v>158.69</v>
      </c>
      <c r="L33" s="112">
        <v>38800</v>
      </c>
      <c r="M33" s="112">
        <f>+L33*0.1</f>
        <v>3880</v>
      </c>
      <c r="N33" s="9">
        <f t="shared" si="0"/>
        <v>19400</v>
      </c>
      <c r="O33" s="9">
        <f t="shared" si="1"/>
        <v>15361.31</v>
      </c>
      <c r="P33" s="9">
        <f t="shared" si="2"/>
        <v>4038.69</v>
      </c>
      <c r="Q33" s="109">
        <f t="shared" si="3"/>
        <v>0.7918201030927835</v>
      </c>
      <c r="R33" s="335">
        <v>38800</v>
      </c>
      <c r="S33" s="359" t="s">
        <v>1948</v>
      </c>
      <c r="T33" s="305">
        <v>0.7918201030927835</v>
      </c>
      <c r="U33" s="12"/>
      <c r="V33" s="100"/>
      <c r="W33" s="110">
        <f t="shared" si="4"/>
        <v>38800</v>
      </c>
      <c r="X33" s="110">
        <f t="shared" si="5"/>
        <v>158.69</v>
      </c>
      <c r="Y33" s="110">
        <f t="shared" si="6"/>
        <v>3880</v>
      </c>
      <c r="Z33" s="110">
        <f t="shared" si="7"/>
        <v>15361.310000000001</v>
      </c>
      <c r="AA33" s="260">
        <f t="shared" si="8"/>
        <v>0.79182010309278361</v>
      </c>
      <c r="AB33" s="28">
        <f t="shared" si="9"/>
        <v>12.8</v>
      </c>
      <c r="AC33" s="261">
        <f t="shared" si="10"/>
        <v>0.79194022007912968</v>
      </c>
      <c r="AD33" s="111">
        <f t="shared" si="11"/>
        <v>2.8</v>
      </c>
      <c r="AE33" s="262">
        <f t="shared" si="12"/>
        <v>4.8869577504592289E-2</v>
      </c>
      <c r="AF33" s="100"/>
      <c r="AG33" s="111">
        <f t="shared" si="13"/>
        <v>4.4000000000000004</v>
      </c>
      <c r="AH33" s="262">
        <f t="shared" si="14"/>
        <v>0.3947351856847407</v>
      </c>
      <c r="AI33" s="100"/>
      <c r="AJ33" s="111">
        <f t="shared" si="15"/>
        <v>4.0999999999999996</v>
      </c>
      <c r="AK33" s="262">
        <f t="shared" si="16"/>
        <v>0.3504475163445997</v>
      </c>
      <c r="AL33" s="100"/>
      <c r="AM33" s="111">
        <f t="shared" si="17"/>
        <v>3.8</v>
      </c>
      <c r="AN33" s="262">
        <f t="shared" si="18"/>
        <v>0.29916705710864705</v>
      </c>
      <c r="AO33" s="100"/>
      <c r="AP33" s="24" t="e">
        <f>VLOOKUP(C33,#REF!,6,FALSE)</f>
        <v>#REF!</v>
      </c>
      <c r="AQ33" s="24" t="e">
        <f>VLOOKUP(C33,#REF!,7,FALSE)</f>
        <v>#REF!</v>
      </c>
      <c r="AR33" s="24" t="e">
        <f>VLOOKUP(C33,#REF!,12,FALSE)</f>
        <v>#REF!</v>
      </c>
      <c r="AS33" s="24" t="e">
        <f>VLOOKUP(C33,#REF!,13,FALSE)</f>
        <v>#REF!</v>
      </c>
      <c r="AT33" s="100"/>
      <c r="AU33" s="100"/>
      <c r="AV33" s="100">
        <v>23</v>
      </c>
      <c r="AW33" s="100"/>
      <c r="AY33" s="112">
        <v>38800</v>
      </c>
    </row>
    <row r="34" spans="1:51" s="2" customFormat="1" ht="12.75" customHeight="1" x14ac:dyDescent="0.2">
      <c r="A34" s="7" t="s">
        <v>964</v>
      </c>
      <c r="B34" s="8">
        <v>9789500203760</v>
      </c>
      <c r="C34" s="8">
        <v>107266</v>
      </c>
      <c r="D34" s="25">
        <v>1144</v>
      </c>
      <c r="E34" s="7" t="s">
        <v>12</v>
      </c>
      <c r="F34" s="116" t="s">
        <v>965</v>
      </c>
      <c r="G34" s="107">
        <v>36647</v>
      </c>
      <c r="H34" s="108">
        <v>42522</v>
      </c>
      <c r="I34" s="24">
        <v>2059</v>
      </c>
      <c r="J34" s="28" t="s">
        <v>1946</v>
      </c>
      <c r="K34" s="28">
        <v>164.92</v>
      </c>
      <c r="L34" s="127">
        <v>84500</v>
      </c>
      <c r="M34" s="112">
        <f>+L34*0.1</f>
        <v>8450</v>
      </c>
      <c r="N34" s="9">
        <f t="shared" si="0"/>
        <v>42250</v>
      </c>
      <c r="O34" s="9">
        <f t="shared" si="1"/>
        <v>33635.08</v>
      </c>
      <c r="P34" s="9">
        <f t="shared" si="2"/>
        <v>8614.92</v>
      </c>
      <c r="Q34" s="109">
        <f t="shared" si="3"/>
        <v>0.79609656804733731</v>
      </c>
      <c r="R34" s="335">
        <v>84500</v>
      </c>
      <c r="S34" s="359" t="s">
        <v>1948</v>
      </c>
      <c r="T34" s="305">
        <v>0.79609656804733731</v>
      </c>
      <c r="U34" s="12"/>
      <c r="V34" s="100"/>
      <c r="W34" s="110">
        <f t="shared" si="4"/>
        <v>84500</v>
      </c>
      <c r="X34" s="110">
        <f t="shared" si="5"/>
        <v>164.92</v>
      </c>
      <c r="Y34" s="110">
        <f t="shared" si="6"/>
        <v>8450</v>
      </c>
      <c r="Z34" s="110">
        <f t="shared" si="7"/>
        <v>33635.08</v>
      </c>
      <c r="AA34" s="260">
        <f t="shared" si="8"/>
        <v>0.79609656804733731</v>
      </c>
      <c r="AB34" s="28">
        <f t="shared" si="9"/>
        <v>27.9</v>
      </c>
      <c r="AC34" s="261">
        <f t="shared" si="10"/>
        <v>0.79638740875459557</v>
      </c>
      <c r="AD34" s="111">
        <f t="shared" si="11"/>
        <v>6</v>
      </c>
      <c r="AE34" s="262">
        <f t="shared" si="12"/>
        <v>5.32014507088691E-2</v>
      </c>
      <c r="AF34" s="100"/>
      <c r="AG34" s="111">
        <f t="shared" si="13"/>
        <v>9.5</v>
      </c>
      <c r="AH34" s="262">
        <f t="shared" si="14"/>
        <v>0.40202196886875941</v>
      </c>
      <c r="AI34" s="100"/>
      <c r="AJ34" s="111">
        <f t="shared" si="15"/>
        <v>8.6999999999999993</v>
      </c>
      <c r="AK34" s="262">
        <f t="shared" si="16"/>
        <v>0.34703548324749589</v>
      </c>
      <c r="AL34" s="100"/>
      <c r="AM34" s="111">
        <f t="shared" si="17"/>
        <v>8.1</v>
      </c>
      <c r="AN34" s="262">
        <f t="shared" si="18"/>
        <v>0.29866774126582896</v>
      </c>
      <c r="AO34" s="100"/>
      <c r="AP34" s="24" t="e">
        <f>VLOOKUP(C34,#REF!,6,FALSE)</f>
        <v>#REF!</v>
      </c>
      <c r="AQ34" s="24" t="e">
        <f>VLOOKUP(C34,#REF!,7,FALSE)</f>
        <v>#REF!</v>
      </c>
      <c r="AR34" s="24" t="e">
        <f>VLOOKUP(C34,#REF!,12,FALSE)</f>
        <v>#REF!</v>
      </c>
      <c r="AS34" s="24" t="e">
        <f>VLOOKUP(C34,#REF!,13,FALSE)</f>
        <v>#REF!</v>
      </c>
      <c r="AT34" s="100"/>
      <c r="AU34" s="100"/>
      <c r="AV34" s="100">
        <v>24</v>
      </c>
      <c r="AW34" s="100"/>
      <c r="AY34" s="127">
        <v>84500</v>
      </c>
    </row>
    <row r="35" spans="1:51" s="2" customFormat="1" ht="12.75" customHeight="1" x14ac:dyDescent="0.2">
      <c r="A35" s="6" t="s">
        <v>966</v>
      </c>
      <c r="B35" s="8">
        <v>9789500207829</v>
      </c>
      <c r="C35" s="8">
        <v>575258</v>
      </c>
      <c r="D35" s="25">
        <v>416</v>
      </c>
      <c r="E35" s="7" t="s">
        <v>20</v>
      </c>
      <c r="F35" s="7" t="s">
        <v>967</v>
      </c>
      <c r="G35" s="107">
        <v>41699</v>
      </c>
      <c r="H35" s="108">
        <v>43586</v>
      </c>
      <c r="I35" s="24">
        <v>1070</v>
      </c>
      <c r="J35" s="28" t="s">
        <v>1946</v>
      </c>
      <c r="K35" s="28">
        <v>94.57</v>
      </c>
      <c r="L35" s="128">
        <v>32500</v>
      </c>
      <c r="M35" s="112">
        <f>+L35*0.1</f>
        <v>3250</v>
      </c>
      <c r="N35" s="9">
        <f t="shared" si="0"/>
        <v>16250</v>
      </c>
      <c r="O35" s="9">
        <f t="shared" si="1"/>
        <v>12905.43</v>
      </c>
      <c r="P35" s="9">
        <f t="shared" si="2"/>
        <v>3344.57</v>
      </c>
      <c r="Q35" s="109">
        <f t="shared" si="3"/>
        <v>0.79418030769230774</v>
      </c>
      <c r="R35" s="335">
        <v>32500</v>
      </c>
      <c r="S35" s="359" t="s">
        <v>1948</v>
      </c>
      <c r="T35" s="305">
        <v>0.79418030769230774</v>
      </c>
      <c r="U35" s="12"/>
      <c r="V35" s="100"/>
      <c r="W35" s="110">
        <f t="shared" si="4"/>
        <v>32500</v>
      </c>
      <c r="X35" s="110">
        <f t="shared" si="5"/>
        <v>94.57</v>
      </c>
      <c r="Y35" s="110">
        <f t="shared" si="6"/>
        <v>3250</v>
      </c>
      <c r="Z35" s="110">
        <f t="shared" si="7"/>
        <v>12905.43</v>
      </c>
      <c r="AA35" s="260">
        <f t="shared" si="8"/>
        <v>0.79418030769230774</v>
      </c>
      <c r="AB35" s="28">
        <f t="shared" si="9"/>
        <v>10.7</v>
      </c>
      <c r="AC35" s="261">
        <f t="shared" si="10"/>
        <v>0.79388286481106585</v>
      </c>
      <c r="AD35" s="111">
        <f t="shared" si="11"/>
        <v>2.2999999999999998</v>
      </c>
      <c r="AE35" s="262">
        <f t="shared" si="12"/>
        <v>4.110724064278435E-2</v>
      </c>
      <c r="AF35" s="100"/>
      <c r="AG35" s="111">
        <f t="shared" si="13"/>
        <v>3.7</v>
      </c>
      <c r="AH35" s="262">
        <f t="shared" si="14"/>
        <v>0.40393152796713633</v>
      </c>
      <c r="AI35" s="100"/>
      <c r="AJ35" s="111">
        <f t="shared" si="15"/>
        <v>3.4</v>
      </c>
      <c r="AK35" s="262">
        <f t="shared" si="16"/>
        <v>0.35133725102306007</v>
      </c>
      <c r="AL35" s="100"/>
      <c r="AM35" s="111">
        <f t="shared" si="17"/>
        <v>3.2</v>
      </c>
      <c r="AN35" s="262">
        <f t="shared" si="18"/>
        <v>0.31079582921200138</v>
      </c>
      <c r="AO35" s="100"/>
      <c r="AP35" s="24" t="e">
        <f>VLOOKUP(C35,#REF!,6,FALSE)</f>
        <v>#REF!</v>
      </c>
      <c r="AQ35" s="24" t="e">
        <f>VLOOKUP(C35,#REF!,7,FALSE)</f>
        <v>#REF!</v>
      </c>
      <c r="AR35" s="24" t="e">
        <f>VLOOKUP(C35,#REF!,12,FALSE)</f>
        <v>#REF!</v>
      </c>
      <c r="AS35" s="24" t="e">
        <f>VLOOKUP(C35,#REF!,13,FALSE)</f>
        <v>#REF!</v>
      </c>
      <c r="AT35" s="100"/>
      <c r="AU35" s="100"/>
      <c r="AV35" s="100">
        <v>25</v>
      </c>
      <c r="AW35" s="100"/>
      <c r="AY35" s="128">
        <v>32500</v>
      </c>
    </row>
    <row r="36" spans="1:51" s="2" customFormat="1" ht="12.75" customHeight="1" x14ac:dyDescent="0.2">
      <c r="A36" s="6" t="s">
        <v>968</v>
      </c>
      <c r="B36" s="8">
        <v>9789500299930</v>
      </c>
      <c r="C36" s="8">
        <v>632195</v>
      </c>
      <c r="D36" s="7">
        <v>528</v>
      </c>
      <c r="E36" s="7" t="s">
        <v>16</v>
      </c>
      <c r="F36" s="116" t="s">
        <v>17</v>
      </c>
      <c r="G36" s="107">
        <v>42917</v>
      </c>
      <c r="H36" s="108">
        <v>43709</v>
      </c>
      <c r="I36" s="24">
        <v>2030</v>
      </c>
      <c r="J36" s="28" t="s">
        <v>1946</v>
      </c>
      <c r="K36" s="28">
        <v>108.92</v>
      </c>
      <c r="L36" s="9">
        <v>32500</v>
      </c>
      <c r="M36" s="112">
        <f>+L36*0.12</f>
        <v>3900</v>
      </c>
      <c r="N36" s="9">
        <f t="shared" si="0"/>
        <v>16250</v>
      </c>
      <c r="O36" s="9">
        <f t="shared" si="1"/>
        <v>12241.08</v>
      </c>
      <c r="P36" s="9">
        <f t="shared" si="2"/>
        <v>4008.92</v>
      </c>
      <c r="Q36" s="109">
        <f t="shared" si="3"/>
        <v>0.75329723076923072</v>
      </c>
      <c r="R36" s="335">
        <v>32500</v>
      </c>
      <c r="S36" s="359" t="s">
        <v>1948</v>
      </c>
      <c r="T36" s="305">
        <v>0.75329723076923072</v>
      </c>
      <c r="U36" s="12"/>
      <c r="V36" s="100"/>
      <c r="W36" s="110">
        <f t="shared" si="4"/>
        <v>32500</v>
      </c>
      <c r="X36" s="110">
        <f t="shared" si="5"/>
        <v>108.92</v>
      </c>
      <c r="Y36" s="110">
        <f t="shared" si="6"/>
        <v>3900</v>
      </c>
      <c r="Z36" s="110">
        <f t="shared" si="7"/>
        <v>12241.08</v>
      </c>
      <c r="AA36" s="260">
        <f t="shared" si="8"/>
        <v>0.75329723076923072</v>
      </c>
      <c r="AB36" s="28">
        <f t="shared" si="9"/>
        <v>10.7</v>
      </c>
      <c r="AC36" s="261">
        <f t="shared" si="10"/>
        <v>0.75294070520227652</v>
      </c>
      <c r="AD36" s="111">
        <f t="shared" si="11"/>
        <v>2.8</v>
      </c>
      <c r="AE36" s="262">
        <f t="shared" si="12"/>
        <v>5.5880552022985197E-2</v>
      </c>
      <c r="AF36" s="100"/>
      <c r="AG36" s="111">
        <f t="shared" si="13"/>
        <v>4.4000000000000004</v>
      </c>
      <c r="AH36" s="262">
        <f t="shared" si="14"/>
        <v>0.39919671492371789</v>
      </c>
      <c r="AI36" s="100"/>
      <c r="AJ36" s="111">
        <f t="shared" si="15"/>
        <v>4.0999999999999996</v>
      </c>
      <c r="AK36" s="262">
        <f t="shared" si="16"/>
        <v>0.35523549894252648</v>
      </c>
      <c r="AL36" s="100"/>
      <c r="AM36" s="111">
        <f t="shared" si="17"/>
        <v>3.8</v>
      </c>
      <c r="AN36" s="262">
        <f t="shared" si="18"/>
        <v>0.30433303833272596</v>
      </c>
      <c r="AO36" s="100"/>
      <c r="AP36" s="24" t="e">
        <f>VLOOKUP(C36,#REF!,6,FALSE)</f>
        <v>#REF!</v>
      </c>
      <c r="AQ36" s="24" t="e">
        <f>VLOOKUP(C36,#REF!,7,FALSE)</f>
        <v>#REF!</v>
      </c>
      <c r="AR36" s="24" t="e">
        <f>VLOOKUP(C36,#REF!,12,FALSE)</f>
        <v>#REF!</v>
      </c>
      <c r="AS36" s="24" t="e">
        <f>VLOOKUP(C36,#REF!,13,FALSE)</f>
        <v>#REF!</v>
      </c>
      <c r="AT36" s="100"/>
      <c r="AU36" s="100"/>
      <c r="AV36" s="100">
        <v>26</v>
      </c>
      <c r="AW36" s="100"/>
      <c r="AY36" s="9">
        <v>32500</v>
      </c>
    </row>
    <row r="37" spans="1:51" s="2" customFormat="1" ht="12.75" customHeight="1" x14ac:dyDescent="0.2">
      <c r="A37" s="6" t="s">
        <v>969</v>
      </c>
      <c r="B37" s="8">
        <v>9789500298834</v>
      </c>
      <c r="C37" s="8">
        <v>610468</v>
      </c>
      <c r="D37" s="25">
        <v>784</v>
      </c>
      <c r="E37" s="7" t="s">
        <v>15</v>
      </c>
      <c r="F37" s="130" t="s">
        <v>970</v>
      </c>
      <c r="G37" s="119">
        <v>42461</v>
      </c>
      <c r="H37" s="119">
        <v>44287</v>
      </c>
      <c r="I37" s="131">
        <v>990</v>
      </c>
      <c r="J37" s="122" t="s">
        <v>1894</v>
      </c>
      <c r="K37" s="123">
        <v>589.79999999999995</v>
      </c>
      <c r="L37" s="124">
        <v>78300</v>
      </c>
      <c r="M37" s="124">
        <f>+L37*0.12</f>
        <v>9396</v>
      </c>
      <c r="N37" s="123">
        <f t="shared" si="0"/>
        <v>39150</v>
      </c>
      <c r="O37" s="123">
        <f t="shared" si="1"/>
        <v>29164.2</v>
      </c>
      <c r="P37" s="123">
        <f t="shared" si="2"/>
        <v>9985.7999999999993</v>
      </c>
      <c r="Q37" s="125">
        <f t="shared" si="3"/>
        <v>0.74493486590038316</v>
      </c>
      <c r="R37" s="335">
        <v>78300</v>
      </c>
      <c r="S37" s="359" t="s">
        <v>1948</v>
      </c>
      <c r="T37" s="305">
        <v>0.74493486590038316</v>
      </c>
      <c r="U37" s="126"/>
      <c r="V37" s="100"/>
      <c r="W37" s="110">
        <f t="shared" si="4"/>
        <v>78300</v>
      </c>
      <c r="X37" s="110">
        <f t="shared" si="5"/>
        <v>589.79999999999995</v>
      </c>
      <c r="Y37" s="110">
        <f t="shared" si="6"/>
        <v>9396</v>
      </c>
      <c r="Z37" s="110">
        <f t="shared" si="7"/>
        <v>29164.199999999997</v>
      </c>
      <c r="AA37" s="260">
        <f t="shared" si="8"/>
        <v>0.74493486590038305</v>
      </c>
      <c r="AB37" s="28">
        <f t="shared" si="9"/>
        <v>25.8</v>
      </c>
      <c r="AC37" s="261">
        <f t="shared" si="10"/>
        <v>0.74477645128393866</v>
      </c>
      <c r="AD37" s="111">
        <f t="shared" si="11"/>
        <v>6.9</v>
      </c>
      <c r="AE37" s="262">
        <f t="shared" si="12"/>
        <v>4.5685861322553464E-2</v>
      </c>
      <c r="AF37" s="100"/>
      <c r="AG37" s="111">
        <f t="shared" si="13"/>
        <v>11</v>
      </c>
      <c r="AH37" s="262">
        <f t="shared" si="14"/>
        <v>0.40138476755687441</v>
      </c>
      <c r="AI37" s="100"/>
      <c r="AJ37" s="111">
        <f t="shared" si="15"/>
        <v>10.1</v>
      </c>
      <c r="AK37" s="262">
        <f t="shared" si="16"/>
        <v>0.34804281615105132</v>
      </c>
      <c r="AL37" s="100"/>
      <c r="AM37" s="111">
        <f t="shared" si="17"/>
        <v>9.4</v>
      </c>
      <c r="AN37" s="262">
        <f t="shared" si="18"/>
        <v>0.29949281309847009</v>
      </c>
      <c r="AO37" s="100"/>
      <c r="AP37" s="24" t="e">
        <f>VLOOKUP(C37,#REF!,6,FALSE)</f>
        <v>#REF!</v>
      </c>
      <c r="AQ37" s="24" t="e">
        <f>VLOOKUP(C37,#REF!,7,FALSE)</f>
        <v>#REF!</v>
      </c>
      <c r="AR37" s="24" t="e">
        <f>VLOOKUP(C37,#REF!,12,FALSE)</f>
        <v>#REF!</v>
      </c>
      <c r="AS37" s="24" t="e">
        <f>VLOOKUP(C37,#REF!,13,FALSE)</f>
        <v>#REF!</v>
      </c>
      <c r="AT37" s="100"/>
      <c r="AU37" s="100"/>
      <c r="AV37" s="100">
        <v>27</v>
      </c>
      <c r="AW37" s="100"/>
      <c r="AY37" s="124">
        <v>78300</v>
      </c>
    </row>
    <row r="38" spans="1:51" s="2" customFormat="1" ht="12.75" customHeight="1" x14ac:dyDescent="0.2">
      <c r="A38" s="7" t="s">
        <v>971</v>
      </c>
      <c r="B38" s="8">
        <v>9789500203807</v>
      </c>
      <c r="C38" s="8">
        <v>128667</v>
      </c>
      <c r="D38" s="25">
        <v>312</v>
      </c>
      <c r="E38" s="7" t="s">
        <v>22</v>
      </c>
      <c r="F38" s="7" t="s">
        <v>972</v>
      </c>
      <c r="G38" s="119">
        <v>36923</v>
      </c>
      <c r="H38" s="120">
        <v>43252</v>
      </c>
      <c r="I38" s="129">
        <v>990</v>
      </c>
      <c r="J38" s="122" t="s">
        <v>1946</v>
      </c>
      <c r="K38" s="122">
        <v>58.05</v>
      </c>
      <c r="L38" s="124">
        <v>23800</v>
      </c>
      <c r="M38" s="123">
        <f>+L38*0.1</f>
        <v>2380</v>
      </c>
      <c r="N38" s="123">
        <f t="shared" si="0"/>
        <v>11900</v>
      </c>
      <c r="O38" s="123">
        <f t="shared" si="1"/>
        <v>9461.9500000000007</v>
      </c>
      <c r="P38" s="123">
        <f t="shared" si="2"/>
        <v>2438.0500000000002</v>
      </c>
      <c r="Q38" s="125">
        <f t="shared" si="3"/>
        <v>0.79512184873949587</v>
      </c>
      <c r="R38" s="335">
        <v>23800</v>
      </c>
      <c r="S38" s="359" t="s">
        <v>1948</v>
      </c>
      <c r="T38" s="305">
        <v>0.79512184873949587</v>
      </c>
      <c r="U38" s="126"/>
      <c r="V38" s="100"/>
      <c r="W38" s="110">
        <f t="shared" si="4"/>
        <v>23800</v>
      </c>
      <c r="X38" s="110">
        <f t="shared" si="5"/>
        <v>58.05</v>
      </c>
      <c r="Y38" s="110">
        <f t="shared" si="6"/>
        <v>2380</v>
      </c>
      <c r="Z38" s="110">
        <f t="shared" si="7"/>
        <v>9461.9500000000007</v>
      </c>
      <c r="AA38" s="260">
        <f t="shared" si="8"/>
        <v>0.79512184873949587</v>
      </c>
      <c r="AB38" s="28">
        <f t="shared" si="9"/>
        <v>7.8</v>
      </c>
      <c r="AC38" s="261">
        <f t="shared" si="10"/>
        <v>0.79388690219550762</v>
      </c>
      <c r="AD38" s="111">
        <f t="shared" si="11"/>
        <v>1.7</v>
      </c>
      <c r="AE38" s="262">
        <f t="shared" si="12"/>
        <v>5.4304610073504997E-2</v>
      </c>
      <c r="AF38" s="100"/>
      <c r="AG38" s="111">
        <f t="shared" si="13"/>
        <v>2.7</v>
      </c>
      <c r="AH38" s="262">
        <f t="shared" si="14"/>
        <v>0.40456216189813288</v>
      </c>
      <c r="AI38" s="100"/>
      <c r="AJ38" s="111">
        <f t="shared" si="15"/>
        <v>2.5</v>
      </c>
      <c r="AK38" s="262">
        <f t="shared" si="16"/>
        <v>0.35692713484998345</v>
      </c>
      <c r="AL38" s="100"/>
      <c r="AM38" s="111">
        <f t="shared" si="17"/>
        <v>2.2999999999999998</v>
      </c>
      <c r="AN38" s="262">
        <f t="shared" si="18"/>
        <v>0.30100775527172113</v>
      </c>
      <c r="AO38" s="100"/>
      <c r="AP38" s="24" t="e">
        <f>VLOOKUP(C38,#REF!,6,FALSE)</f>
        <v>#REF!</v>
      </c>
      <c r="AQ38" s="24" t="e">
        <f>VLOOKUP(C38,#REF!,7,FALSE)</f>
        <v>#REF!</v>
      </c>
      <c r="AR38" s="24" t="e">
        <f>VLOOKUP(C38,#REF!,12,FALSE)</f>
        <v>#REF!</v>
      </c>
      <c r="AS38" s="24" t="e">
        <f>VLOOKUP(C38,#REF!,13,FALSE)</f>
        <v>#REF!</v>
      </c>
      <c r="AT38" s="100"/>
      <c r="AU38" s="100"/>
      <c r="AV38" s="100">
        <v>28</v>
      </c>
      <c r="AW38" s="100"/>
      <c r="AY38" s="124">
        <v>23800</v>
      </c>
    </row>
    <row r="39" spans="1:51" s="132" customFormat="1" ht="12.75" customHeight="1" thickBot="1" x14ac:dyDescent="0.3">
      <c r="B39" s="133"/>
      <c r="C39" s="133"/>
      <c r="J39" s="209"/>
      <c r="L39" s="134"/>
      <c r="R39" s="356"/>
      <c r="S39" s="360"/>
      <c r="T39" s="307"/>
      <c r="U39" s="135"/>
      <c r="V39" s="100"/>
      <c r="W39"/>
      <c r="X39"/>
      <c r="Y39"/>
      <c r="Z39"/>
      <c r="AA39"/>
      <c r="AB39"/>
      <c r="AC39"/>
      <c r="AD39" s="263"/>
      <c r="AE39"/>
      <c r="AF39" s="100"/>
      <c r="AG39" s="263"/>
      <c r="AH39"/>
      <c r="AI39" s="100"/>
      <c r="AJ39" s="263"/>
      <c r="AK39"/>
      <c r="AL39" s="100"/>
      <c r="AM39" s="263"/>
      <c r="AN39"/>
      <c r="AO39" s="100"/>
      <c r="AP39" s="100"/>
      <c r="AQ39" s="100"/>
      <c r="AR39" s="100"/>
      <c r="AS39" s="100"/>
      <c r="AT39" s="100"/>
      <c r="AU39" s="100"/>
      <c r="AV39" s="100">
        <v>29</v>
      </c>
      <c r="AW39" s="100"/>
      <c r="AY39" s="134"/>
    </row>
    <row r="40" spans="1:51" s="132" customFormat="1" ht="12.75" customHeight="1" x14ac:dyDescent="0.25">
      <c r="B40" s="133"/>
      <c r="C40" s="133"/>
      <c r="E40" s="136" t="s">
        <v>627</v>
      </c>
      <c r="F40" s="137"/>
      <c r="J40" s="209"/>
      <c r="L40" s="134"/>
      <c r="R40" s="356"/>
      <c r="S40" s="360"/>
      <c r="T40" s="307"/>
      <c r="U40" s="135"/>
      <c r="V40" s="100"/>
      <c r="W40"/>
      <c r="X40"/>
      <c r="Y40"/>
      <c r="Z40"/>
      <c r="AA40"/>
      <c r="AB40"/>
      <c r="AC40"/>
      <c r="AD40" s="263"/>
      <c r="AE40"/>
      <c r="AF40" s="100"/>
      <c r="AG40" s="263"/>
      <c r="AH40"/>
      <c r="AI40" s="100"/>
      <c r="AJ40" s="263"/>
      <c r="AK40"/>
      <c r="AL40" s="100"/>
      <c r="AM40" s="263"/>
      <c r="AN40"/>
      <c r="AO40" s="100"/>
      <c r="AP40" s="100"/>
      <c r="AQ40" s="100"/>
      <c r="AR40" s="100"/>
      <c r="AS40" s="100"/>
      <c r="AT40" s="100"/>
      <c r="AU40" s="100"/>
      <c r="AV40" s="100">
        <v>30</v>
      </c>
      <c r="AW40" s="100"/>
      <c r="AY40" s="134"/>
    </row>
    <row r="41" spans="1:51" s="2" customFormat="1" ht="12.75" customHeight="1" x14ac:dyDescent="0.2">
      <c r="A41" s="7" t="s">
        <v>2385</v>
      </c>
      <c r="B41" s="8">
        <v>9789500218061</v>
      </c>
      <c r="C41" s="8">
        <v>748661</v>
      </c>
      <c r="D41" s="7">
        <v>224</v>
      </c>
      <c r="E41" s="7" t="s">
        <v>2386</v>
      </c>
      <c r="F41" s="7" t="s">
        <v>2387</v>
      </c>
      <c r="G41" s="107">
        <v>46235</v>
      </c>
      <c r="H41" s="108">
        <v>46204</v>
      </c>
      <c r="I41" s="116">
        <v>3100</v>
      </c>
      <c r="J41" s="7" t="s">
        <v>1894</v>
      </c>
      <c r="K41" s="148">
        <v>3284.6</v>
      </c>
      <c r="L41" s="9">
        <v>31500</v>
      </c>
      <c r="M41" s="9">
        <f>+L41*0.08</f>
        <v>2520</v>
      </c>
      <c r="N41" s="9">
        <f t="shared" ref="N41:N72" si="20">+L41/2</f>
        <v>15750</v>
      </c>
      <c r="O41" s="9">
        <f t="shared" ref="O41:O72" si="21">+N41-M41-K41</f>
        <v>9945.4</v>
      </c>
      <c r="P41" s="9">
        <f t="shared" ref="P41:P72" si="22">+M41+K41</f>
        <v>5804.6</v>
      </c>
      <c r="Q41" s="139">
        <f t="shared" ref="Q41:Q72" si="23">+O41/N41</f>
        <v>0.63145396825396827</v>
      </c>
      <c r="R41" s="336">
        <v>31500</v>
      </c>
      <c r="S41" s="359" t="s">
        <v>1948</v>
      </c>
      <c r="T41" s="305">
        <v>0.62894695340501794</v>
      </c>
      <c r="U41" s="6"/>
      <c r="V41" s="100"/>
      <c r="W41" s="110">
        <f t="shared" ref="W41:W72" si="24">+L41</f>
        <v>31500</v>
      </c>
      <c r="X41" s="110">
        <f t="shared" ref="X41:X72" si="25">+K41</f>
        <v>3284.6</v>
      </c>
      <c r="Y41" s="110">
        <f t="shared" ref="Y41:Y72" si="26">+M41</f>
        <v>2520</v>
      </c>
      <c r="Z41" s="110">
        <f t="shared" ref="Z41:Z72" si="27">+W41/2-X41-Y41</f>
        <v>9945.4</v>
      </c>
      <c r="AA41" s="260">
        <f t="shared" ref="AA41:AA72" si="28">+Z41/(W41/2)</f>
        <v>0.63145396825396827</v>
      </c>
      <c r="AB41" s="28">
        <f t="shared" ref="AB41:AB72" si="29">ROUND($W41/2/$X$1,1)</f>
        <v>10.4</v>
      </c>
      <c r="AC41" s="261">
        <f t="shared" ref="AC41:AC72" si="30">+(AB41*$X$1-$X41-$Y41)/(AB41*$X$1)</f>
        <v>0.63195871059372544</v>
      </c>
      <c r="AD41" s="111">
        <f t="shared" ref="AD41:AD72" si="31">+IFERROR(ROUND(($X41+$Y41)/(1-$X$2)/$X$1,1),0)</f>
        <v>4</v>
      </c>
      <c r="AE41" s="262">
        <f t="shared" ref="AE41:AE72" si="32">+(AD41*$X$1-$X41-$Y41)/(AD41*$X$1)</f>
        <v>4.3092647543686136E-2</v>
      </c>
      <c r="AF41" s="100"/>
      <c r="AG41" s="111">
        <f t="shared" ref="AG41:AG72" si="33">+IFERROR(ROUND(($X41+$Y41)/(1-$AG$2)/$X$1,1),0)</f>
        <v>6.4</v>
      </c>
      <c r="AH41" s="262">
        <f t="shared" ref="AH41:AH72" si="34">+(AG41*$X$1-$X41-$Y41)/(AG41*$X$1)</f>
        <v>0.40193290471480381</v>
      </c>
      <c r="AI41" s="100"/>
      <c r="AJ41" s="111">
        <f t="shared" ref="AJ41:AJ72" si="35">+IFERROR(ROUND(($X41+$Y41)/(1-$AJ$2)/$X$1,1),0)</f>
        <v>5.9</v>
      </c>
      <c r="AK41" s="262">
        <f t="shared" ref="AK41:AK72" si="36">+(AJ41*$X$1-$X41-$Y41)/(AJ41*$X$1)</f>
        <v>0.35124925257199058</v>
      </c>
      <c r="AL41" s="100"/>
      <c r="AM41" s="111">
        <f t="shared" ref="AM41:AM72" si="37">+IFERROR(ROUND(($X41+$Y41)/(1-$AM$2)/$X$1,1),0)</f>
        <v>5.5</v>
      </c>
      <c r="AN41" s="262">
        <f t="shared" ref="AN41:AN72" si="38">+(AM41*$X$1-$X41-$Y41)/(AM41*$X$1)</f>
        <v>0.30406738003177169</v>
      </c>
      <c r="AO41" s="100"/>
      <c r="AP41" s="24" t="e">
        <f>VLOOKUP(C41,#REF!,6,FALSE)</f>
        <v>#REF!</v>
      </c>
      <c r="AQ41" s="24" t="e">
        <f>VLOOKUP(C41,#REF!,7,FALSE)</f>
        <v>#REF!</v>
      </c>
      <c r="AR41" s="24" t="e">
        <f>VLOOKUP(C41,#REF!,12,FALSE)</f>
        <v>#REF!</v>
      </c>
      <c r="AS41" s="24" t="e">
        <f>VLOOKUP(C41,#REF!,13,FALSE)</f>
        <v>#REF!</v>
      </c>
      <c r="AT41" s="100"/>
      <c r="AU41" s="100"/>
      <c r="AV41" s="100">
        <v>31</v>
      </c>
      <c r="AW41" s="100"/>
      <c r="AY41" s="9">
        <v>31500</v>
      </c>
    </row>
    <row r="42" spans="1:51" s="2" customFormat="1" ht="12.75" customHeight="1" x14ac:dyDescent="0.2">
      <c r="A42" s="6" t="s">
        <v>2246</v>
      </c>
      <c r="B42" s="153">
        <v>9789500217385</v>
      </c>
      <c r="C42" s="6">
        <v>741692</v>
      </c>
      <c r="D42" s="41">
        <v>216</v>
      </c>
      <c r="E42" s="316" t="s">
        <v>541</v>
      </c>
      <c r="F42" s="6" t="s">
        <v>2247</v>
      </c>
      <c r="G42" s="107">
        <v>46082</v>
      </c>
      <c r="H42" s="108">
        <v>46054</v>
      </c>
      <c r="I42" s="7">
        <v>3000</v>
      </c>
      <c r="J42" s="7" t="s">
        <v>1762</v>
      </c>
      <c r="K42" s="148">
        <v>2386.19</v>
      </c>
      <c r="L42" s="9">
        <v>27900</v>
      </c>
      <c r="M42" s="9">
        <f>+L42*0.1</f>
        <v>2790</v>
      </c>
      <c r="N42" s="9">
        <f t="shared" si="20"/>
        <v>13950</v>
      </c>
      <c r="O42" s="9">
        <f t="shared" si="21"/>
        <v>8773.81</v>
      </c>
      <c r="P42" s="9">
        <f t="shared" si="22"/>
        <v>5176.1900000000005</v>
      </c>
      <c r="Q42" s="139">
        <f t="shared" si="23"/>
        <v>0.62894695340501794</v>
      </c>
      <c r="R42" s="336">
        <v>27900</v>
      </c>
      <c r="S42" s="359" t="s">
        <v>1948</v>
      </c>
      <c r="T42" s="305">
        <v>0.62894695340501794</v>
      </c>
      <c r="U42" s="6"/>
      <c r="V42" s="100"/>
      <c r="W42" s="110">
        <f t="shared" si="24"/>
        <v>27900</v>
      </c>
      <c r="X42" s="110">
        <f t="shared" si="25"/>
        <v>2386.19</v>
      </c>
      <c r="Y42" s="110">
        <f t="shared" si="26"/>
        <v>2790</v>
      </c>
      <c r="Z42" s="110">
        <f t="shared" si="27"/>
        <v>8773.81</v>
      </c>
      <c r="AA42" s="260">
        <f t="shared" si="28"/>
        <v>0.62894695340501794</v>
      </c>
      <c r="AB42" s="28">
        <f t="shared" si="29"/>
        <v>9.1999999999999993</v>
      </c>
      <c r="AC42" s="261">
        <f t="shared" si="30"/>
        <v>0.62899482504049653</v>
      </c>
      <c r="AD42" s="111">
        <f t="shared" si="31"/>
        <v>3.6</v>
      </c>
      <c r="AE42" s="262">
        <f t="shared" si="32"/>
        <v>5.1875663992380201E-2</v>
      </c>
      <c r="AF42" s="100"/>
      <c r="AG42" s="111">
        <f t="shared" si="33"/>
        <v>5.7</v>
      </c>
      <c r="AH42" s="262">
        <f t="shared" si="34"/>
        <v>0.40118462988992432</v>
      </c>
      <c r="AI42" s="100"/>
      <c r="AJ42" s="111">
        <f t="shared" si="35"/>
        <v>5.3</v>
      </c>
      <c r="AK42" s="262">
        <f t="shared" si="36"/>
        <v>0.35599101705142805</v>
      </c>
      <c r="AL42" s="100"/>
      <c r="AM42" s="111">
        <f t="shared" si="37"/>
        <v>4.9000000000000004</v>
      </c>
      <c r="AN42" s="262">
        <f t="shared" si="38"/>
        <v>0.30341885517807515</v>
      </c>
      <c r="AO42" s="100"/>
      <c r="AP42" s="24" t="e">
        <f>VLOOKUP(C42,#REF!,6,FALSE)</f>
        <v>#REF!</v>
      </c>
      <c r="AQ42" s="24" t="e">
        <f>VLOOKUP(C42,#REF!,7,FALSE)</f>
        <v>#REF!</v>
      </c>
      <c r="AR42" s="24" t="e">
        <f>VLOOKUP(C42,#REF!,12,FALSE)</f>
        <v>#REF!</v>
      </c>
      <c r="AS42" s="24" t="e">
        <f>VLOOKUP(C42,#REF!,13,FALSE)</f>
        <v>#REF!</v>
      </c>
      <c r="AT42" s="100"/>
      <c r="AU42" s="100"/>
      <c r="AV42" s="100">
        <v>32</v>
      </c>
      <c r="AW42" s="100"/>
      <c r="AY42" s="9">
        <v>27900</v>
      </c>
    </row>
    <row r="43" spans="1:51" s="2" customFormat="1" ht="12.75" customHeight="1" x14ac:dyDescent="0.2">
      <c r="A43" s="6" t="s">
        <v>2223</v>
      </c>
      <c r="B43" s="153">
        <v>9789500217286</v>
      </c>
      <c r="C43" s="6">
        <v>740757</v>
      </c>
      <c r="D43" s="41">
        <v>192</v>
      </c>
      <c r="E43" s="316" t="s">
        <v>2224</v>
      </c>
      <c r="F43" s="6" t="s">
        <v>2225</v>
      </c>
      <c r="G43" s="107">
        <v>46054</v>
      </c>
      <c r="H43" s="108">
        <v>46023</v>
      </c>
      <c r="I43" s="7">
        <v>4060</v>
      </c>
      <c r="J43" s="7" t="s">
        <v>1762</v>
      </c>
      <c r="K43" s="148">
        <v>2249.59</v>
      </c>
      <c r="L43" s="9">
        <v>25900</v>
      </c>
      <c r="M43" s="9">
        <f>+L43*0.1</f>
        <v>2590</v>
      </c>
      <c r="N43" s="9">
        <f t="shared" si="20"/>
        <v>12950</v>
      </c>
      <c r="O43" s="9">
        <f t="shared" si="21"/>
        <v>8110.41</v>
      </c>
      <c r="P43" s="9">
        <f t="shared" si="22"/>
        <v>4839.59</v>
      </c>
      <c r="Q43" s="139">
        <f t="shared" si="23"/>
        <v>0.62628648648648644</v>
      </c>
      <c r="R43" s="336">
        <v>25900</v>
      </c>
      <c r="S43" s="359" t="s">
        <v>1948</v>
      </c>
      <c r="T43" s="305">
        <v>0.62628648648648644</v>
      </c>
      <c r="U43" s="6"/>
      <c r="V43" s="100"/>
      <c r="W43" s="110">
        <f t="shared" si="24"/>
        <v>25900</v>
      </c>
      <c r="X43" s="110">
        <f t="shared" si="25"/>
        <v>2249.59</v>
      </c>
      <c r="Y43" s="110">
        <f t="shared" si="26"/>
        <v>2590</v>
      </c>
      <c r="Z43" s="110">
        <f t="shared" si="27"/>
        <v>8110.41</v>
      </c>
      <c r="AA43" s="260">
        <f t="shared" si="28"/>
        <v>0.62628648648648644</v>
      </c>
      <c r="AB43" s="28">
        <f t="shared" si="29"/>
        <v>8.5</v>
      </c>
      <c r="AC43" s="261">
        <f t="shared" si="30"/>
        <v>0.62455421733480732</v>
      </c>
      <c r="AD43" s="111">
        <f t="shared" si="31"/>
        <v>3.4</v>
      </c>
      <c r="AE43" s="262">
        <f t="shared" si="32"/>
        <v>6.1385543337018164E-2</v>
      </c>
      <c r="AF43" s="100"/>
      <c r="AG43" s="111">
        <f t="shared" si="33"/>
        <v>5.3</v>
      </c>
      <c r="AH43" s="262">
        <f t="shared" si="34"/>
        <v>0.39786997119733247</v>
      </c>
      <c r="AI43" s="100"/>
      <c r="AJ43" s="111">
        <f t="shared" si="35"/>
        <v>4.9000000000000004</v>
      </c>
      <c r="AK43" s="262">
        <f t="shared" si="36"/>
        <v>0.34871649945833921</v>
      </c>
      <c r="AL43" s="100"/>
      <c r="AM43" s="111">
        <f t="shared" si="37"/>
        <v>4.5999999999999996</v>
      </c>
      <c r="AN43" s="262">
        <f t="shared" si="38"/>
        <v>0.30624148855344824</v>
      </c>
      <c r="AO43" s="100"/>
      <c r="AP43" s="24" t="e">
        <f>VLOOKUP(C43,#REF!,6,FALSE)</f>
        <v>#REF!</v>
      </c>
      <c r="AQ43" s="24" t="e">
        <f>VLOOKUP(C43,#REF!,7,FALSE)</f>
        <v>#REF!</v>
      </c>
      <c r="AR43" s="24" t="e">
        <f>VLOOKUP(C43,#REF!,12,FALSE)</f>
        <v>#REF!</v>
      </c>
      <c r="AS43" s="24" t="e">
        <f>VLOOKUP(C43,#REF!,13,FALSE)</f>
        <v>#REF!</v>
      </c>
      <c r="AT43" s="100"/>
      <c r="AU43" s="100"/>
      <c r="AV43" s="100">
        <v>33</v>
      </c>
      <c r="AW43" s="100"/>
      <c r="AY43" s="9">
        <v>25900</v>
      </c>
    </row>
    <row r="44" spans="1:51" s="2" customFormat="1" ht="12.75" customHeight="1" x14ac:dyDescent="0.2">
      <c r="A44" s="6" t="s">
        <v>2202</v>
      </c>
      <c r="B44" s="153">
        <v>9789500217194</v>
      </c>
      <c r="C44" s="6">
        <v>740153</v>
      </c>
      <c r="D44" s="41">
        <v>176</v>
      </c>
      <c r="E44" s="316" t="s">
        <v>2203</v>
      </c>
      <c r="F44" s="316" t="s">
        <v>2218</v>
      </c>
      <c r="G44" s="107">
        <v>46023</v>
      </c>
      <c r="H44" s="108">
        <v>45992</v>
      </c>
      <c r="I44" s="7">
        <v>4014</v>
      </c>
      <c r="J44" s="7" t="s">
        <v>1762</v>
      </c>
      <c r="K44" s="292">
        <v>1591.48</v>
      </c>
      <c r="L44" s="9">
        <v>24900</v>
      </c>
      <c r="M44" s="112"/>
      <c r="N44" s="9">
        <f t="shared" si="20"/>
        <v>12450</v>
      </c>
      <c r="O44" s="9">
        <f t="shared" si="21"/>
        <v>10858.52</v>
      </c>
      <c r="P44" s="9">
        <f t="shared" si="22"/>
        <v>1591.48</v>
      </c>
      <c r="Q44" s="139">
        <f t="shared" si="23"/>
        <v>0.87217028112449801</v>
      </c>
      <c r="R44" s="336">
        <v>24900</v>
      </c>
      <c r="S44" s="359" t="s">
        <v>1948</v>
      </c>
      <c r="T44" s="305">
        <v>0.87217028112449801</v>
      </c>
      <c r="U44" s="6"/>
      <c r="V44" s="100"/>
      <c r="W44" s="110">
        <f t="shared" si="24"/>
        <v>24900</v>
      </c>
      <c r="X44" s="110">
        <f t="shared" si="25"/>
        <v>1591.48</v>
      </c>
      <c r="Y44" s="110">
        <f t="shared" si="26"/>
        <v>0</v>
      </c>
      <c r="Z44" s="110">
        <f t="shared" si="27"/>
        <v>10858.52</v>
      </c>
      <c r="AA44" s="260">
        <f t="shared" si="28"/>
        <v>0.87217028112449801</v>
      </c>
      <c r="AB44" s="28">
        <f t="shared" si="29"/>
        <v>8.1999999999999993</v>
      </c>
      <c r="AC44" s="261">
        <f t="shared" si="30"/>
        <v>0.87201917123028805</v>
      </c>
      <c r="AD44" s="111">
        <f t="shared" si="31"/>
        <v>1.1000000000000001</v>
      </c>
      <c r="AE44" s="262">
        <f t="shared" si="32"/>
        <v>4.5961094625783093E-2</v>
      </c>
      <c r="AF44" s="100"/>
      <c r="AG44" s="111">
        <f t="shared" si="33"/>
        <v>1.7</v>
      </c>
      <c r="AH44" s="262">
        <f t="shared" si="34"/>
        <v>0.3826807082872713</v>
      </c>
      <c r="AI44" s="100"/>
      <c r="AJ44" s="111">
        <f t="shared" si="35"/>
        <v>1.6</v>
      </c>
      <c r="AK44" s="262">
        <f t="shared" si="36"/>
        <v>0.34409825255522586</v>
      </c>
      <c r="AL44" s="100"/>
      <c r="AM44" s="111">
        <f t="shared" si="37"/>
        <v>1.5</v>
      </c>
      <c r="AN44" s="262">
        <f t="shared" si="38"/>
        <v>0.30037146939224091</v>
      </c>
      <c r="AO44" s="100"/>
      <c r="AP44" s="24" t="e">
        <f>VLOOKUP(C44,#REF!,6,FALSE)</f>
        <v>#REF!</v>
      </c>
      <c r="AQ44" s="24" t="e">
        <f>VLOOKUP(C44,#REF!,7,FALSE)</f>
        <v>#REF!</v>
      </c>
      <c r="AR44" s="24" t="e">
        <f>VLOOKUP(C44,#REF!,12,FALSE)</f>
        <v>#REF!</v>
      </c>
      <c r="AS44" s="24" t="e">
        <f>VLOOKUP(C44,#REF!,13,FALSE)</f>
        <v>#REF!</v>
      </c>
      <c r="AT44" s="100"/>
      <c r="AU44" s="100"/>
      <c r="AV44" s="100">
        <v>34</v>
      </c>
      <c r="AW44" s="100"/>
      <c r="AY44" s="9">
        <v>24900</v>
      </c>
    </row>
    <row r="45" spans="1:51" s="2" customFormat="1" ht="12.75" customHeight="1" x14ac:dyDescent="0.2">
      <c r="A45" s="6" t="s">
        <v>2199</v>
      </c>
      <c r="B45" s="153">
        <v>9789500217200</v>
      </c>
      <c r="C45" s="6">
        <v>740155</v>
      </c>
      <c r="D45" s="41">
        <v>256</v>
      </c>
      <c r="E45" s="6" t="s">
        <v>2200</v>
      </c>
      <c r="F45" s="6" t="s">
        <v>2201</v>
      </c>
      <c r="G45" s="107">
        <v>46023</v>
      </c>
      <c r="H45" s="108">
        <v>45992</v>
      </c>
      <c r="I45" s="7">
        <v>4091</v>
      </c>
      <c r="J45" s="7" t="s">
        <v>1762</v>
      </c>
      <c r="K45" s="7">
        <v>2277.37</v>
      </c>
      <c r="L45" s="9">
        <v>23900</v>
      </c>
      <c r="M45" s="112">
        <f>+L45*0.08</f>
        <v>1912</v>
      </c>
      <c r="N45" s="9">
        <f t="shared" si="20"/>
        <v>11950</v>
      </c>
      <c r="O45" s="9">
        <f t="shared" si="21"/>
        <v>7760.63</v>
      </c>
      <c r="P45" s="9">
        <f t="shared" si="22"/>
        <v>4189.37</v>
      </c>
      <c r="Q45" s="139">
        <f t="shared" si="23"/>
        <v>0.64942510460251046</v>
      </c>
      <c r="R45" s="336">
        <v>23900</v>
      </c>
      <c r="S45" s="359" t="s">
        <v>1948</v>
      </c>
      <c r="T45" s="305">
        <v>0.64942510460251046</v>
      </c>
      <c r="U45" s="6"/>
      <c r="V45" s="100"/>
      <c r="W45" s="110">
        <f t="shared" si="24"/>
        <v>23900</v>
      </c>
      <c r="X45" s="110">
        <f t="shared" si="25"/>
        <v>2277.37</v>
      </c>
      <c r="Y45" s="110">
        <f t="shared" si="26"/>
        <v>1912</v>
      </c>
      <c r="Z45" s="110">
        <f t="shared" si="27"/>
        <v>7760.630000000001</v>
      </c>
      <c r="AA45" s="260">
        <f t="shared" si="28"/>
        <v>0.64942510460251057</v>
      </c>
      <c r="AB45" s="28">
        <f t="shared" si="29"/>
        <v>7.9</v>
      </c>
      <c r="AC45" s="261">
        <f t="shared" si="30"/>
        <v>0.65031322123310253</v>
      </c>
      <c r="AD45" s="111">
        <f t="shared" si="31"/>
        <v>2.9</v>
      </c>
      <c r="AE45" s="262">
        <f t="shared" si="32"/>
        <v>4.7404981979830958E-2</v>
      </c>
      <c r="AF45" s="100"/>
      <c r="AG45" s="111">
        <f t="shared" si="33"/>
        <v>4.5999999999999996</v>
      </c>
      <c r="AH45" s="262">
        <f t="shared" si="34"/>
        <v>0.39945096690032827</v>
      </c>
      <c r="AI45" s="100"/>
      <c r="AJ45" s="111">
        <f t="shared" si="35"/>
        <v>4.3</v>
      </c>
      <c r="AK45" s="262">
        <f t="shared" si="36"/>
        <v>0.3575521971491884</v>
      </c>
      <c r="AL45" s="100"/>
      <c r="AM45" s="111">
        <f t="shared" si="37"/>
        <v>3.9</v>
      </c>
      <c r="AN45" s="262">
        <f t="shared" si="38"/>
        <v>0.29166011480551535</v>
      </c>
      <c r="AO45" s="100"/>
      <c r="AP45" s="24" t="e">
        <f>VLOOKUP(C45,#REF!,6,FALSE)</f>
        <v>#REF!</v>
      </c>
      <c r="AQ45" s="24" t="e">
        <f>VLOOKUP(C45,#REF!,7,FALSE)</f>
        <v>#REF!</v>
      </c>
      <c r="AR45" s="24" t="e">
        <f>VLOOKUP(C45,#REF!,12,FALSE)</f>
        <v>#REF!</v>
      </c>
      <c r="AS45" s="24" t="e">
        <f>VLOOKUP(C45,#REF!,13,FALSE)</f>
        <v>#REF!</v>
      </c>
      <c r="AT45" s="100"/>
      <c r="AU45" s="100"/>
      <c r="AV45" s="100">
        <v>35</v>
      </c>
      <c r="AW45" s="100"/>
      <c r="AY45" s="9">
        <v>23900</v>
      </c>
    </row>
    <row r="46" spans="1:51" s="2" customFormat="1" ht="12.75" customHeight="1" x14ac:dyDescent="0.2">
      <c r="A46" s="6" t="s">
        <v>2146</v>
      </c>
      <c r="B46" s="153">
        <v>9789500216722</v>
      </c>
      <c r="C46" s="6">
        <v>735110</v>
      </c>
      <c r="D46" s="41">
        <v>240</v>
      </c>
      <c r="E46" s="6" t="s">
        <v>1782</v>
      </c>
      <c r="F46" s="6" t="s">
        <v>2147</v>
      </c>
      <c r="G46" s="107">
        <v>45931</v>
      </c>
      <c r="H46" s="108">
        <v>46023</v>
      </c>
      <c r="I46" s="7">
        <v>2077</v>
      </c>
      <c r="J46" s="7" t="s">
        <v>1762</v>
      </c>
      <c r="K46" s="148">
        <v>2136.94</v>
      </c>
      <c r="L46" s="9">
        <v>26900</v>
      </c>
      <c r="M46" s="112">
        <f>+L46*0.08</f>
        <v>2152</v>
      </c>
      <c r="N46" s="9">
        <f t="shared" si="20"/>
        <v>13450</v>
      </c>
      <c r="O46" s="9">
        <f t="shared" si="21"/>
        <v>9161.06</v>
      </c>
      <c r="P46" s="9">
        <f t="shared" si="22"/>
        <v>4288.9400000000005</v>
      </c>
      <c r="Q46" s="139">
        <f t="shared" si="23"/>
        <v>0.68111970260223043</v>
      </c>
      <c r="R46" s="336">
        <v>26900</v>
      </c>
      <c r="S46" s="359" t="s">
        <v>1948</v>
      </c>
      <c r="T46" s="305">
        <v>0.68111970260223043</v>
      </c>
      <c r="U46" s="6"/>
      <c r="V46" s="100"/>
      <c r="W46" s="110">
        <f t="shared" si="24"/>
        <v>26900</v>
      </c>
      <c r="X46" s="110">
        <f t="shared" si="25"/>
        <v>2136.94</v>
      </c>
      <c r="Y46" s="110">
        <f t="shared" si="26"/>
        <v>2152</v>
      </c>
      <c r="Z46" s="110">
        <f t="shared" si="27"/>
        <v>9161.06</v>
      </c>
      <c r="AA46" s="260">
        <f t="shared" si="28"/>
        <v>0.68111970260223043</v>
      </c>
      <c r="AB46" s="28">
        <f t="shared" si="29"/>
        <v>8.9</v>
      </c>
      <c r="AC46" s="261">
        <f t="shared" si="30"/>
        <v>0.68222659361258364</v>
      </c>
      <c r="AD46" s="111">
        <f t="shared" si="31"/>
        <v>3</v>
      </c>
      <c r="AE46" s="262">
        <f t="shared" si="32"/>
        <v>5.7272227717331564E-2</v>
      </c>
      <c r="AF46" s="100"/>
      <c r="AG46" s="111">
        <f t="shared" si="33"/>
        <v>4.7</v>
      </c>
      <c r="AH46" s="262">
        <f t="shared" si="34"/>
        <v>0.39825886875574362</v>
      </c>
      <c r="AI46" s="100"/>
      <c r="AJ46" s="111">
        <f t="shared" si="35"/>
        <v>4.4000000000000004</v>
      </c>
      <c r="AK46" s="262">
        <f t="shared" si="36"/>
        <v>0.35723106435272606</v>
      </c>
      <c r="AL46" s="100"/>
      <c r="AM46" s="111">
        <f t="shared" si="37"/>
        <v>4</v>
      </c>
      <c r="AN46" s="262">
        <f t="shared" si="38"/>
        <v>0.29295417078799868</v>
      </c>
      <c r="AO46" s="100"/>
      <c r="AP46" s="24" t="e">
        <f>VLOOKUP(C46,#REF!,6,FALSE)</f>
        <v>#REF!</v>
      </c>
      <c r="AQ46" s="24" t="e">
        <f>VLOOKUP(C46,#REF!,7,FALSE)</f>
        <v>#REF!</v>
      </c>
      <c r="AR46" s="24" t="e">
        <f>VLOOKUP(C46,#REF!,12,FALSE)</f>
        <v>#REF!</v>
      </c>
      <c r="AS46" s="24" t="e">
        <f>VLOOKUP(C46,#REF!,13,FALSE)</f>
        <v>#REF!</v>
      </c>
      <c r="AT46" s="100"/>
      <c r="AU46" s="100"/>
      <c r="AV46" s="100">
        <v>36</v>
      </c>
      <c r="AW46" s="100"/>
      <c r="AY46" s="9">
        <v>26900</v>
      </c>
    </row>
    <row r="47" spans="1:51" s="2" customFormat="1" ht="12.75" customHeight="1" x14ac:dyDescent="0.2">
      <c r="A47" s="6" t="s">
        <v>2055</v>
      </c>
      <c r="B47" s="279">
        <v>9789500216340</v>
      </c>
      <c r="C47" s="6">
        <v>730436</v>
      </c>
      <c r="D47" s="41">
        <v>224</v>
      </c>
      <c r="E47" s="6" t="s">
        <v>2056</v>
      </c>
      <c r="F47" s="6" t="s">
        <v>2065</v>
      </c>
      <c r="G47" s="108">
        <v>45809</v>
      </c>
      <c r="H47" s="108">
        <v>46023</v>
      </c>
      <c r="I47" s="264">
        <v>2096</v>
      </c>
      <c r="J47" s="6" t="s">
        <v>2136</v>
      </c>
      <c r="K47" s="292">
        <v>1396.54</v>
      </c>
      <c r="L47" s="9">
        <v>27600</v>
      </c>
      <c r="M47" s="112">
        <f>+L47*0.08</f>
        <v>2208</v>
      </c>
      <c r="N47" s="9">
        <f t="shared" si="20"/>
        <v>13800</v>
      </c>
      <c r="O47" s="9">
        <f t="shared" si="21"/>
        <v>10195.459999999999</v>
      </c>
      <c r="P47" s="9">
        <f t="shared" si="22"/>
        <v>3604.54</v>
      </c>
      <c r="Q47" s="139">
        <f t="shared" si="23"/>
        <v>0.73880144927536229</v>
      </c>
      <c r="R47" s="336">
        <v>27600</v>
      </c>
      <c r="S47" s="359" t="s">
        <v>1948</v>
      </c>
      <c r="T47" s="305">
        <v>0.73880144927536229</v>
      </c>
      <c r="U47" s="6"/>
      <c r="V47" s="100"/>
      <c r="W47" s="110">
        <f t="shared" si="24"/>
        <v>27600</v>
      </c>
      <c r="X47" s="110">
        <f t="shared" si="25"/>
        <v>1396.54</v>
      </c>
      <c r="Y47" s="110">
        <f t="shared" si="26"/>
        <v>2208</v>
      </c>
      <c r="Z47" s="110">
        <f t="shared" si="27"/>
        <v>10195.459999999999</v>
      </c>
      <c r="AA47" s="260">
        <f t="shared" si="28"/>
        <v>0.73880144927536229</v>
      </c>
      <c r="AB47" s="28">
        <f t="shared" si="29"/>
        <v>9.1</v>
      </c>
      <c r="AC47" s="261">
        <f t="shared" si="30"/>
        <v>0.73880428835918455</v>
      </c>
      <c r="AD47" s="111">
        <f t="shared" si="31"/>
        <v>2.5</v>
      </c>
      <c r="AE47" s="262">
        <f t="shared" si="32"/>
        <v>4.9247609627431597E-2</v>
      </c>
      <c r="AF47" s="100"/>
      <c r="AG47" s="111">
        <f t="shared" si="33"/>
        <v>4</v>
      </c>
      <c r="AH47" s="262">
        <f t="shared" si="34"/>
        <v>0.40577975601714472</v>
      </c>
      <c r="AI47" s="100"/>
      <c r="AJ47" s="111">
        <f t="shared" si="35"/>
        <v>3.7</v>
      </c>
      <c r="AK47" s="262">
        <f t="shared" si="36"/>
        <v>0.35759973623475111</v>
      </c>
      <c r="AL47" s="100"/>
      <c r="AM47" s="111">
        <f t="shared" si="37"/>
        <v>3.4</v>
      </c>
      <c r="AN47" s="262">
        <f t="shared" si="38"/>
        <v>0.30091736002017022</v>
      </c>
      <c r="AO47" s="100"/>
      <c r="AP47" s="24" t="e">
        <f>VLOOKUP(C47,#REF!,6,FALSE)</f>
        <v>#REF!</v>
      </c>
      <c r="AQ47" s="24" t="e">
        <f>VLOOKUP(C47,#REF!,7,FALSE)</f>
        <v>#REF!</v>
      </c>
      <c r="AR47" s="24" t="e">
        <f>VLOOKUP(C47,#REF!,12,FALSE)</f>
        <v>#REF!</v>
      </c>
      <c r="AS47" s="24" t="e">
        <f>VLOOKUP(C47,#REF!,13,FALSE)</f>
        <v>#REF!</v>
      </c>
      <c r="AT47" s="100"/>
      <c r="AU47" s="100"/>
      <c r="AV47" s="100">
        <v>37</v>
      </c>
      <c r="AW47" s="100"/>
      <c r="AY47" s="9">
        <v>27600</v>
      </c>
    </row>
    <row r="48" spans="1:51" s="2" customFormat="1" ht="12.75" customHeight="1" x14ac:dyDescent="0.2">
      <c r="A48" s="7" t="s">
        <v>1928</v>
      </c>
      <c r="B48" s="282">
        <v>9789500215626</v>
      </c>
      <c r="C48" s="8">
        <v>722600</v>
      </c>
      <c r="D48" s="25">
        <v>192</v>
      </c>
      <c r="E48" s="278" t="s">
        <v>1929</v>
      </c>
      <c r="F48" s="278" t="s">
        <v>1930</v>
      </c>
      <c r="G48" s="107">
        <v>45597</v>
      </c>
      <c r="H48" s="108">
        <v>45566</v>
      </c>
      <c r="I48" s="264">
        <v>5133</v>
      </c>
      <c r="J48" s="28" t="s">
        <v>2136</v>
      </c>
      <c r="K48" s="148">
        <v>1613.05</v>
      </c>
      <c r="L48" s="9">
        <v>30300</v>
      </c>
      <c r="M48" s="112">
        <f>+L48*0.1</f>
        <v>3030</v>
      </c>
      <c r="N48" s="9">
        <f t="shared" si="20"/>
        <v>15150</v>
      </c>
      <c r="O48" s="9">
        <f t="shared" si="21"/>
        <v>10506.95</v>
      </c>
      <c r="P48" s="9">
        <f t="shared" si="22"/>
        <v>4643.05</v>
      </c>
      <c r="Q48" s="139">
        <f t="shared" si="23"/>
        <v>0.69352805280528063</v>
      </c>
      <c r="R48" s="336">
        <v>30300</v>
      </c>
      <c r="S48" s="359" t="s">
        <v>1948</v>
      </c>
      <c r="T48" s="305">
        <v>0.69352805280528063</v>
      </c>
      <c r="U48" s="6"/>
      <c r="V48" s="100"/>
      <c r="W48" s="110">
        <f t="shared" si="24"/>
        <v>30300</v>
      </c>
      <c r="X48" s="110">
        <f t="shared" si="25"/>
        <v>1613.05</v>
      </c>
      <c r="Y48" s="110">
        <f t="shared" si="26"/>
        <v>3030</v>
      </c>
      <c r="Z48" s="110">
        <f t="shared" si="27"/>
        <v>10506.95</v>
      </c>
      <c r="AA48" s="260">
        <f t="shared" si="28"/>
        <v>0.69352805280528063</v>
      </c>
      <c r="AB48" s="28">
        <f t="shared" si="29"/>
        <v>10</v>
      </c>
      <c r="AC48" s="261">
        <f t="shared" si="30"/>
        <v>0.69383119024068585</v>
      </c>
      <c r="AD48" s="111">
        <f t="shared" si="31"/>
        <v>3.2</v>
      </c>
      <c r="AE48" s="262">
        <f t="shared" si="32"/>
        <v>4.322246950214309E-2</v>
      </c>
      <c r="AF48" s="100"/>
      <c r="AG48" s="111">
        <f t="shared" si="33"/>
        <v>5.0999999999999996</v>
      </c>
      <c r="AH48" s="262">
        <f t="shared" si="34"/>
        <v>0.39966900047193288</v>
      </c>
      <c r="AI48" s="100"/>
      <c r="AJ48" s="111">
        <f t="shared" si="35"/>
        <v>4.7</v>
      </c>
      <c r="AK48" s="262">
        <f t="shared" si="36"/>
        <v>0.34857700051209739</v>
      </c>
      <c r="AL48" s="100"/>
      <c r="AM48" s="111">
        <f t="shared" si="37"/>
        <v>4.4000000000000004</v>
      </c>
      <c r="AN48" s="262">
        <f t="shared" si="38"/>
        <v>0.30416179600155863</v>
      </c>
      <c r="AO48" s="100"/>
      <c r="AP48" s="24" t="e">
        <f>VLOOKUP(C48,#REF!,6,FALSE)</f>
        <v>#REF!</v>
      </c>
      <c r="AQ48" s="24" t="e">
        <f>VLOOKUP(C48,#REF!,7,FALSE)</f>
        <v>#REF!</v>
      </c>
      <c r="AR48" s="24" t="e">
        <f>VLOOKUP(C48,#REF!,12,FALSE)</f>
        <v>#REF!</v>
      </c>
      <c r="AS48" s="24" t="e">
        <f>VLOOKUP(C48,#REF!,13,FALSE)</f>
        <v>#REF!</v>
      </c>
      <c r="AT48" s="100"/>
      <c r="AU48" s="100"/>
      <c r="AV48" s="100">
        <v>38</v>
      </c>
      <c r="AW48" s="100"/>
      <c r="AY48" s="9">
        <v>30300</v>
      </c>
    </row>
    <row r="49" spans="1:51" s="2" customFormat="1" ht="12.75" customHeight="1" x14ac:dyDescent="0.2">
      <c r="A49" s="7" t="s">
        <v>1931</v>
      </c>
      <c r="B49" s="282">
        <v>9789500215145</v>
      </c>
      <c r="C49" s="8">
        <v>722601</v>
      </c>
      <c r="D49" s="25">
        <v>288</v>
      </c>
      <c r="E49" s="278" t="s">
        <v>1932</v>
      </c>
      <c r="F49" s="278" t="s">
        <v>1933</v>
      </c>
      <c r="G49" s="107">
        <v>45597</v>
      </c>
      <c r="H49" s="108">
        <v>45566</v>
      </c>
      <c r="I49" s="264">
        <v>2065</v>
      </c>
      <c r="J49" s="28" t="s">
        <v>2136</v>
      </c>
      <c r="K49" s="148">
        <v>2455.67</v>
      </c>
      <c r="L49" s="9">
        <v>29900</v>
      </c>
      <c r="M49" s="112">
        <f>+L49*0.08</f>
        <v>2392</v>
      </c>
      <c r="N49" s="9">
        <f t="shared" si="20"/>
        <v>14950</v>
      </c>
      <c r="O49" s="9">
        <f t="shared" si="21"/>
        <v>10102.33</v>
      </c>
      <c r="P49" s="9">
        <f t="shared" si="22"/>
        <v>4847.67</v>
      </c>
      <c r="Q49" s="139">
        <f t="shared" si="23"/>
        <v>0.67574113712374584</v>
      </c>
      <c r="R49" s="336">
        <v>29900</v>
      </c>
      <c r="S49" s="359" t="s">
        <v>1948</v>
      </c>
      <c r="T49" s="305">
        <v>0.67574113712374584</v>
      </c>
      <c r="U49" s="6"/>
      <c r="V49" s="100"/>
      <c r="W49" s="110">
        <f t="shared" si="24"/>
        <v>29900</v>
      </c>
      <c r="X49" s="110">
        <f t="shared" si="25"/>
        <v>2455.67</v>
      </c>
      <c r="Y49" s="110">
        <f t="shared" si="26"/>
        <v>2392</v>
      </c>
      <c r="Z49" s="110">
        <f t="shared" si="27"/>
        <v>10102.33</v>
      </c>
      <c r="AA49" s="260">
        <f t="shared" si="28"/>
        <v>0.67574113712374584</v>
      </c>
      <c r="AB49" s="28">
        <f t="shared" si="29"/>
        <v>9.9</v>
      </c>
      <c r="AC49" s="261">
        <f t="shared" si="30"/>
        <v>0.67710937265833404</v>
      </c>
      <c r="AD49" s="111">
        <f t="shared" si="31"/>
        <v>3.4</v>
      </c>
      <c r="AE49" s="262">
        <f t="shared" si="32"/>
        <v>5.9818467446325595E-2</v>
      </c>
      <c r="AF49" s="100"/>
      <c r="AG49" s="111">
        <f t="shared" si="33"/>
        <v>5.3</v>
      </c>
      <c r="AH49" s="262">
        <f t="shared" si="34"/>
        <v>0.39686467722971835</v>
      </c>
      <c r="AI49" s="100"/>
      <c r="AJ49" s="111">
        <f t="shared" si="35"/>
        <v>4.9000000000000004</v>
      </c>
      <c r="AK49" s="262">
        <f t="shared" si="36"/>
        <v>0.34762914067704237</v>
      </c>
      <c r="AL49" s="100"/>
      <c r="AM49" s="111">
        <f t="shared" si="37"/>
        <v>4.5999999999999996</v>
      </c>
      <c r="AN49" s="262">
        <f t="shared" si="38"/>
        <v>0.30508321506902331</v>
      </c>
      <c r="AO49" s="100"/>
      <c r="AP49" s="24" t="e">
        <f>VLOOKUP(C49,#REF!,6,FALSE)</f>
        <v>#REF!</v>
      </c>
      <c r="AQ49" s="24" t="e">
        <f>VLOOKUP(C49,#REF!,7,FALSE)</f>
        <v>#REF!</v>
      </c>
      <c r="AR49" s="24" t="e">
        <f>VLOOKUP(C49,#REF!,12,FALSE)</f>
        <v>#REF!</v>
      </c>
      <c r="AS49" s="24" t="e">
        <f>VLOOKUP(C49,#REF!,13,FALSE)</f>
        <v>#REF!</v>
      </c>
      <c r="AT49" s="100"/>
      <c r="AU49" s="100"/>
      <c r="AV49" s="100">
        <v>39</v>
      </c>
      <c r="AW49" s="100"/>
      <c r="AY49" s="9">
        <v>29900</v>
      </c>
    </row>
    <row r="50" spans="1:51" s="2" customFormat="1" ht="12.75" customHeight="1" x14ac:dyDescent="0.2">
      <c r="A50" s="6" t="s">
        <v>1884</v>
      </c>
      <c r="B50" s="8">
        <v>9789500215411</v>
      </c>
      <c r="C50" s="8">
        <v>718922</v>
      </c>
      <c r="D50" s="41">
        <v>288</v>
      </c>
      <c r="E50" s="7" t="s">
        <v>1885</v>
      </c>
      <c r="F50" s="7" t="s">
        <v>1886</v>
      </c>
      <c r="G50" s="107">
        <v>45505</v>
      </c>
      <c r="H50" s="107">
        <v>45597</v>
      </c>
      <c r="I50" s="264">
        <v>2065</v>
      </c>
      <c r="J50" s="28" t="s">
        <v>1762</v>
      </c>
      <c r="K50" s="9">
        <v>2300.6999999999998</v>
      </c>
      <c r="L50" s="9">
        <v>33900</v>
      </c>
      <c r="M50" s="112"/>
      <c r="N50" s="9">
        <f t="shared" si="20"/>
        <v>16950</v>
      </c>
      <c r="O50" s="9">
        <f t="shared" si="21"/>
        <v>14649.3</v>
      </c>
      <c r="P50" s="9">
        <f t="shared" si="22"/>
        <v>2300.6999999999998</v>
      </c>
      <c r="Q50" s="139">
        <f t="shared" si="23"/>
        <v>0.86426548672566372</v>
      </c>
      <c r="R50" s="336">
        <v>33900</v>
      </c>
      <c r="S50" s="359" t="s">
        <v>1948</v>
      </c>
      <c r="T50" s="305">
        <v>0.86426548672566372</v>
      </c>
      <c r="U50" s="6"/>
      <c r="V50" s="100"/>
      <c r="W50" s="110">
        <f t="shared" si="24"/>
        <v>33900</v>
      </c>
      <c r="X50" s="110">
        <f t="shared" si="25"/>
        <v>2300.6999999999998</v>
      </c>
      <c r="Y50" s="110">
        <f t="shared" si="26"/>
        <v>0</v>
      </c>
      <c r="Z50" s="110">
        <f t="shared" si="27"/>
        <v>14649.3</v>
      </c>
      <c r="AA50" s="260">
        <f t="shared" si="28"/>
        <v>0.86426548672566372</v>
      </c>
      <c r="AB50" s="28">
        <f t="shared" si="29"/>
        <v>11.2</v>
      </c>
      <c r="AC50" s="261">
        <f t="shared" si="30"/>
        <v>0.86454359191747909</v>
      </c>
      <c r="AD50" s="111">
        <f t="shared" si="31"/>
        <v>1.6</v>
      </c>
      <c r="AE50" s="262">
        <f t="shared" si="32"/>
        <v>5.1805143422354212E-2</v>
      </c>
      <c r="AF50" s="100"/>
      <c r="AG50" s="111">
        <f t="shared" si="33"/>
        <v>2.5</v>
      </c>
      <c r="AH50" s="262">
        <f t="shared" si="34"/>
        <v>0.39315529179030667</v>
      </c>
      <c r="AI50" s="100"/>
      <c r="AJ50" s="111">
        <f t="shared" si="35"/>
        <v>2.2999999999999998</v>
      </c>
      <c r="AK50" s="262">
        <f t="shared" si="36"/>
        <v>0.34038618672859416</v>
      </c>
      <c r="AL50" s="100"/>
      <c r="AM50" s="111">
        <f t="shared" si="37"/>
        <v>2.2000000000000002</v>
      </c>
      <c r="AN50" s="262">
        <f t="shared" si="38"/>
        <v>0.31040374067080306</v>
      </c>
      <c r="AO50" s="100"/>
      <c r="AP50" s="24" t="e">
        <f>VLOOKUP(C50,#REF!,6,FALSE)</f>
        <v>#REF!</v>
      </c>
      <c r="AQ50" s="24" t="e">
        <f>VLOOKUP(C50,#REF!,7,FALSE)</f>
        <v>#REF!</v>
      </c>
      <c r="AR50" s="24" t="e">
        <f>VLOOKUP(C50,#REF!,12,FALSE)</f>
        <v>#REF!</v>
      </c>
      <c r="AS50" s="24" t="e">
        <f>VLOOKUP(C50,#REF!,13,FALSE)</f>
        <v>#REF!</v>
      </c>
      <c r="AT50" s="100"/>
      <c r="AU50" s="100"/>
      <c r="AV50" s="100">
        <v>40</v>
      </c>
      <c r="AW50" s="100"/>
      <c r="AY50" s="9">
        <v>33900</v>
      </c>
    </row>
    <row r="51" spans="1:51" s="2" customFormat="1" ht="12.75" customHeight="1" x14ac:dyDescent="0.2">
      <c r="A51" s="6" t="s">
        <v>1781</v>
      </c>
      <c r="B51" s="8">
        <v>9789500214971</v>
      </c>
      <c r="C51" s="8">
        <v>714587</v>
      </c>
      <c r="D51" s="41">
        <v>272</v>
      </c>
      <c r="E51" s="25" t="s">
        <v>1782</v>
      </c>
      <c r="F51" s="25" t="s">
        <v>1783</v>
      </c>
      <c r="G51" s="107">
        <v>45383</v>
      </c>
      <c r="H51" s="108">
        <v>45566</v>
      </c>
      <c r="I51" s="7">
        <v>2117</v>
      </c>
      <c r="J51" s="28" t="s">
        <v>1946</v>
      </c>
      <c r="K51" s="148">
        <v>2446.7399999999998</v>
      </c>
      <c r="L51" s="9">
        <v>20500</v>
      </c>
      <c r="M51" s="112">
        <f>+L51*0.08</f>
        <v>1640</v>
      </c>
      <c r="N51" s="9">
        <f t="shared" si="20"/>
        <v>10250</v>
      </c>
      <c r="O51" s="9">
        <f t="shared" si="21"/>
        <v>6163.26</v>
      </c>
      <c r="P51" s="9">
        <f t="shared" si="22"/>
        <v>4086.74</v>
      </c>
      <c r="Q51" s="139">
        <f t="shared" si="23"/>
        <v>0.60129365853658534</v>
      </c>
      <c r="R51" s="336">
        <v>20500</v>
      </c>
      <c r="S51" s="359" t="s">
        <v>1948</v>
      </c>
      <c r="T51" s="305">
        <v>0.60129365853658534</v>
      </c>
      <c r="U51" s="6"/>
      <c r="V51" s="100"/>
      <c r="W51" s="110">
        <f t="shared" si="24"/>
        <v>20500</v>
      </c>
      <c r="X51" s="110">
        <f t="shared" si="25"/>
        <v>2446.7399999999998</v>
      </c>
      <c r="Y51" s="110">
        <f t="shared" si="26"/>
        <v>1640</v>
      </c>
      <c r="Z51" s="110">
        <f t="shared" si="27"/>
        <v>6163.26</v>
      </c>
      <c r="AA51" s="260">
        <f t="shared" si="28"/>
        <v>0.60129365853658534</v>
      </c>
      <c r="AB51" s="28">
        <f t="shared" si="29"/>
        <v>6.8</v>
      </c>
      <c r="AC51" s="261">
        <f t="shared" si="30"/>
        <v>0.60369853183607769</v>
      </c>
      <c r="AD51" s="111">
        <f t="shared" si="31"/>
        <v>2.8</v>
      </c>
      <c r="AE51" s="262">
        <f t="shared" si="32"/>
        <v>3.7553577316188601E-2</v>
      </c>
      <c r="AF51" s="100"/>
      <c r="AG51" s="111">
        <f t="shared" si="33"/>
        <v>4.5</v>
      </c>
      <c r="AH51" s="262">
        <f t="shared" si="34"/>
        <v>0.40114444810785072</v>
      </c>
      <c r="AI51" s="100"/>
      <c r="AJ51" s="111">
        <f t="shared" si="35"/>
        <v>4.0999999999999996</v>
      </c>
      <c r="AK51" s="262">
        <f t="shared" si="36"/>
        <v>0.34271951621593366</v>
      </c>
      <c r="AL51" s="100"/>
      <c r="AM51" s="111">
        <f t="shared" si="37"/>
        <v>3.8</v>
      </c>
      <c r="AN51" s="262">
        <f t="shared" si="38"/>
        <v>0.29082895170666528</v>
      </c>
      <c r="AO51" s="100"/>
      <c r="AP51" s="24" t="e">
        <f>VLOOKUP(C51,#REF!,6,FALSE)</f>
        <v>#REF!</v>
      </c>
      <c r="AQ51" s="24" t="e">
        <f>VLOOKUP(C51,#REF!,7,FALSE)</f>
        <v>#REF!</v>
      </c>
      <c r="AR51" s="24" t="e">
        <f>VLOOKUP(C51,#REF!,12,FALSE)</f>
        <v>#REF!</v>
      </c>
      <c r="AS51" s="24" t="e">
        <f>VLOOKUP(C51,#REF!,13,FALSE)</f>
        <v>#REF!</v>
      </c>
      <c r="AT51" s="100"/>
      <c r="AU51" s="100"/>
      <c r="AV51" s="100">
        <v>41</v>
      </c>
      <c r="AW51" s="100"/>
      <c r="AY51" s="9">
        <v>20500</v>
      </c>
    </row>
    <row r="52" spans="1:51" s="132" customFormat="1" ht="12.75" customHeight="1" x14ac:dyDescent="0.2">
      <c r="A52" s="6" t="s">
        <v>973</v>
      </c>
      <c r="B52" s="8">
        <v>9789500213813</v>
      </c>
      <c r="C52" s="6">
        <v>706235</v>
      </c>
      <c r="D52" s="41">
        <v>288</v>
      </c>
      <c r="E52" s="7" t="s">
        <v>541</v>
      </c>
      <c r="F52" s="7" t="s">
        <v>776</v>
      </c>
      <c r="G52" s="107">
        <v>45078</v>
      </c>
      <c r="H52" s="108">
        <v>45139</v>
      </c>
      <c r="I52" s="7">
        <v>2143</v>
      </c>
      <c r="J52" s="28" t="s">
        <v>1762</v>
      </c>
      <c r="K52" s="9">
        <v>733.73</v>
      </c>
      <c r="L52" s="9">
        <v>31700</v>
      </c>
      <c r="M52" s="112">
        <f>+L52*0.1</f>
        <v>3170</v>
      </c>
      <c r="N52" s="9">
        <f t="shared" si="20"/>
        <v>15850</v>
      </c>
      <c r="O52" s="9">
        <f t="shared" si="21"/>
        <v>11946.27</v>
      </c>
      <c r="P52" s="9">
        <f t="shared" si="22"/>
        <v>3903.73</v>
      </c>
      <c r="Q52" s="139">
        <f t="shared" si="23"/>
        <v>0.75370788643533126</v>
      </c>
      <c r="R52" s="336">
        <v>31700</v>
      </c>
      <c r="S52" s="359" t="s">
        <v>1948</v>
      </c>
      <c r="T52" s="305">
        <v>0.75370788643533126</v>
      </c>
      <c r="U52" s="6"/>
      <c r="V52" s="100"/>
      <c r="W52" s="110">
        <f t="shared" si="24"/>
        <v>31700</v>
      </c>
      <c r="X52" s="110">
        <f t="shared" si="25"/>
        <v>733.73</v>
      </c>
      <c r="Y52" s="110">
        <f t="shared" si="26"/>
        <v>3170</v>
      </c>
      <c r="Z52" s="110">
        <f t="shared" si="27"/>
        <v>11946.27</v>
      </c>
      <c r="AA52" s="260">
        <f t="shared" si="28"/>
        <v>0.75370788643533126</v>
      </c>
      <c r="AB52" s="28">
        <f t="shared" si="29"/>
        <v>10.5</v>
      </c>
      <c r="AC52" s="261">
        <f t="shared" si="30"/>
        <v>0.75484087733345895</v>
      </c>
      <c r="AD52" s="111">
        <f t="shared" si="31"/>
        <v>2.7</v>
      </c>
      <c r="AE52" s="262">
        <f t="shared" si="32"/>
        <v>4.6603411852340342E-2</v>
      </c>
      <c r="AF52" s="100"/>
      <c r="AG52" s="111">
        <f t="shared" si="33"/>
        <v>4.3</v>
      </c>
      <c r="AH52" s="262">
        <f t="shared" si="34"/>
        <v>0.40135563069798103</v>
      </c>
      <c r="AI52" s="100"/>
      <c r="AJ52" s="111">
        <f t="shared" si="35"/>
        <v>4</v>
      </c>
      <c r="AK52" s="262">
        <f t="shared" si="36"/>
        <v>0.35645730300032979</v>
      </c>
      <c r="AL52" s="100"/>
      <c r="AM52" s="111">
        <f t="shared" si="37"/>
        <v>3.7</v>
      </c>
      <c r="AN52" s="262">
        <f t="shared" si="38"/>
        <v>0.3042781654057618</v>
      </c>
      <c r="AO52" s="100"/>
      <c r="AP52" s="24" t="e">
        <f>VLOOKUP(C52,#REF!,6,FALSE)</f>
        <v>#REF!</v>
      </c>
      <c r="AQ52" s="24" t="e">
        <f>VLOOKUP(C52,#REF!,7,FALSE)</f>
        <v>#REF!</v>
      </c>
      <c r="AR52" s="24" t="e">
        <f>VLOOKUP(C52,#REF!,12,FALSE)</f>
        <v>#REF!</v>
      </c>
      <c r="AS52" s="24" t="e">
        <f>VLOOKUP(C52,#REF!,13,FALSE)</f>
        <v>#REF!</v>
      </c>
      <c r="AT52" s="100"/>
      <c r="AU52" s="100"/>
      <c r="AV52" s="100">
        <v>42</v>
      </c>
      <c r="AW52" s="100"/>
      <c r="AY52" s="9">
        <v>31700</v>
      </c>
    </row>
    <row r="53" spans="1:51" s="138" customFormat="1" ht="12.75" customHeight="1" x14ac:dyDescent="0.2">
      <c r="A53" s="6" t="s">
        <v>974</v>
      </c>
      <c r="B53" s="8">
        <v>9789500214087</v>
      </c>
      <c r="C53" s="6">
        <v>709127</v>
      </c>
      <c r="D53" s="41">
        <v>368</v>
      </c>
      <c r="E53" s="7" t="s">
        <v>812</v>
      </c>
      <c r="F53" s="7" t="s">
        <v>813</v>
      </c>
      <c r="G53" s="107">
        <v>45170</v>
      </c>
      <c r="H53" s="108">
        <v>45139</v>
      </c>
      <c r="I53" s="7">
        <v>3096</v>
      </c>
      <c r="J53" s="28" t="s">
        <v>1762</v>
      </c>
      <c r="K53" s="9">
        <v>1002.86</v>
      </c>
      <c r="L53" s="9">
        <v>31700</v>
      </c>
      <c r="M53" s="112">
        <f t="shared" ref="M53:M61" si="39">+L53*0.08</f>
        <v>2536</v>
      </c>
      <c r="N53" s="9">
        <f t="shared" si="20"/>
        <v>15850</v>
      </c>
      <c r="O53" s="9">
        <f t="shared" si="21"/>
        <v>12311.14</v>
      </c>
      <c r="P53" s="9">
        <f t="shared" si="22"/>
        <v>3538.86</v>
      </c>
      <c r="Q53" s="139">
        <f t="shared" si="23"/>
        <v>0.7767280757097792</v>
      </c>
      <c r="R53" s="336">
        <v>31700</v>
      </c>
      <c r="S53" s="359" t="s">
        <v>1948</v>
      </c>
      <c r="T53" s="305">
        <v>0.7767280757097792</v>
      </c>
      <c r="U53" s="6"/>
      <c r="V53" s="100"/>
      <c r="W53" s="110">
        <f t="shared" si="24"/>
        <v>31700</v>
      </c>
      <c r="X53" s="110">
        <f t="shared" si="25"/>
        <v>1002.86</v>
      </c>
      <c r="Y53" s="110">
        <f t="shared" si="26"/>
        <v>2536</v>
      </c>
      <c r="Z53" s="110">
        <f t="shared" si="27"/>
        <v>12311.14</v>
      </c>
      <c r="AA53" s="260">
        <f t="shared" si="28"/>
        <v>0.7767280757097792</v>
      </c>
      <c r="AB53" s="28">
        <f t="shared" si="29"/>
        <v>10.5</v>
      </c>
      <c r="AC53" s="261">
        <f t="shared" si="30"/>
        <v>0.77775516932786959</v>
      </c>
      <c r="AD53" s="111">
        <f t="shared" si="31"/>
        <v>2.5</v>
      </c>
      <c r="AE53" s="262">
        <f t="shared" si="32"/>
        <v>6.6571711177052392E-2</v>
      </c>
      <c r="AF53" s="100"/>
      <c r="AG53" s="111">
        <f t="shared" si="33"/>
        <v>3.9</v>
      </c>
      <c r="AH53" s="262">
        <f t="shared" si="34"/>
        <v>0.40164853280580282</v>
      </c>
      <c r="AI53" s="100"/>
      <c r="AJ53" s="111">
        <f t="shared" si="35"/>
        <v>3.6</v>
      </c>
      <c r="AK53" s="262">
        <f t="shared" si="36"/>
        <v>0.35178591053961988</v>
      </c>
      <c r="AL53" s="100"/>
      <c r="AM53" s="111">
        <f t="shared" si="37"/>
        <v>3.3</v>
      </c>
      <c r="AN53" s="262">
        <f t="shared" si="38"/>
        <v>0.29285735695231241</v>
      </c>
      <c r="AO53" s="100"/>
      <c r="AP53" s="24" t="e">
        <f>VLOOKUP(C53,#REF!,6,FALSE)</f>
        <v>#REF!</v>
      </c>
      <c r="AQ53" s="24" t="e">
        <f>VLOOKUP(C53,#REF!,7,FALSE)</f>
        <v>#REF!</v>
      </c>
      <c r="AR53" s="24" t="e">
        <f>VLOOKUP(C53,#REF!,12,FALSE)</f>
        <v>#REF!</v>
      </c>
      <c r="AS53" s="24" t="e">
        <f>VLOOKUP(C53,#REF!,13,FALSE)</f>
        <v>#REF!</v>
      </c>
      <c r="AT53" s="100"/>
      <c r="AU53" s="100"/>
      <c r="AV53" s="100">
        <v>43</v>
      </c>
      <c r="AW53" s="100"/>
      <c r="AY53" s="9">
        <v>31700</v>
      </c>
    </row>
    <row r="54" spans="1:51" s="2" customFormat="1" ht="12.75" customHeight="1" x14ac:dyDescent="0.2">
      <c r="A54" s="6" t="s">
        <v>975</v>
      </c>
      <c r="B54" s="8">
        <v>9789500213608</v>
      </c>
      <c r="C54" s="8">
        <v>704433</v>
      </c>
      <c r="D54" s="41">
        <v>208</v>
      </c>
      <c r="E54" s="7" t="s">
        <v>769</v>
      </c>
      <c r="F54" s="7" t="s">
        <v>767</v>
      </c>
      <c r="G54" s="107">
        <v>45017</v>
      </c>
      <c r="H54" s="108">
        <v>44986</v>
      </c>
      <c r="I54" s="7">
        <v>3061</v>
      </c>
      <c r="J54" s="28" t="s">
        <v>2136</v>
      </c>
      <c r="K54" s="9">
        <v>485.89</v>
      </c>
      <c r="L54" s="112">
        <v>21900</v>
      </c>
      <c r="M54" s="112">
        <f t="shared" si="39"/>
        <v>1752</v>
      </c>
      <c r="N54" s="9">
        <f t="shared" si="20"/>
        <v>10950</v>
      </c>
      <c r="O54" s="9">
        <f t="shared" si="21"/>
        <v>8712.11</v>
      </c>
      <c r="P54" s="9">
        <f t="shared" si="22"/>
        <v>2237.89</v>
      </c>
      <c r="Q54" s="139">
        <f t="shared" si="23"/>
        <v>0.79562648401826486</v>
      </c>
      <c r="R54" s="336">
        <v>21900</v>
      </c>
      <c r="S54" s="359" t="s">
        <v>1948</v>
      </c>
      <c r="T54" s="305">
        <v>0.79562648401826486</v>
      </c>
      <c r="U54" s="140"/>
      <c r="V54" s="100"/>
      <c r="W54" s="110">
        <f t="shared" si="24"/>
        <v>21900</v>
      </c>
      <c r="X54" s="110">
        <f t="shared" si="25"/>
        <v>485.89</v>
      </c>
      <c r="Y54" s="110">
        <f t="shared" si="26"/>
        <v>1752</v>
      </c>
      <c r="Z54" s="110">
        <f t="shared" si="27"/>
        <v>8712.11</v>
      </c>
      <c r="AA54" s="260">
        <f t="shared" si="28"/>
        <v>0.79562648401826486</v>
      </c>
      <c r="AB54" s="28">
        <f t="shared" si="29"/>
        <v>7.2</v>
      </c>
      <c r="AC54" s="261">
        <f t="shared" si="30"/>
        <v>0.79504249551232742</v>
      </c>
      <c r="AD54" s="111">
        <f t="shared" si="31"/>
        <v>1.6</v>
      </c>
      <c r="AE54" s="262">
        <f t="shared" si="32"/>
        <v>7.7691229805473216E-2</v>
      </c>
      <c r="AF54" s="100"/>
      <c r="AG54" s="111">
        <f t="shared" si="33"/>
        <v>2.5</v>
      </c>
      <c r="AH54" s="262">
        <f t="shared" si="34"/>
        <v>0.40972238707550285</v>
      </c>
      <c r="AI54" s="100"/>
      <c r="AJ54" s="111">
        <f t="shared" si="35"/>
        <v>2.2999999999999998</v>
      </c>
      <c r="AK54" s="262">
        <f t="shared" si="36"/>
        <v>0.35839389899511176</v>
      </c>
      <c r="AL54" s="100"/>
      <c r="AM54" s="111">
        <f t="shared" si="37"/>
        <v>2.1</v>
      </c>
      <c r="AN54" s="262">
        <f t="shared" si="38"/>
        <v>0.29728855604226528</v>
      </c>
      <c r="AO54" s="100"/>
      <c r="AP54" s="24" t="e">
        <f>VLOOKUP(C54,#REF!,6,FALSE)</f>
        <v>#REF!</v>
      </c>
      <c r="AQ54" s="24" t="e">
        <f>VLOOKUP(C54,#REF!,7,FALSE)</f>
        <v>#REF!</v>
      </c>
      <c r="AR54" s="24" t="e">
        <f>VLOOKUP(C54,#REF!,12,FALSE)</f>
        <v>#REF!</v>
      </c>
      <c r="AS54" s="24" t="e">
        <f>VLOOKUP(C54,#REF!,13,FALSE)</f>
        <v>#REF!</v>
      </c>
      <c r="AT54" s="100"/>
      <c r="AU54" s="100"/>
      <c r="AV54" s="100">
        <v>44</v>
      </c>
      <c r="AW54" s="100"/>
      <c r="AY54" s="112">
        <v>21900</v>
      </c>
    </row>
    <row r="55" spans="1:51" s="2" customFormat="1" ht="12.75" customHeight="1" x14ac:dyDescent="0.2">
      <c r="A55" s="6" t="s">
        <v>976</v>
      </c>
      <c r="B55" s="8">
        <v>9789500213394</v>
      </c>
      <c r="C55" s="8">
        <v>703395</v>
      </c>
      <c r="D55" s="41">
        <v>272</v>
      </c>
      <c r="E55" s="7" t="s">
        <v>759</v>
      </c>
      <c r="F55" s="7" t="s">
        <v>760</v>
      </c>
      <c r="G55" s="107">
        <v>44986</v>
      </c>
      <c r="H55" s="108">
        <v>45536</v>
      </c>
      <c r="I55" s="7">
        <v>2070</v>
      </c>
      <c r="J55" s="28" t="s">
        <v>1762</v>
      </c>
      <c r="K55" s="9">
        <v>2269.34</v>
      </c>
      <c r="L55" s="9">
        <v>39900</v>
      </c>
      <c r="M55" s="112">
        <f t="shared" si="39"/>
        <v>3192</v>
      </c>
      <c r="N55" s="9">
        <f t="shared" si="20"/>
        <v>19950</v>
      </c>
      <c r="O55" s="9">
        <f t="shared" si="21"/>
        <v>14488.66</v>
      </c>
      <c r="P55" s="9">
        <f t="shared" si="22"/>
        <v>5461.34</v>
      </c>
      <c r="Q55" s="139">
        <f t="shared" si="23"/>
        <v>0.7262486215538847</v>
      </c>
      <c r="R55" s="336">
        <v>39900</v>
      </c>
      <c r="S55" s="359" t="s">
        <v>1948</v>
      </c>
      <c r="T55" s="305">
        <v>0.7262486215538847</v>
      </c>
      <c r="U55" s="140"/>
      <c r="V55" s="100"/>
      <c r="W55" s="110">
        <f t="shared" si="24"/>
        <v>39900</v>
      </c>
      <c r="X55" s="110">
        <f t="shared" si="25"/>
        <v>2269.34</v>
      </c>
      <c r="Y55" s="110">
        <f t="shared" si="26"/>
        <v>3192</v>
      </c>
      <c r="Z55" s="110">
        <f t="shared" si="27"/>
        <v>14488.66</v>
      </c>
      <c r="AA55" s="260">
        <f t="shared" si="28"/>
        <v>0.7262486215538847</v>
      </c>
      <c r="AB55" s="28">
        <f t="shared" si="29"/>
        <v>13.2</v>
      </c>
      <c r="AC55" s="261">
        <f t="shared" si="30"/>
        <v>0.72717581352596183</v>
      </c>
      <c r="AD55" s="111">
        <f t="shared" si="31"/>
        <v>3.8</v>
      </c>
      <c r="AE55" s="262">
        <f t="shared" si="32"/>
        <v>5.2294931195446523E-2</v>
      </c>
      <c r="AF55" s="100"/>
      <c r="AG55" s="111">
        <f t="shared" si="33"/>
        <v>6</v>
      </c>
      <c r="AH55" s="262">
        <f t="shared" si="34"/>
        <v>0.39978678975711612</v>
      </c>
      <c r="AI55" s="100"/>
      <c r="AJ55" s="111">
        <f t="shared" si="35"/>
        <v>5.5</v>
      </c>
      <c r="AK55" s="262">
        <f t="shared" si="36"/>
        <v>0.34522195246230852</v>
      </c>
      <c r="AL55" s="100"/>
      <c r="AM55" s="111">
        <f t="shared" si="37"/>
        <v>5.0999999999999996</v>
      </c>
      <c r="AN55" s="262">
        <f t="shared" si="38"/>
        <v>0.29386681147896015</v>
      </c>
      <c r="AO55" s="100"/>
      <c r="AP55" s="24" t="e">
        <f>VLOOKUP(C55,#REF!,6,FALSE)</f>
        <v>#REF!</v>
      </c>
      <c r="AQ55" s="24" t="e">
        <f>VLOOKUP(C55,#REF!,7,FALSE)</f>
        <v>#REF!</v>
      </c>
      <c r="AR55" s="24" t="e">
        <f>VLOOKUP(C55,#REF!,12,FALSE)</f>
        <v>#REF!</v>
      </c>
      <c r="AS55" s="24" t="e">
        <f>VLOOKUP(C55,#REF!,13,FALSE)</f>
        <v>#REF!</v>
      </c>
      <c r="AT55" s="100"/>
      <c r="AU55" s="100"/>
      <c r="AV55" s="100">
        <v>45</v>
      </c>
      <c r="AW55" s="100"/>
      <c r="AY55" s="9">
        <v>39900</v>
      </c>
    </row>
    <row r="56" spans="1:51" s="2" customFormat="1" ht="12.75" customHeight="1" x14ac:dyDescent="0.2">
      <c r="A56" s="6" t="s">
        <v>977</v>
      </c>
      <c r="B56" s="8">
        <v>9789500213523</v>
      </c>
      <c r="C56" s="6">
        <v>703396</v>
      </c>
      <c r="D56" s="41">
        <v>240</v>
      </c>
      <c r="E56" s="7" t="s">
        <v>761</v>
      </c>
      <c r="F56" s="7" t="s">
        <v>762</v>
      </c>
      <c r="G56" s="107">
        <v>44986</v>
      </c>
      <c r="H56" s="108">
        <v>45139</v>
      </c>
      <c r="I56" s="7">
        <v>2056</v>
      </c>
      <c r="J56" s="28" t="s">
        <v>2136</v>
      </c>
      <c r="K56" s="9">
        <v>782.86</v>
      </c>
      <c r="L56" s="9">
        <v>26200</v>
      </c>
      <c r="M56" s="112">
        <f t="shared" si="39"/>
        <v>2096</v>
      </c>
      <c r="N56" s="9">
        <f t="shared" si="20"/>
        <v>13100</v>
      </c>
      <c r="O56" s="9">
        <f t="shared" si="21"/>
        <v>10221.14</v>
      </c>
      <c r="P56" s="9">
        <f t="shared" si="22"/>
        <v>2878.86</v>
      </c>
      <c r="Q56" s="139">
        <f t="shared" si="23"/>
        <v>0.78023969465648846</v>
      </c>
      <c r="R56" s="336">
        <v>26200</v>
      </c>
      <c r="S56" s="359" t="s">
        <v>1948</v>
      </c>
      <c r="T56" s="305">
        <v>0.78023969465648846</v>
      </c>
      <c r="U56" s="144"/>
      <c r="V56" s="100"/>
      <c r="W56" s="110">
        <f t="shared" si="24"/>
        <v>26200</v>
      </c>
      <c r="X56" s="110">
        <f t="shared" si="25"/>
        <v>782.86</v>
      </c>
      <c r="Y56" s="110">
        <f t="shared" si="26"/>
        <v>2096</v>
      </c>
      <c r="Z56" s="110">
        <f t="shared" si="27"/>
        <v>10221.14</v>
      </c>
      <c r="AA56" s="260">
        <f t="shared" si="28"/>
        <v>0.78023969465648846</v>
      </c>
      <c r="AB56" s="28">
        <f t="shared" si="29"/>
        <v>8.6</v>
      </c>
      <c r="AC56" s="261">
        <f t="shared" si="30"/>
        <v>0.77926069054355573</v>
      </c>
      <c r="AD56" s="111">
        <f t="shared" si="31"/>
        <v>2</v>
      </c>
      <c r="AE56" s="262">
        <f t="shared" si="32"/>
        <v>5.0820969337289773E-2</v>
      </c>
      <c r="AF56" s="100"/>
      <c r="AG56" s="111">
        <f t="shared" si="33"/>
        <v>3.2</v>
      </c>
      <c r="AH56" s="262">
        <f t="shared" si="34"/>
        <v>0.4067631058358061</v>
      </c>
      <c r="AI56" s="100"/>
      <c r="AJ56" s="111">
        <f t="shared" si="35"/>
        <v>2.9</v>
      </c>
      <c r="AK56" s="262">
        <f t="shared" si="36"/>
        <v>0.34539377195675147</v>
      </c>
      <c r="AL56" s="100"/>
      <c r="AM56" s="111">
        <f t="shared" si="37"/>
        <v>2.7</v>
      </c>
      <c r="AN56" s="262">
        <f t="shared" si="38"/>
        <v>0.29690442173132581</v>
      </c>
      <c r="AO56" s="100"/>
      <c r="AP56" s="24" t="e">
        <f>VLOOKUP(C56,#REF!,6,FALSE)</f>
        <v>#REF!</v>
      </c>
      <c r="AQ56" s="24" t="e">
        <f>VLOOKUP(C56,#REF!,7,FALSE)</f>
        <v>#REF!</v>
      </c>
      <c r="AR56" s="24" t="e">
        <f>VLOOKUP(C56,#REF!,12,FALSE)</f>
        <v>#REF!</v>
      </c>
      <c r="AS56" s="24" t="e">
        <f>VLOOKUP(C56,#REF!,13,FALSE)</f>
        <v>#REF!</v>
      </c>
      <c r="AT56" s="100"/>
      <c r="AU56" s="100"/>
      <c r="AV56" s="100">
        <v>46</v>
      </c>
      <c r="AW56" s="100"/>
      <c r="AY56" s="9">
        <v>26200</v>
      </c>
    </row>
    <row r="57" spans="1:51" s="2" customFormat="1" ht="12.75" customHeight="1" x14ac:dyDescent="0.2">
      <c r="A57" s="6" t="s">
        <v>978</v>
      </c>
      <c r="B57" s="8">
        <v>9789500213516</v>
      </c>
      <c r="C57" s="8">
        <v>703702</v>
      </c>
      <c r="D57" s="41">
        <v>272</v>
      </c>
      <c r="E57" s="7" t="s">
        <v>763</v>
      </c>
      <c r="F57" s="6" t="s">
        <v>764</v>
      </c>
      <c r="G57" s="107">
        <v>44986</v>
      </c>
      <c r="H57" s="108">
        <v>44986</v>
      </c>
      <c r="I57" s="7">
        <v>3055</v>
      </c>
      <c r="J57" s="28" t="s">
        <v>1762</v>
      </c>
      <c r="K57" s="117">
        <v>1239.3499999999999</v>
      </c>
      <c r="L57" s="112">
        <v>39900</v>
      </c>
      <c r="M57" s="112">
        <f t="shared" si="39"/>
        <v>3192</v>
      </c>
      <c r="N57" s="9">
        <f t="shared" si="20"/>
        <v>19950</v>
      </c>
      <c r="O57" s="9">
        <f t="shared" si="21"/>
        <v>15518.65</v>
      </c>
      <c r="P57" s="9">
        <f t="shared" si="22"/>
        <v>4431.3500000000004</v>
      </c>
      <c r="Q57" s="139">
        <f t="shared" si="23"/>
        <v>0.77787719298245617</v>
      </c>
      <c r="R57" s="336">
        <v>39900</v>
      </c>
      <c r="S57" s="359" t="s">
        <v>1948</v>
      </c>
      <c r="T57" s="305">
        <v>0.77787719298245617</v>
      </c>
      <c r="U57" s="140"/>
      <c r="V57" s="100"/>
      <c r="W57" s="110">
        <f t="shared" si="24"/>
        <v>39900</v>
      </c>
      <c r="X57" s="110">
        <f t="shared" si="25"/>
        <v>1239.3499999999999</v>
      </c>
      <c r="Y57" s="110">
        <f t="shared" si="26"/>
        <v>3192</v>
      </c>
      <c r="Z57" s="110">
        <f t="shared" si="27"/>
        <v>15518.650000000001</v>
      </c>
      <c r="AA57" s="260">
        <f t="shared" si="28"/>
        <v>0.77787719298245617</v>
      </c>
      <c r="AB57" s="28">
        <f t="shared" si="29"/>
        <v>13.2</v>
      </c>
      <c r="AC57" s="261">
        <f t="shared" si="30"/>
        <v>0.77862951972744265</v>
      </c>
      <c r="AD57" s="111">
        <f t="shared" si="31"/>
        <v>3.1</v>
      </c>
      <c r="AE57" s="262">
        <f t="shared" si="32"/>
        <v>5.7390213032981419E-2</v>
      </c>
      <c r="AF57" s="100"/>
      <c r="AG57" s="111">
        <f t="shared" si="33"/>
        <v>4.9000000000000004</v>
      </c>
      <c r="AH57" s="262">
        <f t="shared" si="34"/>
        <v>0.40365503273515141</v>
      </c>
      <c r="AI57" s="100"/>
      <c r="AJ57" s="111">
        <f t="shared" si="35"/>
        <v>4.5</v>
      </c>
      <c r="AK57" s="262">
        <f t="shared" si="36"/>
        <v>0.35064659120049818</v>
      </c>
      <c r="AL57" s="100"/>
      <c r="AM57" s="111">
        <f t="shared" si="37"/>
        <v>4.2</v>
      </c>
      <c r="AN57" s="262">
        <f t="shared" si="38"/>
        <v>0.3042642048576768</v>
      </c>
      <c r="AO57" s="100"/>
      <c r="AP57" s="24" t="e">
        <f>VLOOKUP(C57,#REF!,6,FALSE)</f>
        <v>#REF!</v>
      </c>
      <c r="AQ57" s="24" t="e">
        <f>VLOOKUP(C57,#REF!,7,FALSE)</f>
        <v>#REF!</v>
      </c>
      <c r="AR57" s="24" t="e">
        <f>VLOOKUP(C57,#REF!,12,FALSE)</f>
        <v>#REF!</v>
      </c>
      <c r="AS57" s="24" t="e">
        <f>VLOOKUP(C57,#REF!,13,FALSE)</f>
        <v>#REF!</v>
      </c>
      <c r="AT57" s="100"/>
      <c r="AU57" s="100"/>
      <c r="AV57" s="100">
        <v>47</v>
      </c>
      <c r="AW57" s="100"/>
      <c r="AY57" s="112">
        <v>39900</v>
      </c>
    </row>
    <row r="58" spans="1:51" s="2" customFormat="1" ht="12.75" customHeight="1" x14ac:dyDescent="0.2">
      <c r="A58" s="6" t="s">
        <v>979</v>
      </c>
      <c r="B58" s="8">
        <v>9789500213264</v>
      </c>
      <c r="C58" s="6">
        <v>700536</v>
      </c>
      <c r="D58" s="41">
        <v>256</v>
      </c>
      <c r="E58" s="7" t="s">
        <v>738</v>
      </c>
      <c r="F58" s="7" t="s">
        <v>739</v>
      </c>
      <c r="G58" s="107">
        <v>43862</v>
      </c>
      <c r="H58" s="108">
        <v>44470</v>
      </c>
      <c r="I58" s="7">
        <v>3106</v>
      </c>
      <c r="J58" s="7" t="s">
        <v>1762</v>
      </c>
      <c r="K58" s="9">
        <v>425.53</v>
      </c>
      <c r="L58" s="112">
        <v>29900</v>
      </c>
      <c r="M58" s="112">
        <f t="shared" si="39"/>
        <v>2392</v>
      </c>
      <c r="N58" s="9">
        <f t="shared" si="20"/>
        <v>14950</v>
      </c>
      <c r="O58" s="9">
        <f t="shared" si="21"/>
        <v>12132.47</v>
      </c>
      <c r="P58" s="9">
        <f t="shared" si="22"/>
        <v>2817.5299999999997</v>
      </c>
      <c r="Q58" s="139">
        <f t="shared" si="23"/>
        <v>0.81153645484949832</v>
      </c>
      <c r="R58" s="336">
        <v>29900</v>
      </c>
      <c r="S58" s="359" t="s">
        <v>1948</v>
      </c>
      <c r="T58" s="305">
        <v>0.81153645484949832</v>
      </c>
      <c r="U58" s="140"/>
      <c r="V58" s="100"/>
      <c r="W58" s="110">
        <f t="shared" si="24"/>
        <v>29900</v>
      </c>
      <c r="X58" s="110">
        <f t="shared" si="25"/>
        <v>425.53</v>
      </c>
      <c r="Y58" s="110">
        <f t="shared" si="26"/>
        <v>2392</v>
      </c>
      <c r="Z58" s="110">
        <f t="shared" si="27"/>
        <v>12132.47</v>
      </c>
      <c r="AA58" s="260">
        <f t="shared" si="28"/>
        <v>0.81153645484949832</v>
      </c>
      <c r="AB58" s="28">
        <f t="shared" si="29"/>
        <v>9.9</v>
      </c>
      <c r="AC58" s="261">
        <f t="shared" si="30"/>
        <v>0.81233169146126605</v>
      </c>
      <c r="AD58" s="111">
        <f t="shared" si="31"/>
        <v>2</v>
      </c>
      <c r="AE58" s="262">
        <f t="shared" si="32"/>
        <v>7.104187273326748E-2</v>
      </c>
      <c r="AF58" s="100"/>
      <c r="AG58" s="111">
        <f t="shared" si="33"/>
        <v>3.1</v>
      </c>
      <c r="AH58" s="262">
        <f t="shared" si="34"/>
        <v>0.40067217595694682</v>
      </c>
      <c r="AI58" s="100"/>
      <c r="AJ58" s="111">
        <f t="shared" si="35"/>
        <v>2.9</v>
      </c>
      <c r="AK58" s="262">
        <f t="shared" si="36"/>
        <v>0.35933922257466716</v>
      </c>
      <c r="AL58" s="100"/>
      <c r="AM58" s="111">
        <f t="shared" si="37"/>
        <v>2.7</v>
      </c>
      <c r="AN58" s="262">
        <f t="shared" si="38"/>
        <v>0.31188286869130927</v>
      </c>
      <c r="AO58" s="100"/>
      <c r="AP58" s="24" t="e">
        <f>VLOOKUP(C58,#REF!,6,FALSE)</f>
        <v>#REF!</v>
      </c>
      <c r="AQ58" s="24" t="e">
        <f>VLOOKUP(C58,#REF!,7,FALSE)</f>
        <v>#REF!</v>
      </c>
      <c r="AR58" s="24" t="e">
        <f>VLOOKUP(C58,#REF!,12,FALSE)</f>
        <v>#REF!</v>
      </c>
      <c r="AS58" s="24" t="e">
        <f>VLOOKUP(C58,#REF!,13,FALSE)</f>
        <v>#REF!</v>
      </c>
      <c r="AT58" s="100"/>
      <c r="AU58" s="100"/>
      <c r="AV58" s="100">
        <v>48</v>
      </c>
      <c r="AW58" s="100"/>
      <c r="AY58" s="112">
        <v>29900</v>
      </c>
    </row>
    <row r="59" spans="1:51" s="2" customFormat="1" ht="12.75" customHeight="1" x14ac:dyDescent="0.2">
      <c r="A59" s="6" t="s">
        <v>980</v>
      </c>
      <c r="B59" s="8">
        <v>9789500212830</v>
      </c>
      <c r="C59" s="8">
        <v>696630</v>
      </c>
      <c r="D59" s="7">
        <v>432</v>
      </c>
      <c r="E59" s="31" t="s">
        <v>705</v>
      </c>
      <c r="F59" s="32" t="s">
        <v>981</v>
      </c>
      <c r="G59" s="107">
        <v>44774</v>
      </c>
      <c r="H59" s="108">
        <v>44743</v>
      </c>
      <c r="I59" s="7">
        <v>2578</v>
      </c>
      <c r="J59" s="28" t="s">
        <v>1946</v>
      </c>
      <c r="K59" s="28">
        <v>485.45</v>
      </c>
      <c r="L59" s="128">
        <v>29200</v>
      </c>
      <c r="M59" s="141">
        <f t="shared" si="39"/>
        <v>2336</v>
      </c>
      <c r="N59" s="142">
        <f t="shared" si="20"/>
        <v>14600</v>
      </c>
      <c r="O59" s="142">
        <f t="shared" si="21"/>
        <v>11778.55</v>
      </c>
      <c r="P59" s="142">
        <f t="shared" si="22"/>
        <v>2821.45</v>
      </c>
      <c r="Q59" s="139">
        <f t="shared" si="23"/>
        <v>0.80674999999999997</v>
      </c>
      <c r="R59" s="336">
        <v>29200</v>
      </c>
      <c r="S59" s="359" t="s">
        <v>1948</v>
      </c>
      <c r="T59" s="305">
        <v>0.80674999999999997</v>
      </c>
      <c r="U59" s="28"/>
      <c r="V59" s="100"/>
      <c r="W59" s="110">
        <f t="shared" si="24"/>
        <v>29200</v>
      </c>
      <c r="X59" s="110">
        <f t="shared" si="25"/>
        <v>485.45</v>
      </c>
      <c r="Y59" s="110">
        <f t="shared" si="26"/>
        <v>2336</v>
      </c>
      <c r="Z59" s="110">
        <f t="shared" si="27"/>
        <v>11778.55</v>
      </c>
      <c r="AA59" s="260">
        <f t="shared" si="28"/>
        <v>0.80674999999999997</v>
      </c>
      <c r="AB59" s="28">
        <f t="shared" si="29"/>
        <v>9.6</v>
      </c>
      <c r="AC59" s="261">
        <f t="shared" si="30"/>
        <v>0.80619779646114953</v>
      </c>
      <c r="AD59" s="111">
        <f t="shared" si="31"/>
        <v>2</v>
      </c>
      <c r="AE59" s="262">
        <f t="shared" si="32"/>
        <v>6.9749423013518025E-2</v>
      </c>
      <c r="AF59" s="100"/>
      <c r="AG59" s="111">
        <f t="shared" si="33"/>
        <v>3.1</v>
      </c>
      <c r="AH59" s="262">
        <f t="shared" si="34"/>
        <v>0.39983833742807623</v>
      </c>
      <c r="AI59" s="100"/>
      <c r="AJ59" s="111">
        <f t="shared" si="35"/>
        <v>2.9</v>
      </c>
      <c r="AK59" s="262">
        <f t="shared" si="36"/>
        <v>0.35844787794035721</v>
      </c>
      <c r="AL59" s="100"/>
      <c r="AM59" s="111">
        <f t="shared" si="37"/>
        <v>2.7</v>
      </c>
      <c r="AN59" s="262">
        <f t="shared" si="38"/>
        <v>0.31092549852853191</v>
      </c>
      <c r="AO59" s="100"/>
      <c r="AP59" s="24" t="e">
        <f>VLOOKUP(C59,#REF!,6,FALSE)</f>
        <v>#REF!</v>
      </c>
      <c r="AQ59" s="24" t="e">
        <f>VLOOKUP(C59,#REF!,7,FALSE)</f>
        <v>#REF!</v>
      </c>
      <c r="AR59" s="24" t="e">
        <f>VLOOKUP(C59,#REF!,12,FALSE)</f>
        <v>#REF!</v>
      </c>
      <c r="AS59" s="24" t="e">
        <f>VLOOKUP(C59,#REF!,13,FALSE)</f>
        <v>#REF!</v>
      </c>
      <c r="AT59" s="100"/>
      <c r="AU59" s="100"/>
      <c r="AV59" s="100">
        <v>49</v>
      </c>
      <c r="AW59" s="100"/>
      <c r="AY59" s="128">
        <v>29200</v>
      </c>
    </row>
    <row r="60" spans="1:51" s="2" customFormat="1" ht="12.75" customHeight="1" x14ac:dyDescent="0.2">
      <c r="A60" s="7" t="s">
        <v>983</v>
      </c>
      <c r="B60" s="8">
        <v>9789500212335</v>
      </c>
      <c r="C60" s="8">
        <v>689370</v>
      </c>
      <c r="D60" s="25">
        <v>280</v>
      </c>
      <c r="E60" s="9" t="s">
        <v>625</v>
      </c>
      <c r="F60" s="7" t="s">
        <v>622</v>
      </c>
      <c r="G60" s="107">
        <v>44531</v>
      </c>
      <c r="H60" s="108">
        <v>44501</v>
      </c>
      <c r="I60" s="7">
        <v>4102</v>
      </c>
      <c r="J60" s="28" t="s">
        <v>1946</v>
      </c>
      <c r="K60" s="117">
        <v>266.89</v>
      </c>
      <c r="L60" s="112">
        <v>24800</v>
      </c>
      <c r="M60" s="141">
        <f t="shared" si="39"/>
        <v>1984</v>
      </c>
      <c r="N60" s="142">
        <f t="shared" si="20"/>
        <v>12400</v>
      </c>
      <c r="O60" s="142">
        <f t="shared" si="21"/>
        <v>10149.11</v>
      </c>
      <c r="P60" s="142">
        <f t="shared" si="22"/>
        <v>2250.89</v>
      </c>
      <c r="Q60" s="139">
        <f t="shared" si="23"/>
        <v>0.81847661290322582</v>
      </c>
      <c r="R60" s="336">
        <v>24800</v>
      </c>
      <c r="S60" s="359" t="s">
        <v>1948</v>
      </c>
      <c r="T60" s="305">
        <v>0.81847661290322582</v>
      </c>
      <c r="U60" s="9"/>
      <c r="V60" s="100"/>
      <c r="W60" s="110">
        <f t="shared" si="24"/>
        <v>24800</v>
      </c>
      <c r="X60" s="110">
        <f t="shared" si="25"/>
        <v>266.89</v>
      </c>
      <c r="Y60" s="110">
        <f t="shared" si="26"/>
        <v>1984</v>
      </c>
      <c r="Z60" s="110">
        <f t="shared" si="27"/>
        <v>10149.11</v>
      </c>
      <c r="AA60" s="260">
        <f t="shared" si="28"/>
        <v>0.81847661290322582</v>
      </c>
      <c r="AB60" s="28">
        <f t="shared" si="29"/>
        <v>8.1999999999999993</v>
      </c>
      <c r="AC60" s="261">
        <f t="shared" si="30"/>
        <v>0.81899190208519301</v>
      </c>
      <c r="AD60" s="111">
        <f t="shared" si="31"/>
        <v>1.6</v>
      </c>
      <c r="AE60" s="262">
        <f t="shared" si="32"/>
        <v>7.2333498186613998E-2</v>
      </c>
      <c r="AF60" s="100"/>
      <c r="AG60" s="111">
        <f t="shared" si="33"/>
        <v>2.5</v>
      </c>
      <c r="AH60" s="262">
        <f t="shared" si="34"/>
        <v>0.40629343883943292</v>
      </c>
      <c r="AI60" s="100"/>
      <c r="AJ60" s="111">
        <f t="shared" si="35"/>
        <v>2.2999999999999998</v>
      </c>
      <c r="AK60" s="262">
        <f t="shared" si="36"/>
        <v>0.35466678134720969</v>
      </c>
      <c r="AL60" s="100"/>
      <c r="AM60" s="111">
        <f t="shared" si="37"/>
        <v>2.1</v>
      </c>
      <c r="AN60" s="262">
        <f t="shared" si="38"/>
        <v>0.29320647480884876</v>
      </c>
      <c r="AO60" s="100"/>
      <c r="AP60" s="24" t="e">
        <f>VLOOKUP(C60,#REF!,6,FALSE)</f>
        <v>#REF!</v>
      </c>
      <c r="AQ60" s="24" t="e">
        <f>VLOOKUP(C60,#REF!,7,FALSE)</f>
        <v>#REF!</v>
      </c>
      <c r="AR60" s="24" t="e">
        <f>VLOOKUP(C60,#REF!,12,FALSE)</f>
        <v>#REF!</v>
      </c>
      <c r="AS60" s="24" t="e">
        <f>VLOOKUP(C60,#REF!,13,FALSE)</f>
        <v>#REF!</v>
      </c>
      <c r="AT60" s="100"/>
      <c r="AU60" s="100"/>
      <c r="AV60" s="100">
        <v>50</v>
      </c>
      <c r="AW60" s="100"/>
      <c r="AY60" s="112">
        <v>24800</v>
      </c>
    </row>
    <row r="61" spans="1:51" s="2" customFormat="1" ht="12.75" customHeight="1" x14ac:dyDescent="0.2">
      <c r="A61" s="6" t="s">
        <v>984</v>
      </c>
      <c r="B61" s="8">
        <v>9789500208581</v>
      </c>
      <c r="C61" s="21">
        <v>591833</v>
      </c>
      <c r="D61" s="7">
        <v>352</v>
      </c>
      <c r="E61" s="7" t="s">
        <v>985</v>
      </c>
      <c r="F61" s="7" t="s">
        <v>40</v>
      </c>
      <c r="G61" s="107">
        <v>42125</v>
      </c>
      <c r="H61" s="108">
        <v>42095</v>
      </c>
      <c r="I61" s="24">
        <v>3036</v>
      </c>
      <c r="J61" s="28" t="s">
        <v>1894</v>
      </c>
      <c r="K61" s="28">
        <v>31.92</v>
      </c>
      <c r="L61" s="112">
        <v>22600</v>
      </c>
      <c r="M61" s="141">
        <f t="shared" si="39"/>
        <v>1808</v>
      </c>
      <c r="N61" s="9">
        <f t="shared" si="20"/>
        <v>11300</v>
      </c>
      <c r="O61" s="9">
        <f t="shared" si="21"/>
        <v>9460.08</v>
      </c>
      <c r="P61" s="9">
        <f t="shared" si="22"/>
        <v>1839.92</v>
      </c>
      <c r="Q61" s="139">
        <f t="shared" si="23"/>
        <v>0.83717522123893806</v>
      </c>
      <c r="R61" s="336">
        <v>22600</v>
      </c>
      <c r="S61" s="359" t="s">
        <v>1948</v>
      </c>
      <c r="T61" s="305">
        <v>0.83717522123893806</v>
      </c>
      <c r="U61" s="25"/>
      <c r="V61" s="100"/>
      <c r="W61" s="110">
        <f t="shared" si="24"/>
        <v>22600</v>
      </c>
      <c r="X61" s="110">
        <f t="shared" si="25"/>
        <v>31.92</v>
      </c>
      <c r="Y61" s="110">
        <f t="shared" si="26"/>
        <v>1808</v>
      </c>
      <c r="Z61" s="110">
        <f t="shared" si="27"/>
        <v>9460.08</v>
      </c>
      <c r="AA61" s="260">
        <f t="shared" si="28"/>
        <v>0.83717522123893806</v>
      </c>
      <c r="AB61" s="28">
        <f t="shared" si="29"/>
        <v>7.5</v>
      </c>
      <c r="AC61" s="261">
        <f t="shared" si="30"/>
        <v>0.8382310143971865</v>
      </c>
      <c r="AD61" s="111">
        <f t="shared" si="31"/>
        <v>1.3</v>
      </c>
      <c r="AE61" s="262">
        <f t="shared" si="32"/>
        <v>6.671739075299904E-2</v>
      </c>
      <c r="AF61" s="100"/>
      <c r="AG61" s="111">
        <f t="shared" si="33"/>
        <v>2</v>
      </c>
      <c r="AH61" s="262">
        <f t="shared" si="34"/>
        <v>0.39336630398944938</v>
      </c>
      <c r="AI61" s="100"/>
      <c r="AJ61" s="111">
        <f t="shared" si="35"/>
        <v>1.9</v>
      </c>
      <c r="AK61" s="262">
        <f t="shared" si="36"/>
        <v>0.36143821472573617</v>
      </c>
      <c r="AL61" s="100"/>
      <c r="AM61" s="111">
        <f t="shared" si="37"/>
        <v>1.7</v>
      </c>
      <c r="AN61" s="262">
        <f t="shared" si="38"/>
        <v>0.28631329881111683</v>
      </c>
      <c r="AO61" s="100"/>
      <c r="AP61" s="24" t="e">
        <f>VLOOKUP(C61,#REF!,6,FALSE)</f>
        <v>#REF!</v>
      </c>
      <c r="AQ61" s="24" t="e">
        <f>VLOOKUP(C61,#REF!,7,FALSE)</f>
        <v>#REF!</v>
      </c>
      <c r="AR61" s="24" t="e">
        <f>VLOOKUP(C61,#REF!,12,FALSE)</f>
        <v>#REF!</v>
      </c>
      <c r="AS61" s="24" t="e">
        <f>VLOOKUP(C61,#REF!,13,FALSE)</f>
        <v>#REF!</v>
      </c>
      <c r="AT61" s="100">
        <v>2</v>
      </c>
      <c r="AU61" s="100"/>
      <c r="AV61" s="100">
        <v>51</v>
      </c>
      <c r="AW61" s="100"/>
      <c r="AY61" s="112">
        <v>22600</v>
      </c>
    </row>
    <row r="62" spans="1:51" s="27" customFormat="1" ht="12.75" customHeight="1" x14ac:dyDescent="0.2">
      <c r="A62" s="6" t="s">
        <v>986</v>
      </c>
      <c r="B62" s="143">
        <v>9789500209533</v>
      </c>
      <c r="C62" s="6">
        <v>645343</v>
      </c>
      <c r="D62" s="7">
        <v>576</v>
      </c>
      <c r="E62" s="7" t="s">
        <v>345</v>
      </c>
      <c r="F62" s="11" t="s">
        <v>346</v>
      </c>
      <c r="G62" s="107">
        <v>43160</v>
      </c>
      <c r="H62" s="108">
        <v>43132</v>
      </c>
      <c r="I62" s="24">
        <v>2851</v>
      </c>
      <c r="J62" s="28" t="s">
        <v>1946</v>
      </c>
      <c r="K62" s="28">
        <v>73.73</v>
      </c>
      <c r="L62" s="112">
        <v>39800</v>
      </c>
      <c r="M62" s="141">
        <f>+L62*0.1</f>
        <v>3980</v>
      </c>
      <c r="N62" s="142">
        <f t="shared" si="20"/>
        <v>19900</v>
      </c>
      <c r="O62" s="142">
        <f t="shared" si="21"/>
        <v>15846.27</v>
      </c>
      <c r="P62" s="142">
        <f t="shared" si="22"/>
        <v>4053.73</v>
      </c>
      <c r="Q62" s="139">
        <f t="shared" si="23"/>
        <v>0.79629497487437184</v>
      </c>
      <c r="R62" s="336">
        <v>39800</v>
      </c>
      <c r="S62" s="359" t="s">
        <v>1948</v>
      </c>
      <c r="T62" s="305">
        <v>0.79629497487437184</v>
      </c>
      <c r="U62" s="144"/>
      <c r="V62" s="100"/>
      <c r="W62" s="110">
        <f t="shared" si="24"/>
        <v>39800</v>
      </c>
      <c r="X62" s="110">
        <f t="shared" si="25"/>
        <v>73.73</v>
      </c>
      <c r="Y62" s="110">
        <f t="shared" si="26"/>
        <v>3980</v>
      </c>
      <c r="Z62" s="110">
        <f t="shared" si="27"/>
        <v>15846.27</v>
      </c>
      <c r="AA62" s="260">
        <f t="shared" si="28"/>
        <v>0.79629497487437184</v>
      </c>
      <c r="AB62" s="28">
        <f t="shared" si="29"/>
        <v>13.1</v>
      </c>
      <c r="AC62" s="261">
        <f t="shared" si="30"/>
        <v>0.7959478811948969</v>
      </c>
      <c r="AD62" s="111">
        <f t="shared" si="31"/>
        <v>2.8</v>
      </c>
      <c r="AE62" s="262">
        <f t="shared" si="32"/>
        <v>4.5327587018981742E-2</v>
      </c>
      <c r="AF62" s="100"/>
      <c r="AG62" s="111">
        <f t="shared" si="33"/>
        <v>4.5</v>
      </c>
      <c r="AH62" s="262">
        <f t="shared" si="34"/>
        <v>0.4059816097006998</v>
      </c>
      <c r="AI62" s="100"/>
      <c r="AJ62" s="111">
        <f t="shared" si="35"/>
        <v>4.0999999999999996</v>
      </c>
      <c r="AK62" s="262">
        <f t="shared" si="36"/>
        <v>0.34802859601296315</v>
      </c>
      <c r="AL62" s="100"/>
      <c r="AM62" s="111">
        <f t="shared" si="37"/>
        <v>3.8</v>
      </c>
      <c r="AN62" s="262">
        <f t="shared" si="38"/>
        <v>0.29655716938240761</v>
      </c>
      <c r="AO62" s="100"/>
      <c r="AP62" s="24" t="e">
        <f>VLOOKUP(C62,#REF!,6,FALSE)</f>
        <v>#REF!</v>
      </c>
      <c r="AQ62" s="24" t="e">
        <f>VLOOKUP(C62,#REF!,7,FALSE)</f>
        <v>#REF!</v>
      </c>
      <c r="AR62" s="24" t="e">
        <f>VLOOKUP(C62,#REF!,12,FALSE)</f>
        <v>#REF!</v>
      </c>
      <c r="AS62" s="24" t="e">
        <f>VLOOKUP(C62,#REF!,13,FALSE)</f>
        <v>#REF!</v>
      </c>
      <c r="AT62" s="100"/>
      <c r="AU62" s="100"/>
      <c r="AV62" s="100">
        <v>52</v>
      </c>
      <c r="AW62" s="100"/>
      <c r="AY62" s="112">
        <v>39800</v>
      </c>
    </row>
    <row r="63" spans="1:51" s="27" customFormat="1" ht="12.75" customHeight="1" x14ac:dyDescent="0.2">
      <c r="A63" s="6" t="s">
        <v>987</v>
      </c>
      <c r="B63" s="8">
        <v>9789500208642</v>
      </c>
      <c r="C63" s="8">
        <v>594407</v>
      </c>
      <c r="D63" s="7">
        <v>304</v>
      </c>
      <c r="E63" s="7" t="s">
        <v>988</v>
      </c>
      <c r="F63" s="6" t="s">
        <v>30</v>
      </c>
      <c r="G63" s="107">
        <v>42217</v>
      </c>
      <c r="H63" s="108">
        <v>42795</v>
      </c>
      <c r="I63" s="24">
        <v>1535</v>
      </c>
      <c r="J63" s="28" t="s">
        <v>1894</v>
      </c>
      <c r="K63" s="28">
        <v>39.770000000000003</v>
      </c>
      <c r="L63" s="128">
        <v>16800</v>
      </c>
      <c r="M63" s="141">
        <f>+L63*0.1</f>
        <v>1680</v>
      </c>
      <c r="N63" s="142">
        <f t="shared" si="20"/>
        <v>8400</v>
      </c>
      <c r="O63" s="142">
        <f t="shared" si="21"/>
        <v>6680.23</v>
      </c>
      <c r="P63" s="142">
        <f t="shared" si="22"/>
        <v>1719.77</v>
      </c>
      <c r="Q63" s="139">
        <f t="shared" si="23"/>
        <v>0.79526547619047616</v>
      </c>
      <c r="R63" s="336">
        <v>16800</v>
      </c>
      <c r="S63" s="359" t="s">
        <v>1948</v>
      </c>
      <c r="T63" s="305">
        <v>0.79526547619047616</v>
      </c>
      <c r="U63" s="25"/>
      <c r="V63" s="100"/>
      <c r="W63" s="110">
        <f t="shared" si="24"/>
        <v>16800</v>
      </c>
      <c r="X63" s="110">
        <f t="shared" si="25"/>
        <v>39.770000000000003</v>
      </c>
      <c r="Y63" s="110">
        <f t="shared" si="26"/>
        <v>1680</v>
      </c>
      <c r="Z63" s="110">
        <f t="shared" si="27"/>
        <v>6680.23</v>
      </c>
      <c r="AA63" s="260">
        <f t="shared" si="28"/>
        <v>0.79526547619047616</v>
      </c>
      <c r="AB63" s="28">
        <f t="shared" si="29"/>
        <v>5.5</v>
      </c>
      <c r="AC63" s="261">
        <f t="shared" si="30"/>
        <v>0.79381110811377864</v>
      </c>
      <c r="AD63" s="111">
        <f t="shared" si="31"/>
        <v>1.2</v>
      </c>
      <c r="AE63" s="262">
        <f t="shared" si="32"/>
        <v>5.4967578854819198E-2</v>
      </c>
      <c r="AF63" s="100"/>
      <c r="AG63" s="111">
        <f t="shared" si="33"/>
        <v>1.9</v>
      </c>
      <c r="AH63" s="262">
        <f t="shared" si="34"/>
        <v>0.40313741822409632</v>
      </c>
      <c r="AI63" s="100"/>
      <c r="AJ63" s="111">
        <f t="shared" si="35"/>
        <v>1.7</v>
      </c>
      <c r="AK63" s="262">
        <f t="shared" si="36"/>
        <v>0.3329182909563429</v>
      </c>
      <c r="AL63" s="100"/>
      <c r="AM63" s="111">
        <f t="shared" si="37"/>
        <v>1.6</v>
      </c>
      <c r="AN63" s="262">
        <f t="shared" si="38"/>
        <v>0.29122568414111444</v>
      </c>
      <c r="AO63" s="100"/>
      <c r="AP63" s="24" t="e">
        <f>VLOOKUP(C63,#REF!,6,FALSE)</f>
        <v>#REF!</v>
      </c>
      <c r="AQ63" s="24" t="e">
        <f>VLOOKUP(C63,#REF!,7,FALSE)</f>
        <v>#REF!</v>
      </c>
      <c r="AR63" s="24" t="e">
        <f>VLOOKUP(C63,#REF!,12,FALSE)</f>
        <v>#REF!</v>
      </c>
      <c r="AS63" s="24" t="e">
        <f>VLOOKUP(C63,#REF!,13,FALSE)</f>
        <v>#REF!</v>
      </c>
      <c r="AT63" s="100"/>
      <c r="AU63" s="100"/>
      <c r="AV63" s="100">
        <v>53</v>
      </c>
      <c r="AW63" s="100"/>
      <c r="AY63" s="128">
        <v>16800</v>
      </c>
    </row>
    <row r="64" spans="1:51" s="27" customFormat="1" ht="12.75" customHeight="1" x14ac:dyDescent="0.2">
      <c r="A64" s="6" t="s">
        <v>989</v>
      </c>
      <c r="B64" s="8">
        <v>9789500208475</v>
      </c>
      <c r="C64" s="21">
        <v>590779</v>
      </c>
      <c r="D64" s="7">
        <v>416</v>
      </c>
      <c r="E64" s="7" t="s">
        <v>990</v>
      </c>
      <c r="F64" s="7" t="s">
        <v>991</v>
      </c>
      <c r="G64" s="107">
        <v>42095</v>
      </c>
      <c r="H64" s="108">
        <v>42064</v>
      </c>
      <c r="I64" s="24">
        <v>3073</v>
      </c>
      <c r="J64" s="28" t="s">
        <v>1894</v>
      </c>
      <c r="K64" s="28">
        <v>26.49</v>
      </c>
      <c r="L64" s="128">
        <v>24500</v>
      </c>
      <c r="M64" s="12">
        <f>+L64*0.1</f>
        <v>2450</v>
      </c>
      <c r="N64" s="142">
        <f t="shared" si="20"/>
        <v>12250</v>
      </c>
      <c r="O64" s="142">
        <f t="shared" si="21"/>
        <v>9773.51</v>
      </c>
      <c r="P64" s="142">
        <f t="shared" si="22"/>
        <v>2476.4899999999998</v>
      </c>
      <c r="Q64" s="139">
        <f t="shared" si="23"/>
        <v>0.79783755102040821</v>
      </c>
      <c r="R64" s="336">
        <v>24500</v>
      </c>
      <c r="S64" s="359" t="s">
        <v>1948</v>
      </c>
      <c r="T64" s="305">
        <v>0.79783755102040821</v>
      </c>
      <c r="U64" s="144"/>
      <c r="V64" s="100"/>
      <c r="W64" s="110">
        <f t="shared" si="24"/>
        <v>24500</v>
      </c>
      <c r="X64" s="110">
        <f t="shared" si="25"/>
        <v>26.49</v>
      </c>
      <c r="Y64" s="110">
        <f t="shared" si="26"/>
        <v>2450</v>
      </c>
      <c r="Z64" s="110">
        <f t="shared" si="27"/>
        <v>9773.51</v>
      </c>
      <c r="AA64" s="260">
        <f t="shared" si="28"/>
        <v>0.79783755102040821</v>
      </c>
      <c r="AB64" s="28">
        <f t="shared" si="29"/>
        <v>8.1</v>
      </c>
      <c r="AC64" s="261">
        <f t="shared" si="30"/>
        <v>0.79839135761764624</v>
      </c>
      <c r="AD64" s="111">
        <f t="shared" si="31"/>
        <v>1.7</v>
      </c>
      <c r="AE64" s="262">
        <f t="shared" si="32"/>
        <v>3.9394115707608444E-2</v>
      </c>
      <c r="AF64" s="100"/>
      <c r="AG64" s="111">
        <f t="shared" si="33"/>
        <v>2.7</v>
      </c>
      <c r="AH64" s="262">
        <f t="shared" si="34"/>
        <v>0.39517407285293876</v>
      </c>
      <c r="AI64" s="100"/>
      <c r="AJ64" s="111">
        <f t="shared" si="35"/>
        <v>2.5</v>
      </c>
      <c r="AK64" s="262">
        <f t="shared" si="36"/>
        <v>0.34678799868117383</v>
      </c>
      <c r="AL64" s="100"/>
      <c r="AM64" s="111">
        <f t="shared" si="37"/>
        <v>2.2999999999999998</v>
      </c>
      <c r="AN64" s="262">
        <f t="shared" si="38"/>
        <v>0.28998695508823236</v>
      </c>
      <c r="AO64" s="100"/>
      <c r="AP64" s="24" t="e">
        <f>VLOOKUP(C64,#REF!,6,FALSE)</f>
        <v>#REF!</v>
      </c>
      <c r="AQ64" s="24" t="e">
        <f>VLOOKUP(C64,#REF!,7,FALSE)</f>
        <v>#REF!</v>
      </c>
      <c r="AR64" s="24" t="e">
        <f>VLOOKUP(C64,#REF!,12,FALSE)</f>
        <v>#REF!</v>
      </c>
      <c r="AS64" s="24" t="e">
        <f>VLOOKUP(C64,#REF!,13,FALSE)</f>
        <v>#REF!</v>
      </c>
      <c r="AT64" s="100">
        <v>3</v>
      </c>
      <c r="AU64" s="100"/>
      <c r="AV64" s="100">
        <v>54</v>
      </c>
      <c r="AW64" s="100"/>
      <c r="AY64" s="128">
        <v>24500</v>
      </c>
    </row>
    <row r="65" spans="1:51" s="27" customFormat="1" ht="12.75" customHeight="1" x14ac:dyDescent="0.2">
      <c r="A65" s="6" t="s">
        <v>992</v>
      </c>
      <c r="B65" s="8">
        <v>9789500298643</v>
      </c>
      <c r="C65" s="8">
        <v>599836</v>
      </c>
      <c r="D65" s="25">
        <v>488</v>
      </c>
      <c r="E65" s="22" t="s">
        <v>993</v>
      </c>
      <c r="F65" s="6" t="s">
        <v>55</v>
      </c>
      <c r="G65" s="107">
        <v>42339</v>
      </c>
      <c r="H65" s="108">
        <v>44287</v>
      </c>
      <c r="I65" s="7">
        <v>2003</v>
      </c>
      <c r="J65" s="28" t="s">
        <v>1762</v>
      </c>
      <c r="K65" s="9">
        <v>206.44</v>
      </c>
      <c r="L65" s="112">
        <v>49900</v>
      </c>
      <c r="M65" s="141">
        <f>+L65*0.15</f>
        <v>7485</v>
      </c>
      <c r="N65" s="9">
        <f t="shared" si="20"/>
        <v>24950</v>
      </c>
      <c r="O65" s="9">
        <f t="shared" si="21"/>
        <v>17258.560000000001</v>
      </c>
      <c r="P65" s="9">
        <f t="shared" si="22"/>
        <v>7691.44</v>
      </c>
      <c r="Q65" s="139">
        <f t="shared" si="23"/>
        <v>0.69172585170340684</v>
      </c>
      <c r="R65" s="336">
        <v>49900</v>
      </c>
      <c r="S65" s="359" t="s">
        <v>1948</v>
      </c>
      <c r="T65" s="305">
        <v>0.69172585170340684</v>
      </c>
      <c r="U65" s="144"/>
      <c r="V65" s="100"/>
      <c r="W65" s="110">
        <f t="shared" si="24"/>
        <v>49900</v>
      </c>
      <c r="X65" s="110">
        <f t="shared" si="25"/>
        <v>206.44</v>
      </c>
      <c r="Y65" s="110">
        <f t="shared" si="26"/>
        <v>7485</v>
      </c>
      <c r="Z65" s="110">
        <f t="shared" si="27"/>
        <v>17258.560000000001</v>
      </c>
      <c r="AA65" s="260">
        <f t="shared" si="28"/>
        <v>0.69172585170340684</v>
      </c>
      <c r="AB65" s="28">
        <f t="shared" si="29"/>
        <v>16.5</v>
      </c>
      <c r="AC65" s="261">
        <f t="shared" si="30"/>
        <v>0.69261597178511125</v>
      </c>
      <c r="AD65" s="111">
        <f t="shared" si="31"/>
        <v>5.3</v>
      </c>
      <c r="AE65" s="262">
        <f t="shared" si="32"/>
        <v>4.3049723481950151E-2</v>
      </c>
      <c r="AF65" s="100"/>
      <c r="AG65" s="111">
        <f t="shared" si="33"/>
        <v>8.5</v>
      </c>
      <c r="AH65" s="262">
        <f t="shared" si="34"/>
        <v>0.40331335699462767</v>
      </c>
      <c r="AI65" s="100"/>
      <c r="AJ65" s="111">
        <f t="shared" si="35"/>
        <v>7.8</v>
      </c>
      <c r="AK65" s="262">
        <f t="shared" si="36"/>
        <v>0.34976455569927367</v>
      </c>
      <c r="AL65" s="100"/>
      <c r="AM65" s="111">
        <f t="shared" si="37"/>
        <v>7.2</v>
      </c>
      <c r="AN65" s="262">
        <f t="shared" si="38"/>
        <v>0.29557826867421333</v>
      </c>
      <c r="AO65" s="100"/>
      <c r="AP65" s="24" t="e">
        <f>VLOOKUP(C65,#REF!,6,FALSE)</f>
        <v>#REF!</v>
      </c>
      <c r="AQ65" s="24" t="e">
        <f>VLOOKUP(C65,#REF!,7,FALSE)</f>
        <v>#REF!</v>
      </c>
      <c r="AR65" s="24" t="e">
        <f>VLOOKUP(C65,#REF!,12,FALSE)</f>
        <v>#REF!</v>
      </c>
      <c r="AS65" s="24" t="e">
        <f>VLOOKUP(C65,#REF!,13,FALSE)</f>
        <v>#REF!</v>
      </c>
      <c r="AT65" s="100"/>
      <c r="AU65" s="100"/>
      <c r="AV65" s="100">
        <v>55</v>
      </c>
      <c r="AW65" s="100"/>
      <c r="AY65" s="112">
        <v>49900</v>
      </c>
    </row>
    <row r="66" spans="1:51" s="27" customFormat="1" ht="12.75" customHeight="1" x14ac:dyDescent="0.2">
      <c r="A66" s="6" t="s">
        <v>994</v>
      </c>
      <c r="B66" s="8">
        <v>9789500208635</v>
      </c>
      <c r="C66" s="8">
        <v>613393</v>
      </c>
      <c r="D66" s="25">
        <v>288</v>
      </c>
      <c r="E66" s="7" t="s">
        <v>53</v>
      </c>
      <c r="F66" s="7" t="s">
        <v>54</v>
      </c>
      <c r="G66" s="107">
        <v>42491</v>
      </c>
      <c r="H66" s="108">
        <v>42461</v>
      </c>
      <c r="I66" s="24">
        <v>3018</v>
      </c>
      <c r="J66" s="28" t="s">
        <v>1894</v>
      </c>
      <c r="K66" s="28">
        <v>38.08</v>
      </c>
      <c r="L66" s="128">
        <v>19300</v>
      </c>
      <c r="M66" s="141">
        <f>+L66*0.08</f>
        <v>1544</v>
      </c>
      <c r="N66" s="142">
        <f t="shared" si="20"/>
        <v>9650</v>
      </c>
      <c r="O66" s="142">
        <f t="shared" si="21"/>
        <v>8067.92</v>
      </c>
      <c r="P66" s="142">
        <f t="shared" si="22"/>
        <v>1582.08</v>
      </c>
      <c r="Q66" s="139">
        <f t="shared" si="23"/>
        <v>0.83605388601036268</v>
      </c>
      <c r="R66" s="336">
        <v>19300</v>
      </c>
      <c r="S66" s="359" t="s">
        <v>1948</v>
      </c>
      <c r="T66" s="305">
        <v>0.83605388601036268</v>
      </c>
      <c r="U66" s="25"/>
      <c r="V66" s="100"/>
      <c r="W66" s="110">
        <f t="shared" si="24"/>
        <v>19300</v>
      </c>
      <c r="X66" s="110">
        <f t="shared" si="25"/>
        <v>38.08</v>
      </c>
      <c r="Y66" s="110">
        <f t="shared" si="26"/>
        <v>1544</v>
      </c>
      <c r="Z66" s="110">
        <f t="shared" si="27"/>
        <v>8067.92</v>
      </c>
      <c r="AA66" s="260">
        <f t="shared" si="28"/>
        <v>0.83605388601036268</v>
      </c>
      <c r="AB66" s="28">
        <f t="shared" si="29"/>
        <v>6.4</v>
      </c>
      <c r="AC66" s="261">
        <f t="shared" si="30"/>
        <v>0.83699307616221563</v>
      </c>
      <c r="AD66" s="111">
        <f t="shared" si="31"/>
        <v>1.1000000000000001</v>
      </c>
      <c r="AE66" s="262">
        <f t="shared" si="32"/>
        <v>5.1596079489254661E-2</v>
      </c>
      <c r="AF66" s="100"/>
      <c r="AG66" s="111">
        <f t="shared" si="33"/>
        <v>1.7</v>
      </c>
      <c r="AH66" s="262">
        <f t="shared" si="34"/>
        <v>0.38632687496363527</v>
      </c>
      <c r="AI66" s="100"/>
      <c r="AJ66" s="111">
        <f t="shared" si="35"/>
        <v>1.6</v>
      </c>
      <c r="AK66" s="262">
        <f t="shared" si="36"/>
        <v>0.34797230464886258</v>
      </c>
      <c r="AL66" s="100"/>
      <c r="AM66" s="111">
        <f t="shared" si="37"/>
        <v>1.5</v>
      </c>
      <c r="AN66" s="262">
        <f t="shared" si="38"/>
        <v>0.30450379162545338</v>
      </c>
      <c r="AO66" s="100"/>
      <c r="AP66" s="24" t="e">
        <f>VLOOKUP(C66,#REF!,6,FALSE)</f>
        <v>#REF!</v>
      </c>
      <c r="AQ66" s="24" t="e">
        <f>VLOOKUP(C66,#REF!,7,FALSE)</f>
        <v>#REF!</v>
      </c>
      <c r="AR66" s="24" t="e">
        <f>VLOOKUP(C66,#REF!,12,FALSE)</f>
        <v>#REF!</v>
      </c>
      <c r="AS66" s="24" t="e">
        <f>VLOOKUP(C66,#REF!,13,FALSE)</f>
        <v>#REF!</v>
      </c>
      <c r="AT66" s="100"/>
      <c r="AU66" s="100"/>
      <c r="AV66" s="100">
        <v>56</v>
      </c>
      <c r="AW66" s="100"/>
      <c r="AY66" s="128">
        <v>19300</v>
      </c>
    </row>
    <row r="67" spans="1:51" s="2" customFormat="1" ht="12.75" customHeight="1" x14ac:dyDescent="0.2">
      <c r="A67" s="6" t="s">
        <v>982</v>
      </c>
      <c r="B67" s="8">
        <v>9789500208604</v>
      </c>
      <c r="C67" s="8">
        <v>593815</v>
      </c>
      <c r="D67" s="7">
        <v>272</v>
      </c>
      <c r="E67" s="7" t="s">
        <v>995</v>
      </c>
      <c r="F67" s="7" t="s">
        <v>41</v>
      </c>
      <c r="G67" s="107">
        <v>42186</v>
      </c>
      <c r="H67" s="108">
        <v>42156</v>
      </c>
      <c r="I67" s="24">
        <v>3019</v>
      </c>
      <c r="J67" s="28" t="s">
        <v>1946</v>
      </c>
      <c r="K67" s="28">
        <v>27.05</v>
      </c>
      <c r="L67" s="128">
        <v>21200</v>
      </c>
      <c r="M67" s="141">
        <f>+L67*0.08</f>
        <v>1696</v>
      </c>
      <c r="N67" s="142">
        <f t="shared" si="20"/>
        <v>10600</v>
      </c>
      <c r="O67" s="142">
        <f t="shared" si="21"/>
        <v>8876.9500000000007</v>
      </c>
      <c r="P67" s="142">
        <f t="shared" si="22"/>
        <v>1723.05</v>
      </c>
      <c r="Q67" s="139">
        <f t="shared" si="23"/>
        <v>0.8374481132075472</v>
      </c>
      <c r="R67" s="336">
        <v>21200</v>
      </c>
      <c r="S67" s="359" t="s">
        <v>1948</v>
      </c>
      <c r="T67" s="305">
        <v>0.8374481132075472</v>
      </c>
      <c r="U67" s="25"/>
      <c r="V67" s="100"/>
      <c r="W67" s="110">
        <f t="shared" si="24"/>
        <v>21200</v>
      </c>
      <c r="X67" s="110">
        <f t="shared" si="25"/>
        <v>27.05</v>
      </c>
      <c r="Y67" s="110">
        <f t="shared" si="26"/>
        <v>1696</v>
      </c>
      <c r="Z67" s="110">
        <f t="shared" si="27"/>
        <v>8876.9500000000007</v>
      </c>
      <c r="AA67" s="260">
        <f t="shared" si="28"/>
        <v>0.8374481132075472</v>
      </c>
      <c r="AB67" s="28">
        <f t="shared" si="29"/>
        <v>7</v>
      </c>
      <c r="AC67" s="261">
        <f t="shared" si="30"/>
        <v>0.83768545994065291</v>
      </c>
      <c r="AD67" s="111">
        <f t="shared" si="31"/>
        <v>1.2</v>
      </c>
      <c r="AE67" s="262">
        <f t="shared" si="32"/>
        <v>5.3165182987141443E-2</v>
      </c>
      <c r="AF67" s="100"/>
      <c r="AG67" s="111">
        <f t="shared" si="33"/>
        <v>1.9</v>
      </c>
      <c r="AH67" s="262">
        <f t="shared" si="34"/>
        <v>0.40199906293924714</v>
      </c>
      <c r="AI67" s="100"/>
      <c r="AJ67" s="111">
        <f t="shared" si="35"/>
        <v>1.7</v>
      </c>
      <c r="AK67" s="262">
        <f t="shared" si="36"/>
        <v>0.33164601152033502</v>
      </c>
      <c r="AL67" s="100"/>
      <c r="AM67" s="111">
        <f t="shared" si="37"/>
        <v>1.6</v>
      </c>
      <c r="AN67" s="262">
        <f t="shared" si="38"/>
        <v>0.28987388724035601</v>
      </c>
      <c r="AO67" s="100"/>
      <c r="AP67" s="24" t="e">
        <f>VLOOKUP(C67,#REF!,6,FALSE)</f>
        <v>#REF!</v>
      </c>
      <c r="AQ67" s="24" t="e">
        <f>VLOOKUP(C67,#REF!,7,FALSE)</f>
        <v>#REF!</v>
      </c>
      <c r="AR67" s="24" t="e">
        <f>VLOOKUP(C67,#REF!,12,FALSE)</f>
        <v>#REF!</v>
      </c>
      <c r="AS67" s="24" t="e">
        <f>VLOOKUP(C67,#REF!,13,FALSE)</f>
        <v>#REF!</v>
      </c>
      <c r="AT67" s="100"/>
      <c r="AU67" s="100"/>
      <c r="AV67" s="100">
        <v>57</v>
      </c>
      <c r="AW67" s="100"/>
      <c r="AY67" s="128">
        <v>21200</v>
      </c>
    </row>
    <row r="68" spans="1:51" s="2" customFormat="1" ht="12.75" customHeight="1" x14ac:dyDescent="0.2">
      <c r="A68" s="7" t="s">
        <v>996</v>
      </c>
      <c r="B68" s="8">
        <v>9789500207188</v>
      </c>
      <c r="C68" s="8">
        <v>578530</v>
      </c>
      <c r="D68" s="7">
        <v>352</v>
      </c>
      <c r="E68" s="7" t="s">
        <v>52</v>
      </c>
      <c r="F68" s="7" t="s">
        <v>997</v>
      </c>
      <c r="G68" s="107">
        <v>41791</v>
      </c>
      <c r="H68" s="108">
        <v>41760</v>
      </c>
      <c r="I68" s="24">
        <v>3066</v>
      </c>
      <c r="J68" s="28" t="s">
        <v>1894</v>
      </c>
      <c r="K68" s="28">
        <v>21.08</v>
      </c>
      <c r="L68" s="128">
        <v>22600</v>
      </c>
      <c r="M68" s="141">
        <f>+L68*0.1</f>
        <v>2260</v>
      </c>
      <c r="N68" s="142">
        <f t="shared" si="20"/>
        <v>11300</v>
      </c>
      <c r="O68" s="142">
        <f t="shared" si="21"/>
        <v>9018.92</v>
      </c>
      <c r="P68" s="142">
        <f t="shared" si="22"/>
        <v>2281.08</v>
      </c>
      <c r="Q68" s="139">
        <f t="shared" si="23"/>
        <v>0.79813451327433627</v>
      </c>
      <c r="R68" s="336">
        <v>22600</v>
      </c>
      <c r="S68" s="359" t="s">
        <v>1948</v>
      </c>
      <c r="T68" s="305">
        <v>0.79813451327433627</v>
      </c>
      <c r="U68" s="25"/>
      <c r="V68" s="100"/>
      <c r="W68" s="110">
        <f t="shared" si="24"/>
        <v>22600</v>
      </c>
      <c r="X68" s="110">
        <f t="shared" si="25"/>
        <v>21.08</v>
      </c>
      <c r="Y68" s="110">
        <f t="shared" si="26"/>
        <v>2260</v>
      </c>
      <c r="Z68" s="110">
        <f t="shared" si="27"/>
        <v>9018.92</v>
      </c>
      <c r="AA68" s="260">
        <f t="shared" si="28"/>
        <v>0.79813451327433627</v>
      </c>
      <c r="AB68" s="28">
        <f t="shared" si="29"/>
        <v>7.5</v>
      </c>
      <c r="AC68" s="261">
        <f t="shared" si="30"/>
        <v>0.79944345532476102</v>
      </c>
      <c r="AD68" s="111">
        <f t="shared" si="31"/>
        <v>1.6</v>
      </c>
      <c r="AE68" s="262">
        <f t="shared" si="32"/>
        <v>5.9891196834817077E-2</v>
      </c>
      <c r="AF68" s="100"/>
      <c r="AG68" s="111">
        <f t="shared" si="33"/>
        <v>2.5</v>
      </c>
      <c r="AH68" s="262">
        <f t="shared" si="34"/>
        <v>0.3983303659742829</v>
      </c>
      <c r="AI68" s="100"/>
      <c r="AJ68" s="111">
        <f t="shared" si="35"/>
        <v>2.2999999999999998</v>
      </c>
      <c r="AK68" s="262">
        <f t="shared" si="36"/>
        <v>0.34601126736335097</v>
      </c>
      <c r="AL68" s="100"/>
      <c r="AM68" s="111">
        <f t="shared" si="37"/>
        <v>2.1</v>
      </c>
      <c r="AN68" s="262">
        <f t="shared" si="38"/>
        <v>0.28372662615986061</v>
      </c>
      <c r="AO68" s="100"/>
      <c r="AP68" s="24" t="e">
        <f>VLOOKUP(C68,#REF!,6,FALSE)</f>
        <v>#REF!</v>
      </c>
      <c r="AQ68" s="24" t="e">
        <f>VLOOKUP(C68,#REF!,7,FALSE)</f>
        <v>#REF!</v>
      </c>
      <c r="AR68" s="24" t="e">
        <f>VLOOKUP(C68,#REF!,12,FALSE)</f>
        <v>#REF!</v>
      </c>
      <c r="AS68" s="24" t="e">
        <f>VLOOKUP(C68,#REF!,13,FALSE)</f>
        <v>#REF!</v>
      </c>
      <c r="AT68" s="100"/>
      <c r="AU68" s="100"/>
      <c r="AV68" s="100">
        <v>58</v>
      </c>
      <c r="AW68" s="100"/>
      <c r="AY68" s="128">
        <v>22600</v>
      </c>
    </row>
    <row r="69" spans="1:51" s="2" customFormat="1" ht="12.75" customHeight="1" x14ac:dyDescent="0.2">
      <c r="A69" s="6" t="s">
        <v>998</v>
      </c>
      <c r="B69" s="8">
        <v>9789500298841</v>
      </c>
      <c r="C69" s="3">
        <v>614585</v>
      </c>
      <c r="D69" s="7">
        <v>384</v>
      </c>
      <c r="E69" s="31" t="s">
        <v>58</v>
      </c>
      <c r="F69" s="32" t="s">
        <v>59</v>
      </c>
      <c r="G69" s="107">
        <v>42522</v>
      </c>
      <c r="H69" s="108">
        <v>42491</v>
      </c>
      <c r="I69" s="24">
        <v>3005</v>
      </c>
      <c r="J69" s="28" t="s">
        <v>1894</v>
      </c>
      <c r="K69" s="28">
        <v>45.51</v>
      </c>
      <c r="L69" s="112">
        <v>25600</v>
      </c>
      <c r="M69" s="141">
        <f>+L69*0.08</f>
        <v>2048</v>
      </c>
      <c r="N69" s="142">
        <f t="shared" si="20"/>
        <v>12800</v>
      </c>
      <c r="O69" s="142">
        <f t="shared" si="21"/>
        <v>10706.49</v>
      </c>
      <c r="P69" s="142">
        <f t="shared" si="22"/>
        <v>2093.5100000000002</v>
      </c>
      <c r="Q69" s="139">
        <f t="shared" si="23"/>
        <v>0.83644453124999996</v>
      </c>
      <c r="R69" s="336">
        <v>25600</v>
      </c>
      <c r="S69" s="359" t="s">
        <v>1948</v>
      </c>
      <c r="T69" s="305">
        <v>0.83644453124999996</v>
      </c>
      <c r="U69" s="144"/>
      <c r="V69" s="100"/>
      <c r="W69" s="110">
        <f t="shared" si="24"/>
        <v>25600</v>
      </c>
      <c r="X69" s="110">
        <f t="shared" si="25"/>
        <v>45.51</v>
      </c>
      <c r="Y69" s="110">
        <f t="shared" si="26"/>
        <v>2048</v>
      </c>
      <c r="Z69" s="110">
        <f t="shared" si="27"/>
        <v>10706.49</v>
      </c>
      <c r="AA69" s="260">
        <f t="shared" si="28"/>
        <v>0.83644453124999996</v>
      </c>
      <c r="AB69" s="28">
        <f t="shared" si="29"/>
        <v>8.4</v>
      </c>
      <c r="AC69" s="261">
        <f t="shared" si="30"/>
        <v>0.83565619455827167</v>
      </c>
      <c r="AD69" s="111">
        <f t="shared" si="31"/>
        <v>1.5</v>
      </c>
      <c r="AE69" s="262">
        <f t="shared" si="32"/>
        <v>7.9674689526321479E-2</v>
      </c>
      <c r="AF69" s="100"/>
      <c r="AG69" s="111">
        <f t="shared" si="33"/>
        <v>2.2999999999999998</v>
      </c>
      <c r="AH69" s="262">
        <f t="shared" si="34"/>
        <v>0.39978784099542702</v>
      </c>
      <c r="AI69" s="100"/>
      <c r="AJ69" s="111">
        <f t="shared" si="35"/>
        <v>2.1</v>
      </c>
      <c r="AK69" s="262">
        <f t="shared" si="36"/>
        <v>0.34262477823308679</v>
      </c>
      <c r="AL69" s="100"/>
      <c r="AM69" s="111">
        <f t="shared" si="37"/>
        <v>2</v>
      </c>
      <c r="AN69" s="262">
        <f t="shared" si="38"/>
        <v>0.3097560171447411</v>
      </c>
      <c r="AO69" s="100"/>
      <c r="AP69" s="24" t="e">
        <f>VLOOKUP(C69,#REF!,6,FALSE)</f>
        <v>#REF!</v>
      </c>
      <c r="AQ69" s="24" t="e">
        <f>VLOOKUP(C69,#REF!,7,FALSE)</f>
        <v>#REF!</v>
      </c>
      <c r="AR69" s="24" t="e">
        <f>VLOOKUP(C69,#REF!,12,FALSE)</f>
        <v>#REF!</v>
      </c>
      <c r="AS69" s="24" t="e">
        <f>VLOOKUP(C69,#REF!,13,FALSE)</f>
        <v>#REF!</v>
      </c>
      <c r="AT69" s="100"/>
      <c r="AU69" s="100"/>
      <c r="AV69" s="100">
        <v>59</v>
      </c>
      <c r="AW69" s="100"/>
      <c r="AY69" s="112">
        <v>25600</v>
      </c>
    </row>
    <row r="70" spans="1:51" s="27" customFormat="1" ht="12.75" customHeight="1" x14ac:dyDescent="0.2">
      <c r="A70" s="6" t="s">
        <v>999</v>
      </c>
      <c r="B70" s="8">
        <v>9789500208574</v>
      </c>
      <c r="C70" s="8">
        <v>592798</v>
      </c>
      <c r="D70" s="7">
        <v>400</v>
      </c>
      <c r="E70" s="7" t="s">
        <v>1000</v>
      </c>
      <c r="F70" s="7" t="s">
        <v>51</v>
      </c>
      <c r="G70" s="107">
        <v>42156</v>
      </c>
      <c r="H70" s="108">
        <v>42856</v>
      </c>
      <c r="I70" s="24">
        <v>3080</v>
      </c>
      <c r="J70" s="28" t="s">
        <v>1894</v>
      </c>
      <c r="K70" s="28">
        <v>25.3</v>
      </c>
      <c r="L70" s="112">
        <v>25600</v>
      </c>
      <c r="M70" s="141">
        <f>+L70*0.1</f>
        <v>2560</v>
      </c>
      <c r="N70" s="9">
        <f t="shared" si="20"/>
        <v>12800</v>
      </c>
      <c r="O70" s="9">
        <f t="shared" si="21"/>
        <v>10214.700000000001</v>
      </c>
      <c r="P70" s="9">
        <f t="shared" si="22"/>
        <v>2585.3000000000002</v>
      </c>
      <c r="Q70" s="139">
        <f t="shared" si="23"/>
        <v>0.79802343750000004</v>
      </c>
      <c r="R70" s="336">
        <v>25600</v>
      </c>
      <c r="S70" s="359" t="s">
        <v>1948</v>
      </c>
      <c r="T70" s="305">
        <v>0.79802343750000004</v>
      </c>
      <c r="U70" s="144"/>
      <c r="V70" s="100"/>
      <c r="W70" s="110">
        <f t="shared" si="24"/>
        <v>25600</v>
      </c>
      <c r="X70" s="110">
        <f t="shared" si="25"/>
        <v>25.3</v>
      </c>
      <c r="Y70" s="110">
        <f t="shared" si="26"/>
        <v>2560</v>
      </c>
      <c r="Z70" s="110">
        <f t="shared" si="27"/>
        <v>10214.700000000001</v>
      </c>
      <c r="AA70" s="260">
        <f t="shared" si="28"/>
        <v>0.79802343750000004</v>
      </c>
      <c r="AB70" s="28">
        <f t="shared" si="29"/>
        <v>8.4</v>
      </c>
      <c r="AC70" s="261">
        <f t="shared" si="30"/>
        <v>0.79704991129323477</v>
      </c>
      <c r="AD70" s="111">
        <f t="shared" si="31"/>
        <v>1.8</v>
      </c>
      <c r="AE70" s="262">
        <f t="shared" si="32"/>
        <v>5.289958603509546E-2</v>
      </c>
      <c r="AF70" s="100"/>
      <c r="AG70" s="111">
        <f t="shared" si="33"/>
        <v>2.8</v>
      </c>
      <c r="AH70" s="262">
        <f t="shared" si="34"/>
        <v>0.39114973387970414</v>
      </c>
      <c r="AI70" s="100"/>
      <c r="AJ70" s="111">
        <f t="shared" si="35"/>
        <v>2.6</v>
      </c>
      <c r="AK70" s="262">
        <f t="shared" si="36"/>
        <v>0.34431509802429683</v>
      </c>
      <c r="AL70" s="100"/>
      <c r="AM70" s="111">
        <f t="shared" si="37"/>
        <v>2.4</v>
      </c>
      <c r="AN70" s="262">
        <f t="shared" si="38"/>
        <v>0.28967468952632153</v>
      </c>
      <c r="AO70" s="100"/>
      <c r="AP70" s="24" t="e">
        <f>VLOOKUP(C70,#REF!,6,FALSE)</f>
        <v>#REF!</v>
      </c>
      <c r="AQ70" s="24" t="e">
        <f>VLOOKUP(C70,#REF!,7,FALSE)</f>
        <v>#REF!</v>
      </c>
      <c r="AR70" s="24" t="e">
        <f>VLOOKUP(C70,#REF!,12,FALSE)</f>
        <v>#REF!</v>
      </c>
      <c r="AS70" s="24" t="e">
        <f>VLOOKUP(C70,#REF!,13,FALSE)</f>
        <v>#REF!</v>
      </c>
      <c r="AT70" s="100"/>
      <c r="AU70" s="100"/>
      <c r="AV70" s="100">
        <v>60</v>
      </c>
      <c r="AW70" s="100"/>
      <c r="AY70" s="112">
        <v>25600</v>
      </c>
    </row>
    <row r="71" spans="1:51" s="27" customFormat="1" ht="12.75" customHeight="1" x14ac:dyDescent="0.2">
      <c r="A71" s="11" t="s">
        <v>1001</v>
      </c>
      <c r="B71" s="13">
        <v>9789500299855</v>
      </c>
      <c r="C71" s="6">
        <v>639248</v>
      </c>
      <c r="D71" s="7">
        <v>416</v>
      </c>
      <c r="E71" s="11" t="s">
        <v>333</v>
      </c>
      <c r="F71" s="11" t="s">
        <v>1002</v>
      </c>
      <c r="G71" s="107">
        <v>43040</v>
      </c>
      <c r="H71" s="108">
        <v>43009</v>
      </c>
      <c r="I71" s="24">
        <v>2950</v>
      </c>
      <c r="J71" s="28" t="s">
        <v>1946</v>
      </c>
      <c r="K71" s="28">
        <v>74.08</v>
      </c>
      <c r="L71" s="128">
        <v>24800</v>
      </c>
      <c r="M71" s="141">
        <f>+L71*0.08</f>
        <v>1984</v>
      </c>
      <c r="N71" s="142">
        <f t="shared" si="20"/>
        <v>12400</v>
      </c>
      <c r="O71" s="142">
        <f t="shared" si="21"/>
        <v>10341.92</v>
      </c>
      <c r="P71" s="142">
        <f t="shared" si="22"/>
        <v>2058.08</v>
      </c>
      <c r="Q71" s="139">
        <f t="shared" si="23"/>
        <v>0.83402580645161295</v>
      </c>
      <c r="R71" s="336">
        <v>24800</v>
      </c>
      <c r="S71" s="359" t="s">
        <v>1948</v>
      </c>
      <c r="T71" s="305">
        <v>0.83402580645161295</v>
      </c>
      <c r="U71" s="144"/>
      <c r="V71" s="100"/>
      <c r="W71" s="110">
        <f t="shared" si="24"/>
        <v>24800</v>
      </c>
      <c r="X71" s="110">
        <f t="shared" si="25"/>
        <v>74.08</v>
      </c>
      <c r="Y71" s="110">
        <f t="shared" si="26"/>
        <v>1984</v>
      </c>
      <c r="Z71" s="110">
        <f t="shared" si="27"/>
        <v>10341.92</v>
      </c>
      <c r="AA71" s="260">
        <f t="shared" si="28"/>
        <v>0.83402580645161295</v>
      </c>
      <c r="AB71" s="28">
        <f t="shared" si="29"/>
        <v>8.1999999999999993</v>
      </c>
      <c r="AC71" s="261">
        <f t="shared" si="30"/>
        <v>0.83449695624552689</v>
      </c>
      <c r="AD71" s="111">
        <f t="shared" si="31"/>
        <v>1.4</v>
      </c>
      <c r="AE71" s="262">
        <f t="shared" si="32"/>
        <v>3.0625029438085812E-2</v>
      </c>
      <c r="AF71" s="100"/>
      <c r="AG71" s="111">
        <f t="shared" si="33"/>
        <v>2.2999999999999998</v>
      </c>
      <c r="AH71" s="262">
        <f t="shared" si="34"/>
        <v>0.4099456700927479</v>
      </c>
      <c r="AI71" s="100"/>
      <c r="AJ71" s="111">
        <f t="shared" si="35"/>
        <v>2.1</v>
      </c>
      <c r="AK71" s="262">
        <f t="shared" si="36"/>
        <v>0.3537500196253906</v>
      </c>
      <c r="AL71" s="100"/>
      <c r="AM71" s="111">
        <f t="shared" si="37"/>
        <v>1.9</v>
      </c>
      <c r="AN71" s="262">
        <f t="shared" si="38"/>
        <v>0.28572370590174745</v>
      </c>
      <c r="AO71" s="100"/>
      <c r="AP71" s="24" t="e">
        <f>VLOOKUP(C71,#REF!,6,FALSE)</f>
        <v>#REF!</v>
      </c>
      <c r="AQ71" s="24" t="e">
        <f>VLOOKUP(C71,#REF!,7,FALSE)</f>
        <v>#REF!</v>
      </c>
      <c r="AR71" s="24" t="e">
        <f>VLOOKUP(C71,#REF!,12,FALSE)</f>
        <v>#REF!</v>
      </c>
      <c r="AS71" s="24" t="e">
        <f>VLOOKUP(C71,#REF!,13,FALSE)</f>
        <v>#REF!</v>
      </c>
      <c r="AT71" s="100"/>
      <c r="AU71" s="100"/>
      <c r="AV71" s="100">
        <v>61</v>
      </c>
      <c r="AW71" s="100"/>
      <c r="AY71" s="128">
        <v>24800</v>
      </c>
    </row>
    <row r="72" spans="1:51" s="27" customFormat="1" ht="12.75" customHeight="1" x14ac:dyDescent="0.2">
      <c r="A72" s="6" t="s">
        <v>1003</v>
      </c>
      <c r="B72" s="8">
        <v>9789500208284</v>
      </c>
      <c r="C72" s="8">
        <v>584953</v>
      </c>
      <c r="D72" s="7">
        <v>464</v>
      </c>
      <c r="E72" s="7" t="s">
        <v>1004</v>
      </c>
      <c r="F72" s="7" t="s">
        <v>37</v>
      </c>
      <c r="G72" s="107">
        <v>41944</v>
      </c>
      <c r="H72" s="108">
        <v>41913</v>
      </c>
      <c r="I72" s="24">
        <v>3052</v>
      </c>
      <c r="J72" s="28" t="s">
        <v>1894</v>
      </c>
      <c r="K72" s="28">
        <v>34.42</v>
      </c>
      <c r="L72" s="128">
        <v>22600</v>
      </c>
      <c r="M72" s="141">
        <f>+L72*0.08</f>
        <v>1808</v>
      </c>
      <c r="N72" s="142">
        <f t="shared" si="20"/>
        <v>11300</v>
      </c>
      <c r="O72" s="142">
        <f t="shared" si="21"/>
        <v>9457.58</v>
      </c>
      <c r="P72" s="142">
        <f t="shared" si="22"/>
        <v>1842.42</v>
      </c>
      <c r="Q72" s="139">
        <f t="shared" si="23"/>
        <v>0.83695398230088491</v>
      </c>
      <c r="R72" s="336">
        <v>22600</v>
      </c>
      <c r="S72" s="359" t="s">
        <v>1948</v>
      </c>
      <c r="T72" s="305">
        <v>0.83695398230088491</v>
      </c>
      <c r="U72" s="144"/>
      <c r="V72" s="100"/>
      <c r="W72" s="110">
        <f t="shared" si="24"/>
        <v>22600</v>
      </c>
      <c r="X72" s="110">
        <f t="shared" si="25"/>
        <v>34.42</v>
      </c>
      <c r="Y72" s="110">
        <f t="shared" si="26"/>
        <v>1808</v>
      </c>
      <c r="Z72" s="110">
        <f t="shared" si="27"/>
        <v>9457.58</v>
      </c>
      <c r="AA72" s="260">
        <f t="shared" si="28"/>
        <v>0.83695398230088491</v>
      </c>
      <c r="AB72" s="28">
        <f t="shared" si="29"/>
        <v>7.5</v>
      </c>
      <c r="AC72" s="261">
        <f t="shared" si="30"/>
        <v>0.83801121002307943</v>
      </c>
      <c r="AD72" s="111">
        <f t="shared" si="31"/>
        <v>1.3</v>
      </c>
      <c r="AE72" s="262">
        <f t="shared" si="32"/>
        <v>6.5449288594689167E-2</v>
      </c>
      <c r="AF72" s="100"/>
      <c r="AG72" s="111">
        <f t="shared" si="33"/>
        <v>2</v>
      </c>
      <c r="AH72" s="262">
        <f t="shared" si="34"/>
        <v>0.39254203758654793</v>
      </c>
      <c r="AI72" s="100"/>
      <c r="AJ72" s="111">
        <f t="shared" si="35"/>
        <v>1.9</v>
      </c>
      <c r="AK72" s="262">
        <f t="shared" si="36"/>
        <v>0.36057056588057679</v>
      </c>
      <c r="AL72" s="100"/>
      <c r="AM72" s="111">
        <f t="shared" si="37"/>
        <v>1.7</v>
      </c>
      <c r="AN72" s="262">
        <f t="shared" si="38"/>
        <v>0.28534357363123281</v>
      </c>
      <c r="AO72" s="100"/>
      <c r="AP72" s="24" t="e">
        <f>VLOOKUP(C72,#REF!,6,FALSE)</f>
        <v>#REF!</v>
      </c>
      <c r="AQ72" s="24" t="e">
        <f>VLOOKUP(C72,#REF!,7,FALSE)</f>
        <v>#REF!</v>
      </c>
      <c r="AR72" s="24" t="e">
        <f>VLOOKUP(C72,#REF!,12,FALSE)</f>
        <v>#REF!</v>
      </c>
      <c r="AS72" s="24" t="e">
        <f>VLOOKUP(C72,#REF!,13,FALSE)</f>
        <v>#REF!</v>
      </c>
      <c r="AT72" s="100"/>
      <c r="AU72" s="100"/>
      <c r="AV72" s="100">
        <v>62</v>
      </c>
      <c r="AW72" s="100"/>
      <c r="AY72" s="128">
        <v>22600</v>
      </c>
    </row>
    <row r="73" spans="1:51" s="27" customFormat="1" ht="12.75" customHeight="1" x14ac:dyDescent="0.2">
      <c r="A73" s="7" t="s">
        <v>1005</v>
      </c>
      <c r="B73" s="8">
        <v>9789500207737</v>
      </c>
      <c r="C73" s="21">
        <v>571756</v>
      </c>
      <c r="D73" s="25">
        <v>336</v>
      </c>
      <c r="E73" s="22" t="s">
        <v>42</v>
      </c>
      <c r="F73" s="6" t="s">
        <v>43</v>
      </c>
      <c r="G73" s="107">
        <v>41579</v>
      </c>
      <c r="H73" s="108">
        <v>42461</v>
      </c>
      <c r="I73" s="24">
        <v>2000</v>
      </c>
      <c r="J73" s="28" t="s">
        <v>1946</v>
      </c>
      <c r="K73" s="28">
        <v>31.61</v>
      </c>
      <c r="L73" s="112">
        <v>23800</v>
      </c>
      <c r="M73" s="141">
        <f>+L73*0.1</f>
        <v>2380</v>
      </c>
      <c r="N73" s="142">
        <f t="shared" ref="N73:N95" si="40">+L73/2</f>
        <v>11900</v>
      </c>
      <c r="O73" s="142">
        <f t="shared" ref="O73:O95" si="41">+N73-M73-K73</f>
        <v>9488.39</v>
      </c>
      <c r="P73" s="142">
        <f t="shared" ref="P73:P95" si="42">+M73+K73</f>
        <v>2411.61</v>
      </c>
      <c r="Q73" s="139">
        <f t="shared" ref="Q73:Q95" si="43">+O73/N73</f>
        <v>0.79734369747899159</v>
      </c>
      <c r="R73" s="336">
        <v>23800</v>
      </c>
      <c r="S73" s="359" t="s">
        <v>1948</v>
      </c>
      <c r="T73" s="305">
        <v>0.79734369747899159</v>
      </c>
      <c r="U73" s="25"/>
      <c r="V73" s="100"/>
      <c r="W73" s="110">
        <f t="shared" ref="W73:W95" si="44">+L73</f>
        <v>23800</v>
      </c>
      <c r="X73" s="110">
        <f t="shared" ref="X73:X95" si="45">+K73</f>
        <v>31.61</v>
      </c>
      <c r="Y73" s="110">
        <f t="shared" ref="Y73:Y95" si="46">+M73</f>
        <v>2380</v>
      </c>
      <c r="Z73" s="110">
        <f t="shared" ref="Z73:Z95" si="47">+W73/2-X73-Y73</f>
        <v>9488.39</v>
      </c>
      <c r="AA73" s="260">
        <f t="shared" ref="AA73:AA95" si="48">+Z73/(W73/2)</f>
        <v>0.79734369747899159</v>
      </c>
      <c r="AB73" s="28">
        <f t="shared" ref="AB73:AB95" si="49">ROUND($W73/2/$X$1,1)</f>
        <v>7.8</v>
      </c>
      <c r="AC73" s="261">
        <f t="shared" ref="AC73:AC95" si="50">+(AB73*$X$1-$X73-$Y73)/(AB73*$X$1)</f>
        <v>0.79612214359988831</v>
      </c>
      <c r="AD73" s="111">
        <f t="shared" ref="AD73:AD95" si="51">+IFERROR(ROUND(($X73+$Y73)/(1-$X$2)/$X$1,1),0)</f>
        <v>1.7</v>
      </c>
      <c r="AE73" s="262">
        <f t="shared" ref="AE73:AE95" si="52">+(AD73*$X$1-$X73-$Y73)/(AD73*$X$1)</f>
        <v>6.4560423575958426E-2</v>
      </c>
      <c r="AF73" s="100"/>
      <c r="AG73" s="111">
        <f t="shared" ref="AG73:AG95" si="53">+IFERROR(ROUND(($X73+$Y73)/(1-$AG$2)/$X$1,1),0)</f>
        <v>2.7</v>
      </c>
      <c r="AH73" s="262">
        <f t="shared" ref="AH73:AH95" si="54">+(AG73*$X$1-$X73-$Y73)/(AG73*$X$1)</f>
        <v>0.41101952595523317</v>
      </c>
      <c r="AI73" s="100"/>
      <c r="AJ73" s="111">
        <f t="shared" ref="AJ73:AJ95" si="55">+IFERROR(ROUND(($X73+$Y73)/(1-$AJ$2)/$X$1,1),0)</f>
        <v>2.4</v>
      </c>
      <c r="AK73" s="262">
        <f t="shared" ref="AK73:AK95" si="56">+(AJ73*$X$1-$X73-$Y73)/(AJ73*$X$1)</f>
        <v>0.33739696669963726</v>
      </c>
      <c r="AL73" s="100"/>
      <c r="AM73" s="111">
        <f t="shared" ref="AM73:AM95" si="57">+IFERROR(ROUND(($X73+$Y73)/(1-$AM$2)/$X$1,1),0)</f>
        <v>2.2999999999999998</v>
      </c>
      <c r="AN73" s="262">
        <f t="shared" ref="AN73:AN95" si="58">+(AM73*$X$1-$X73-$Y73)/(AM73*$X$1)</f>
        <v>0.30858813916483885</v>
      </c>
      <c r="AO73" s="100"/>
      <c r="AP73" s="24" t="e">
        <f>VLOOKUP(C73,#REF!,6,FALSE)</f>
        <v>#REF!</v>
      </c>
      <c r="AQ73" s="24" t="e">
        <f>VLOOKUP(C73,#REF!,7,FALSE)</f>
        <v>#REF!</v>
      </c>
      <c r="AR73" s="24" t="e">
        <f>VLOOKUP(C73,#REF!,12,FALSE)</f>
        <v>#REF!</v>
      </c>
      <c r="AS73" s="24" t="e">
        <f>VLOOKUP(C73,#REF!,13,FALSE)</f>
        <v>#REF!</v>
      </c>
      <c r="AT73" s="100"/>
      <c r="AU73" s="100"/>
      <c r="AV73" s="100">
        <v>63</v>
      </c>
      <c r="AW73" s="100"/>
      <c r="AY73" s="112">
        <v>23800</v>
      </c>
    </row>
    <row r="74" spans="1:51" s="27" customFormat="1" ht="12.75" customHeight="1" x14ac:dyDescent="0.2">
      <c r="A74" s="6" t="s">
        <v>1006</v>
      </c>
      <c r="B74" s="8">
        <v>9789500208321</v>
      </c>
      <c r="C74" s="8">
        <v>586574</v>
      </c>
      <c r="D74" s="7">
        <v>368</v>
      </c>
      <c r="E74" s="7" t="s">
        <v>45</v>
      </c>
      <c r="F74" s="7" t="s">
        <v>46</v>
      </c>
      <c r="G74" s="107">
        <v>41974</v>
      </c>
      <c r="H74" s="108">
        <v>41944</v>
      </c>
      <c r="I74" s="24">
        <v>3005</v>
      </c>
      <c r="J74" s="28" t="s">
        <v>1894</v>
      </c>
      <c r="K74" s="28">
        <v>32.97</v>
      </c>
      <c r="L74" s="128">
        <v>19300</v>
      </c>
      <c r="M74" s="141">
        <f>+L74*0.1</f>
        <v>1930</v>
      </c>
      <c r="N74" s="142">
        <f t="shared" si="40"/>
        <v>9650</v>
      </c>
      <c r="O74" s="142">
        <f t="shared" si="41"/>
        <v>7687.03</v>
      </c>
      <c r="P74" s="142">
        <f t="shared" si="42"/>
        <v>1962.97</v>
      </c>
      <c r="Q74" s="139">
        <f t="shared" si="43"/>
        <v>0.79658341968911917</v>
      </c>
      <c r="R74" s="336">
        <v>19300</v>
      </c>
      <c r="S74" s="359" t="s">
        <v>1948</v>
      </c>
      <c r="T74" s="305">
        <v>0.79658341968911917</v>
      </c>
      <c r="U74" s="144"/>
      <c r="V74" s="100"/>
      <c r="W74" s="110">
        <f t="shared" si="44"/>
        <v>19300</v>
      </c>
      <c r="X74" s="110">
        <f t="shared" si="45"/>
        <v>32.97</v>
      </c>
      <c r="Y74" s="110">
        <f t="shared" si="46"/>
        <v>1930</v>
      </c>
      <c r="Z74" s="110">
        <f t="shared" si="47"/>
        <v>7687.0300000000007</v>
      </c>
      <c r="AA74" s="260">
        <f t="shared" si="48"/>
        <v>0.79658341968911928</v>
      </c>
      <c r="AB74" s="28">
        <f t="shared" si="49"/>
        <v>6.4</v>
      </c>
      <c r="AC74" s="261">
        <f t="shared" si="50"/>
        <v>0.79774872238707562</v>
      </c>
      <c r="AD74" s="111">
        <f t="shared" si="51"/>
        <v>1.4</v>
      </c>
      <c r="AE74" s="262">
        <f t="shared" si="52"/>
        <v>7.5422730912345207E-2</v>
      </c>
      <c r="AF74" s="100"/>
      <c r="AG74" s="111">
        <f t="shared" si="53"/>
        <v>2.2000000000000002</v>
      </c>
      <c r="AH74" s="262">
        <f t="shared" si="54"/>
        <v>0.41163264694421975</v>
      </c>
      <c r="AI74" s="100"/>
      <c r="AJ74" s="111">
        <f t="shared" si="55"/>
        <v>2</v>
      </c>
      <c r="AK74" s="262">
        <f t="shared" si="56"/>
        <v>0.35279591163864166</v>
      </c>
      <c r="AL74" s="100"/>
      <c r="AM74" s="111">
        <f t="shared" si="57"/>
        <v>1.8</v>
      </c>
      <c r="AN74" s="262">
        <f t="shared" si="58"/>
        <v>0.28088434626515751</v>
      </c>
      <c r="AO74" s="100"/>
      <c r="AP74" s="24" t="e">
        <f>VLOOKUP(C74,#REF!,6,FALSE)</f>
        <v>#REF!</v>
      </c>
      <c r="AQ74" s="24" t="e">
        <f>VLOOKUP(C74,#REF!,7,FALSE)</f>
        <v>#REF!</v>
      </c>
      <c r="AR74" s="24" t="e">
        <f>VLOOKUP(C74,#REF!,12,FALSE)</f>
        <v>#REF!</v>
      </c>
      <c r="AS74" s="24" t="e">
        <f>VLOOKUP(C74,#REF!,13,FALSE)</f>
        <v>#REF!</v>
      </c>
      <c r="AT74" s="100"/>
      <c r="AU74" s="100"/>
      <c r="AV74" s="100">
        <v>64</v>
      </c>
      <c r="AW74" s="100"/>
      <c r="AY74" s="128">
        <v>19300</v>
      </c>
    </row>
    <row r="75" spans="1:51" s="27" customFormat="1" ht="12.75" customHeight="1" x14ac:dyDescent="0.2">
      <c r="A75" s="6" t="s">
        <v>1007</v>
      </c>
      <c r="B75" s="8">
        <v>9789500299848</v>
      </c>
      <c r="C75" s="6">
        <v>636947</v>
      </c>
      <c r="D75" s="25">
        <v>336</v>
      </c>
      <c r="E75" s="22" t="s">
        <v>24</v>
      </c>
      <c r="F75" s="32" t="s">
        <v>1008</v>
      </c>
      <c r="G75" s="107">
        <v>43009</v>
      </c>
      <c r="H75" s="108">
        <v>42979</v>
      </c>
      <c r="I75" s="24">
        <v>2990</v>
      </c>
      <c r="J75" s="28" t="s">
        <v>1894</v>
      </c>
      <c r="K75" s="28">
        <v>56.22</v>
      </c>
      <c r="L75" s="112">
        <v>22600</v>
      </c>
      <c r="M75" s="112">
        <f>+L75*0.08</f>
        <v>1808</v>
      </c>
      <c r="N75" s="142">
        <f t="shared" si="40"/>
        <v>11300</v>
      </c>
      <c r="O75" s="142">
        <f t="shared" si="41"/>
        <v>9435.7800000000007</v>
      </c>
      <c r="P75" s="142">
        <f t="shared" si="42"/>
        <v>1864.22</v>
      </c>
      <c r="Q75" s="139">
        <f t="shared" si="43"/>
        <v>0.83502477876106196</v>
      </c>
      <c r="R75" s="336">
        <v>22600</v>
      </c>
      <c r="S75" s="359" t="s">
        <v>1948</v>
      </c>
      <c r="T75" s="305">
        <v>0.83502477876106196</v>
      </c>
      <c r="U75" s="25"/>
      <c r="V75" s="100"/>
      <c r="W75" s="110">
        <f t="shared" si="44"/>
        <v>22600</v>
      </c>
      <c r="X75" s="110">
        <f t="shared" si="45"/>
        <v>56.22</v>
      </c>
      <c r="Y75" s="110">
        <f t="shared" si="46"/>
        <v>1808</v>
      </c>
      <c r="Z75" s="110">
        <f t="shared" si="47"/>
        <v>9435.7800000000007</v>
      </c>
      <c r="AA75" s="260">
        <f t="shared" si="48"/>
        <v>0.83502477876106196</v>
      </c>
      <c r="AB75" s="28">
        <f t="shared" si="49"/>
        <v>7.5</v>
      </c>
      <c r="AC75" s="261">
        <f t="shared" si="50"/>
        <v>0.83609451588086614</v>
      </c>
      <c r="AD75" s="111">
        <f t="shared" si="51"/>
        <v>1.3</v>
      </c>
      <c r="AE75" s="262">
        <f t="shared" si="52"/>
        <v>5.43914377742271E-2</v>
      </c>
      <c r="AF75" s="100"/>
      <c r="AG75" s="111">
        <f t="shared" si="53"/>
        <v>2</v>
      </c>
      <c r="AH75" s="262">
        <f t="shared" si="54"/>
        <v>0.38535443455324769</v>
      </c>
      <c r="AI75" s="100"/>
      <c r="AJ75" s="111">
        <f t="shared" si="55"/>
        <v>1.9</v>
      </c>
      <c r="AK75" s="262">
        <f t="shared" si="56"/>
        <v>0.353004667950787</v>
      </c>
      <c r="AL75" s="100"/>
      <c r="AM75" s="111">
        <f t="shared" si="57"/>
        <v>1.8</v>
      </c>
      <c r="AN75" s="262">
        <f t="shared" si="58"/>
        <v>0.31706048283694194</v>
      </c>
      <c r="AO75" s="100"/>
      <c r="AP75" s="24" t="e">
        <f>VLOOKUP(C75,#REF!,6,FALSE)</f>
        <v>#REF!</v>
      </c>
      <c r="AQ75" s="24" t="e">
        <f>VLOOKUP(C75,#REF!,7,FALSE)</f>
        <v>#REF!</v>
      </c>
      <c r="AR75" s="24" t="e">
        <f>VLOOKUP(C75,#REF!,12,FALSE)</f>
        <v>#REF!</v>
      </c>
      <c r="AS75" s="24" t="e">
        <f>VLOOKUP(C75,#REF!,13,FALSE)</f>
        <v>#REF!</v>
      </c>
      <c r="AT75" s="100"/>
      <c r="AU75" s="100"/>
      <c r="AV75" s="100">
        <v>65</v>
      </c>
      <c r="AW75" s="100"/>
      <c r="AY75" s="112">
        <v>22600</v>
      </c>
    </row>
    <row r="76" spans="1:51" s="27" customFormat="1" ht="12.75" customHeight="1" x14ac:dyDescent="0.2">
      <c r="A76" s="6" t="s">
        <v>1009</v>
      </c>
      <c r="B76" s="8">
        <v>9789500208659</v>
      </c>
      <c r="C76" s="8">
        <v>598208</v>
      </c>
      <c r="D76" s="7">
        <v>448</v>
      </c>
      <c r="E76" s="6" t="s">
        <v>1010</v>
      </c>
      <c r="F76" s="6" t="s">
        <v>2</v>
      </c>
      <c r="G76" s="107">
        <v>42309</v>
      </c>
      <c r="H76" s="108">
        <v>43586</v>
      </c>
      <c r="I76" s="24">
        <v>496</v>
      </c>
      <c r="J76" s="28" t="s">
        <v>1894</v>
      </c>
      <c r="K76" s="28">
        <v>123.78</v>
      </c>
      <c r="L76" s="128">
        <v>21600</v>
      </c>
      <c r="M76" s="12">
        <f>+L76*0.1</f>
        <v>2160</v>
      </c>
      <c r="N76" s="9">
        <f t="shared" si="40"/>
        <v>10800</v>
      </c>
      <c r="O76" s="9">
        <f t="shared" si="41"/>
        <v>8516.2199999999993</v>
      </c>
      <c r="P76" s="9">
        <f t="shared" si="42"/>
        <v>2283.7800000000002</v>
      </c>
      <c r="Q76" s="139">
        <f t="shared" si="43"/>
        <v>0.78853888888888879</v>
      </c>
      <c r="R76" s="336">
        <v>21600</v>
      </c>
      <c r="S76" s="359" t="s">
        <v>1948</v>
      </c>
      <c r="T76" s="305">
        <v>0.78853888888888879</v>
      </c>
      <c r="U76" s="144"/>
      <c r="V76" s="100"/>
      <c r="W76" s="110">
        <f t="shared" si="44"/>
        <v>21600</v>
      </c>
      <c r="X76" s="110">
        <f t="shared" si="45"/>
        <v>123.78</v>
      </c>
      <c r="Y76" s="110">
        <f t="shared" si="46"/>
        <v>2160</v>
      </c>
      <c r="Z76" s="110">
        <f t="shared" si="47"/>
        <v>8516.2199999999993</v>
      </c>
      <c r="AA76" s="260">
        <f t="shared" si="48"/>
        <v>0.78853888888888879</v>
      </c>
      <c r="AB76" s="28">
        <f t="shared" si="49"/>
        <v>7.1</v>
      </c>
      <c r="AC76" s="261">
        <f t="shared" si="50"/>
        <v>0.78789373232470983</v>
      </c>
      <c r="AD76" s="111">
        <f t="shared" si="51"/>
        <v>1.6</v>
      </c>
      <c r="AE76" s="262">
        <f t="shared" si="52"/>
        <v>5.8778437190900049E-2</v>
      </c>
      <c r="AF76" s="100"/>
      <c r="AG76" s="111">
        <f t="shared" si="53"/>
        <v>2.5</v>
      </c>
      <c r="AH76" s="262">
        <f t="shared" si="54"/>
        <v>0.397618199802176</v>
      </c>
      <c r="AI76" s="100"/>
      <c r="AJ76" s="111">
        <f t="shared" si="55"/>
        <v>2.2999999999999998</v>
      </c>
      <c r="AK76" s="262">
        <f t="shared" si="56"/>
        <v>0.34523717369801737</v>
      </c>
      <c r="AL76" s="100"/>
      <c r="AM76" s="111">
        <f t="shared" si="57"/>
        <v>2.2000000000000002</v>
      </c>
      <c r="AN76" s="262">
        <f t="shared" si="58"/>
        <v>0.3154752270479273</v>
      </c>
      <c r="AO76" s="100"/>
      <c r="AP76" s="24" t="e">
        <f>VLOOKUP(C76,#REF!,6,FALSE)</f>
        <v>#REF!</v>
      </c>
      <c r="AQ76" s="24" t="e">
        <f>VLOOKUP(C76,#REF!,7,FALSE)</f>
        <v>#REF!</v>
      </c>
      <c r="AR76" s="24" t="e">
        <f>VLOOKUP(C76,#REF!,12,FALSE)</f>
        <v>#REF!</v>
      </c>
      <c r="AS76" s="24" t="e">
        <f>VLOOKUP(C76,#REF!,13,FALSE)</f>
        <v>#REF!</v>
      </c>
      <c r="AT76" s="100"/>
      <c r="AU76" s="100"/>
      <c r="AV76" s="100">
        <v>66</v>
      </c>
      <c r="AW76" s="100"/>
      <c r="AY76" s="128">
        <v>21600</v>
      </c>
    </row>
    <row r="77" spans="1:51" s="27" customFormat="1" ht="12.75" customHeight="1" x14ac:dyDescent="0.2">
      <c r="A77" s="6" t="s">
        <v>1011</v>
      </c>
      <c r="B77" s="8">
        <v>9789500208239</v>
      </c>
      <c r="C77" s="21">
        <v>584132</v>
      </c>
      <c r="D77" s="25">
        <v>272</v>
      </c>
      <c r="E77" s="22" t="s">
        <v>47</v>
      </c>
      <c r="F77" s="6" t="s">
        <v>48</v>
      </c>
      <c r="G77" s="107">
        <v>41913</v>
      </c>
      <c r="H77" s="108">
        <v>41883</v>
      </c>
      <c r="I77" s="24">
        <v>3047</v>
      </c>
      <c r="J77" s="28" t="s">
        <v>1894</v>
      </c>
      <c r="K77" s="28">
        <v>22.81</v>
      </c>
      <c r="L77" s="128">
        <v>18500</v>
      </c>
      <c r="M77" s="141">
        <f>+L77*0.1</f>
        <v>1850</v>
      </c>
      <c r="N77" s="142">
        <f t="shared" si="40"/>
        <v>9250</v>
      </c>
      <c r="O77" s="142">
        <f t="shared" si="41"/>
        <v>7377.19</v>
      </c>
      <c r="P77" s="142">
        <f t="shared" si="42"/>
        <v>1872.81</v>
      </c>
      <c r="Q77" s="139">
        <f t="shared" si="43"/>
        <v>0.79753405405405398</v>
      </c>
      <c r="R77" s="336">
        <v>18500</v>
      </c>
      <c r="S77" s="359" t="s">
        <v>1948</v>
      </c>
      <c r="T77" s="305">
        <v>0.79753405405405398</v>
      </c>
      <c r="U77" s="25"/>
      <c r="V77" s="100"/>
      <c r="W77" s="110">
        <f t="shared" si="44"/>
        <v>18500</v>
      </c>
      <c r="X77" s="110">
        <f t="shared" si="45"/>
        <v>22.81</v>
      </c>
      <c r="Y77" s="110">
        <f t="shared" si="46"/>
        <v>1850</v>
      </c>
      <c r="Z77" s="110">
        <f t="shared" si="47"/>
        <v>7377.1900000000005</v>
      </c>
      <c r="AA77" s="260">
        <f t="shared" si="48"/>
        <v>0.79753405405405409</v>
      </c>
      <c r="AB77" s="28">
        <f t="shared" si="49"/>
        <v>6.1</v>
      </c>
      <c r="AC77" s="261">
        <f t="shared" si="50"/>
        <v>0.7975482803911077</v>
      </c>
      <c r="AD77" s="111">
        <f t="shared" si="51"/>
        <v>1.3</v>
      </c>
      <c r="AE77" s="262">
        <f t="shared" si="52"/>
        <v>5.0034238758274417E-2</v>
      </c>
      <c r="AF77" s="100"/>
      <c r="AG77" s="111">
        <f t="shared" si="53"/>
        <v>2.1</v>
      </c>
      <c r="AH77" s="262">
        <f t="shared" si="54"/>
        <v>0.41192595732655085</v>
      </c>
      <c r="AI77" s="100"/>
      <c r="AJ77" s="111">
        <f t="shared" si="55"/>
        <v>1.9</v>
      </c>
      <c r="AK77" s="262">
        <f t="shared" si="56"/>
        <v>0.35002342651881929</v>
      </c>
      <c r="AL77" s="100"/>
      <c r="AM77" s="111">
        <f t="shared" si="57"/>
        <v>1.8</v>
      </c>
      <c r="AN77" s="262">
        <f t="shared" si="58"/>
        <v>0.31391361688097602</v>
      </c>
      <c r="AO77" s="100"/>
      <c r="AP77" s="24" t="e">
        <f>VLOOKUP(C77,#REF!,6,FALSE)</f>
        <v>#REF!</v>
      </c>
      <c r="AQ77" s="24" t="e">
        <f>VLOOKUP(C77,#REF!,7,FALSE)</f>
        <v>#REF!</v>
      </c>
      <c r="AR77" s="24" t="e">
        <f>VLOOKUP(C77,#REF!,12,FALSE)</f>
        <v>#REF!</v>
      </c>
      <c r="AS77" s="24" t="e">
        <f>VLOOKUP(C77,#REF!,13,FALSE)</f>
        <v>#REF!</v>
      </c>
      <c r="AT77" s="100"/>
      <c r="AU77" s="100"/>
      <c r="AV77" s="100">
        <v>67</v>
      </c>
      <c r="AW77" s="100"/>
      <c r="AY77" s="128">
        <v>18500</v>
      </c>
    </row>
    <row r="78" spans="1:51" s="27" customFormat="1" ht="12.75" customHeight="1" x14ac:dyDescent="0.2">
      <c r="A78" s="6" t="s">
        <v>1012</v>
      </c>
      <c r="B78" s="8">
        <v>9789500298858</v>
      </c>
      <c r="C78" s="21">
        <v>617593</v>
      </c>
      <c r="D78" s="25">
        <v>320</v>
      </c>
      <c r="E78" s="11" t="s">
        <v>36</v>
      </c>
      <c r="F78" s="11" t="s">
        <v>1013</v>
      </c>
      <c r="G78" s="107">
        <v>42583</v>
      </c>
      <c r="H78" s="108">
        <v>42552</v>
      </c>
      <c r="I78" s="24">
        <v>3020</v>
      </c>
      <c r="J78" s="28" t="s">
        <v>1894</v>
      </c>
      <c r="K78" s="28">
        <v>42.1</v>
      </c>
      <c r="L78" s="128">
        <v>22600</v>
      </c>
      <c r="M78" s="141">
        <f>+L78*0.08</f>
        <v>1808</v>
      </c>
      <c r="N78" s="142">
        <f t="shared" si="40"/>
        <v>11300</v>
      </c>
      <c r="O78" s="142">
        <f t="shared" si="41"/>
        <v>9449.9</v>
      </c>
      <c r="P78" s="142">
        <f t="shared" si="42"/>
        <v>1850.1</v>
      </c>
      <c r="Q78" s="139">
        <f t="shared" si="43"/>
        <v>0.83627433628318582</v>
      </c>
      <c r="R78" s="336">
        <v>22600</v>
      </c>
      <c r="S78" s="359" t="s">
        <v>1948</v>
      </c>
      <c r="T78" s="305">
        <v>0.83627433628318582</v>
      </c>
      <c r="U78" s="25"/>
      <c r="V78" s="100"/>
      <c r="W78" s="110">
        <f t="shared" si="44"/>
        <v>22600</v>
      </c>
      <c r="X78" s="110">
        <f t="shared" si="45"/>
        <v>42.1</v>
      </c>
      <c r="Y78" s="110">
        <f t="shared" si="46"/>
        <v>1808</v>
      </c>
      <c r="Z78" s="110">
        <f t="shared" si="47"/>
        <v>9449.9</v>
      </c>
      <c r="AA78" s="260">
        <f t="shared" si="48"/>
        <v>0.83627433628318582</v>
      </c>
      <c r="AB78" s="28">
        <f t="shared" si="49"/>
        <v>7.5</v>
      </c>
      <c r="AC78" s="261">
        <f t="shared" si="50"/>
        <v>0.83733597098582258</v>
      </c>
      <c r="AD78" s="111">
        <f t="shared" si="51"/>
        <v>1.3</v>
      </c>
      <c r="AE78" s="262">
        <f t="shared" si="52"/>
        <v>6.1553678764361325E-2</v>
      </c>
      <c r="AF78" s="100"/>
      <c r="AG78" s="111">
        <f t="shared" si="53"/>
        <v>2</v>
      </c>
      <c r="AH78" s="262">
        <f t="shared" si="54"/>
        <v>0.39000989119683482</v>
      </c>
      <c r="AI78" s="100"/>
      <c r="AJ78" s="111">
        <f t="shared" si="55"/>
        <v>1.9</v>
      </c>
      <c r="AK78" s="262">
        <f t="shared" si="56"/>
        <v>0.35790514862824718</v>
      </c>
      <c r="AL78" s="100"/>
      <c r="AM78" s="111">
        <f t="shared" si="57"/>
        <v>1.7</v>
      </c>
      <c r="AN78" s="262">
        <f t="shared" si="58"/>
        <v>0.28236457787862917</v>
      </c>
      <c r="AO78" s="100"/>
      <c r="AP78" s="24" t="e">
        <f>VLOOKUP(C78,#REF!,6,FALSE)</f>
        <v>#REF!</v>
      </c>
      <c r="AQ78" s="24" t="e">
        <f>VLOOKUP(C78,#REF!,7,FALSE)</f>
        <v>#REF!</v>
      </c>
      <c r="AR78" s="24" t="e">
        <f>VLOOKUP(C78,#REF!,12,FALSE)</f>
        <v>#REF!</v>
      </c>
      <c r="AS78" s="24" t="e">
        <f>VLOOKUP(C78,#REF!,13,FALSE)</f>
        <v>#REF!</v>
      </c>
      <c r="AT78" s="100"/>
      <c r="AU78" s="100"/>
      <c r="AV78" s="100">
        <v>68</v>
      </c>
      <c r="AW78" s="100"/>
      <c r="AY78" s="128">
        <v>22600</v>
      </c>
    </row>
    <row r="79" spans="1:51" s="27" customFormat="1" ht="12.75" customHeight="1" x14ac:dyDescent="0.2">
      <c r="A79" s="6" t="s">
        <v>1014</v>
      </c>
      <c r="B79" s="8">
        <v>9789500208246</v>
      </c>
      <c r="C79" s="21">
        <v>584135</v>
      </c>
      <c r="D79" s="25">
        <v>384</v>
      </c>
      <c r="E79" s="22" t="s">
        <v>32</v>
      </c>
      <c r="F79" s="6" t="s">
        <v>33</v>
      </c>
      <c r="G79" s="107">
        <v>41913</v>
      </c>
      <c r="H79" s="108">
        <v>42856</v>
      </c>
      <c r="I79" s="24">
        <v>1006</v>
      </c>
      <c r="J79" s="28" t="s">
        <v>1894</v>
      </c>
      <c r="K79" s="28">
        <v>54.87</v>
      </c>
      <c r="L79" s="128">
        <v>20900</v>
      </c>
      <c r="M79" s="141">
        <f>+L79*0.1</f>
        <v>2090</v>
      </c>
      <c r="N79" s="142">
        <f t="shared" si="40"/>
        <v>10450</v>
      </c>
      <c r="O79" s="142">
        <f t="shared" si="41"/>
        <v>8305.1299999999992</v>
      </c>
      <c r="P79" s="142">
        <f t="shared" si="42"/>
        <v>2144.87</v>
      </c>
      <c r="Q79" s="139">
        <f t="shared" si="43"/>
        <v>0.79474928229665065</v>
      </c>
      <c r="R79" s="336">
        <v>20900</v>
      </c>
      <c r="S79" s="359" t="s">
        <v>1948</v>
      </c>
      <c r="T79" s="305">
        <v>0.79474928229665065</v>
      </c>
      <c r="U79" s="144"/>
      <c r="V79" s="100"/>
      <c r="W79" s="110">
        <f t="shared" si="44"/>
        <v>20900</v>
      </c>
      <c r="X79" s="110">
        <f t="shared" si="45"/>
        <v>54.87</v>
      </c>
      <c r="Y79" s="110">
        <f t="shared" si="46"/>
        <v>2090</v>
      </c>
      <c r="Z79" s="110">
        <f t="shared" si="47"/>
        <v>8305.1299999999992</v>
      </c>
      <c r="AA79" s="260">
        <f t="shared" si="48"/>
        <v>0.79474928229665065</v>
      </c>
      <c r="AB79" s="28">
        <f t="shared" si="49"/>
        <v>6.9</v>
      </c>
      <c r="AC79" s="261">
        <f t="shared" si="50"/>
        <v>0.7950209530908795</v>
      </c>
      <c r="AD79" s="111">
        <f t="shared" si="51"/>
        <v>1.5</v>
      </c>
      <c r="AE79" s="262">
        <f t="shared" si="52"/>
        <v>5.7096384218045984E-2</v>
      </c>
      <c r="AF79" s="100"/>
      <c r="AG79" s="111">
        <f t="shared" si="53"/>
        <v>2.4</v>
      </c>
      <c r="AH79" s="262">
        <f t="shared" si="54"/>
        <v>0.41068524013627872</v>
      </c>
      <c r="AI79" s="100"/>
      <c r="AJ79" s="111">
        <f t="shared" si="55"/>
        <v>2.2000000000000002</v>
      </c>
      <c r="AK79" s="262">
        <f t="shared" si="56"/>
        <v>0.35711117105775864</v>
      </c>
      <c r="AL79" s="100"/>
      <c r="AM79" s="111">
        <f t="shared" si="57"/>
        <v>2</v>
      </c>
      <c r="AN79" s="262">
        <f t="shared" si="58"/>
        <v>0.29282228816353451</v>
      </c>
      <c r="AO79" s="100"/>
      <c r="AP79" s="24" t="e">
        <f>VLOOKUP(C79,#REF!,6,FALSE)</f>
        <v>#REF!</v>
      </c>
      <c r="AQ79" s="24" t="e">
        <f>VLOOKUP(C79,#REF!,7,FALSE)</f>
        <v>#REF!</v>
      </c>
      <c r="AR79" s="24" t="e">
        <f>VLOOKUP(C79,#REF!,12,FALSE)</f>
        <v>#REF!</v>
      </c>
      <c r="AS79" s="24" t="e">
        <f>VLOOKUP(C79,#REF!,13,FALSE)</f>
        <v>#REF!</v>
      </c>
      <c r="AT79" s="100"/>
      <c r="AU79" s="100"/>
      <c r="AV79" s="100">
        <v>69</v>
      </c>
      <c r="AW79" s="100"/>
      <c r="AY79" s="128">
        <v>20900</v>
      </c>
    </row>
    <row r="80" spans="1:51" s="2" customFormat="1" ht="12.75" customHeight="1" x14ac:dyDescent="0.2">
      <c r="A80" s="7" t="s">
        <v>1015</v>
      </c>
      <c r="B80" s="8">
        <v>9789500274401</v>
      </c>
      <c r="C80" s="8">
        <v>197417</v>
      </c>
      <c r="D80" s="25">
        <v>435</v>
      </c>
      <c r="E80" s="6" t="s">
        <v>60</v>
      </c>
      <c r="F80" s="145" t="s">
        <v>1016</v>
      </c>
      <c r="G80" s="107">
        <v>37803</v>
      </c>
      <c r="H80" s="108">
        <v>42278</v>
      </c>
      <c r="I80" s="24">
        <v>1050</v>
      </c>
      <c r="J80" s="28" t="s">
        <v>1894</v>
      </c>
      <c r="K80" s="28">
        <v>51.61</v>
      </c>
      <c r="L80" s="112">
        <v>27700</v>
      </c>
      <c r="M80" s="141">
        <f>+L80*0.1</f>
        <v>2770</v>
      </c>
      <c r="N80" s="142">
        <f t="shared" si="40"/>
        <v>13850</v>
      </c>
      <c r="O80" s="142">
        <f t="shared" si="41"/>
        <v>11028.39</v>
      </c>
      <c r="P80" s="142">
        <f t="shared" si="42"/>
        <v>2821.61</v>
      </c>
      <c r="Q80" s="139">
        <f t="shared" si="43"/>
        <v>0.79627364620938623</v>
      </c>
      <c r="R80" s="336">
        <v>27700</v>
      </c>
      <c r="S80" s="359" t="s">
        <v>1948</v>
      </c>
      <c r="T80" s="305">
        <v>0.79627364620938623</v>
      </c>
      <c r="U80" s="144"/>
      <c r="V80" s="100"/>
      <c r="W80" s="110">
        <f t="shared" si="44"/>
        <v>27700</v>
      </c>
      <c r="X80" s="110">
        <f t="shared" si="45"/>
        <v>51.61</v>
      </c>
      <c r="Y80" s="110">
        <f t="shared" si="46"/>
        <v>2770</v>
      </c>
      <c r="Z80" s="110">
        <f t="shared" si="47"/>
        <v>11028.39</v>
      </c>
      <c r="AA80" s="260">
        <f t="shared" si="48"/>
        <v>0.79627364620938623</v>
      </c>
      <c r="AB80" s="28">
        <f t="shared" si="49"/>
        <v>9.1</v>
      </c>
      <c r="AC80" s="261">
        <f t="shared" si="50"/>
        <v>0.79553772966235869</v>
      </c>
      <c r="AD80" s="111">
        <f t="shared" si="51"/>
        <v>2</v>
      </c>
      <c r="AE80" s="262">
        <f t="shared" si="52"/>
        <v>6.9696669963732236E-2</v>
      </c>
      <c r="AF80" s="100"/>
      <c r="AG80" s="111">
        <f t="shared" si="53"/>
        <v>3.1</v>
      </c>
      <c r="AH80" s="262">
        <f t="shared" si="54"/>
        <v>0.39980430320240806</v>
      </c>
      <c r="AI80" s="100"/>
      <c r="AJ80" s="111">
        <f t="shared" si="55"/>
        <v>2.9</v>
      </c>
      <c r="AK80" s="262">
        <f t="shared" si="56"/>
        <v>0.35841149652671189</v>
      </c>
      <c r="AL80" s="100"/>
      <c r="AM80" s="111">
        <f t="shared" si="57"/>
        <v>2.7</v>
      </c>
      <c r="AN80" s="262">
        <f t="shared" si="58"/>
        <v>0.31088642219535723</v>
      </c>
      <c r="AO80" s="100"/>
      <c r="AP80" s="24" t="e">
        <f>VLOOKUP(C80,#REF!,6,FALSE)</f>
        <v>#REF!</v>
      </c>
      <c r="AQ80" s="24" t="e">
        <f>VLOOKUP(C80,#REF!,7,FALSE)</f>
        <v>#REF!</v>
      </c>
      <c r="AR80" s="24" t="e">
        <f>VLOOKUP(C80,#REF!,12,FALSE)</f>
        <v>#REF!</v>
      </c>
      <c r="AS80" s="24" t="e">
        <f>VLOOKUP(C80,#REF!,13,FALSE)</f>
        <v>#REF!</v>
      </c>
      <c r="AT80" s="100"/>
      <c r="AU80" s="100"/>
      <c r="AV80" s="100">
        <v>70</v>
      </c>
      <c r="AW80" s="100"/>
      <c r="AY80" s="112">
        <v>27700</v>
      </c>
    </row>
    <row r="81" spans="1:51" s="27" customFormat="1" ht="12.75" customHeight="1" x14ac:dyDescent="0.2">
      <c r="A81" s="6" t="s">
        <v>1017</v>
      </c>
      <c r="B81" s="8">
        <v>9789500211734</v>
      </c>
      <c r="C81" s="8">
        <v>683318</v>
      </c>
      <c r="D81" s="7">
        <v>336</v>
      </c>
      <c r="E81" s="7" t="s">
        <v>541</v>
      </c>
      <c r="F81" s="6" t="s">
        <v>1018</v>
      </c>
      <c r="G81" s="107">
        <v>44317</v>
      </c>
      <c r="H81" s="108">
        <v>44531</v>
      </c>
      <c r="I81" s="7">
        <v>2112</v>
      </c>
      <c r="J81" s="28" t="s">
        <v>1762</v>
      </c>
      <c r="K81" s="117">
        <v>180.33</v>
      </c>
      <c r="L81" s="112">
        <v>39900</v>
      </c>
      <c r="M81" s="141">
        <f>+L81*0.1</f>
        <v>3990</v>
      </c>
      <c r="N81" s="142">
        <f t="shared" si="40"/>
        <v>19950</v>
      </c>
      <c r="O81" s="142">
        <f t="shared" si="41"/>
        <v>15779.67</v>
      </c>
      <c r="P81" s="142">
        <f t="shared" si="42"/>
        <v>4170.33</v>
      </c>
      <c r="Q81" s="139">
        <f t="shared" si="43"/>
        <v>0.79096090225563909</v>
      </c>
      <c r="R81" s="336">
        <v>39900</v>
      </c>
      <c r="S81" s="359" t="s">
        <v>1948</v>
      </c>
      <c r="T81" s="305">
        <v>0.79096090225563909</v>
      </c>
      <c r="U81" s="9"/>
      <c r="V81" s="100"/>
      <c r="W81" s="110">
        <f t="shared" si="44"/>
        <v>39900</v>
      </c>
      <c r="X81" s="110">
        <f t="shared" si="45"/>
        <v>180.33</v>
      </c>
      <c r="Y81" s="110">
        <f t="shared" si="46"/>
        <v>3990</v>
      </c>
      <c r="Z81" s="110">
        <f t="shared" si="47"/>
        <v>15779.669999999998</v>
      </c>
      <c r="AA81" s="260">
        <f t="shared" si="48"/>
        <v>0.79096090225563898</v>
      </c>
      <c r="AB81" s="28">
        <f t="shared" si="49"/>
        <v>13.2</v>
      </c>
      <c r="AC81" s="261">
        <f t="shared" si="50"/>
        <v>0.79166891466594724</v>
      </c>
      <c r="AD81" s="111">
        <f t="shared" si="51"/>
        <v>2.9</v>
      </c>
      <c r="AE81" s="262">
        <f t="shared" si="52"/>
        <v>5.1734370203622121E-2</v>
      </c>
      <c r="AF81" s="100"/>
      <c r="AG81" s="111">
        <f t="shared" si="53"/>
        <v>4.5999999999999996</v>
      </c>
      <c r="AH81" s="262">
        <f t="shared" si="54"/>
        <v>0.40218036382402267</v>
      </c>
      <c r="AI81" s="100"/>
      <c r="AJ81" s="111">
        <f t="shared" si="55"/>
        <v>4.2</v>
      </c>
      <c r="AK81" s="262">
        <f t="shared" si="56"/>
        <v>0.34524516037869157</v>
      </c>
      <c r="AL81" s="100"/>
      <c r="AM81" s="111">
        <f t="shared" si="57"/>
        <v>3.9</v>
      </c>
      <c r="AN81" s="262">
        <f t="shared" si="58"/>
        <v>0.29487940348474467</v>
      </c>
      <c r="AO81" s="100"/>
      <c r="AP81" s="24" t="e">
        <f>VLOOKUP(C81,#REF!,6,FALSE)</f>
        <v>#REF!</v>
      </c>
      <c r="AQ81" s="24" t="e">
        <f>VLOOKUP(C81,#REF!,7,FALSE)</f>
        <v>#REF!</v>
      </c>
      <c r="AR81" s="24" t="e">
        <f>VLOOKUP(C81,#REF!,12,FALSE)</f>
        <v>#REF!</v>
      </c>
      <c r="AS81" s="24" t="e">
        <f>VLOOKUP(C81,#REF!,13,FALSE)</f>
        <v>#REF!</v>
      </c>
      <c r="AT81" s="100"/>
      <c r="AU81" s="100"/>
      <c r="AV81" s="100">
        <v>71</v>
      </c>
      <c r="AW81" s="100"/>
      <c r="AY81" s="112">
        <v>39900</v>
      </c>
    </row>
    <row r="82" spans="1:51" s="27" customFormat="1" ht="12.75" customHeight="1" x14ac:dyDescent="0.2">
      <c r="A82" s="6" t="s">
        <v>1019</v>
      </c>
      <c r="B82" s="8">
        <v>9789500298865</v>
      </c>
      <c r="C82" s="6">
        <v>627252</v>
      </c>
      <c r="D82" s="25">
        <v>416</v>
      </c>
      <c r="E82" s="11" t="s">
        <v>34</v>
      </c>
      <c r="F82" s="11" t="s">
        <v>35</v>
      </c>
      <c r="G82" s="107">
        <v>42826</v>
      </c>
      <c r="H82" s="108">
        <v>42795</v>
      </c>
      <c r="I82" s="24">
        <v>3002</v>
      </c>
      <c r="J82" s="28" t="s">
        <v>1894</v>
      </c>
      <c r="K82" s="28">
        <v>51.33</v>
      </c>
      <c r="L82" s="28">
        <v>21600</v>
      </c>
      <c r="M82" s="141">
        <f>+L82*0.1</f>
        <v>2160</v>
      </c>
      <c r="N82" s="142">
        <f t="shared" si="40"/>
        <v>10800</v>
      </c>
      <c r="O82" s="142">
        <f t="shared" si="41"/>
        <v>8588.67</v>
      </c>
      <c r="P82" s="142">
        <f t="shared" si="42"/>
        <v>2211.33</v>
      </c>
      <c r="Q82" s="139">
        <f t="shared" si="43"/>
        <v>0.79524722222222222</v>
      </c>
      <c r="R82" s="336">
        <v>21600</v>
      </c>
      <c r="S82" s="359" t="s">
        <v>1948</v>
      </c>
      <c r="T82" s="305">
        <v>0.79524722222222222</v>
      </c>
      <c r="U82" s="144"/>
      <c r="V82" s="100"/>
      <c r="W82" s="110">
        <f t="shared" si="44"/>
        <v>21600</v>
      </c>
      <c r="X82" s="110">
        <f t="shared" si="45"/>
        <v>51.33</v>
      </c>
      <c r="Y82" s="110">
        <f t="shared" si="46"/>
        <v>2160</v>
      </c>
      <c r="Z82" s="110">
        <f t="shared" si="47"/>
        <v>8588.67</v>
      </c>
      <c r="AA82" s="260">
        <f t="shared" si="48"/>
        <v>0.79524722222222222</v>
      </c>
      <c r="AB82" s="28">
        <f t="shared" si="49"/>
        <v>7.1</v>
      </c>
      <c r="AC82" s="261">
        <f t="shared" si="50"/>
        <v>0.79462253242501502</v>
      </c>
      <c r="AD82" s="111">
        <f t="shared" si="51"/>
        <v>1.5</v>
      </c>
      <c r="AE82" s="262">
        <f t="shared" si="52"/>
        <v>2.7879986811737586E-2</v>
      </c>
      <c r="AF82" s="100"/>
      <c r="AG82" s="111">
        <f t="shared" si="53"/>
        <v>2.4</v>
      </c>
      <c r="AH82" s="262">
        <f t="shared" si="54"/>
        <v>0.39242499175733597</v>
      </c>
      <c r="AI82" s="100"/>
      <c r="AJ82" s="111">
        <f t="shared" si="55"/>
        <v>2.2000000000000002</v>
      </c>
      <c r="AK82" s="262">
        <f t="shared" si="56"/>
        <v>0.33719090009891201</v>
      </c>
      <c r="AL82" s="100"/>
      <c r="AM82" s="111">
        <f t="shared" si="57"/>
        <v>2.1</v>
      </c>
      <c r="AN82" s="262">
        <f t="shared" si="58"/>
        <v>0.30562856200838401</v>
      </c>
      <c r="AO82" s="100"/>
      <c r="AP82" s="24" t="e">
        <f>VLOOKUP(C82,#REF!,6,FALSE)</f>
        <v>#REF!</v>
      </c>
      <c r="AQ82" s="24" t="e">
        <f>VLOOKUP(C82,#REF!,7,FALSE)</f>
        <v>#REF!</v>
      </c>
      <c r="AR82" s="24" t="e">
        <f>VLOOKUP(C82,#REF!,12,FALSE)</f>
        <v>#REF!</v>
      </c>
      <c r="AS82" s="24" t="e">
        <f>VLOOKUP(C82,#REF!,13,FALSE)</f>
        <v>#REF!</v>
      </c>
      <c r="AT82" s="100"/>
      <c r="AU82" s="100"/>
      <c r="AV82" s="100">
        <v>72</v>
      </c>
      <c r="AW82" s="100"/>
      <c r="AY82" s="28">
        <v>21600</v>
      </c>
    </row>
    <row r="83" spans="1:51" s="2" customFormat="1" ht="12.75" customHeight="1" x14ac:dyDescent="0.2">
      <c r="A83" s="7" t="s">
        <v>1020</v>
      </c>
      <c r="B83" s="8">
        <v>9789500212205</v>
      </c>
      <c r="C83" s="8">
        <v>690469</v>
      </c>
      <c r="D83" s="25">
        <v>200</v>
      </c>
      <c r="E83" s="9" t="s">
        <v>636</v>
      </c>
      <c r="F83" s="7" t="s">
        <v>637</v>
      </c>
      <c r="G83" s="107">
        <v>44562</v>
      </c>
      <c r="H83" s="108">
        <v>45352</v>
      </c>
      <c r="I83" s="7">
        <v>2021</v>
      </c>
      <c r="J83" s="28" t="s">
        <v>2136</v>
      </c>
      <c r="K83" s="148">
        <v>1557.61</v>
      </c>
      <c r="L83" s="112">
        <v>29900</v>
      </c>
      <c r="M83" s="112">
        <f>+L83*0.12</f>
        <v>3588</v>
      </c>
      <c r="N83" s="142">
        <f t="shared" si="40"/>
        <v>14950</v>
      </c>
      <c r="O83" s="142">
        <f t="shared" si="41"/>
        <v>9804.39</v>
      </c>
      <c r="P83" s="142">
        <f t="shared" si="42"/>
        <v>5145.6099999999997</v>
      </c>
      <c r="Q83" s="139">
        <f t="shared" si="43"/>
        <v>0.65581204013377925</v>
      </c>
      <c r="R83" s="336">
        <v>29900</v>
      </c>
      <c r="S83" s="359" t="s">
        <v>1948</v>
      </c>
      <c r="T83" s="305">
        <v>0.65581204013377925</v>
      </c>
      <c r="U83" s="12"/>
      <c r="V83" s="100"/>
      <c r="W83" s="110">
        <f t="shared" si="44"/>
        <v>29900</v>
      </c>
      <c r="X83" s="110">
        <f t="shared" si="45"/>
        <v>1557.61</v>
      </c>
      <c r="Y83" s="110">
        <f t="shared" si="46"/>
        <v>3588</v>
      </c>
      <c r="Z83" s="110">
        <f t="shared" si="47"/>
        <v>9804.39</v>
      </c>
      <c r="AA83" s="260">
        <f t="shared" si="48"/>
        <v>0.65581204013377925</v>
      </c>
      <c r="AB83" s="28">
        <f t="shared" si="49"/>
        <v>9.9</v>
      </c>
      <c r="AC83" s="261">
        <f t="shared" si="50"/>
        <v>0.6572643680457726</v>
      </c>
      <c r="AD83" s="111">
        <f t="shared" si="51"/>
        <v>3.6</v>
      </c>
      <c r="AE83" s="262">
        <f t="shared" si="52"/>
        <v>5.7477012125874791E-2</v>
      </c>
      <c r="AF83" s="100"/>
      <c r="AG83" s="111">
        <f t="shared" si="53"/>
        <v>5.7</v>
      </c>
      <c r="AH83" s="262">
        <f t="shared" si="54"/>
        <v>0.40472232344792092</v>
      </c>
      <c r="AI83" s="100"/>
      <c r="AJ83" s="111">
        <f t="shared" si="55"/>
        <v>5.2</v>
      </c>
      <c r="AK83" s="262">
        <f t="shared" si="56"/>
        <v>0.34748408531791325</v>
      </c>
      <c r="AL83" s="100"/>
      <c r="AM83" s="111">
        <f t="shared" si="57"/>
        <v>4.8</v>
      </c>
      <c r="AN83" s="262">
        <f t="shared" si="58"/>
        <v>0.29310775909440601</v>
      </c>
      <c r="AO83" s="100"/>
      <c r="AP83" s="24" t="e">
        <f>VLOOKUP(C83,#REF!,6,FALSE)</f>
        <v>#REF!</v>
      </c>
      <c r="AQ83" s="24" t="e">
        <f>VLOOKUP(C83,#REF!,7,FALSE)</f>
        <v>#REF!</v>
      </c>
      <c r="AR83" s="24" t="e">
        <f>VLOOKUP(C83,#REF!,12,FALSE)</f>
        <v>#REF!</v>
      </c>
      <c r="AS83" s="24" t="e">
        <f>VLOOKUP(C83,#REF!,13,FALSE)</f>
        <v>#REF!</v>
      </c>
      <c r="AT83" s="100"/>
      <c r="AU83" s="100"/>
      <c r="AV83" s="100">
        <v>73</v>
      </c>
      <c r="AW83" s="100"/>
      <c r="AY83" s="112">
        <v>29900</v>
      </c>
    </row>
    <row r="84" spans="1:51" s="27" customFormat="1" ht="12.75" customHeight="1" x14ac:dyDescent="0.2">
      <c r="A84" s="7" t="s">
        <v>1021</v>
      </c>
      <c r="B84" s="8">
        <v>9789500211284</v>
      </c>
      <c r="C84" s="8">
        <v>679306</v>
      </c>
      <c r="D84" s="25">
        <v>184</v>
      </c>
      <c r="E84" s="7" t="s">
        <v>510</v>
      </c>
      <c r="F84" s="7" t="s">
        <v>511</v>
      </c>
      <c r="G84" s="107">
        <v>44166</v>
      </c>
      <c r="H84" s="108">
        <v>44136</v>
      </c>
      <c r="I84" s="7">
        <v>4022</v>
      </c>
      <c r="J84" s="28" t="s">
        <v>1894</v>
      </c>
      <c r="K84" s="9">
        <v>76.739999999999995</v>
      </c>
      <c r="L84" s="112">
        <v>16700</v>
      </c>
      <c r="M84" s="112">
        <f>+L84*0.12</f>
        <v>2004</v>
      </c>
      <c r="N84" s="142">
        <f t="shared" si="40"/>
        <v>8350</v>
      </c>
      <c r="O84" s="142">
        <f t="shared" si="41"/>
        <v>6269.26</v>
      </c>
      <c r="P84" s="142">
        <f t="shared" si="42"/>
        <v>2080.7399999999998</v>
      </c>
      <c r="Q84" s="139">
        <f t="shared" si="43"/>
        <v>0.75080958083832339</v>
      </c>
      <c r="R84" s="336">
        <v>16700</v>
      </c>
      <c r="S84" s="359" t="s">
        <v>1948</v>
      </c>
      <c r="T84" s="305">
        <v>0.75080958083832339</v>
      </c>
      <c r="U84" s="25"/>
      <c r="V84" s="100"/>
      <c r="W84" s="110">
        <f t="shared" si="44"/>
        <v>16700</v>
      </c>
      <c r="X84" s="110">
        <f t="shared" si="45"/>
        <v>76.739999999999995</v>
      </c>
      <c r="Y84" s="110">
        <f t="shared" si="46"/>
        <v>2004</v>
      </c>
      <c r="Z84" s="110">
        <f t="shared" si="47"/>
        <v>6269.26</v>
      </c>
      <c r="AA84" s="260">
        <f t="shared" si="48"/>
        <v>0.75080958083832339</v>
      </c>
      <c r="AB84" s="28">
        <f t="shared" si="49"/>
        <v>5.5</v>
      </c>
      <c r="AC84" s="261">
        <f t="shared" si="50"/>
        <v>0.75053322542936785</v>
      </c>
      <c r="AD84" s="111">
        <f t="shared" si="51"/>
        <v>1.4</v>
      </c>
      <c r="AE84" s="262">
        <f t="shared" si="52"/>
        <v>1.9951957043945128E-2</v>
      </c>
      <c r="AF84" s="100"/>
      <c r="AG84" s="111">
        <f t="shared" si="53"/>
        <v>2.2999999999999998</v>
      </c>
      <c r="AH84" s="262">
        <f t="shared" si="54"/>
        <v>0.40344901733109712</v>
      </c>
      <c r="AI84" s="100"/>
      <c r="AJ84" s="111">
        <f t="shared" si="55"/>
        <v>2.1</v>
      </c>
      <c r="AK84" s="262">
        <f t="shared" si="56"/>
        <v>0.34663463802929689</v>
      </c>
      <c r="AL84" s="100"/>
      <c r="AM84" s="111">
        <f t="shared" si="57"/>
        <v>2</v>
      </c>
      <c r="AN84" s="262">
        <f t="shared" si="58"/>
        <v>0.31396636993076171</v>
      </c>
      <c r="AO84" s="100"/>
      <c r="AP84" s="24" t="e">
        <f>VLOOKUP(C84,#REF!,6,FALSE)</f>
        <v>#REF!</v>
      </c>
      <c r="AQ84" s="24" t="e">
        <f>VLOOKUP(C84,#REF!,7,FALSE)</f>
        <v>#REF!</v>
      </c>
      <c r="AR84" s="24" t="e">
        <f>VLOOKUP(C84,#REF!,12,FALSE)</f>
        <v>#REF!</v>
      </c>
      <c r="AS84" s="24" t="e">
        <f>VLOOKUP(C84,#REF!,13,FALSE)</f>
        <v>#REF!</v>
      </c>
      <c r="AT84" s="100"/>
      <c r="AU84" s="100"/>
      <c r="AV84" s="100">
        <v>74</v>
      </c>
      <c r="AW84" s="100"/>
      <c r="AY84" s="112">
        <v>16700</v>
      </c>
    </row>
    <row r="85" spans="1:51" s="27" customFormat="1" ht="12.75" customHeight="1" x14ac:dyDescent="0.2">
      <c r="A85" s="7" t="s">
        <v>1022</v>
      </c>
      <c r="B85" s="8">
        <v>9789500212007</v>
      </c>
      <c r="C85" s="8">
        <v>686375</v>
      </c>
      <c r="D85" s="7">
        <v>96</v>
      </c>
      <c r="E85" s="30" t="s">
        <v>569</v>
      </c>
      <c r="F85" s="7" t="s">
        <v>570</v>
      </c>
      <c r="G85" s="107">
        <v>44440</v>
      </c>
      <c r="H85" s="108">
        <v>44409</v>
      </c>
      <c r="I85" s="7">
        <v>3075</v>
      </c>
      <c r="J85" s="28" t="s">
        <v>2136</v>
      </c>
      <c r="K85" s="117">
        <v>180.44</v>
      </c>
      <c r="L85" s="9">
        <v>12000</v>
      </c>
      <c r="M85" s="12"/>
      <c r="N85" s="142">
        <f t="shared" si="40"/>
        <v>6000</v>
      </c>
      <c r="O85" s="142">
        <f t="shared" si="41"/>
        <v>5819.56</v>
      </c>
      <c r="P85" s="142">
        <f t="shared" si="42"/>
        <v>180.44</v>
      </c>
      <c r="Q85" s="139">
        <f t="shared" si="43"/>
        <v>0.96992666666666671</v>
      </c>
      <c r="R85" s="313">
        <v>12000</v>
      </c>
      <c r="S85" s="359" t="s">
        <v>2474</v>
      </c>
      <c r="T85" s="305">
        <v>0.9847084745762712</v>
      </c>
      <c r="U85" s="9">
        <v>23600</v>
      </c>
      <c r="V85" s="100"/>
      <c r="W85" s="110">
        <f t="shared" si="44"/>
        <v>12000</v>
      </c>
      <c r="X85" s="110">
        <f t="shared" si="45"/>
        <v>180.44</v>
      </c>
      <c r="Y85" s="110">
        <f t="shared" si="46"/>
        <v>0</v>
      </c>
      <c r="Z85" s="110">
        <f t="shared" si="47"/>
        <v>5819.56</v>
      </c>
      <c r="AA85" s="260">
        <f t="shared" si="48"/>
        <v>0.96992666666666671</v>
      </c>
      <c r="AB85" s="28">
        <f t="shared" si="49"/>
        <v>4</v>
      </c>
      <c r="AC85" s="261">
        <f t="shared" si="50"/>
        <v>0.97025387405209373</v>
      </c>
      <c r="AD85" s="111">
        <f t="shared" si="51"/>
        <v>0.1</v>
      </c>
      <c r="AE85" s="262">
        <f t="shared" si="52"/>
        <v>-0.18984503791625448</v>
      </c>
      <c r="AF85" s="100"/>
      <c r="AG85" s="111">
        <f t="shared" si="53"/>
        <v>0.2</v>
      </c>
      <c r="AH85" s="262">
        <f t="shared" si="54"/>
        <v>0.40507748104187274</v>
      </c>
      <c r="AI85" s="100"/>
      <c r="AJ85" s="111">
        <f t="shared" si="55"/>
        <v>0.2</v>
      </c>
      <c r="AK85" s="262">
        <f t="shared" si="56"/>
        <v>0.40507748104187274</v>
      </c>
      <c r="AL85" s="100"/>
      <c r="AM85" s="111">
        <f t="shared" si="57"/>
        <v>0.2</v>
      </c>
      <c r="AN85" s="262">
        <f t="shared" si="58"/>
        <v>0.40507748104187274</v>
      </c>
      <c r="AO85" s="100"/>
      <c r="AP85" s="24" t="e">
        <f>VLOOKUP(C85,#REF!,6,FALSE)</f>
        <v>#REF!</v>
      </c>
      <c r="AQ85" s="24" t="e">
        <f>VLOOKUP(C85,#REF!,7,FALSE)</f>
        <v>#REF!</v>
      </c>
      <c r="AR85" s="24" t="e">
        <f>VLOOKUP(C85,#REF!,12,FALSE)</f>
        <v>#REF!</v>
      </c>
      <c r="AS85" s="24" t="e">
        <f>VLOOKUP(C85,#REF!,13,FALSE)</f>
        <v>#REF!</v>
      </c>
      <c r="AT85" s="100"/>
      <c r="AU85" s="100"/>
      <c r="AV85" s="100">
        <v>75</v>
      </c>
      <c r="AW85" s="100"/>
      <c r="AY85" s="9">
        <v>23600</v>
      </c>
    </row>
    <row r="86" spans="1:51" s="27" customFormat="1" ht="12.75" customHeight="1" x14ac:dyDescent="0.2">
      <c r="A86" s="6" t="s">
        <v>1023</v>
      </c>
      <c r="B86" s="8">
        <v>9789500208611</v>
      </c>
      <c r="C86" s="8">
        <v>596841</v>
      </c>
      <c r="D86" s="7">
        <v>656</v>
      </c>
      <c r="E86" s="6" t="s">
        <v>31</v>
      </c>
      <c r="F86" s="6" t="s">
        <v>1024</v>
      </c>
      <c r="G86" s="107">
        <v>42278</v>
      </c>
      <c r="H86" s="108">
        <v>45778</v>
      </c>
      <c r="I86" s="7">
        <v>1077</v>
      </c>
      <c r="J86" s="176" t="s">
        <v>1762</v>
      </c>
      <c r="K86" s="148">
        <v>5126.13</v>
      </c>
      <c r="L86" s="9">
        <v>59900</v>
      </c>
      <c r="M86" s="141">
        <f>+L86*0.1</f>
        <v>5990</v>
      </c>
      <c r="N86" s="142">
        <f t="shared" si="40"/>
        <v>29950</v>
      </c>
      <c r="O86" s="142">
        <f t="shared" si="41"/>
        <v>18833.87</v>
      </c>
      <c r="P86" s="142">
        <f t="shared" si="42"/>
        <v>11116.130000000001</v>
      </c>
      <c r="Q86" s="139">
        <f t="shared" si="43"/>
        <v>0.62884373956594319</v>
      </c>
      <c r="R86" s="336">
        <v>59900</v>
      </c>
      <c r="S86" s="359" t="s">
        <v>1948</v>
      </c>
      <c r="T86" s="305">
        <v>0.62884373956594319</v>
      </c>
      <c r="U86" s="12"/>
      <c r="V86" s="100"/>
      <c r="W86" s="110">
        <f t="shared" si="44"/>
        <v>59900</v>
      </c>
      <c r="X86" s="110">
        <f t="shared" si="45"/>
        <v>5126.13</v>
      </c>
      <c r="Y86" s="110">
        <f t="shared" si="46"/>
        <v>5990</v>
      </c>
      <c r="Z86" s="110">
        <f t="shared" si="47"/>
        <v>18833.87</v>
      </c>
      <c r="AA86" s="260">
        <f t="shared" si="48"/>
        <v>0.62884373956594319</v>
      </c>
      <c r="AB86" s="28">
        <f t="shared" si="49"/>
        <v>19.7</v>
      </c>
      <c r="AC86" s="261">
        <f t="shared" si="50"/>
        <v>0.62791258926763294</v>
      </c>
      <c r="AD86" s="111">
        <f t="shared" si="51"/>
        <v>7.7</v>
      </c>
      <c r="AE86" s="262">
        <f t="shared" si="52"/>
        <v>4.8036105009398859E-2</v>
      </c>
      <c r="AF86" s="100"/>
      <c r="AG86" s="111">
        <f t="shared" si="53"/>
        <v>12.2</v>
      </c>
      <c r="AH86" s="262">
        <f t="shared" si="54"/>
        <v>0.39917032857150569</v>
      </c>
      <c r="AI86" s="100"/>
      <c r="AJ86" s="111">
        <f t="shared" si="55"/>
        <v>11.3</v>
      </c>
      <c r="AK86" s="262">
        <f t="shared" si="56"/>
        <v>0.35131663792675843</v>
      </c>
      <c r="AL86" s="100"/>
      <c r="AM86" s="111">
        <f t="shared" si="57"/>
        <v>10.5</v>
      </c>
      <c r="AN86" s="262">
        <f t="shared" si="58"/>
        <v>0.30189314367355902</v>
      </c>
      <c r="AO86" s="100"/>
      <c r="AP86" s="24" t="e">
        <f>VLOOKUP(C86,#REF!,6,FALSE)</f>
        <v>#REF!</v>
      </c>
      <c r="AQ86" s="24" t="e">
        <f>VLOOKUP(C86,#REF!,7,FALSE)</f>
        <v>#REF!</v>
      </c>
      <c r="AR86" s="24" t="e">
        <f>VLOOKUP(C86,#REF!,12,FALSE)</f>
        <v>#REF!</v>
      </c>
      <c r="AS86" s="24" t="e">
        <f>VLOOKUP(C86,#REF!,13,FALSE)</f>
        <v>#REF!</v>
      </c>
      <c r="AT86" s="100"/>
      <c r="AU86" s="100"/>
      <c r="AV86" s="100">
        <v>76</v>
      </c>
      <c r="AW86" s="100"/>
      <c r="AY86" s="9">
        <v>59900</v>
      </c>
    </row>
    <row r="87" spans="1:51" s="27" customFormat="1" ht="12.75" customHeight="1" x14ac:dyDescent="0.2">
      <c r="A87" s="6" t="s">
        <v>1025</v>
      </c>
      <c r="B87" s="8">
        <v>9789500211741</v>
      </c>
      <c r="C87" s="8">
        <v>683319</v>
      </c>
      <c r="D87" s="7">
        <v>288</v>
      </c>
      <c r="E87" s="7" t="s">
        <v>542</v>
      </c>
      <c r="F87" s="6" t="s">
        <v>1026</v>
      </c>
      <c r="G87" s="107">
        <v>44317</v>
      </c>
      <c r="H87" s="108">
        <v>44287</v>
      </c>
      <c r="I87" s="7">
        <v>4050</v>
      </c>
      <c r="J87" s="28" t="s">
        <v>1762</v>
      </c>
      <c r="K87" s="117">
        <v>211.08</v>
      </c>
      <c r="L87" s="112">
        <v>37900</v>
      </c>
      <c r="M87" s="141">
        <f>+L87*0.1</f>
        <v>3790</v>
      </c>
      <c r="N87" s="142">
        <f t="shared" si="40"/>
        <v>18950</v>
      </c>
      <c r="O87" s="142">
        <f t="shared" si="41"/>
        <v>14948.92</v>
      </c>
      <c r="P87" s="142">
        <f t="shared" si="42"/>
        <v>4001.08</v>
      </c>
      <c r="Q87" s="139">
        <f t="shared" si="43"/>
        <v>0.78886121372031659</v>
      </c>
      <c r="R87" s="336">
        <v>37900</v>
      </c>
      <c r="S87" s="359" t="s">
        <v>1948</v>
      </c>
      <c r="T87" s="305">
        <v>0.78886121372031659</v>
      </c>
      <c r="U87" s="25"/>
      <c r="V87" s="100"/>
      <c r="W87" s="110">
        <f t="shared" si="44"/>
        <v>37900</v>
      </c>
      <c r="X87" s="110">
        <f t="shared" si="45"/>
        <v>211.08</v>
      </c>
      <c r="Y87" s="110">
        <f t="shared" si="46"/>
        <v>3790</v>
      </c>
      <c r="Z87" s="110">
        <f t="shared" si="47"/>
        <v>14948.919999999998</v>
      </c>
      <c r="AA87" s="260">
        <f t="shared" si="48"/>
        <v>0.78886121372031648</v>
      </c>
      <c r="AB87" s="28">
        <f t="shared" si="49"/>
        <v>12.5</v>
      </c>
      <c r="AC87" s="261">
        <f t="shared" si="50"/>
        <v>0.78893082756346844</v>
      </c>
      <c r="AD87" s="111">
        <f t="shared" si="51"/>
        <v>2.8</v>
      </c>
      <c r="AE87" s="262">
        <f t="shared" si="52"/>
        <v>5.7726908765484412E-2</v>
      </c>
      <c r="AF87" s="100"/>
      <c r="AG87" s="111">
        <f t="shared" si="53"/>
        <v>4.4000000000000004</v>
      </c>
      <c r="AH87" s="262">
        <f t="shared" si="54"/>
        <v>0.40037166921439921</v>
      </c>
      <c r="AI87" s="100"/>
      <c r="AJ87" s="111">
        <f t="shared" si="55"/>
        <v>4.0999999999999996</v>
      </c>
      <c r="AK87" s="262">
        <f t="shared" si="56"/>
        <v>0.35649642549837957</v>
      </c>
      <c r="AL87" s="100"/>
      <c r="AM87" s="111">
        <f t="shared" si="57"/>
        <v>3.8</v>
      </c>
      <c r="AN87" s="262">
        <f t="shared" si="58"/>
        <v>0.30569351172193587</v>
      </c>
      <c r="AO87" s="100"/>
      <c r="AP87" s="24" t="e">
        <f>VLOOKUP(C87,#REF!,6,FALSE)</f>
        <v>#REF!</v>
      </c>
      <c r="AQ87" s="24" t="e">
        <f>VLOOKUP(C87,#REF!,7,FALSE)</f>
        <v>#REF!</v>
      </c>
      <c r="AR87" s="24" t="e">
        <f>VLOOKUP(C87,#REF!,12,FALSE)</f>
        <v>#REF!</v>
      </c>
      <c r="AS87" s="24" t="e">
        <f>VLOOKUP(C87,#REF!,13,FALSE)</f>
        <v>#REF!</v>
      </c>
      <c r="AT87" s="100"/>
      <c r="AU87" s="100"/>
      <c r="AV87" s="100">
        <v>77</v>
      </c>
      <c r="AW87" s="100"/>
      <c r="AY87" s="112">
        <v>37900</v>
      </c>
    </row>
    <row r="88" spans="1:51" s="27" customFormat="1" ht="12.75" customHeight="1" x14ac:dyDescent="0.2">
      <c r="A88" s="7" t="s">
        <v>1027</v>
      </c>
      <c r="B88" s="8">
        <v>9789500209786</v>
      </c>
      <c r="C88" s="6">
        <v>653548</v>
      </c>
      <c r="D88" s="7">
        <v>304</v>
      </c>
      <c r="E88" s="7" t="s">
        <v>396</v>
      </c>
      <c r="F88" s="15" t="s">
        <v>397</v>
      </c>
      <c r="G88" s="107">
        <v>43344</v>
      </c>
      <c r="H88" s="108">
        <v>43313</v>
      </c>
      <c r="I88" s="24">
        <v>2527</v>
      </c>
      <c r="J88" s="28" t="s">
        <v>1894</v>
      </c>
      <c r="K88" s="28">
        <v>70.45</v>
      </c>
      <c r="L88" s="128">
        <v>21000</v>
      </c>
      <c r="M88" s="141">
        <f>+L88*0.08</f>
        <v>1680</v>
      </c>
      <c r="N88" s="142">
        <f t="shared" si="40"/>
        <v>10500</v>
      </c>
      <c r="O88" s="142">
        <f t="shared" si="41"/>
        <v>8749.5499999999993</v>
      </c>
      <c r="P88" s="142">
        <f t="shared" si="42"/>
        <v>1750.45</v>
      </c>
      <c r="Q88" s="139">
        <f t="shared" si="43"/>
        <v>0.83329047619047614</v>
      </c>
      <c r="R88" s="336">
        <v>21000</v>
      </c>
      <c r="S88" s="359" t="s">
        <v>1948</v>
      </c>
      <c r="T88" s="305">
        <v>0.83329047619047614</v>
      </c>
      <c r="U88" s="25"/>
      <c r="V88" s="100"/>
      <c r="W88" s="110">
        <f t="shared" si="44"/>
        <v>21000</v>
      </c>
      <c r="X88" s="110">
        <f t="shared" si="45"/>
        <v>70.45</v>
      </c>
      <c r="Y88" s="110">
        <f t="shared" si="46"/>
        <v>1680</v>
      </c>
      <c r="Z88" s="110">
        <f t="shared" si="47"/>
        <v>8749.5499999999993</v>
      </c>
      <c r="AA88" s="260">
        <f t="shared" si="48"/>
        <v>0.83329047619047614</v>
      </c>
      <c r="AB88" s="28">
        <f t="shared" si="49"/>
        <v>6.9</v>
      </c>
      <c r="AC88" s="261">
        <f t="shared" si="50"/>
        <v>0.83271453623666236</v>
      </c>
      <c r="AD88" s="111">
        <f t="shared" si="51"/>
        <v>1.2</v>
      </c>
      <c r="AE88" s="262">
        <f t="shared" si="52"/>
        <v>3.8108583360808829E-2</v>
      </c>
      <c r="AF88" s="100"/>
      <c r="AG88" s="111">
        <f t="shared" si="53"/>
        <v>1.9</v>
      </c>
      <c r="AH88" s="262">
        <f t="shared" si="54"/>
        <v>0.3924896315963004</v>
      </c>
      <c r="AI88" s="100"/>
      <c r="AJ88" s="111">
        <f t="shared" si="55"/>
        <v>1.8</v>
      </c>
      <c r="AK88" s="262">
        <f t="shared" si="56"/>
        <v>0.3587390555738727</v>
      </c>
      <c r="AL88" s="100"/>
      <c r="AM88" s="111">
        <f t="shared" si="57"/>
        <v>1.6</v>
      </c>
      <c r="AN88" s="262">
        <f t="shared" si="58"/>
        <v>0.27858143752060677</v>
      </c>
      <c r="AO88" s="100"/>
      <c r="AP88" s="24" t="e">
        <f>VLOOKUP(C88,#REF!,6,FALSE)</f>
        <v>#REF!</v>
      </c>
      <c r="AQ88" s="24" t="e">
        <f>VLOOKUP(C88,#REF!,7,FALSE)</f>
        <v>#REF!</v>
      </c>
      <c r="AR88" s="24" t="e">
        <f>VLOOKUP(C88,#REF!,12,FALSE)</f>
        <v>#REF!</v>
      </c>
      <c r="AS88" s="24" t="e">
        <f>VLOOKUP(C88,#REF!,13,FALSE)</f>
        <v>#REF!</v>
      </c>
      <c r="AT88" s="100"/>
      <c r="AU88" s="100"/>
      <c r="AV88" s="100">
        <v>78</v>
      </c>
      <c r="AW88" s="100"/>
      <c r="AY88" s="128">
        <v>21000</v>
      </c>
    </row>
    <row r="89" spans="1:51" s="27" customFormat="1" ht="12.75" customHeight="1" x14ac:dyDescent="0.2">
      <c r="A89" s="6" t="s">
        <v>1028</v>
      </c>
      <c r="B89" s="8">
        <v>9789500299831</v>
      </c>
      <c r="C89" s="6">
        <v>633015</v>
      </c>
      <c r="D89" s="7">
        <v>256</v>
      </c>
      <c r="E89" s="7" t="s">
        <v>25</v>
      </c>
      <c r="F89" s="11" t="s">
        <v>26</v>
      </c>
      <c r="G89" s="107">
        <v>42948</v>
      </c>
      <c r="H89" s="108">
        <v>42917</v>
      </c>
      <c r="I89" s="24">
        <v>3000</v>
      </c>
      <c r="J89" s="28" t="s">
        <v>1894</v>
      </c>
      <c r="K89" s="28">
        <v>43.29</v>
      </c>
      <c r="L89" s="128">
        <v>17900</v>
      </c>
      <c r="M89" s="141">
        <f>+L89*0.08</f>
        <v>1432</v>
      </c>
      <c r="N89" s="142">
        <f t="shared" si="40"/>
        <v>8950</v>
      </c>
      <c r="O89" s="142">
        <f t="shared" si="41"/>
        <v>7474.71</v>
      </c>
      <c r="P89" s="142">
        <f t="shared" si="42"/>
        <v>1475.29</v>
      </c>
      <c r="Q89" s="139">
        <f t="shared" si="43"/>
        <v>0.83516312849162011</v>
      </c>
      <c r="R89" s="336">
        <v>17900</v>
      </c>
      <c r="S89" s="359" t="s">
        <v>1948</v>
      </c>
      <c r="T89" s="305">
        <v>0.83516312849162011</v>
      </c>
      <c r="U89" s="25"/>
      <c r="V89" s="100"/>
      <c r="W89" s="110">
        <f t="shared" si="44"/>
        <v>17900</v>
      </c>
      <c r="X89" s="110">
        <f t="shared" si="45"/>
        <v>43.29</v>
      </c>
      <c r="Y89" s="110">
        <f t="shared" si="46"/>
        <v>1432</v>
      </c>
      <c r="Z89" s="110">
        <f t="shared" si="47"/>
        <v>7474.7099999999991</v>
      </c>
      <c r="AA89" s="260">
        <f t="shared" si="48"/>
        <v>0.83516312849162</v>
      </c>
      <c r="AB89" s="28">
        <f t="shared" si="49"/>
        <v>5.9</v>
      </c>
      <c r="AC89" s="261">
        <f t="shared" si="50"/>
        <v>0.8351143075882802</v>
      </c>
      <c r="AD89" s="111">
        <f t="shared" si="51"/>
        <v>1</v>
      </c>
      <c r="AE89" s="262">
        <f t="shared" si="52"/>
        <v>2.7174414770853965E-2</v>
      </c>
      <c r="AF89" s="100"/>
      <c r="AG89" s="111">
        <f t="shared" si="53"/>
        <v>1.6</v>
      </c>
      <c r="AH89" s="262">
        <f t="shared" si="54"/>
        <v>0.39198400923178373</v>
      </c>
      <c r="AI89" s="100"/>
      <c r="AJ89" s="111">
        <f t="shared" si="55"/>
        <v>1.5</v>
      </c>
      <c r="AK89" s="262">
        <f t="shared" si="56"/>
        <v>0.351449609847236</v>
      </c>
      <c r="AL89" s="100"/>
      <c r="AM89" s="111">
        <f t="shared" si="57"/>
        <v>1.4</v>
      </c>
      <c r="AN89" s="262">
        <f t="shared" si="58"/>
        <v>0.30512458197918135</v>
      </c>
      <c r="AO89" s="100"/>
      <c r="AP89" s="24" t="e">
        <f>VLOOKUP(C89,#REF!,6,FALSE)</f>
        <v>#REF!</v>
      </c>
      <c r="AQ89" s="24" t="e">
        <f>VLOOKUP(C89,#REF!,7,FALSE)</f>
        <v>#REF!</v>
      </c>
      <c r="AR89" s="24" t="e">
        <f>VLOOKUP(C89,#REF!,12,FALSE)</f>
        <v>#REF!</v>
      </c>
      <c r="AS89" s="24" t="e">
        <f>VLOOKUP(C89,#REF!,13,FALSE)</f>
        <v>#REF!</v>
      </c>
      <c r="AT89" s="100"/>
      <c r="AU89" s="100"/>
      <c r="AV89" s="100">
        <v>79</v>
      </c>
      <c r="AW89" s="100"/>
      <c r="AY89" s="128">
        <v>17900</v>
      </c>
    </row>
    <row r="90" spans="1:51" s="27" customFormat="1" ht="12.75" customHeight="1" x14ac:dyDescent="0.2">
      <c r="A90" s="6" t="s">
        <v>1029</v>
      </c>
      <c r="B90" s="8">
        <v>9789500207201</v>
      </c>
      <c r="C90" s="21">
        <v>577631</v>
      </c>
      <c r="D90" s="25">
        <v>304</v>
      </c>
      <c r="E90" s="22" t="s">
        <v>56</v>
      </c>
      <c r="F90" s="6" t="s">
        <v>57</v>
      </c>
      <c r="G90" s="107">
        <v>41760</v>
      </c>
      <c r="H90" s="108">
        <v>41730</v>
      </c>
      <c r="I90" s="24">
        <v>3005</v>
      </c>
      <c r="J90" s="28" t="s">
        <v>1894</v>
      </c>
      <c r="K90" s="28">
        <v>21.55</v>
      </c>
      <c r="L90" s="128">
        <v>19300</v>
      </c>
      <c r="M90" s="9">
        <f>+L90*0.08</f>
        <v>1544</v>
      </c>
      <c r="N90" s="9">
        <f t="shared" si="40"/>
        <v>9650</v>
      </c>
      <c r="O90" s="9">
        <f t="shared" si="41"/>
        <v>8084.45</v>
      </c>
      <c r="P90" s="9">
        <f t="shared" si="42"/>
        <v>1565.55</v>
      </c>
      <c r="Q90" s="139">
        <f t="shared" si="43"/>
        <v>0.83776683937823837</v>
      </c>
      <c r="R90" s="336">
        <v>19300</v>
      </c>
      <c r="S90" s="359" t="s">
        <v>1948</v>
      </c>
      <c r="T90" s="305">
        <v>0.83776683937823837</v>
      </c>
      <c r="U90" s="25"/>
      <c r="V90" s="100"/>
      <c r="W90" s="110">
        <f t="shared" si="44"/>
        <v>19300</v>
      </c>
      <c r="X90" s="110">
        <f t="shared" si="45"/>
        <v>21.55</v>
      </c>
      <c r="Y90" s="110">
        <f t="shared" si="46"/>
        <v>1544</v>
      </c>
      <c r="Z90" s="110">
        <f t="shared" si="47"/>
        <v>8084.4500000000007</v>
      </c>
      <c r="AA90" s="260">
        <f t="shared" si="48"/>
        <v>0.83776683937823837</v>
      </c>
      <c r="AB90" s="28">
        <f t="shared" si="49"/>
        <v>6.4</v>
      </c>
      <c r="AC90" s="261">
        <f t="shared" si="50"/>
        <v>0.83869621661721072</v>
      </c>
      <c r="AD90" s="111">
        <f t="shared" si="51"/>
        <v>1.1000000000000001</v>
      </c>
      <c r="AE90" s="262">
        <f t="shared" si="52"/>
        <v>6.1505260318316775E-2</v>
      </c>
      <c r="AF90" s="100"/>
      <c r="AG90" s="111">
        <f t="shared" si="53"/>
        <v>1.7</v>
      </c>
      <c r="AH90" s="262">
        <f t="shared" si="54"/>
        <v>0.39273869785302834</v>
      </c>
      <c r="AI90" s="100"/>
      <c r="AJ90" s="111">
        <f t="shared" si="55"/>
        <v>1.6</v>
      </c>
      <c r="AK90" s="262">
        <f t="shared" si="56"/>
        <v>0.35478486646884266</v>
      </c>
      <c r="AL90" s="100"/>
      <c r="AM90" s="111">
        <f t="shared" si="57"/>
        <v>1.5</v>
      </c>
      <c r="AN90" s="262">
        <f t="shared" si="58"/>
        <v>0.31177052423343216</v>
      </c>
      <c r="AO90" s="100"/>
      <c r="AP90" s="24" t="e">
        <f>VLOOKUP(C90,#REF!,6,FALSE)</f>
        <v>#REF!</v>
      </c>
      <c r="AQ90" s="24" t="e">
        <f>VLOOKUP(C90,#REF!,7,FALSE)</f>
        <v>#REF!</v>
      </c>
      <c r="AR90" s="24" t="e">
        <f>VLOOKUP(C90,#REF!,12,FALSE)</f>
        <v>#REF!</v>
      </c>
      <c r="AS90" s="24" t="e">
        <f>VLOOKUP(C90,#REF!,13,FALSE)</f>
        <v>#REF!</v>
      </c>
      <c r="AT90" s="100">
        <v>4</v>
      </c>
      <c r="AU90" s="100"/>
      <c r="AV90" s="100">
        <v>80</v>
      </c>
      <c r="AW90" s="100"/>
      <c r="AY90" s="128">
        <v>19300</v>
      </c>
    </row>
    <row r="91" spans="1:51" s="27" customFormat="1" ht="12.75" customHeight="1" x14ac:dyDescent="0.2">
      <c r="A91" s="6" t="s">
        <v>1030</v>
      </c>
      <c r="B91" s="8">
        <v>9789500208277</v>
      </c>
      <c r="C91" s="8">
        <v>584312</v>
      </c>
      <c r="D91" s="7">
        <v>272</v>
      </c>
      <c r="E91" s="7" t="s">
        <v>1031</v>
      </c>
      <c r="F91" s="7" t="s">
        <v>61</v>
      </c>
      <c r="G91" s="107">
        <v>41913</v>
      </c>
      <c r="H91" s="108">
        <v>41944</v>
      </c>
      <c r="I91" s="24">
        <v>2650</v>
      </c>
      <c r="J91" s="28" t="s">
        <v>1894</v>
      </c>
      <c r="K91" s="28">
        <v>15.87</v>
      </c>
      <c r="L91" s="112">
        <v>18600</v>
      </c>
      <c r="M91" s="141">
        <f>+L91*0.1</f>
        <v>1860</v>
      </c>
      <c r="N91" s="142">
        <f t="shared" si="40"/>
        <v>9300</v>
      </c>
      <c r="O91" s="142">
        <f t="shared" si="41"/>
        <v>7424.13</v>
      </c>
      <c r="P91" s="142">
        <f t="shared" si="42"/>
        <v>1875.87</v>
      </c>
      <c r="Q91" s="139">
        <f t="shared" si="43"/>
        <v>0.79829354838709676</v>
      </c>
      <c r="R91" s="336">
        <v>18600</v>
      </c>
      <c r="S91" s="359" t="s">
        <v>1948</v>
      </c>
      <c r="T91" s="305">
        <v>0.79829354838709676</v>
      </c>
      <c r="U91" s="25"/>
      <c r="V91" s="100"/>
      <c r="W91" s="110">
        <f t="shared" si="44"/>
        <v>18600</v>
      </c>
      <c r="X91" s="110">
        <f t="shared" si="45"/>
        <v>15.87</v>
      </c>
      <c r="Y91" s="110">
        <f t="shared" si="46"/>
        <v>1860</v>
      </c>
      <c r="Z91" s="110">
        <f t="shared" si="47"/>
        <v>7424.1299999999992</v>
      </c>
      <c r="AA91" s="260">
        <f t="shared" si="48"/>
        <v>0.79829354838709665</v>
      </c>
      <c r="AB91" s="28">
        <f t="shared" si="49"/>
        <v>6.1</v>
      </c>
      <c r="AC91" s="261">
        <f t="shared" si="50"/>
        <v>0.79721749282482846</v>
      </c>
      <c r="AD91" s="111">
        <f t="shared" si="51"/>
        <v>1.3</v>
      </c>
      <c r="AE91" s="262">
        <f t="shared" si="52"/>
        <v>4.8482081716503159E-2</v>
      </c>
      <c r="AF91" s="100"/>
      <c r="AG91" s="111">
        <f t="shared" si="53"/>
        <v>2.1</v>
      </c>
      <c r="AH91" s="262">
        <f t="shared" si="54"/>
        <v>0.41096509820545435</v>
      </c>
      <c r="AI91" s="100"/>
      <c r="AJ91" s="111">
        <f t="shared" si="55"/>
        <v>1.9</v>
      </c>
      <c r="AK91" s="262">
        <f t="shared" si="56"/>
        <v>0.34896142433234423</v>
      </c>
      <c r="AL91" s="100"/>
      <c r="AM91" s="111">
        <f t="shared" si="57"/>
        <v>1.8</v>
      </c>
      <c r="AN91" s="262">
        <f t="shared" si="58"/>
        <v>0.31279261457303009</v>
      </c>
      <c r="AO91" s="100"/>
      <c r="AP91" s="24" t="e">
        <f>VLOOKUP(C91,#REF!,6,FALSE)</f>
        <v>#REF!</v>
      </c>
      <c r="AQ91" s="24" t="e">
        <f>VLOOKUP(C91,#REF!,7,FALSE)</f>
        <v>#REF!</v>
      </c>
      <c r="AR91" s="24" t="e">
        <f>VLOOKUP(C91,#REF!,12,FALSE)</f>
        <v>#REF!</v>
      </c>
      <c r="AS91" s="24" t="e">
        <f>VLOOKUP(C91,#REF!,13,FALSE)</f>
        <v>#REF!</v>
      </c>
      <c r="AT91" s="100"/>
      <c r="AU91" s="100"/>
      <c r="AV91" s="100">
        <v>81</v>
      </c>
      <c r="AW91" s="100"/>
      <c r="AY91" s="112">
        <v>18600</v>
      </c>
    </row>
    <row r="92" spans="1:51" s="27" customFormat="1" ht="12.75" customHeight="1" x14ac:dyDescent="0.2">
      <c r="A92" s="6" t="s">
        <v>1032</v>
      </c>
      <c r="B92" s="8">
        <v>9789500299749</v>
      </c>
      <c r="C92" s="6">
        <v>628863</v>
      </c>
      <c r="D92" s="25">
        <v>368</v>
      </c>
      <c r="E92" s="7" t="s">
        <v>27</v>
      </c>
      <c r="F92" s="11" t="s">
        <v>1033</v>
      </c>
      <c r="G92" s="107">
        <v>42856</v>
      </c>
      <c r="H92" s="108">
        <v>44743</v>
      </c>
      <c r="I92" s="7">
        <v>2547</v>
      </c>
      <c r="J92" s="28" t="s">
        <v>1894</v>
      </c>
      <c r="K92" s="117">
        <v>388.63</v>
      </c>
      <c r="L92" s="9">
        <v>25600</v>
      </c>
      <c r="M92" s="12">
        <f>+L92*0.1</f>
        <v>2560</v>
      </c>
      <c r="N92" s="142">
        <f t="shared" si="40"/>
        <v>12800</v>
      </c>
      <c r="O92" s="142">
        <f t="shared" si="41"/>
        <v>9851.3700000000008</v>
      </c>
      <c r="P92" s="142">
        <f t="shared" si="42"/>
        <v>2948.63</v>
      </c>
      <c r="Q92" s="139">
        <f t="shared" si="43"/>
        <v>0.76963828125000011</v>
      </c>
      <c r="R92" s="336">
        <v>25600</v>
      </c>
      <c r="S92" s="359" t="s">
        <v>1948</v>
      </c>
      <c r="T92" s="305">
        <v>0.76963828125000011</v>
      </c>
      <c r="U92" s="12"/>
      <c r="V92" s="100"/>
      <c r="W92" s="110">
        <f t="shared" si="44"/>
        <v>25600</v>
      </c>
      <c r="X92" s="110">
        <f t="shared" si="45"/>
        <v>388.63</v>
      </c>
      <c r="Y92" s="110">
        <f t="shared" si="46"/>
        <v>2560</v>
      </c>
      <c r="Z92" s="110">
        <f t="shared" si="47"/>
        <v>9851.3700000000008</v>
      </c>
      <c r="AA92" s="260">
        <f t="shared" si="48"/>
        <v>0.76963828125000011</v>
      </c>
      <c r="AB92" s="28">
        <f t="shared" si="49"/>
        <v>8.4</v>
      </c>
      <c r="AC92" s="261">
        <f t="shared" si="50"/>
        <v>0.76852793870598035</v>
      </c>
      <c r="AD92" s="111">
        <f t="shared" si="51"/>
        <v>2</v>
      </c>
      <c r="AE92" s="262">
        <f t="shared" si="52"/>
        <v>2.7817342565117011E-2</v>
      </c>
      <c r="AF92" s="100"/>
      <c r="AG92" s="111">
        <f t="shared" si="53"/>
        <v>3.2</v>
      </c>
      <c r="AH92" s="262">
        <f t="shared" si="54"/>
        <v>0.39238583910319813</v>
      </c>
      <c r="AI92" s="100"/>
      <c r="AJ92" s="111">
        <f t="shared" si="55"/>
        <v>3</v>
      </c>
      <c r="AK92" s="262">
        <f t="shared" si="56"/>
        <v>0.35187822837674465</v>
      </c>
      <c r="AL92" s="100"/>
      <c r="AM92" s="111">
        <f t="shared" si="57"/>
        <v>2.8</v>
      </c>
      <c r="AN92" s="262">
        <f t="shared" si="58"/>
        <v>0.30558381611794067</v>
      </c>
      <c r="AO92" s="100"/>
      <c r="AP92" s="24" t="e">
        <f>VLOOKUP(C92,#REF!,6,FALSE)</f>
        <v>#REF!</v>
      </c>
      <c r="AQ92" s="24" t="e">
        <f>VLOOKUP(C92,#REF!,7,FALSE)</f>
        <v>#REF!</v>
      </c>
      <c r="AR92" s="24" t="e">
        <f>VLOOKUP(C92,#REF!,12,FALSE)</f>
        <v>#REF!</v>
      </c>
      <c r="AS92" s="24" t="e">
        <f>VLOOKUP(C92,#REF!,13,FALSE)</f>
        <v>#REF!</v>
      </c>
      <c r="AT92" s="100"/>
      <c r="AU92" s="100"/>
      <c r="AV92" s="100">
        <v>82</v>
      </c>
      <c r="AW92" s="100"/>
      <c r="AY92" s="9">
        <v>25600</v>
      </c>
    </row>
    <row r="93" spans="1:51" s="27" customFormat="1" ht="12.75" customHeight="1" x14ac:dyDescent="0.2">
      <c r="A93" s="7" t="s">
        <v>1034</v>
      </c>
      <c r="B93" s="8">
        <v>9789500207263</v>
      </c>
      <c r="C93" s="146">
        <v>564331</v>
      </c>
      <c r="D93" s="25">
        <v>256</v>
      </c>
      <c r="E93" s="22" t="s">
        <v>49</v>
      </c>
      <c r="F93" s="6" t="s">
        <v>50</v>
      </c>
      <c r="G93" s="107">
        <v>41395</v>
      </c>
      <c r="H93" s="108">
        <v>41395</v>
      </c>
      <c r="I93" s="24">
        <v>3066</v>
      </c>
      <c r="J93" s="28" t="s">
        <v>1946</v>
      </c>
      <c r="K93" s="28">
        <v>20.68</v>
      </c>
      <c r="L93" s="112">
        <v>20300</v>
      </c>
      <c r="M93" s="141">
        <f>+L93*0.08</f>
        <v>1624</v>
      </c>
      <c r="N93" s="142">
        <f t="shared" si="40"/>
        <v>10150</v>
      </c>
      <c r="O93" s="142">
        <f t="shared" si="41"/>
        <v>8505.32</v>
      </c>
      <c r="P93" s="142">
        <f t="shared" si="42"/>
        <v>1644.68</v>
      </c>
      <c r="Q93" s="139">
        <f t="shared" si="43"/>
        <v>0.83796256157635463</v>
      </c>
      <c r="R93" s="336">
        <v>20300</v>
      </c>
      <c r="S93" s="359" t="s">
        <v>1948</v>
      </c>
      <c r="T93" s="305">
        <v>0.83796256157635463</v>
      </c>
      <c r="U93" s="25"/>
      <c r="V93" s="100"/>
      <c r="W93" s="110">
        <f t="shared" si="44"/>
        <v>20300</v>
      </c>
      <c r="X93" s="110">
        <f t="shared" si="45"/>
        <v>20.68</v>
      </c>
      <c r="Y93" s="110">
        <f t="shared" si="46"/>
        <v>1624</v>
      </c>
      <c r="Z93" s="110">
        <f t="shared" si="47"/>
        <v>8505.32</v>
      </c>
      <c r="AA93" s="260">
        <f t="shared" si="48"/>
        <v>0.83796256157635463</v>
      </c>
      <c r="AB93" s="28">
        <f t="shared" si="49"/>
        <v>6.7</v>
      </c>
      <c r="AC93" s="261">
        <f t="shared" si="50"/>
        <v>0.83813080984789212</v>
      </c>
      <c r="AD93" s="111">
        <f t="shared" si="51"/>
        <v>1.1000000000000001</v>
      </c>
      <c r="AE93" s="262">
        <f t="shared" si="52"/>
        <v>1.406947816443367E-2</v>
      </c>
      <c r="AF93" s="100"/>
      <c r="AG93" s="111">
        <f t="shared" si="53"/>
        <v>1.8</v>
      </c>
      <c r="AH93" s="262">
        <f t="shared" si="54"/>
        <v>0.39748690332270958</v>
      </c>
      <c r="AI93" s="100"/>
      <c r="AJ93" s="111">
        <f t="shared" si="55"/>
        <v>1.7</v>
      </c>
      <c r="AK93" s="262">
        <f t="shared" si="56"/>
        <v>0.36204495645933943</v>
      </c>
      <c r="AL93" s="100"/>
      <c r="AM93" s="111">
        <f t="shared" si="57"/>
        <v>1.5</v>
      </c>
      <c r="AN93" s="262">
        <f t="shared" si="58"/>
        <v>0.27698428398725145</v>
      </c>
      <c r="AO93" s="100"/>
      <c r="AP93" s="24" t="e">
        <f>VLOOKUP(C93,#REF!,6,FALSE)</f>
        <v>#REF!</v>
      </c>
      <c r="AQ93" s="24" t="e">
        <f>VLOOKUP(C93,#REF!,7,FALSE)</f>
        <v>#REF!</v>
      </c>
      <c r="AR93" s="24" t="e">
        <f>VLOOKUP(C93,#REF!,12,FALSE)</f>
        <v>#REF!</v>
      </c>
      <c r="AS93" s="24" t="e">
        <f>VLOOKUP(C93,#REF!,13,FALSE)</f>
        <v>#REF!</v>
      </c>
      <c r="AT93" s="100"/>
      <c r="AU93" s="100"/>
      <c r="AV93" s="100">
        <v>83</v>
      </c>
      <c r="AW93" s="100"/>
      <c r="AY93" s="112">
        <v>20300</v>
      </c>
    </row>
    <row r="94" spans="1:51" s="27" customFormat="1" ht="12.75" customHeight="1" x14ac:dyDescent="0.2">
      <c r="A94" s="7" t="s">
        <v>1035</v>
      </c>
      <c r="B94" s="8">
        <v>9789500299503</v>
      </c>
      <c r="C94" s="8">
        <v>622049</v>
      </c>
      <c r="D94" s="7">
        <v>752</v>
      </c>
      <c r="E94" s="9" t="s">
        <v>38</v>
      </c>
      <c r="F94" s="7" t="s">
        <v>39</v>
      </c>
      <c r="G94" s="118">
        <v>42675</v>
      </c>
      <c r="H94" s="108">
        <v>45352</v>
      </c>
      <c r="I94" s="7">
        <v>2028</v>
      </c>
      <c r="J94" s="28" t="s">
        <v>2136</v>
      </c>
      <c r="K94" s="148">
        <v>5276.65</v>
      </c>
      <c r="L94" s="9">
        <v>68700</v>
      </c>
      <c r="M94" s="112">
        <f>+L94*0.12</f>
        <v>8244</v>
      </c>
      <c r="N94" s="9">
        <f t="shared" si="40"/>
        <v>34350</v>
      </c>
      <c r="O94" s="9">
        <f t="shared" si="41"/>
        <v>20829.349999999999</v>
      </c>
      <c r="P94" s="9">
        <f t="shared" si="42"/>
        <v>13520.65</v>
      </c>
      <c r="Q94" s="139">
        <f t="shared" si="43"/>
        <v>0.60638573508005822</v>
      </c>
      <c r="R94" s="336">
        <v>68700</v>
      </c>
      <c r="S94" s="359" t="s">
        <v>1948</v>
      </c>
      <c r="T94" s="305">
        <v>0.60638573508005822</v>
      </c>
      <c r="U94" s="144"/>
      <c r="V94" s="100"/>
      <c r="W94" s="110">
        <f t="shared" si="44"/>
        <v>68700</v>
      </c>
      <c r="X94" s="110">
        <f t="shared" si="45"/>
        <v>5276.65</v>
      </c>
      <c r="Y94" s="110">
        <f t="shared" si="46"/>
        <v>8244</v>
      </c>
      <c r="Z94" s="110">
        <f t="shared" si="47"/>
        <v>20829.349999999999</v>
      </c>
      <c r="AA94" s="260">
        <f t="shared" si="48"/>
        <v>0.60638573508005822</v>
      </c>
      <c r="AB94" s="28">
        <f t="shared" si="49"/>
        <v>22.7</v>
      </c>
      <c r="AC94" s="261">
        <f t="shared" si="50"/>
        <v>0.60723814835633283</v>
      </c>
      <c r="AD94" s="111">
        <f t="shared" si="51"/>
        <v>9.4</v>
      </c>
      <c r="AE94" s="262">
        <f t="shared" si="52"/>
        <v>5.1521911456250798E-2</v>
      </c>
      <c r="AF94" s="100"/>
      <c r="AG94" s="111">
        <f t="shared" si="53"/>
        <v>14.9</v>
      </c>
      <c r="AH94" s="262">
        <f t="shared" si="54"/>
        <v>0.40163127299924561</v>
      </c>
      <c r="AI94" s="100"/>
      <c r="AJ94" s="111">
        <f t="shared" si="55"/>
        <v>13.7</v>
      </c>
      <c r="AK94" s="262">
        <f t="shared" si="56"/>
        <v>0.34921941369990928</v>
      </c>
      <c r="AL94" s="100"/>
      <c r="AM94" s="111">
        <f t="shared" si="57"/>
        <v>12.7</v>
      </c>
      <c r="AN94" s="262">
        <f t="shared" si="58"/>
        <v>0.2979768478495084</v>
      </c>
      <c r="AO94" s="100"/>
      <c r="AP94" s="24" t="e">
        <f>VLOOKUP(C94,#REF!,6,FALSE)</f>
        <v>#REF!</v>
      </c>
      <c r="AQ94" s="24" t="e">
        <f>VLOOKUP(C94,#REF!,7,FALSE)</f>
        <v>#REF!</v>
      </c>
      <c r="AR94" s="24" t="e">
        <f>VLOOKUP(C94,#REF!,12,FALSE)</f>
        <v>#REF!</v>
      </c>
      <c r="AS94" s="24" t="e">
        <f>VLOOKUP(C94,#REF!,13,FALSE)</f>
        <v>#REF!</v>
      </c>
      <c r="AT94" s="100"/>
      <c r="AU94" s="100"/>
      <c r="AV94" s="100">
        <v>84</v>
      </c>
      <c r="AW94" s="100"/>
      <c r="AY94" s="9">
        <v>68700</v>
      </c>
    </row>
    <row r="95" spans="1:51" s="27" customFormat="1" ht="12.75" customHeight="1" x14ac:dyDescent="0.2">
      <c r="A95" s="6" t="s">
        <v>1036</v>
      </c>
      <c r="B95" s="8">
        <v>9789500208468</v>
      </c>
      <c r="C95" s="8">
        <v>590780</v>
      </c>
      <c r="D95" s="25">
        <v>272</v>
      </c>
      <c r="E95" s="22" t="s">
        <v>1037</v>
      </c>
      <c r="F95" s="6" t="s">
        <v>44</v>
      </c>
      <c r="G95" s="107">
        <v>42095</v>
      </c>
      <c r="H95" s="108">
        <v>42064</v>
      </c>
      <c r="I95" s="24">
        <v>3038</v>
      </c>
      <c r="J95" s="28" t="s">
        <v>1894</v>
      </c>
      <c r="K95" s="28">
        <v>28.43</v>
      </c>
      <c r="L95" s="128">
        <v>18500</v>
      </c>
      <c r="M95" s="141">
        <f>+L95*0.1</f>
        <v>1850</v>
      </c>
      <c r="N95" s="142">
        <f t="shared" si="40"/>
        <v>9250</v>
      </c>
      <c r="O95" s="142">
        <f t="shared" si="41"/>
        <v>7371.57</v>
      </c>
      <c r="P95" s="142">
        <f t="shared" si="42"/>
        <v>1878.43</v>
      </c>
      <c r="Q95" s="139">
        <f t="shared" si="43"/>
        <v>0.79692648648648645</v>
      </c>
      <c r="R95" s="336">
        <v>18500</v>
      </c>
      <c r="S95" s="359" t="s">
        <v>1948</v>
      </c>
      <c r="T95" s="305">
        <v>0.79692648648648645</v>
      </c>
      <c r="U95" s="25"/>
      <c r="V95" s="100"/>
      <c r="W95" s="110">
        <f t="shared" si="44"/>
        <v>18500</v>
      </c>
      <c r="X95" s="110">
        <f t="shared" si="45"/>
        <v>28.43</v>
      </c>
      <c r="Y95" s="110">
        <f t="shared" si="46"/>
        <v>1850</v>
      </c>
      <c r="Z95" s="110">
        <f t="shared" si="47"/>
        <v>7371.57</v>
      </c>
      <c r="AA95" s="260">
        <f t="shared" si="48"/>
        <v>0.79692648648648645</v>
      </c>
      <c r="AB95" s="28">
        <f t="shared" si="49"/>
        <v>6.1</v>
      </c>
      <c r="AC95" s="261">
        <f t="shared" si="50"/>
        <v>0.79694075551447729</v>
      </c>
      <c r="AD95" s="111">
        <f t="shared" si="51"/>
        <v>1.3</v>
      </c>
      <c r="AE95" s="262">
        <f t="shared" si="52"/>
        <v>4.7183545106393762E-2</v>
      </c>
      <c r="AF95" s="100"/>
      <c r="AG95" s="111">
        <f t="shared" si="53"/>
        <v>2.1</v>
      </c>
      <c r="AH95" s="262">
        <f t="shared" si="54"/>
        <v>0.41016124220872002</v>
      </c>
      <c r="AI95" s="100"/>
      <c r="AJ95" s="111">
        <f t="shared" si="55"/>
        <v>1.9</v>
      </c>
      <c r="AK95" s="262">
        <f t="shared" si="56"/>
        <v>0.34807295191490106</v>
      </c>
      <c r="AL95" s="100"/>
      <c r="AM95" s="111">
        <f t="shared" si="57"/>
        <v>1.8</v>
      </c>
      <c r="AN95" s="262">
        <f t="shared" si="58"/>
        <v>0.31185478257684007</v>
      </c>
      <c r="AO95" s="100"/>
      <c r="AP95" s="24" t="e">
        <f>VLOOKUP(C95,#REF!,6,FALSE)</f>
        <v>#REF!</v>
      </c>
      <c r="AQ95" s="24" t="e">
        <f>VLOOKUP(C95,#REF!,7,FALSE)</f>
        <v>#REF!</v>
      </c>
      <c r="AR95" s="24" t="e">
        <f>VLOOKUP(C95,#REF!,12,FALSE)</f>
        <v>#REF!</v>
      </c>
      <c r="AS95" s="24" t="e">
        <f>VLOOKUP(C95,#REF!,13,FALSE)</f>
        <v>#REF!</v>
      </c>
      <c r="AT95" s="100"/>
      <c r="AU95" s="100"/>
      <c r="AV95" s="100">
        <v>85</v>
      </c>
      <c r="AW95" s="100"/>
      <c r="AY95" s="128">
        <v>18500</v>
      </c>
    </row>
    <row r="96" spans="1:51" s="27" customFormat="1" ht="12.75" customHeight="1" thickBot="1" x14ac:dyDescent="0.3">
      <c r="A96" s="132"/>
      <c r="B96" s="133"/>
      <c r="C96" s="133"/>
      <c r="D96" s="132"/>
      <c r="E96" s="132"/>
      <c r="F96" s="132"/>
      <c r="G96" s="132"/>
      <c r="H96" s="132"/>
      <c r="I96" s="132"/>
      <c r="J96" s="132"/>
      <c r="K96" s="132"/>
      <c r="L96" s="134"/>
      <c r="M96" s="132"/>
      <c r="N96" s="132"/>
      <c r="O96" s="132"/>
      <c r="P96" s="132"/>
      <c r="Q96" s="147"/>
      <c r="R96" s="356"/>
      <c r="S96" s="360"/>
      <c r="T96" s="307"/>
      <c r="U96" s="135"/>
      <c r="V96" s="100"/>
      <c r="W96"/>
      <c r="X96"/>
      <c r="Y96"/>
      <c r="Z96"/>
      <c r="AA96"/>
      <c r="AB96"/>
      <c r="AC96"/>
      <c r="AD96" s="263"/>
      <c r="AE96"/>
      <c r="AF96" s="100"/>
      <c r="AG96" s="263"/>
      <c r="AH96"/>
      <c r="AI96" s="100"/>
      <c r="AJ96" s="263"/>
      <c r="AK96"/>
      <c r="AL96" s="100"/>
      <c r="AM96" s="263"/>
      <c r="AN96"/>
      <c r="AO96" s="100"/>
      <c r="AP96" s="100"/>
      <c r="AQ96" s="100"/>
      <c r="AR96" s="100"/>
      <c r="AS96" s="100"/>
      <c r="AT96" s="100"/>
      <c r="AU96" s="100"/>
      <c r="AV96" s="100">
        <v>86</v>
      </c>
      <c r="AW96" s="100"/>
      <c r="AY96" s="134"/>
    </row>
    <row r="97" spans="1:51" s="2" customFormat="1" ht="12.75" customHeight="1" x14ac:dyDescent="0.25">
      <c r="A97" s="132"/>
      <c r="B97" s="133"/>
      <c r="C97" s="133"/>
      <c r="D97" s="132"/>
      <c r="E97" s="104" t="s">
        <v>628</v>
      </c>
      <c r="F97" s="105"/>
      <c r="G97" s="132"/>
      <c r="H97" s="132"/>
      <c r="I97" s="132"/>
      <c r="J97" s="132"/>
      <c r="K97" s="132"/>
      <c r="L97" s="134"/>
      <c r="M97" s="132"/>
      <c r="N97" s="132"/>
      <c r="O97" s="132"/>
      <c r="P97" s="132"/>
      <c r="Q97" s="147"/>
      <c r="R97" s="356"/>
      <c r="S97" s="360"/>
      <c r="T97" s="307"/>
      <c r="U97" s="135"/>
      <c r="V97" s="100"/>
      <c r="W97"/>
      <c r="X97"/>
      <c r="Y97"/>
      <c r="Z97"/>
      <c r="AA97"/>
      <c r="AB97"/>
      <c r="AC97"/>
      <c r="AD97" s="263"/>
      <c r="AE97"/>
      <c r="AF97" s="100"/>
      <c r="AG97" s="263"/>
      <c r="AH97"/>
      <c r="AI97" s="100"/>
      <c r="AJ97" s="263"/>
      <c r="AK97"/>
      <c r="AL97" s="100"/>
      <c r="AM97" s="263"/>
      <c r="AN97"/>
      <c r="AO97" s="100"/>
      <c r="AP97" s="100"/>
      <c r="AQ97" s="100"/>
      <c r="AR97" s="100"/>
      <c r="AS97" s="100"/>
      <c r="AT97" s="100"/>
      <c r="AU97" s="100"/>
      <c r="AV97" s="100">
        <v>87</v>
      </c>
      <c r="AW97" s="100"/>
      <c r="AY97" s="134"/>
    </row>
    <row r="98" spans="1:51" s="2" customFormat="1" ht="12.75" customHeight="1" x14ac:dyDescent="0.2">
      <c r="A98" s="7" t="s">
        <v>2416</v>
      </c>
      <c r="B98" s="8">
        <v>9789500218146</v>
      </c>
      <c r="C98" s="8">
        <v>750372</v>
      </c>
      <c r="D98" s="7">
        <v>208</v>
      </c>
      <c r="E98" s="7" t="s">
        <v>2417</v>
      </c>
      <c r="F98" s="7" t="s">
        <v>2418</v>
      </c>
      <c r="G98" s="107">
        <v>46266</v>
      </c>
      <c r="H98" s="107">
        <v>46235</v>
      </c>
      <c r="I98" s="116">
        <v>3000</v>
      </c>
      <c r="J98" s="6" t="s">
        <v>2136</v>
      </c>
      <c r="K98" s="148">
        <v>2182</v>
      </c>
      <c r="L98" s="352">
        <v>21900</v>
      </c>
      <c r="M98" s="112"/>
      <c r="N98" s="9">
        <f t="shared" ref="N98:N129" si="59">+L98/2</f>
        <v>10950</v>
      </c>
      <c r="O98" s="9">
        <f t="shared" ref="O98:O129" si="60">+N98-M98-K98</f>
        <v>8768</v>
      </c>
      <c r="P98" s="9">
        <f t="shared" ref="P98:P129" si="61">+M98+K98</f>
        <v>2182</v>
      </c>
      <c r="Q98" s="139">
        <f t="shared" ref="Q98:Q129" si="62">+O98/N98</f>
        <v>0.80073059360730592</v>
      </c>
      <c r="R98" s="385">
        <v>29900</v>
      </c>
      <c r="S98" s="359" t="s">
        <v>1948</v>
      </c>
      <c r="T98" s="305">
        <v>0.61851103678929764</v>
      </c>
      <c r="U98" s="6"/>
      <c r="V98" s="100"/>
      <c r="W98" s="110">
        <f t="shared" ref="W98:W129" si="63">+L98</f>
        <v>21900</v>
      </c>
      <c r="X98" s="110">
        <f t="shared" ref="X98:X129" si="64">+K98</f>
        <v>2182</v>
      </c>
      <c r="Y98" s="110">
        <f t="shared" ref="Y98:Y129" si="65">+M98</f>
        <v>0</v>
      </c>
      <c r="Z98" s="110">
        <f t="shared" ref="Z98:Z129" si="66">+W98/2-X98-Y98</f>
        <v>8768</v>
      </c>
      <c r="AA98" s="260">
        <f t="shared" ref="AA98:AA129" si="67">+Z98/(W98/2)</f>
        <v>0.80073059360730592</v>
      </c>
      <c r="AB98" s="28">
        <f t="shared" ref="AB98:AB129" si="68">ROUND($W98/2/$X$1,1)</f>
        <v>7.2</v>
      </c>
      <c r="AC98" s="261">
        <f t="shared" ref="AC98:AC129" si="69">+(AB98*$X$1-$X98-$Y98)/(AB98*$X$1)</f>
        <v>0.80016118987434515</v>
      </c>
      <c r="AD98" s="111">
        <f t="shared" ref="AD98:AD129" si="70">+IFERROR(ROUND(($X98+$Y98)/(1-$X$2)/$X$1,1),0)</f>
        <v>1.5</v>
      </c>
      <c r="AE98" s="262">
        <f t="shared" ref="AE98:AE129" si="71">+(AD98*$X$1-$X98-$Y98)/(AD98*$X$1)</f>
        <v>4.0773711396856795E-2</v>
      </c>
      <c r="AF98" s="100"/>
      <c r="AG98" s="111">
        <f t="shared" ref="AG98:AG129" si="72">+IFERROR(ROUND(($X98+$Y98)/(1-$AG$2)/$X$1,1),0)</f>
        <v>2.4</v>
      </c>
      <c r="AH98" s="262">
        <f t="shared" ref="AH98:AH129" si="73">+(AG98*$X$1-$X98-$Y98)/(AG98*$X$1)</f>
        <v>0.4004835696230355</v>
      </c>
      <c r="AI98" s="100"/>
      <c r="AJ98" s="111">
        <f t="shared" ref="AJ98:AJ129" si="74">+IFERROR(ROUND(($X98+$Y98)/(1-$AJ$2)/$X$1,1),0)</f>
        <v>2.2000000000000002</v>
      </c>
      <c r="AK98" s="262">
        <f t="shared" ref="AK98:AK129" si="75">+(AJ98*$X$1-$X98-$Y98)/(AJ98*$X$1)</f>
        <v>0.34598207595240238</v>
      </c>
      <c r="AL98" s="100"/>
      <c r="AM98" s="111">
        <f t="shared" ref="AM98:AM129" si="76">+IFERROR(ROUND(($X98+$Y98)/(1-$AM$2)/$X$1,1),0)</f>
        <v>2.1</v>
      </c>
      <c r="AN98" s="262">
        <f t="shared" ref="AN98:AN129" si="77">+(AM98*$X$1-$X98-$Y98)/(AM98*$X$1)</f>
        <v>0.31483836528346915</v>
      </c>
      <c r="AO98" s="100"/>
      <c r="AP98" s="24" t="e">
        <f>VLOOKUP(C98,#REF!,6,FALSE)</f>
        <v>#REF!</v>
      </c>
      <c r="AQ98" s="24" t="e">
        <f>VLOOKUP(C98,#REF!,7,FALSE)</f>
        <v>#REF!</v>
      </c>
      <c r="AR98" s="24" t="e">
        <f>VLOOKUP(C98,#REF!,12,FALSE)</f>
        <v>#REF!</v>
      </c>
      <c r="AS98" s="24" t="e">
        <f>VLOOKUP(C98,#REF!,13,FALSE)</f>
        <v>#REF!</v>
      </c>
      <c r="AT98" s="100"/>
      <c r="AU98" s="100"/>
      <c r="AV98" s="100">
        <v>88</v>
      </c>
      <c r="AW98" s="100"/>
      <c r="AY98" s="352">
        <v>21900</v>
      </c>
    </row>
    <row r="99" spans="1:51" s="2" customFormat="1" ht="12.75" customHeight="1" x14ac:dyDescent="0.2">
      <c r="A99" s="6" t="s">
        <v>2286</v>
      </c>
      <c r="B99" s="282">
        <v>9789500217538</v>
      </c>
      <c r="C99" s="6">
        <v>743063</v>
      </c>
      <c r="D99" s="41">
        <v>256</v>
      </c>
      <c r="E99" s="6" t="s">
        <v>2287</v>
      </c>
      <c r="F99" s="6" t="s">
        <v>2288</v>
      </c>
      <c r="G99" s="107">
        <v>46113</v>
      </c>
      <c r="H99" s="108">
        <v>46082</v>
      </c>
      <c r="I99" s="7">
        <v>3064</v>
      </c>
      <c r="J99" s="6" t="s">
        <v>1333</v>
      </c>
      <c r="K99" s="148">
        <v>3311.26</v>
      </c>
      <c r="L99" s="9">
        <v>29900</v>
      </c>
      <c r="M99" s="112">
        <f t="shared" ref="M99:M105" si="78">+L99*0.08</f>
        <v>2392</v>
      </c>
      <c r="N99" s="9">
        <f t="shared" si="59"/>
        <v>14950</v>
      </c>
      <c r="O99" s="9">
        <f t="shared" si="60"/>
        <v>9246.74</v>
      </c>
      <c r="P99" s="9">
        <f t="shared" si="61"/>
        <v>5703.26</v>
      </c>
      <c r="Q99" s="139">
        <f t="shared" si="62"/>
        <v>0.61851103678929764</v>
      </c>
      <c r="R99" s="336">
        <v>29900</v>
      </c>
      <c r="S99" s="359" t="s">
        <v>1948</v>
      </c>
      <c r="T99" s="305">
        <v>0.61851103678929764</v>
      </c>
      <c r="U99" s="6"/>
      <c r="V99" s="100"/>
      <c r="W99" s="110">
        <f t="shared" si="63"/>
        <v>29900</v>
      </c>
      <c r="X99" s="110">
        <f t="shared" si="64"/>
        <v>3311.26</v>
      </c>
      <c r="Y99" s="110">
        <f t="shared" si="65"/>
        <v>2392</v>
      </c>
      <c r="Z99" s="110">
        <f t="shared" si="66"/>
        <v>9246.74</v>
      </c>
      <c r="AA99" s="260">
        <f t="shared" si="67"/>
        <v>0.61851103678929764</v>
      </c>
      <c r="AB99" s="28">
        <f t="shared" si="68"/>
        <v>9.9</v>
      </c>
      <c r="AC99" s="261">
        <f t="shared" si="69"/>
        <v>0.62012075919098664</v>
      </c>
      <c r="AD99" s="111">
        <f t="shared" si="70"/>
        <v>4</v>
      </c>
      <c r="AE99" s="262">
        <f t="shared" si="71"/>
        <v>5.9798878997692019E-2</v>
      </c>
      <c r="AF99" s="100"/>
      <c r="AG99" s="111">
        <f t="shared" si="72"/>
        <v>6.3</v>
      </c>
      <c r="AH99" s="262">
        <f t="shared" si="73"/>
        <v>0.40304690730012183</v>
      </c>
      <c r="AI99" s="100"/>
      <c r="AJ99" s="111">
        <f t="shared" si="74"/>
        <v>5.8</v>
      </c>
      <c r="AK99" s="262">
        <f t="shared" si="75"/>
        <v>0.35158543379151164</v>
      </c>
      <c r="AL99" s="100"/>
      <c r="AM99" s="111">
        <f t="shared" si="76"/>
        <v>5.4</v>
      </c>
      <c r="AN99" s="262">
        <f t="shared" si="77"/>
        <v>0.30355472518347559</v>
      </c>
      <c r="AO99" s="100"/>
      <c r="AP99" s="24" t="e">
        <f>VLOOKUP(C99,#REF!,6,FALSE)</f>
        <v>#REF!</v>
      </c>
      <c r="AQ99" s="24" t="e">
        <f>VLOOKUP(C99,#REF!,7,FALSE)</f>
        <v>#REF!</v>
      </c>
      <c r="AR99" s="24" t="e">
        <f>VLOOKUP(C99,#REF!,12,FALSE)</f>
        <v>#REF!</v>
      </c>
      <c r="AS99" s="24" t="e">
        <f>VLOOKUP(C99,#REF!,13,FALSE)</f>
        <v>#REF!</v>
      </c>
      <c r="AT99" s="100"/>
      <c r="AU99" s="100"/>
      <c r="AV99" s="100">
        <v>89</v>
      </c>
      <c r="AW99" s="100"/>
      <c r="AY99" s="9">
        <v>29900</v>
      </c>
    </row>
    <row r="100" spans="1:51" s="2" customFormat="1" ht="12.75" customHeight="1" x14ac:dyDescent="0.2">
      <c r="A100" s="6" t="s">
        <v>2210</v>
      </c>
      <c r="B100" s="153">
        <v>9789500217248</v>
      </c>
      <c r="C100" s="6">
        <v>740162</v>
      </c>
      <c r="D100" s="41">
        <v>376</v>
      </c>
      <c r="E100" s="6" t="s">
        <v>2005</v>
      </c>
      <c r="F100" s="6" t="s">
        <v>2211</v>
      </c>
      <c r="G100" s="107">
        <v>46023</v>
      </c>
      <c r="H100" s="108">
        <v>45992</v>
      </c>
      <c r="I100" s="267">
        <v>2004</v>
      </c>
      <c r="J100" s="116" t="s">
        <v>1762</v>
      </c>
      <c r="K100" s="292">
        <v>2810.44</v>
      </c>
      <c r="L100" s="9">
        <v>31500</v>
      </c>
      <c r="M100" s="112">
        <f t="shared" si="78"/>
        <v>2520</v>
      </c>
      <c r="N100" s="9">
        <f t="shared" si="59"/>
        <v>15750</v>
      </c>
      <c r="O100" s="9">
        <f t="shared" si="60"/>
        <v>10419.56</v>
      </c>
      <c r="P100" s="9">
        <f t="shared" si="61"/>
        <v>5330.4400000000005</v>
      </c>
      <c r="Q100" s="139">
        <f t="shared" si="62"/>
        <v>0.66155936507936508</v>
      </c>
      <c r="R100" s="336">
        <v>31500</v>
      </c>
      <c r="S100" s="359" t="s">
        <v>1948</v>
      </c>
      <c r="T100" s="305">
        <v>0.66155936507936508</v>
      </c>
      <c r="U100" s="6"/>
      <c r="V100" s="100"/>
      <c r="W100" s="110">
        <f t="shared" si="63"/>
        <v>31500</v>
      </c>
      <c r="X100" s="110">
        <f t="shared" si="64"/>
        <v>2810.44</v>
      </c>
      <c r="Y100" s="110">
        <f t="shared" si="65"/>
        <v>2520</v>
      </c>
      <c r="Z100" s="110">
        <f t="shared" si="66"/>
        <v>10419.56</v>
      </c>
      <c r="AA100" s="260">
        <f t="shared" si="67"/>
        <v>0.66155936507936508</v>
      </c>
      <c r="AB100" s="28">
        <f t="shared" si="68"/>
        <v>10.4</v>
      </c>
      <c r="AC100" s="261">
        <f t="shared" si="69"/>
        <v>0.6620228765629359</v>
      </c>
      <c r="AD100" s="111">
        <f t="shared" si="70"/>
        <v>3.7</v>
      </c>
      <c r="AE100" s="262">
        <f t="shared" si="71"/>
        <v>5.0010247636360416E-2</v>
      </c>
      <c r="AF100" s="100"/>
      <c r="AG100" s="111">
        <f t="shared" si="72"/>
        <v>5.9</v>
      </c>
      <c r="AH100" s="262">
        <f t="shared" si="73"/>
        <v>0.40424371461941244</v>
      </c>
      <c r="AI100" s="100"/>
      <c r="AJ100" s="111">
        <f t="shared" si="74"/>
        <v>5.4</v>
      </c>
      <c r="AK100" s="262">
        <f t="shared" si="75"/>
        <v>0.34908109560269135</v>
      </c>
      <c r="AL100" s="100"/>
      <c r="AM100" s="111">
        <f t="shared" si="76"/>
        <v>5</v>
      </c>
      <c r="AN100" s="262">
        <f t="shared" si="77"/>
        <v>0.29700758325090665</v>
      </c>
      <c r="AO100" s="100"/>
      <c r="AP100" s="24" t="e">
        <f>VLOOKUP(C100,#REF!,6,FALSE)</f>
        <v>#REF!</v>
      </c>
      <c r="AQ100" s="24" t="e">
        <f>VLOOKUP(C100,#REF!,7,FALSE)</f>
        <v>#REF!</v>
      </c>
      <c r="AR100" s="24" t="e">
        <f>VLOOKUP(C100,#REF!,12,FALSE)</f>
        <v>#REF!</v>
      </c>
      <c r="AS100" s="24" t="e">
        <f>VLOOKUP(C100,#REF!,13,FALSE)</f>
        <v>#REF!</v>
      </c>
      <c r="AT100" s="100"/>
      <c r="AU100" s="100"/>
      <c r="AV100" s="100">
        <v>90</v>
      </c>
      <c r="AW100" s="100"/>
      <c r="AY100" s="9">
        <v>31500</v>
      </c>
    </row>
    <row r="101" spans="1:51" s="2" customFormat="1" ht="12.75" customHeight="1" x14ac:dyDescent="0.2">
      <c r="A101" s="6" t="s">
        <v>2004</v>
      </c>
      <c r="B101" s="279">
        <v>9789500216067</v>
      </c>
      <c r="C101" s="6">
        <v>727394</v>
      </c>
      <c r="D101" s="41">
        <v>368</v>
      </c>
      <c r="E101" s="6" t="s">
        <v>2005</v>
      </c>
      <c r="F101" s="6" t="s">
        <v>2006</v>
      </c>
      <c r="G101" s="107">
        <v>45717</v>
      </c>
      <c r="H101" s="108">
        <v>45689</v>
      </c>
      <c r="I101" s="264">
        <v>3082</v>
      </c>
      <c r="J101" s="28" t="s">
        <v>2136</v>
      </c>
      <c r="K101" s="292">
        <v>2430.2199999999998</v>
      </c>
      <c r="L101" s="9">
        <v>28300</v>
      </c>
      <c r="M101" s="112">
        <f t="shared" si="78"/>
        <v>2264</v>
      </c>
      <c r="N101" s="9">
        <f t="shared" si="59"/>
        <v>14150</v>
      </c>
      <c r="O101" s="9">
        <f t="shared" si="60"/>
        <v>9455.7800000000007</v>
      </c>
      <c r="P101" s="9">
        <f t="shared" si="61"/>
        <v>4694.2199999999993</v>
      </c>
      <c r="Q101" s="139">
        <f t="shared" si="62"/>
        <v>0.66825300353356898</v>
      </c>
      <c r="R101" s="336">
        <v>28300</v>
      </c>
      <c r="S101" s="359" t="s">
        <v>1948</v>
      </c>
      <c r="T101" s="305">
        <v>0.66825300353356898</v>
      </c>
      <c r="U101" s="6"/>
      <c r="V101" s="100"/>
      <c r="W101" s="110">
        <f t="shared" si="63"/>
        <v>28300</v>
      </c>
      <c r="X101" s="110">
        <f t="shared" si="64"/>
        <v>2430.2199999999998</v>
      </c>
      <c r="Y101" s="110">
        <f t="shared" si="65"/>
        <v>2264</v>
      </c>
      <c r="Z101" s="110">
        <f t="shared" si="66"/>
        <v>9455.7800000000007</v>
      </c>
      <c r="AA101" s="260">
        <f t="shared" si="67"/>
        <v>0.66825300353356898</v>
      </c>
      <c r="AB101" s="28">
        <f t="shared" si="68"/>
        <v>9.3000000000000007</v>
      </c>
      <c r="AC101" s="261">
        <f t="shared" si="69"/>
        <v>0.66715803579975119</v>
      </c>
      <c r="AD101" s="111">
        <f t="shared" si="70"/>
        <v>3.3</v>
      </c>
      <c r="AE101" s="262">
        <f t="shared" si="71"/>
        <v>6.1990828162934997E-2</v>
      </c>
      <c r="AF101" s="100"/>
      <c r="AG101" s="111">
        <f t="shared" si="72"/>
        <v>5.2</v>
      </c>
      <c r="AH101" s="262">
        <f t="shared" si="73"/>
        <v>0.40472494864186259</v>
      </c>
      <c r="AI101" s="100"/>
      <c r="AJ101" s="111">
        <f t="shared" si="74"/>
        <v>4.8</v>
      </c>
      <c r="AK101" s="262">
        <f t="shared" si="75"/>
        <v>0.35511869436201776</v>
      </c>
      <c r="AL101" s="100"/>
      <c r="AM101" s="111">
        <f t="shared" si="76"/>
        <v>4.4000000000000004</v>
      </c>
      <c r="AN101" s="262">
        <f t="shared" si="77"/>
        <v>0.29649312112220139</v>
      </c>
      <c r="AO101" s="100"/>
      <c r="AP101" s="24" t="e">
        <f>VLOOKUP(C101,#REF!,6,FALSE)</f>
        <v>#REF!</v>
      </c>
      <c r="AQ101" s="24" t="e">
        <f>VLOOKUP(C101,#REF!,7,FALSE)</f>
        <v>#REF!</v>
      </c>
      <c r="AR101" s="24" t="e">
        <f>VLOOKUP(C101,#REF!,12,FALSE)</f>
        <v>#REF!</v>
      </c>
      <c r="AS101" s="24" t="e">
        <f>VLOOKUP(C101,#REF!,13,FALSE)</f>
        <v>#REF!</v>
      </c>
      <c r="AT101" s="100"/>
      <c r="AU101" s="100"/>
      <c r="AV101" s="100">
        <v>91</v>
      </c>
      <c r="AW101" s="100"/>
      <c r="AY101" s="9">
        <v>28300</v>
      </c>
    </row>
    <row r="102" spans="1:51" s="2" customFormat="1" ht="12.75" customHeight="1" x14ac:dyDescent="0.2">
      <c r="A102" s="6" t="s">
        <v>2296</v>
      </c>
      <c r="B102" s="344" t="s">
        <v>2297</v>
      </c>
      <c r="C102" s="6">
        <v>743069</v>
      </c>
      <c r="D102" s="41">
        <v>192</v>
      </c>
      <c r="E102" s="6" t="s">
        <v>2064</v>
      </c>
      <c r="F102" s="6" t="s">
        <v>2298</v>
      </c>
      <c r="G102" s="107">
        <v>46113</v>
      </c>
      <c r="H102" s="108">
        <v>46082</v>
      </c>
      <c r="I102" s="267">
        <v>1983</v>
      </c>
      <c r="J102" s="6" t="s">
        <v>1333</v>
      </c>
      <c r="K102" s="148">
        <v>2474.1</v>
      </c>
      <c r="L102" s="295">
        <v>23900</v>
      </c>
      <c r="M102" s="9">
        <f t="shared" si="78"/>
        <v>1912</v>
      </c>
      <c r="N102" s="9">
        <f t="shared" si="59"/>
        <v>11950</v>
      </c>
      <c r="O102" s="9">
        <f t="shared" si="60"/>
        <v>7563.9</v>
      </c>
      <c r="P102" s="9">
        <f t="shared" si="61"/>
        <v>4386.1000000000004</v>
      </c>
      <c r="Q102" s="109">
        <f t="shared" si="62"/>
        <v>0.63296234309623423</v>
      </c>
      <c r="R102" s="336">
        <v>23900</v>
      </c>
      <c r="S102" s="359" t="s">
        <v>1948</v>
      </c>
      <c r="T102" s="305">
        <v>0.63296234309623423</v>
      </c>
      <c r="U102" s="12"/>
      <c r="V102" s="100"/>
      <c r="W102" s="110">
        <f t="shared" si="63"/>
        <v>23900</v>
      </c>
      <c r="X102" s="110">
        <f t="shared" si="64"/>
        <v>2474.1</v>
      </c>
      <c r="Y102" s="110">
        <f t="shared" si="65"/>
        <v>1912</v>
      </c>
      <c r="Z102" s="110">
        <f t="shared" si="66"/>
        <v>7563.9</v>
      </c>
      <c r="AA102" s="260">
        <f t="shared" si="67"/>
        <v>0.63296234309623423</v>
      </c>
      <c r="AB102" s="28">
        <f t="shared" si="68"/>
        <v>7.9</v>
      </c>
      <c r="AC102" s="261">
        <f t="shared" si="69"/>
        <v>0.63389216508699664</v>
      </c>
      <c r="AD102" s="111">
        <f t="shared" si="70"/>
        <v>3</v>
      </c>
      <c r="AE102" s="262">
        <f t="shared" si="71"/>
        <v>3.5916034729091127E-2</v>
      </c>
      <c r="AF102" s="100"/>
      <c r="AG102" s="111">
        <f t="shared" si="72"/>
        <v>4.8</v>
      </c>
      <c r="AH102" s="262">
        <f t="shared" si="73"/>
        <v>0.39744752170568198</v>
      </c>
      <c r="AI102" s="100"/>
      <c r="AJ102" s="111">
        <f t="shared" si="74"/>
        <v>4.4000000000000004</v>
      </c>
      <c r="AK102" s="262">
        <f t="shared" si="75"/>
        <v>0.34267002367892574</v>
      </c>
      <c r="AL102" s="100"/>
      <c r="AM102" s="111">
        <f t="shared" si="76"/>
        <v>4.0999999999999996</v>
      </c>
      <c r="AN102" s="262">
        <f t="shared" si="77"/>
        <v>0.2945727083383593</v>
      </c>
      <c r="AO102" s="100"/>
      <c r="AP102" s="24" t="e">
        <f>VLOOKUP(C102,#REF!,6,FALSE)</f>
        <v>#REF!</v>
      </c>
      <c r="AQ102" s="24" t="e">
        <f>VLOOKUP(C102,#REF!,7,FALSE)</f>
        <v>#REF!</v>
      </c>
      <c r="AR102" s="24" t="e">
        <f>VLOOKUP(C102,#REF!,12,FALSE)</f>
        <v>#REF!</v>
      </c>
      <c r="AS102" s="24" t="e">
        <f>VLOOKUP(C102,#REF!,13,FALSE)</f>
        <v>#REF!</v>
      </c>
      <c r="AT102" s="100"/>
      <c r="AU102" s="100"/>
      <c r="AV102" s="100">
        <v>92</v>
      </c>
      <c r="AW102" s="100"/>
      <c r="AY102" s="295">
        <v>23900</v>
      </c>
    </row>
    <row r="103" spans="1:51" s="2" customFormat="1" ht="12.75" customHeight="1" x14ac:dyDescent="0.2">
      <c r="A103" s="6" t="s">
        <v>2063</v>
      </c>
      <c r="B103" s="279">
        <v>9789500216326</v>
      </c>
      <c r="C103" s="8">
        <v>730439</v>
      </c>
      <c r="D103" s="41">
        <v>192</v>
      </c>
      <c r="E103" s="6" t="s">
        <v>2064</v>
      </c>
      <c r="F103" s="6" t="s">
        <v>2066</v>
      </c>
      <c r="G103" s="118">
        <v>45809</v>
      </c>
      <c r="H103" s="108">
        <v>45901</v>
      </c>
      <c r="I103" s="264">
        <v>2000</v>
      </c>
      <c r="J103" s="7" t="s">
        <v>1762</v>
      </c>
      <c r="K103" s="148">
        <v>1306.6199999999999</v>
      </c>
      <c r="L103" s="295">
        <v>24500</v>
      </c>
      <c r="M103" s="9">
        <f t="shared" si="78"/>
        <v>1960</v>
      </c>
      <c r="N103" s="9">
        <f t="shared" si="59"/>
        <v>12250</v>
      </c>
      <c r="O103" s="9">
        <f t="shared" si="60"/>
        <v>8983.380000000001</v>
      </c>
      <c r="P103" s="9">
        <f t="shared" si="61"/>
        <v>3266.62</v>
      </c>
      <c r="Q103" s="109">
        <f t="shared" si="62"/>
        <v>0.73333714285714291</v>
      </c>
      <c r="R103" s="336">
        <v>24500</v>
      </c>
      <c r="S103" s="359" t="s">
        <v>1948</v>
      </c>
      <c r="T103" s="305">
        <v>0.73333714285714291</v>
      </c>
      <c r="U103" s="12"/>
      <c r="V103" s="100"/>
      <c r="W103" s="110">
        <f t="shared" si="63"/>
        <v>24500</v>
      </c>
      <c r="X103" s="110">
        <f t="shared" si="64"/>
        <v>1306.6199999999999</v>
      </c>
      <c r="Y103" s="110">
        <f t="shared" si="65"/>
        <v>1960</v>
      </c>
      <c r="Z103" s="110">
        <f t="shared" si="66"/>
        <v>8983.380000000001</v>
      </c>
      <c r="AA103" s="260">
        <f t="shared" si="67"/>
        <v>0.73333714285714291</v>
      </c>
      <c r="AB103" s="28">
        <f t="shared" si="68"/>
        <v>8.1</v>
      </c>
      <c r="AC103" s="261">
        <f t="shared" si="69"/>
        <v>0.73406764276090564</v>
      </c>
      <c r="AD103" s="111">
        <f t="shared" si="70"/>
        <v>2.2999999999999998</v>
      </c>
      <c r="AE103" s="262">
        <f t="shared" si="71"/>
        <v>6.3455611462320261E-2</v>
      </c>
      <c r="AF103" s="100"/>
      <c r="AG103" s="111">
        <f t="shared" si="72"/>
        <v>3.6</v>
      </c>
      <c r="AH103" s="262">
        <f t="shared" si="73"/>
        <v>0.40165219621203802</v>
      </c>
      <c r="AI103" s="100"/>
      <c r="AJ103" s="111">
        <f t="shared" si="74"/>
        <v>3.3</v>
      </c>
      <c r="AK103" s="262">
        <f t="shared" si="75"/>
        <v>0.34725694132222323</v>
      </c>
      <c r="AL103" s="100"/>
      <c r="AM103" s="111">
        <f t="shared" si="76"/>
        <v>3.1</v>
      </c>
      <c r="AN103" s="262">
        <f t="shared" si="77"/>
        <v>0.30514448592365706</v>
      </c>
      <c r="AO103" s="100"/>
      <c r="AP103" s="24" t="e">
        <f>VLOOKUP(C103,#REF!,6,FALSE)</f>
        <v>#REF!</v>
      </c>
      <c r="AQ103" s="24" t="e">
        <f>VLOOKUP(C103,#REF!,7,FALSE)</f>
        <v>#REF!</v>
      </c>
      <c r="AR103" s="24" t="e">
        <f>VLOOKUP(C103,#REF!,12,FALSE)</f>
        <v>#REF!</v>
      </c>
      <c r="AS103" s="24" t="e">
        <f>VLOOKUP(C103,#REF!,13,FALSE)</f>
        <v>#REF!</v>
      </c>
      <c r="AT103" s="100"/>
      <c r="AU103" s="100"/>
      <c r="AV103" s="100">
        <v>93</v>
      </c>
      <c r="AW103" s="100"/>
      <c r="AY103" s="295">
        <v>24500</v>
      </c>
    </row>
    <row r="104" spans="1:51" s="2" customFormat="1" ht="12.75" customHeight="1" x14ac:dyDescent="0.2">
      <c r="A104" s="6" t="s">
        <v>2021</v>
      </c>
      <c r="B104" s="279">
        <v>9789500216081</v>
      </c>
      <c r="C104" s="6">
        <v>728155</v>
      </c>
      <c r="D104" s="41">
        <v>208</v>
      </c>
      <c r="E104" s="8" t="s">
        <v>2022</v>
      </c>
      <c r="F104" s="6" t="s">
        <v>2023</v>
      </c>
      <c r="G104" s="107">
        <v>45748</v>
      </c>
      <c r="H104" s="108">
        <v>45717</v>
      </c>
      <c r="I104" s="264">
        <v>3531</v>
      </c>
      <c r="J104" s="28" t="s">
        <v>2136</v>
      </c>
      <c r="K104" s="292">
        <v>1959.06</v>
      </c>
      <c r="L104" s="9">
        <v>28300</v>
      </c>
      <c r="M104" s="9">
        <f t="shared" si="78"/>
        <v>2264</v>
      </c>
      <c r="N104" s="9">
        <f t="shared" si="59"/>
        <v>14150</v>
      </c>
      <c r="O104" s="9">
        <f t="shared" si="60"/>
        <v>9926.94</v>
      </c>
      <c r="P104" s="9">
        <f t="shared" si="61"/>
        <v>4223.0599999999995</v>
      </c>
      <c r="Q104" s="109">
        <f t="shared" si="62"/>
        <v>0.70155053003533574</v>
      </c>
      <c r="R104" s="336">
        <v>28300</v>
      </c>
      <c r="S104" s="359" t="s">
        <v>1948</v>
      </c>
      <c r="T104" s="305">
        <v>0.70155053003533574</v>
      </c>
      <c r="U104" s="12"/>
      <c r="V104" s="100"/>
      <c r="W104" s="110">
        <f t="shared" si="63"/>
        <v>28300</v>
      </c>
      <c r="X104" s="110">
        <f t="shared" si="64"/>
        <v>1959.06</v>
      </c>
      <c r="Y104" s="110">
        <f t="shared" si="65"/>
        <v>2264</v>
      </c>
      <c r="Z104" s="110">
        <f t="shared" si="66"/>
        <v>9926.94</v>
      </c>
      <c r="AA104" s="260">
        <f t="shared" si="67"/>
        <v>0.70155053003533574</v>
      </c>
      <c r="AB104" s="28">
        <f t="shared" si="68"/>
        <v>9.3000000000000007</v>
      </c>
      <c r="AC104" s="261">
        <f t="shared" si="69"/>
        <v>0.70056546447854962</v>
      </c>
      <c r="AD104" s="111">
        <f t="shared" si="70"/>
        <v>2.9</v>
      </c>
      <c r="AE104" s="262">
        <f t="shared" si="71"/>
        <v>3.9744420569141632E-2</v>
      </c>
      <c r="AF104" s="100"/>
      <c r="AG104" s="111">
        <f t="shared" si="72"/>
        <v>4.5999999999999996</v>
      </c>
      <c r="AH104" s="262">
        <f t="shared" si="73"/>
        <v>0.39462148253271984</v>
      </c>
      <c r="AI104" s="100"/>
      <c r="AJ104" s="111">
        <f t="shared" si="74"/>
        <v>4.3</v>
      </c>
      <c r="AK104" s="262">
        <f t="shared" si="75"/>
        <v>0.3523857720117467</v>
      </c>
      <c r="AL104" s="100"/>
      <c r="AM104" s="111">
        <f t="shared" si="76"/>
        <v>4</v>
      </c>
      <c r="AN104" s="262">
        <f t="shared" si="77"/>
        <v>0.30381470491262785</v>
      </c>
      <c r="AO104" s="100"/>
      <c r="AP104" s="24" t="e">
        <f>VLOOKUP(C104,#REF!,6,FALSE)</f>
        <v>#REF!</v>
      </c>
      <c r="AQ104" s="24" t="e">
        <f>VLOOKUP(C104,#REF!,7,FALSE)</f>
        <v>#REF!</v>
      </c>
      <c r="AR104" s="24" t="e">
        <f>VLOOKUP(C104,#REF!,12,FALSE)</f>
        <v>#REF!</v>
      </c>
      <c r="AS104" s="24" t="e">
        <f>VLOOKUP(C104,#REF!,13,FALSE)</f>
        <v>#REF!</v>
      </c>
      <c r="AT104" s="100"/>
      <c r="AU104" s="100"/>
      <c r="AV104" s="100">
        <v>94</v>
      </c>
      <c r="AW104" s="100"/>
      <c r="AY104" s="9">
        <v>28300</v>
      </c>
    </row>
    <row r="105" spans="1:51" s="2" customFormat="1" ht="12.75" customHeight="1" x14ac:dyDescent="0.2">
      <c r="A105" s="6" t="s">
        <v>1961</v>
      </c>
      <c r="B105" s="8">
        <v>9789500215800</v>
      </c>
      <c r="C105" s="6">
        <v>725161</v>
      </c>
      <c r="D105" s="239">
        <v>256</v>
      </c>
      <c r="E105" s="288" t="s">
        <v>1962</v>
      </c>
      <c r="F105" s="6" t="s">
        <v>1963</v>
      </c>
      <c r="G105" s="107">
        <v>45658</v>
      </c>
      <c r="H105" s="108">
        <v>45627</v>
      </c>
      <c r="I105" s="264">
        <v>3566</v>
      </c>
      <c r="J105" s="28" t="s">
        <v>2136</v>
      </c>
      <c r="K105" s="148">
        <v>1341.76</v>
      </c>
      <c r="L105" s="9">
        <v>30300</v>
      </c>
      <c r="M105" s="112">
        <f t="shared" si="78"/>
        <v>2424</v>
      </c>
      <c r="N105" s="9">
        <f t="shared" si="59"/>
        <v>15150</v>
      </c>
      <c r="O105" s="9">
        <f t="shared" si="60"/>
        <v>11384.24</v>
      </c>
      <c r="P105" s="9">
        <f t="shared" si="61"/>
        <v>3765.76</v>
      </c>
      <c r="Q105" s="139">
        <f t="shared" si="62"/>
        <v>0.75143498349834981</v>
      </c>
      <c r="R105" s="335">
        <v>30300</v>
      </c>
      <c r="S105" s="359" t="s">
        <v>1948</v>
      </c>
      <c r="T105" s="305">
        <v>0.75143498349834981</v>
      </c>
      <c r="U105" s="6"/>
      <c r="V105" s="100"/>
      <c r="W105" s="110">
        <f t="shared" si="63"/>
        <v>30300</v>
      </c>
      <c r="X105" s="110">
        <f t="shared" si="64"/>
        <v>1341.76</v>
      </c>
      <c r="Y105" s="110">
        <f t="shared" si="65"/>
        <v>2424</v>
      </c>
      <c r="Z105" s="110">
        <f t="shared" si="66"/>
        <v>11384.24</v>
      </c>
      <c r="AA105" s="260">
        <f t="shared" si="67"/>
        <v>0.75143498349834981</v>
      </c>
      <c r="AB105" s="28">
        <f t="shared" si="68"/>
        <v>10</v>
      </c>
      <c r="AC105" s="261">
        <f t="shared" si="69"/>
        <v>0.75168084404879654</v>
      </c>
      <c r="AD105" s="111">
        <f t="shared" si="70"/>
        <v>2.6</v>
      </c>
      <c r="AE105" s="262">
        <f t="shared" si="71"/>
        <v>4.4926323264602282E-2</v>
      </c>
      <c r="AF105" s="100"/>
      <c r="AG105" s="111">
        <f t="shared" si="72"/>
        <v>4.0999999999999996</v>
      </c>
      <c r="AH105" s="262">
        <f t="shared" si="73"/>
        <v>0.39434352207023549</v>
      </c>
      <c r="AI105" s="100"/>
      <c r="AJ105" s="111">
        <f t="shared" si="74"/>
        <v>3.8</v>
      </c>
      <c r="AK105" s="262">
        <f t="shared" si="75"/>
        <v>0.34652853697051722</v>
      </c>
      <c r="AL105" s="100"/>
      <c r="AM105" s="111">
        <f t="shared" si="76"/>
        <v>3.5</v>
      </c>
      <c r="AN105" s="262">
        <f t="shared" si="77"/>
        <v>0.29051669728227586</v>
      </c>
      <c r="AO105" s="100"/>
      <c r="AP105" s="24" t="e">
        <f>VLOOKUP(C105,#REF!,6,FALSE)</f>
        <v>#REF!</v>
      </c>
      <c r="AQ105" s="24" t="e">
        <f>VLOOKUP(C105,#REF!,7,FALSE)</f>
        <v>#REF!</v>
      </c>
      <c r="AR105" s="24" t="e">
        <f>VLOOKUP(C105,#REF!,12,FALSE)</f>
        <v>#REF!</v>
      </c>
      <c r="AS105" s="24" t="e">
        <f>VLOOKUP(C105,#REF!,13,FALSE)</f>
        <v>#REF!</v>
      </c>
      <c r="AT105" s="100"/>
      <c r="AU105" s="100"/>
      <c r="AV105" s="100">
        <v>95</v>
      </c>
      <c r="AW105" s="100"/>
      <c r="AY105" s="9">
        <v>30300</v>
      </c>
    </row>
    <row r="106" spans="1:51" s="2" customFormat="1" ht="12.75" customHeight="1" x14ac:dyDescent="0.2">
      <c r="A106" s="7" t="s">
        <v>1944</v>
      </c>
      <c r="B106" s="279">
        <v>9789500215688</v>
      </c>
      <c r="C106" s="8">
        <v>722604</v>
      </c>
      <c r="D106" s="25">
        <v>232</v>
      </c>
      <c r="E106" s="7" t="s">
        <v>582</v>
      </c>
      <c r="F106" s="278" t="s">
        <v>1949</v>
      </c>
      <c r="G106" s="107">
        <v>45597</v>
      </c>
      <c r="H106" s="108">
        <v>45717</v>
      </c>
      <c r="I106" s="293">
        <v>2080</v>
      </c>
      <c r="J106" s="8" t="s">
        <v>2136</v>
      </c>
      <c r="K106" s="148">
        <v>1685.94</v>
      </c>
      <c r="L106" s="295">
        <v>30300</v>
      </c>
      <c r="M106" s="112">
        <f>+L106*0.1</f>
        <v>3030</v>
      </c>
      <c r="N106" s="9">
        <f t="shared" si="59"/>
        <v>15150</v>
      </c>
      <c r="O106" s="9">
        <f t="shared" si="60"/>
        <v>10434.06</v>
      </c>
      <c r="P106" s="9">
        <f t="shared" si="61"/>
        <v>4715.9400000000005</v>
      </c>
      <c r="Q106" s="139">
        <f t="shared" si="62"/>
        <v>0.68871683168316833</v>
      </c>
      <c r="R106" s="336">
        <v>30300</v>
      </c>
      <c r="S106" s="359" t="s">
        <v>1948</v>
      </c>
      <c r="T106" s="305">
        <v>0.68871683168316833</v>
      </c>
      <c r="U106" s="6"/>
      <c r="V106" s="100"/>
      <c r="W106" s="110">
        <f t="shared" si="63"/>
        <v>30300</v>
      </c>
      <c r="X106" s="110">
        <f t="shared" si="64"/>
        <v>1685.94</v>
      </c>
      <c r="Y106" s="110">
        <f t="shared" si="65"/>
        <v>3030</v>
      </c>
      <c r="Z106" s="110">
        <f t="shared" si="66"/>
        <v>10434.06</v>
      </c>
      <c r="AA106" s="260">
        <f t="shared" si="67"/>
        <v>0.68871683168316833</v>
      </c>
      <c r="AB106" s="28">
        <f t="shared" si="68"/>
        <v>10</v>
      </c>
      <c r="AC106" s="261">
        <f t="shared" si="69"/>
        <v>0.68902472799208703</v>
      </c>
      <c r="AD106" s="111">
        <f t="shared" si="70"/>
        <v>3.3</v>
      </c>
      <c r="AE106" s="262">
        <f t="shared" si="71"/>
        <v>5.7650690885112203E-2</v>
      </c>
      <c r="AF106" s="100"/>
      <c r="AG106" s="111">
        <f t="shared" si="72"/>
        <v>5.2</v>
      </c>
      <c r="AH106" s="262">
        <f t="shared" si="73"/>
        <v>0.40197063075401362</v>
      </c>
      <c r="AI106" s="100"/>
      <c r="AJ106" s="111">
        <f t="shared" si="74"/>
        <v>4.8</v>
      </c>
      <c r="AK106" s="262">
        <f t="shared" si="75"/>
        <v>0.35213484998351469</v>
      </c>
      <c r="AL106" s="100"/>
      <c r="AM106" s="111">
        <f t="shared" si="76"/>
        <v>4.4000000000000004</v>
      </c>
      <c r="AN106" s="262">
        <f t="shared" si="77"/>
        <v>0.29323801816383416</v>
      </c>
      <c r="AO106" s="100"/>
      <c r="AP106" s="24" t="e">
        <f>VLOOKUP(C106,#REF!,6,FALSE)</f>
        <v>#REF!</v>
      </c>
      <c r="AQ106" s="24" t="e">
        <f>VLOOKUP(C106,#REF!,7,FALSE)</f>
        <v>#REF!</v>
      </c>
      <c r="AR106" s="24" t="e">
        <f>VLOOKUP(C106,#REF!,12,FALSE)</f>
        <v>#REF!</v>
      </c>
      <c r="AS106" s="24" t="e">
        <f>VLOOKUP(C106,#REF!,13,FALSE)</f>
        <v>#REF!</v>
      </c>
      <c r="AT106" s="100"/>
      <c r="AU106" s="100"/>
      <c r="AV106" s="100">
        <v>96</v>
      </c>
      <c r="AW106" s="100"/>
      <c r="AY106" s="295">
        <v>30300</v>
      </c>
    </row>
    <row r="107" spans="1:51" s="2" customFormat="1" ht="12.75" customHeight="1" x14ac:dyDescent="0.2">
      <c r="A107" s="7" t="s">
        <v>1902</v>
      </c>
      <c r="B107" s="8">
        <v>9789500215459</v>
      </c>
      <c r="C107" s="8">
        <v>719963</v>
      </c>
      <c r="D107" s="25">
        <v>368</v>
      </c>
      <c r="E107" s="6" t="s">
        <v>1903</v>
      </c>
      <c r="F107" s="25" t="s">
        <v>1896</v>
      </c>
      <c r="G107" s="107">
        <v>45536</v>
      </c>
      <c r="H107" s="108">
        <v>45505</v>
      </c>
      <c r="I107" s="267">
        <v>3051</v>
      </c>
      <c r="J107" s="128" t="s">
        <v>2136</v>
      </c>
      <c r="K107" s="148">
        <v>2969.61</v>
      </c>
      <c r="L107" s="9">
        <v>29900</v>
      </c>
      <c r="M107" s="112">
        <f>+L107*0.08</f>
        <v>2392</v>
      </c>
      <c r="N107" s="9">
        <f t="shared" si="59"/>
        <v>14950</v>
      </c>
      <c r="O107" s="9">
        <f t="shared" si="60"/>
        <v>9588.39</v>
      </c>
      <c r="P107" s="9">
        <f t="shared" si="61"/>
        <v>5361.6100000000006</v>
      </c>
      <c r="Q107" s="139">
        <f t="shared" si="62"/>
        <v>0.64136387959866215</v>
      </c>
      <c r="R107" s="336">
        <v>29900</v>
      </c>
      <c r="S107" s="359" t="s">
        <v>1948</v>
      </c>
      <c r="T107" s="305">
        <v>0.64136387959866215</v>
      </c>
      <c r="U107" s="6"/>
      <c r="V107" s="100"/>
      <c r="W107" s="110">
        <f t="shared" si="63"/>
        <v>29900</v>
      </c>
      <c r="X107" s="110">
        <f t="shared" si="64"/>
        <v>2969.61</v>
      </c>
      <c r="Y107" s="110">
        <f t="shared" si="65"/>
        <v>2392</v>
      </c>
      <c r="Z107" s="110">
        <f t="shared" si="66"/>
        <v>9588.39</v>
      </c>
      <c r="AA107" s="260">
        <f t="shared" si="67"/>
        <v>0.64136387959866215</v>
      </c>
      <c r="AB107" s="28">
        <f t="shared" si="68"/>
        <v>9.9</v>
      </c>
      <c r="AC107" s="261">
        <f t="shared" si="69"/>
        <v>0.64287717264967514</v>
      </c>
      <c r="AD107" s="111">
        <f t="shared" si="70"/>
        <v>3.7</v>
      </c>
      <c r="AE107" s="262">
        <f t="shared" si="71"/>
        <v>4.4455137630211826E-2</v>
      </c>
      <c r="AF107" s="100"/>
      <c r="AG107" s="111">
        <f t="shared" si="72"/>
        <v>5.9</v>
      </c>
      <c r="AH107" s="262">
        <f t="shared" si="73"/>
        <v>0.40076000156470909</v>
      </c>
      <c r="AI107" s="100"/>
      <c r="AJ107" s="111">
        <f t="shared" si="74"/>
        <v>5.4</v>
      </c>
      <c r="AK107" s="262">
        <f t="shared" si="75"/>
        <v>0.34527481652440434</v>
      </c>
      <c r="AL107" s="100"/>
      <c r="AM107" s="111">
        <f t="shared" si="76"/>
        <v>5.0999999999999996</v>
      </c>
      <c r="AN107" s="262">
        <f t="shared" si="77"/>
        <v>0.30676157043760455</v>
      </c>
      <c r="AO107" s="100"/>
      <c r="AP107" s="24" t="e">
        <f>VLOOKUP(C107,#REF!,6,FALSE)</f>
        <v>#REF!</v>
      </c>
      <c r="AQ107" s="24" t="e">
        <f>VLOOKUP(C107,#REF!,7,FALSE)</f>
        <v>#REF!</v>
      </c>
      <c r="AR107" s="24" t="e">
        <f>VLOOKUP(C107,#REF!,12,FALSE)</f>
        <v>#REF!</v>
      </c>
      <c r="AS107" s="24" t="e">
        <f>VLOOKUP(C107,#REF!,13,FALSE)</f>
        <v>#REF!</v>
      </c>
      <c r="AT107" s="100"/>
      <c r="AU107" s="100"/>
      <c r="AV107" s="100">
        <v>97</v>
      </c>
      <c r="AW107" s="100"/>
      <c r="AY107" s="9">
        <v>29900</v>
      </c>
    </row>
    <row r="108" spans="1:51" s="2" customFormat="1" ht="12.75" customHeight="1" x14ac:dyDescent="0.2">
      <c r="A108" s="6" t="s">
        <v>1836</v>
      </c>
      <c r="B108" s="8">
        <v>9789500215152</v>
      </c>
      <c r="C108" s="8">
        <v>716993</v>
      </c>
      <c r="D108" s="41">
        <v>256</v>
      </c>
      <c r="E108" s="7" t="s">
        <v>1837</v>
      </c>
      <c r="F108" s="7" t="s">
        <v>1838</v>
      </c>
      <c r="G108" s="107">
        <v>45444</v>
      </c>
      <c r="H108" s="108">
        <v>45413</v>
      </c>
      <c r="I108" s="264">
        <v>3126</v>
      </c>
      <c r="J108" s="28" t="s">
        <v>2136</v>
      </c>
      <c r="K108" s="148">
        <v>1983.18</v>
      </c>
      <c r="L108" s="9">
        <v>26200</v>
      </c>
      <c r="M108" s="112">
        <f>+L108*0.08</f>
        <v>2096</v>
      </c>
      <c r="N108" s="9">
        <f t="shared" si="59"/>
        <v>13100</v>
      </c>
      <c r="O108" s="9">
        <f t="shared" si="60"/>
        <v>9020.82</v>
      </c>
      <c r="P108" s="9">
        <f t="shared" si="61"/>
        <v>4079.1800000000003</v>
      </c>
      <c r="Q108" s="139">
        <f t="shared" si="62"/>
        <v>0.688612213740458</v>
      </c>
      <c r="R108" s="336">
        <v>26200</v>
      </c>
      <c r="S108" s="359" t="s">
        <v>1948</v>
      </c>
      <c r="T108" s="305">
        <v>0.688612213740458</v>
      </c>
      <c r="U108" s="6"/>
      <c r="V108" s="100"/>
      <c r="W108" s="110">
        <f t="shared" si="63"/>
        <v>26200</v>
      </c>
      <c r="X108" s="110">
        <f t="shared" si="64"/>
        <v>1983.18</v>
      </c>
      <c r="Y108" s="110">
        <f t="shared" si="65"/>
        <v>2096</v>
      </c>
      <c r="Z108" s="110">
        <f t="shared" si="66"/>
        <v>9020.82</v>
      </c>
      <c r="AA108" s="260">
        <f t="shared" si="67"/>
        <v>0.688612213740458</v>
      </c>
      <c r="AB108" s="28">
        <f t="shared" si="68"/>
        <v>8.6</v>
      </c>
      <c r="AC108" s="261">
        <f t="shared" si="69"/>
        <v>0.68722502089419479</v>
      </c>
      <c r="AD108" s="111">
        <f t="shared" si="70"/>
        <v>2.8</v>
      </c>
      <c r="AE108" s="262">
        <f t="shared" si="71"/>
        <v>3.9333992746455541E-2</v>
      </c>
      <c r="AF108" s="100"/>
      <c r="AG108" s="111">
        <f t="shared" si="72"/>
        <v>4.5</v>
      </c>
      <c r="AH108" s="262">
        <f t="shared" si="73"/>
        <v>0.40225226215335014</v>
      </c>
      <c r="AI108" s="100"/>
      <c r="AJ108" s="111">
        <f t="shared" si="74"/>
        <v>4.0999999999999996</v>
      </c>
      <c r="AK108" s="262">
        <f t="shared" si="75"/>
        <v>0.34393540968050623</v>
      </c>
      <c r="AL108" s="100"/>
      <c r="AM108" s="111">
        <f t="shared" si="76"/>
        <v>3.8</v>
      </c>
      <c r="AN108" s="262">
        <f t="shared" si="77"/>
        <v>0.2921408367605462</v>
      </c>
      <c r="AO108" s="100"/>
      <c r="AP108" s="24" t="e">
        <f>VLOOKUP(C108,#REF!,6,FALSE)</f>
        <v>#REF!</v>
      </c>
      <c r="AQ108" s="24" t="e">
        <f>VLOOKUP(C108,#REF!,7,FALSE)</f>
        <v>#REF!</v>
      </c>
      <c r="AR108" s="24" t="e">
        <f>VLOOKUP(C108,#REF!,12,FALSE)</f>
        <v>#REF!</v>
      </c>
      <c r="AS108" s="24" t="e">
        <f>VLOOKUP(C108,#REF!,13,FALSE)</f>
        <v>#REF!</v>
      </c>
      <c r="AT108" s="100"/>
      <c r="AU108" s="100"/>
      <c r="AV108" s="100">
        <v>98</v>
      </c>
      <c r="AW108" s="100"/>
      <c r="AY108" s="9">
        <v>26200</v>
      </c>
    </row>
    <row r="109" spans="1:51" s="27" customFormat="1" ht="12.75" customHeight="1" x14ac:dyDescent="0.2">
      <c r="A109" s="6" t="s">
        <v>888</v>
      </c>
      <c r="B109" s="8">
        <v>9789500214780</v>
      </c>
      <c r="C109" s="8">
        <v>713924</v>
      </c>
      <c r="D109" s="41">
        <v>384</v>
      </c>
      <c r="E109" s="7" t="s">
        <v>889</v>
      </c>
      <c r="F109" s="7" t="s">
        <v>879</v>
      </c>
      <c r="G109" s="107">
        <v>45352</v>
      </c>
      <c r="H109" s="108">
        <v>45323</v>
      </c>
      <c r="I109" s="7">
        <v>2010</v>
      </c>
      <c r="J109" s="28" t="s">
        <v>2136</v>
      </c>
      <c r="K109" s="148">
        <v>2678.63</v>
      </c>
      <c r="L109" s="35">
        <v>33200</v>
      </c>
      <c r="M109" s="112">
        <f>+L109*0.08</f>
        <v>2656</v>
      </c>
      <c r="N109" s="9">
        <f t="shared" si="59"/>
        <v>16600</v>
      </c>
      <c r="O109" s="9">
        <f t="shared" si="60"/>
        <v>11265.369999999999</v>
      </c>
      <c r="P109" s="9">
        <f t="shared" si="61"/>
        <v>5334.63</v>
      </c>
      <c r="Q109" s="139">
        <f t="shared" si="62"/>
        <v>0.67863674698795173</v>
      </c>
      <c r="R109" s="336">
        <v>33200</v>
      </c>
      <c r="S109" s="359" t="s">
        <v>1948</v>
      </c>
      <c r="T109" s="305">
        <v>0.67863674698795173</v>
      </c>
      <c r="U109" s="6"/>
      <c r="V109" s="100"/>
      <c r="W109" s="110">
        <f t="shared" si="63"/>
        <v>33200</v>
      </c>
      <c r="X109" s="110">
        <f t="shared" si="64"/>
        <v>2678.63</v>
      </c>
      <c r="Y109" s="110">
        <f t="shared" si="65"/>
        <v>2656</v>
      </c>
      <c r="Z109" s="110">
        <f t="shared" si="66"/>
        <v>11265.369999999999</v>
      </c>
      <c r="AA109" s="260">
        <f t="shared" si="67"/>
        <v>0.67863674698795173</v>
      </c>
      <c r="AB109" s="28">
        <f t="shared" si="68"/>
        <v>10.9</v>
      </c>
      <c r="AC109" s="261">
        <f t="shared" si="69"/>
        <v>0.67727293351119333</v>
      </c>
      <c r="AD109" s="111">
        <f t="shared" si="70"/>
        <v>3.7</v>
      </c>
      <c r="AE109" s="262">
        <f t="shared" si="71"/>
        <v>4.9263506830272419E-2</v>
      </c>
      <c r="AF109" s="100"/>
      <c r="AG109" s="111">
        <f t="shared" si="72"/>
        <v>5.9</v>
      </c>
      <c r="AH109" s="262">
        <f t="shared" si="73"/>
        <v>0.40377541953762847</v>
      </c>
      <c r="AI109" s="100"/>
      <c r="AJ109" s="111">
        <f t="shared" si="74"/>
        <v>5.4</v>
      </c>
      <c r="AK109" s="262">
        <f t="shared" si="75"/>
        <v>0.34856943986518668</v>
      </c>
      <c r="AL109" s="100"/>
      <c r="AM109" s="111">
        <f t="shared" si="76"/>
        <v>5</v>
      </c>
      <c r="AN109" s="262">
        <f t="shared" si="77"/>
        <v>0.29645499505440159</v>
      </c>
      <c r="AO109" s="100"/>
      <c r="AP109" s="24" t="e">
        <f>VLOOKUP(C109,#REF!,6,FALSE)</f>
        <v>#REF!</v>
      </c>
      <c r="AQ109" s="24" t="e">
        <f>VLOOKUP(C109,#REF!,7,FALSE)</f>
        <v>#REF!</v>
      </c>
      <c r="AR109" s="24" t="e">
        <f>VLOOKUP(C109,#REF!,12,FALSE)</f>
        <v>#REF!</v>
      </c>
      <c r="AS109" s="24" t="e">
        <f>VLOOKUP(C109,#REF!,13,FALSE)</f>
        <v>#REF!</v>
      </c>
      <c r="AT109" s="100"/>
      <c r="AU109" s="100"/>
      <c r="AV109" s="100">
        <v>99</v>
      </c>
      <c r="AW109" s="100"/>
      <c r="AY109" s="35">
        <v>33200</v>
      </c>
    </row>
    <row r="110" spans="1:51" s="27" customFormat="1" ht="12.75" customHeight="1" x14ac:dyDescent="0.2">
      <c r="A110" s="36" t="s">
        <v>1038</v>
      </c>
      <c r="B110" s="37">
        <v>9789500214742</v>
      </c>
      <c r="C110" s="37">
        <v>713081</v>
      </c>
      <c r="D110" s="149">
        <v>368</v>
      </c>
      <c r="E110" s="38" t="s">
        <v>875</v>
      </c>
      <c r="F110" s="38" t="s">
        <v>873</v>
      </c>
      <c r="G110" s="107">
        <v>45292</v>
      </c>
      <c r="H110" s="108">
        <v>45474</v>
      </c>
      <c r="I110" s="267">
        <v>2093</v>
      </c>
      <c r="J110" s="128" t="s">
        <v>2136</v>
      </c>
      <c r="K110" s="9">
        <v>2533.4699999999998</v>
      </c>
      <c r="L110" s="9">
        <v>29600</v>
      </c>
      <c r="M110" s="112">
        <f>+L110*0.08</f>
        <v>2368</v>
      </c>
      <c r="N110" s="9">
        <f t="shared" si="59"/>
        <v>14800</v>
      </c>
      <c r="O110" s="9">
        <f t="shared" si="60"/>
        <v>9898.5300000000007</v>
      </c>
      <c r="P110" s="9">
        <f t="shared" si="61"/>
        <v>4901.4699999999993</v>
      </c>
      <c r="Q110" s="139">
        <f t="shared" si="62"/>
        <v>0.66881959459459461</v>
      </c>
      <c r="R110" s="336">
        <v>29600</v>
      </c>
      <c r="S110" s="359" t="s">
        <v>1948</v>
      </c>
      <c r="T110" s="305">
        <v>0.66881959459459461</v>
      </c>
      <c r="U110" s="36"/>
      <c r="V110" s="100"/>
      <c r="W110" s="110">
        <f t="shared" si="63"/>
        <v>29600</v>
      </c>
      <c r="X110" s="110">
        <f t="shared" si="64"/>
        <v>2533.4699999999998</v>
      </c>
      <c r="Y110" s="110">
        <f t="shared" si="65"/>
        <v>2368</v>
      </c>
      <c r="Z110" s="110">
        <f t="shared" si="66"/>
        <v>9898.5300000000007</v>
      </c>
      <c r="AA110" s="260">
        <f t="shared" si="67"/>
        <v>0.66881959459459461</v>
      </c>
      <c r="AB110" s="28">
        <f t="shared" si="68"/>
        <v>9.8000000000000007</v>
      </c>
      <c r="AC110" s="261">
        <f t="shared" si="69"/>
        <v>0.67019452687108483</v>
      </c>
      <c r="AD110" s="111">
        <f t="shared" si="70"/>
        <v>3.4</v>
      </c>
      <c r="AE110" s="262">
        <f t="shared" si="71"/>
        <v>4.9384224510773587E-2</v>
      </c>
      <c r="AF110" s="100"/>
      <c r="AG110" s="111">
        <f t="shared" si="72"/>
        <v>5.4</v>
      </c>
      <c r="AH110" s="262">
        <f t="shared" si="73"/>
        <v>0.40146414135863534</v>
      </c>
      <c r="AI110" s="100"/>
      <c r="AJ110" s="111">
        <f t="shared" si="74"/>
        <v>5</v>
      </c>
      <c r="AK110" s="262">
        <f t="shared" si="75"/>
        <v>0.35358127266732614</v>
      </c>
      <c r="AL110" s="100"/>
      <c r="AM110" s="111">
        <f t="shared" si="76"/>
        <v>4.5999999999999996</v>
      </c>
      <c r="AN110" s="262">
        <f t="shared" si="77"/>
        <v>0.29737094855144147</v>
      </c>
      <c r="AO110" s="100"/>
      <c r="AP110" s="24" t="e">
        <f>VLOOKUP(C110,#REF!,6,FALSE)</f>
        <v>#REF!</v>
      </c>
      <c r="AQ110" s="24" t="e">
        <f>VLOOKUP(C110,#REF!,7,FALSE)</f>
        <v>#REF!</v>
      </c>
      <c r="AR110" s="24" t="e">
        <f>VLOOKUP(C110,#REF!,12,FALSE)</f>
        <v>#REF!</v>
      </c>
      <c r="AS110" s="24" t="e">
        <f>VLOOKUP(C110,#REF!,13,FALSE)</f>
        <v>#REF!</v>
      </c>
      <c r="AT110" s="100"/>
      <c r="AU110" s="100"/>
      <c r="AV110" s="100">
        <v>100</v>
      </c>
      <c r="AW110" s="100"/>
      <c r="AY110" s="9">
        <v>29600</v>
      </c>
    </row>
    <row r="111" spans="1:51" s="27" customFormat="1" ht="12.75" customHeight="1" x14ac:dyDescent="0.2">
      <c r="A111" s="6" t="s">
        <v>2048</v>
      </c>
      <c r="B111" s="279">
        <v>9789500216180</v>
      </c>
      <c r="C111" s="6">
        <v>729380</v>
      </c>
      <c r="D111" s="41">
        <v>144</v>
      </c>
      <c r="E111" s="6" t="s">
        <v>2049</v>
      </c>
      <c r="F111" s="8" t="s">
        <v>2050</v>
      </c>
      <c r="G111" s="108">
        <v>45778</v>
      </c>
      <c r="H111" s="108">
        <v>45748</v>
      </c>
      <c r="I111" s="293">
        <v>4135</v>
      </c>
      <c r="J111" s="176" t="s">
        <v>1333</v>
      </c>
      <c r="K111" s="148">
        <v>1753.98</v>
      </c>
      <c r="L111" s="295">
        <v>26900</v>
      </c>
      <c r="M111" s="112">
        <f>+L111*0.08</f>
        <v>2152</v>
      </c>
      <c r="N111" s="9">
        <f t="shared" si="59"/>
        <v>13450</v>
      </c>
      <c r="O111" s="9">
        <f t="shared" si="60"/>
        <v>9544.02</v>
      </c>
      <c r="P111" s="9">
        <f t="shared" si="61"/>
        <v>3905.98</v>
      </c>
      <c r="Q111" s="139">
        <f t="shared" si="62"/>
        <v>0.70959256505576207</v>
      </c>
      <c r="R111" s="335">
        <v>26900</v>
      </c>
      <c r="S111" s="359" t="s">
        <v>1948</v>
      </c>
      <c r="T111" s="305">
        <v>0.70959256505576207</v>
      </c>
      <c r="U111" s="6"/>
      <c r="V111" s="100"/>
      <c r="W111" s="110">
        <f t="shared" si="63"/>
        <v>26900</v>
      </c>
      <c r="X111" s="110">
        <f t="shared" si="64"/>
        <v>1753.98</v>
      </c>
      <c r="Y111" s="110">
        <f t="shared" si="65"/>
        <v>2152</v>
      </c>
      <c r="Z111" s="110">
        <f t="shared" si="66"/>
        <v>9544.02</v>
      </c>
      <c r="AA111" s="260">
        <f t="shared" si="67"/>
        <v>0.70959256505576207</v>
      </c>
      <c r="AB111" s="28">
        <f t="shared" si="68"/>
        <v>8.9</v>
      </c>
      <c r="AC111" s="261">
        <f t="shared" si="69"/>
        <v>0.71060062162652771</v>
      </c>
      <c r="AD111" s="111">
        <f t="shared" si="70"/>
        <v>2.7</v>
      </c>
      <c r="AE111" s="262">
        <f t="shared" si="71"/>
        <v>4.6053900917072732E-2</v>
      </c>
      <c r="AF111" s="100"/>
      <c r="AG111" s="111">
        <f t="shared" si="72"/>
        <v>4.3</v>
      </c>
      <c r="AH111" s="262">
        <f t="shared" si="73"/>
        <v>0.40101058894792929</v>
      </c>
      <c r="AI111" s="100"/>
      <c r="AJ111" s="111">
        <f t="shared" si="74"/>
        <v>4</v>
      </c>
      <c r="AK111" s="262">
        <f t="shared" si="75"/>
        <v>0.35608638311902413</v>
      </c>
      <c r="AL111" s="100"/>
      <c r="AM111" s="111">
        <f t="shared" si="76"/>
        <v>3.7</v>
      </c>
      <c r="AN111" s="262">
        <f t="shared" si="77"/>
        <v>0.30387717093948552</v>
      </c>
      <c r="AO111" s="100"/>
      <c r="AP111" s="24" t="e">
        <f>VLOOKUP(C111,#REF!,6,FALSE)</f>
        <v>#REF!</v>
      </c>
      <c r="AQ111" s="24" t="e">
        <f>VLOOKUP(C111,#REF!,7,FALSE)</f>
        <v>#REF!</v>
      </c>
      <c r="AR111" s="24" t="e">
        <f>VLOOKUP(C111,#REF!,12,FALSE)</f>
        <v>#REF!</v>
      </c>
      <c r="AS111" s="24" t="e">
        <f>VLOOKUP(C111,#REF!,13,FALSE)</f>
        <v>#REF!</v>
      </c>
      <c r="AT111" s="100"/>
      <c r="AU111" s="100"/>
      <c r="AV111" s="100">
        <v>101</v>
      </c>
      <c r="AW111" s="100"/>
      <c r="AY111" s="295">
        <v>26900</v>
      </c>
    </row>
    <row r="112" spans="1:51" s="27" customFormat="1" ht="12.75" customHeight="1" x14ac:dyDescent="0.2">
      <c r="A112" s="7" t="s">
        <v>1868</v>
      </c>
      <c r="B112" s="8">
        <v>9789500215213</v>
      </c>
      <c r="C112" s="8">
        <v>717946</v>
      </c>
      <c r="D112" s="41">
        <v>144</v>
      </c>
      <c r="E112" s="7" t="s">
        <v>1869</v>
      </c>
      <c r="F112" s="25" t="s">
        <v>1870</v>
      </c>
      <c r="G112" s="107">
        <v>45474</v>
      </c>
      <c r="H112" s="108">
        <v>45444</v>
      </c>
      <c r="I112" s="264">
        <v>3025</v>
      </c>
      <c r="J112" s="28" t="s">
        <v>1333</v>
      </c>
      <c r="K112" s="148">
        <v>1758.11</v>
      </c>
      <c r="L112" s="9">
        <v>26900</v>
      </c>
      <c r="M112" s="112">
        <f>+L112*0.1</f>
        <v>2690</v>
      </c>
      <c r="N112" s="9">
        <f t="shared" si="59"/>
        <v>13450</v>
      </c>
      <c r="O112" s="9">
        <f t="shared" si="60"/>
        <v>9001.89</v>
      </c>
      <c r="P112" s="9">
        <f t="shared" si="61"/>
        <v>4448.1099999999997</v>
      </c>
      <c r="Q112" s="139">
        <f t="shared" si="62"/>
        <v>0.66928550185873603</v>
      </c>
      <c r="R112" s="335">
        <v>26900</v>
      </c>
      <c r="S112" s="359" t="s">
        <v>1948</v>
      </c>
      <c r="T112" s="305">
        <v>0.66928550185873603</v>
      </c>
      <c r="U112" s="6"/>
      <c r="V112" s="100"/>
      <c r="W112" s="110">
        <f t="shared" si="63"/>
        <v>26900</v>
      </c>
      <c r="X112" s="110">
        <f t="shared" si="64"/>
        <v>1758.11</v>
      </c>
      <c r="Y112" s="110">
        <f t="shared" si="65"/>
        <v>2690</v>
      </c>
      <c r="Z112" s="110">
        <f t="shared" si="66"/>
        <v>9001.89</v>
      </c>
      <c r="AA112" s="260">
        <f t="shared" si="67"/>
        <v>0.66928550185873603</v>
      </c>
      <c r="AB112" s="28">
        <f t="shared" si="68"/>
        <v>8.9</v>
      </c>
      <c r="AC112" s="261">
        <f t="shared" si="69"/>
        <v>0.67043347151372357</v>
      </c>
      <c r="AD112" s="111">
        <f t="shared" si="70"/>
        <v>3.1</v>
      </c>
      <c r="AE112" s="262">
        <f t="shared" si="71"/>
        <v>5.3825127894238822E-2</v>
      </c>
      <c r="AF112" s="100"/>
      <c r="AG112" s="111">
        <f t="shared" si="72"/>
        <v>4.9000000000000004</v>
      </c>
      <c r="AH112" s="262">
        <f t="shared" si="73"/>
        <v>0.40139957070860005</v>
      </c>
      <c r="AI112" s="100"/>
      <c r="AJ112" s="111">
        <f t="shared" si="74"/>
        <v>4.5</v>
      </c>
      <c r="AK112" s="262">
        <f t="shared" si="75"/>
        <v>0.34819064366047559</v>
      </c>
      <c r="AL112" s="100"/>
      <c r="AM112" s="111">
        <f t="shared" si="76"/>
        <v>4.2</v>
      </c>
      <c r="AN112" s="262">
        <f t="shared" si="77"/>
        <v>0.3016328324933667</v>
      </c>
      <c r="AO112" s="100"/>
      <c r="AP112" s="24" t="e">
        <f>VLOOKUP(C112,#REF!,6,FALSE)</f>
        <v>#REF!</v>
      </c>
      <c r="AQ112" s="24" t="e">
        <f>VLOOKUP(C112,#REF!,7,FALSE)</f>
        <v>#REF!</v>
      </c>
      <c r="AR112" s="24" t="e">
        <f>VLOOKUP(C112,#REF!,12,FALSE)</f>
        <v>#REF!</v>
      </c>
      <c r="AS112" s="24" t="e">
        <f>VLOOKUP(C112,#REF!,13,FALSE)</f>
        <v>#REF!</v>
      </c>
      <c r="AT112" s="100"/>
      <c r="AU112" s="100"/>
      <c r="AV112" s="100">
        <v>102</v>
      </c>
      <c r="AW112" s="100"/>
      <c r="AY112" s="9">
        <v>26900</v>
      </c>
    </row>
    <row r="113" spans="1:51" s="2" customFormat="1" ht="12.75" customHeight="1" x14ac:dyDescent="0.2">
      <c r="A113" s="6" t="s">
        <v>1039</v>
      </c>
      <c r="B113" s="8">
        <v>9789500214537</v>
      </c>
      <c r="C113" s="6">
        <v>711851</v>
      </c>
      <c r="D113" s="41">
        <v>144</v>
      </c>
      <c r="E113" s="7" t="s">
        <v>866</v>
      </c>
      <c r="F113" s="7" t="s">
        <v>867</v>
      </c>
      <c r="G113" s="107">
        <v>45261</v>
      </c>
      <c r="H113" s="108">
        <v>45474</v>
      </c>
      <c r="I113" s="267">
        <v>3119</v>
      </c>
      <c r="J113" s="128" t="s">
        <v>1333</v>
      </c>
      <c r="K113" s="9">
        <v>1644.86</v>
      </c>
      <c r="L113" s="9">
        <v>26900</v>
      </c>
      <c r="M113" s="112">
        <f>+L113*0.1</f>
        <v>2690</v>
      </c>
      <c r="N113" s="9">
        <f t="shared" si="59"/>
        <v>13450</v>
      </c>
      <c r="O113" s="9">
        <f t="shared" si="60"/>
        <v>9115.14</v>
      </c>
      <c r="P113" s="9">
        <f t="shared" si="61"/>
        <v>4334.8599999999997</v>
      </c>
      <c r="Q113" s="139">
        <f t="shared" si="62"/>
        <v>0.6777055762081784</v>
      </c>
      <c r="R113" s="335">
        <v>26900</v>
      </c>
      <c r="S113" s="359" t="s">
        <v>1948</v>
      </c>
      <c r="T113" s="305">
        <v>0.6777055762081784</v>
      </c>
      <c r="U113" s="6"/>
      <c r="V113" s="100"/>
      <c r="W113" s="110">
        <f t="shared" si="63"/>
        <v>26900</v>
      </c>
      <c r="X113" s="110">
        <f t="shared" si="64"/>
        <v>1644.86</v>
      </c>
      <c r="Y113" s="110">
        <f t="shared" si="65"/>
        <v>2690</v>
      </c>
      <c r="Z113" s="110">
        <f t="shared" si="66"/>
        <v>9115.14</v>
      </c>
      <c r="AA113" s="260">
        <f t="shared" si="67"/>
        <v>0.6777055762081784</v>
      </c>
      <c r="AB113" s="28">
        <f t="shared" si="68"/>
        <v>8.9</v>
      </c>
      <c r="AC113" s="261">
        <f t="shared" si="69"/>
        <v>0.67882431826685485</v>
      </c>
      <c r="AD113" s="111">
        <f t="shared" si="70"/>
        <v>3</v>
      </c>
      <c r="AE113" s="262">
        <f t="shared" si="71"/>
        <v>4.7178810858336154E-2</v>
      </c>
      <c r="AF113" s="100"/>
      <c r="AG113" s="111">
        <f t="shared" si="72"/>
        <v>4.8</v>
      </c>
      <c r="AH113" s="262">
        <f t="shared" si="73"/>
        <v>0.40448675678646007</v>
      </c>
      <c r="AI113" s="100"/>
      <c r="AJ113" s="111">
        <f t="shared" si="74"/>
        <v>4.4000000000000004</v>
      </c>
      <c r="AK113" s="262">
        <f t="shared" si="75"/>
        <v>0.35034918922159286</v>
      </c>
      <c r="AL113" s="100"/>
      <c r="AM113" s="111">
        <f t="shared" si="76"/>
        <v>4.0999999999999996</v>
      </c>
      <c r="AN113" s="262">
        <f t="shared" si="77"/>
        <v>0.30281376404268495</v>
      </c>
      <c r="AO113" s="100"/>
      <c r="AP113" s="24" t="e">
        <f>VLOOKUP(C113,#REF!,6,FALSE)</f>
        <v>#REF!</v>
      </c>
      <c r="AQ113" s="24" t="e">
        <f>VLOOKUP(C113,#REF!,7,FALSE)</f>
        <v>#REF!</v>
      </c>
      <c r="AR113" s="24" t="e">
        <f>VLOOKUP(C113,#REF!,12,FALSE)</f>
        <v>#REF!</v>
      </c>
      <c r="AS113" s="24" t="e">
        <f>VLOOKUP(C113,#REF!,13,FALSE)</f>
        <v>#REF!</v>
      </c>
      <c r="AT113" s="100"/>
      <c r="AU113" s="100"/>
      <c r="AV113" s="100">
        <v>103</v>
      </c>
      <c r="AW113" s="100"/>
      <c r="AY113" s="9">
        <v>26900</v>
      </c>
    </row>
    <row r="114" spans="1:51" s="132" customFormat="1" ht="12.75" customHeight="1" x14ac:dyDescent="0.2">
      <c r="A114" s="7" t="s">
        <v>1040</v>
      </c>
      <c r="B114" s="8">
        <v>9789500213875</v>
      </c>
      <c r="C114" s="8">
        <v>707252</v>
      </c>
      <c r="D114" s="25">
        <v>480</v>
      </c>
      <c r="E114" s="6" t="s">
        <v>805</v>
      </c>
      <c r="F114" s="7" t="s">
        <v>804</v>
      </c>
      <c r="G114" s="107">
        <v>45108</v>
      </c>
      <c r="H114" s="108">
        <v>45078</v>
      </c>
      <c r="I114" s="7">
        <v>3042</v>
      </c>
      <c r="J114" s="28" t="s">
        <v>1333</v>
      </c>
      <c r="K114" s="117">
        <v>1202.52</v>
      </c>
      <c r="L114" s="9">
        <v>36900</v>
      </c>
      <c r="M114" s="9">
        <f>+L114*0.08</f>
        <v>2952</v>
      </c>
      <c r="N114" s="9">
        <f t="shared" si="59"/>
        <v>18450</v>
      </c>
      <c r="O114" s="9">
        <f t="shared" si="60"/>
        <v>14295.48</v>
      </c>
      <c r="P114" s="9">
        <f t="shared" si="61"/>
        <v>4154.5200000000004</v>
      </c>
      <c r="Q114" s="139">
        <f t="shared" si="62"/>
        <v>0.77482276422764229</v>
      </c>
      <c r="R114" s="335">
        <v>36900</v>
      </c>
      <c r="S114" s="359" t="s">
        <v>1948</v>
      </c>
      <c r="T114" s="305">
        <v>0.77482276422764229</v>
      </c>
      <c r="U114" s="271"/>
      <c r="V114" s="100"/>
      <c r="W114" s="110">
        <f t="shared" si="63"/>
        <v>36900</v>
      </c>
      <c r="X114" s="110">
        <f t="shared" si="64"/>
        <v>1202.52</v>
      </c>
      <c r="Y114" s="110">
        <f t="shared" si="65"/>
        <v>2952</v>
      </c>
      <c r="Z114" s="110">
        <f t="shared" si="66"/>
        <v>14295.48</v>
      </c>
      <c r="AA114" s="260">
        <f t="shared" si="67"/>
        <v>0.77482276422764229</v>
      </c>
      <c r="AB114" s="28">
        <f t="shared" si="68"/>
        <v>12.2</v>
      </c>
      <c r="AC114" s="261">
        <f t="shared" si="69"/>
        <v>0.77544713074216398</v>
      </c>
      <c r="AD114" s="111">
        <f t="shared" si="70"/>
        <v>2.9</v>
      </c>
      <c r="AE114" s="262">
        <f t="shared" si="71"/>
        <v>5.532930863944871E-2</v>
      </c>
      <c r="AF114" s="100"/>
      <c r="AG114" s="111">
        <f t="shared" si="72"/>
        <v>4.5999999999999996</v>
      </c>
      <c r="AH114" s="262">
        <f t="shared" si="73"/>
        <v>0.40444673805530462</v>
      </c>
      <c r="AI114" s="100"/>
      <c r="AJ114" s="111">
        <f t="shared" si="74"/>
        <v>4.2</v>
      </c>
      <c r="AK114" s="262">
        <f t="shared" si="75"/>
        <v>0.34772737977485763</v>
      </c>
      <c r="AL114" s="100"/>
      <c r="AM114" s="111">
        <f t="shared" si="76"/>
        <v>3.9</v>
      </c>
      <c r="AN114" s="262">
        <f t="shared" si="77"/>
        <v>0.29755256283446196</v>
      </c>
      <c r="AO114" s="100"/>
      <c r="AP114" s="24" t="e">
        <f>VLOOKUP(C114,#REF!,6,FALSE)</f>
        <v>#REF!</v>
      </c>
      <c r="AQ114" s="24" t="e">
        <f>VLOOKUP(C114,#REF!,7,FALSE)</f>
        <v>#REF!</v>
      </c>
      <c r="AR114" s="24" t="e">
        <f>VLOOKUP(C114,#REF!,12,FALSE)</f>
        <v>#REF!</v>
      </c>
      <c r="AS114" s="24" t="e">
        <f>VLOOKUP(C114,#REF!,13,FALSE)</f>
        <v>#REF!</v>
      </c>
      <c r="AT114" s="100"/>
      <c r="AU114" s="100"/>
      <c r="AV114" s="100">
        <v>104</v>
      </c>
      <c r="AW114" s="100"/>
      <c r="AY114" s="9">
        <v>36900</v>
      </c>
    </row>
    <row r="115" spans="1:51" s="132" customFormat="1" ht="12.75" customHeight="1" x14ac:dyDescent="0.2">
      <c r="A115" s="6" t="s">
        <v>1041</v>
      </c>
      <c r="B115" s="8">
        <v>9789500213974</v>
      </c>
      <c r="C115" s="8">
        <v>707942</v>
      </c>
      <c r="D115" s="41">
        <v>240</v>
      </c>
      <c r="E115" s="7" t="s">
        <v>797</v>
      </c>
      <c r="F115" s="6" t="s">
        <v>792</v>
      </c>
      <c r="G115" s="107">
        <v>45139</v>
      </c>
      <c r="H115" s="108">
        <v>45108</v>
      </c>
      <c r="I115" s="7">
        <v>3056</v>
      </c>
      <c r="J115" s="28" t="s">
        <v>1762</v>
      </c>
      <c r="K115" s="117">
        <v>901.87</v>
      </c>
      <c r="L115" s="9">
        <v>30900</v>
      </c>
      <c r="M115" s="9">
        <f>+L115*0.08</f>
        <v>2472</v>
      </c>
      <c r="N115" s="9">
        <f t="shared" si="59"/>
        <v>15450</v>
      </c>
      <c r="O115" s="9">
        <f t="shared" si="60"/>
        <v>12076.13</v>
      </c>
      <c r="P115" s="9">
        <f t="shared" si="61"/>
        <v>3373.87</v>
      </c>
      <c r="Q115" s="139">
        <f t="shared" si="62"/>
        <v>0.7816265372168284</v>
      </c>
      <c r="R115" s="335">
        <v>30900</v>
      </c>
      <c r="S115" s="359" t="s">
        <v>1948</v>
      </c>
      <c r="T115" s="305">
        <v>0.7816265372168284</v>
      </c>
      <c r="U115" s="271"/>
      <c r="V115" s="100"/>
      <c r="W115" s="110">
        <f t="shared" si="63"/>
        <v>30900</v>
      </c>
      <c r="X115" s="110">
        <f t="shared" si="64"/>
        <v>901.87</v>
      </c>
      <c r="Y115" s="110">
        <f t="shared" si="65"/>
        <v>2472</v>
      </c>
      <c r="Z115" s="110">
        <f t="shared" si="66"/>
        <v>12076.13</v>
      </c>
      <c r="AA115" s="260">
        <f t="shared" si="67"/>
        <v>0.7816265372168284</v>
      </c>
      <c r="AB115" s="28">
        <f t="shared" si="68"/>
        <v>10.199999999999999</v>
      </c>
      <c r="AC115" s="261">
        <f t="shared" si="69"/>
        <v>0.78188488715631321</v>
      </c>
      <c r="AD115" s="111">
        <f t="shared" si="70"/>
        <v>2.2999999999999998</v>
      </c>
      <c r="AE115" s="262">
        <f t="shared" si="71"/>
        <v>3.270689086712824E-2</v>
      </c>
      <c r="AF115" s="100"/>
      <c r="AG115" s="111">
        <f t="shared" si="72"/>
        <v>3.7</v>
      </c>
      <c r="AH115" s="262">
        <f t="shared" si="73"/>
        <v>0.3987096889174041</v>
      </c>
      <c r="AI115" s="100"/>
      <c r="AJ115" s="111">
        <f t="shared" si="74"/>
        <v>3.4</v>
      </c>
      <c r="AK115" s="262">
        <f t="shared" si="75"/>
        <v>0.34565466146893964</v>
      </c>
      <c r="AL115" s="100"/>
      <c r="AM115" s="111">
        <f t="shared" si="76"/>
        <v>3.2</v>
      </c>
      <c r="AN115" s="262">
        <f t="shared" si="77"/>
        <v>0.30475807781074848</v>
      </c>
      <c r="AO115" s="100"/>
      <c r="AP115" s="24" t="e">
        <f>VLOOKUP(C115,#REF!,6,FALSE)</f>
        <v>#REF!</v>
      </c>
      <c r="AQ115" s="24" t="e">
        <f>VLOOKUP(C115,#REF!,7,FALSE)</f>
        <v>#REF!</v>
      </c>
      <c r="AR115" s="24" t="e">
        <f>VLOOKUP(C115,#REF!,12,FALSE)</f>
        <v>#REF!</v>
      </c>
      <c r="AS115" s="24" t="e">
        <f>VLOOKUP(C115,#REF!,13,FALSE)</f>
        <v>#REF!</v>
      </c>
      <c r="AT115" s="100"/>
      <c r="AU115" s="100"/>
      <c r="AV115" s="100">
        <v>105</v>
      </c>
      <c r="AW115" s="100"/>
      <c r="AY115" s="9">
        <v>30900</v>
      </c>
    </row>
    <row r="116" spans="1:51" s="2" customFormat="1" ht="12.75" customHeight="1" x14ac:dyDescent="0.2">
      <c r="A116" s="6" t="s">
        <v>1042</v>
      </c>
      <c r="B116" s="8">
        <v>9789500213820</v>
      </c>
      <c r="C116" s="6">
        <v>706237</v>
      </c>
      <c r="D116" s="41">
        <v>304</v>
      </c>
      <c r="E116" s="7" t="s">
        <v>1043</v>
      </c>
      <c r="F116" s="7" t="s">
        <v>779</v>
      </c>
      <c r="G116" s="107">
        <v>45078</v>
      </c>
      <c r="H116" s="108">
        <v>45047</v>
      </c>
      <c r="I116" s="7">
        <v>4039</v>
      </c>
      <c r="J116" s="28" t="s">
        <v>1762</v>
      </c>
      <c r="K116" s="9">
        <v>590.95000000000005</v>
      </c>
      <c r="L116" s="9">
        <v>33900</v>
      </c>
      <c r="M116" s="112">
        <f>+L116*0.08</f>
        <v>2712</v>
      </c>
      <c r="N116" s="9">
        <f t="shared" si="59"/>
        <v>16950</v>
      </c>
      <c r="O116" s="9">
        <f t="shared" si="60"/>
        <v>13647.05</v>
      </c>
      <c r="P116" s="9">
        <f t="shared" si="61"/>
        <v>3302.95</v>
      </c>
      <c r="Q116" s="139">
        <f t="shared" si="62"/>
        <v>0.80513569321533918</v>
      </c>
      <c r="R116" s="335">
        <v>33900</v>
      </c>
      <c r="S116" s="359" t="s">
        <v>1948</v>
      </c>
      <c r="T116" s="305">
        <v>0.80513569321533918</v>
      </c>
      <c r="U116" s="271"/>
      <c r="V116" s="100"/>
      <c r="W116" s="110">
        <f t="shared" si="63"/>
        <v>33900</v>
      </c>
      <c r="X116" s="110">
        <f t="shared" si="64"/>
        <v>590.95000000000005</v>
      </c>
      <c r="Y116" s="110">
        <f t="shared" si="65"/>
        <v>2712</v>
      </c>
      <c r="Z116" s="110">
        <f t="shared" si="66"/>
        <v>13647.05</v>
      </c>
      <c r="AA116" s="260">
        <f t="shared" si="67"/>
        <v>0.80513569321533918</v>
      </c>
      <c r="AB116" s="28">
        <f t="shared" si="68"/>
        <v>11.2</v>
      </c>
      <c r="AC116" s="261">
        <f t="shared" si="69"/>
        <v>0.80553494889548294</v>
      </c>
      <c r="AD116" s="111">
        <f t="shared" si="70"/>
        <v>2.2999999999999998</v>
      </c>
      <c r="AE116" s="262">
        <f t="shared" si="71"/>
        <v>5.3039751143221667E-2</v>
      </c>
      <c r="AF116" s="100"/>
      <c r="AG116" s="111">
        <f t="shared" si="72"/>
        <v>3.6</v>
      </c>
      <c r="AH116" s="262">
        <f t="shared" si="73"/>
        <v>0.39499761878594725</v>
      </c>
      <c r="AI116" s="100"/>
      <c r="AJ116" s="111">
        <f t="shared" si="74"/>
        <v>3.4</v>
      </c>
      <c r="AK116" s="262">
        <f t="shared" si="75"/>
        <v>0.35940924342041464</v>
      </c>
      <c r="AL116" s="100"/>
      <c r="AM116" s="111">
        <f t="shared" si="76"/>
        <v>3.1</v>
      </c>
      <c r="AN116" s="262">
        <f t="shared" si="77"/>
        <v>0.29741658955787426</v>
      </c>
      <c r="AO116" s="100"/>
      <c r="AP116" s="24" t="e">
        <f>VLOOKUP(C116,#REF!,6,FALSE)</f>
        <v>#REF!</v>
      </c>
      <c r="AQ116" s="24" t="e">
        <f>VLOOKUP(C116,#REF!,7,FALSE)</f>
        <v>#REF!</v>
      </c>
      <c r="AR116" s="24" t="e">
        <f>VLOOKUP(C116,#REF!,12,FALSE)</f>
        <v>#REF!</v>
      </c>
      <c r="AS116" s="24" t="e">
        <f>VLOOKUP(C116,#REF!,13,FALSE)</f>
        <v>#REF!</v>
      </c>
      <c r="AT116" s="100"/>
      <c r="AU116" s="100"/>
      <c r="AV116" s="100">
        <v>106</v>
      </c>
      <c r="AW116" s="100"/>
      <c r="AY116" s="9">
        <v>33900</v>
      </c>
    </row>
    <row r="117" spans="1:51" s="2" customFormat="1" ht="12.75" customHeight="1" x14ac:dyDescent="0.2">
      <c r="A117" s="6" t="s">
        <v>1044</v>
      </c>
      <c r="B117" s="8">
        <v>9789500213127</v>
      </c>
      <c r="C117" s="8">
        <v>705129</v>
      </c>
      <c r="D117" s="41">
        <v>304</v>
      </c>
      <c r="E117" s="7" t="s">
        <v>329</v>
      </c>
      <c r="F117" s="7" t="s">
        <v>783</v>
      </c>
      <c r="G117" s="107">
        <v>45047</v>
      </c>
      <c r="H117" s="108">
        <v>45017</v>
      </c>
      <c r="I117" s="7">
        <v>5000</v>
      </c>
      <c r="J117" s="28" t="s">
        <v>2136</v>
      </c>
      <c r="K117" s="117">
        <v>5242.8</v>
      </c>
      <c r="L117" s="9">
        <v>54900</v>
      </c>
      <c r="M117" s="112"/>
      <c r="N117" s="9">
        <f t="shared" si="59"/>
        <v>27450</v>
      </c>
      <c r="O117" s="9">
        <f t="shared" si="60"/>
        <v>22207.200000000001</v>
      </c>
      <c r="P117" s="9">
        <f t="shared" si="61"/>
        <v>5242.8</v>
      </c>
      <c r="Q117" s="139">
        <f t="shared" si="62"/>
        <v>0.80900546448087429</v>
      </c>
      <c r="R117" s="335">
        <v>54900</v>
      </c>
      <c r="S117" s="359" t="s">
        <v>1948</v>
      </c>
      <c r="T117" s="305">
        <v>0.80900546448087429</v>
      </c>
      <c r="U117" s="144"/>
      <c r="V117" s="100"/>
      <c r="W117" s="110">
        <f t="shared" si="63"/>
        <v>54900</v>
      </c>
      <c r="X117" s="110">
        <f t="shared" si="64"/>
        <v>5242.8</v>
      </c>
      <c r="Y117" s="110">
        <f t="shared" si="65"/>
        <v>0</v>
      </c>
      <c r="Z117" s="110">
        <f t="shared" si="66"/>
        <v>22207.200000000001</v>
      </c>
      <c r="AA117" s="260">
        <f t="shared" si="67"/>
        <v>0.80900546448087429</v>
      </c>
      <c r="AB117" s="28">
        <f t="shared" si="68"/>
        <v>18.100000000000001</v>
      </c>
      <c r="AC117" s="261">
        <f t="shared" si="69"/>
        <v>0.80899607084501424</v>
      </c>
      <c r="AD117" s="111">
        <f t="shared" si="70"/>
        <v>3.6</v>
      </c>
      <c r="AE117" s="262">
        <f t="shared" si="71"/>
        <v>3.9674689526321638E-2</v>
      </c>
      <c r="AF117" s="100"/>
      <c r="AG117" s="111">
        <f t="shared" si="72"/>
        <v>5.8</v>
      </c>
      <c r="AH117" s="262">
        <f t="shared" si="73"/>
        <v>0.40393601418875125</v>
      </c>
      <c r="AI117" s="100"/>
      <c r="AJ117" s="111">
        <f t="shared" si="74"/>
        <v>5.3</v>
      </c>
      <c r="AK117" s="262">
        <f t="shared" si="75"/>
        <v>0.34770356269712405</v>
      </c>
      <c r="AL117" s="100"/>
      <c r="AM117" s="111">
        <f t="shared" si="76"/>
        <v>4.9000000000000004</v>
      </c>
      <c r="AN117" s="262">
        <f t="shared" si="77"/>
        <v>0.29445487393770564</v>
      </c>
      <c r="AO117" s="100"/>
      <c r="AP117" s="24" t="e">
        <f>VLOOKUP(C117,#REF!,6,FALSE)</f>
        <v>#REF!</v>
      </c>
      <c r="AQ117" s="24" t="e">
        <f>VLOOKUP(C117,#REF!,7,FALSE)</f>
        <v>#REF!</v>
      </c>
      <c r="AR117" s="24" t="e">
        <f>VLOOKUP(C117,#REF!,12,FALSE)</f>
        <v>#REF!</v>
      </c>
      <c r="AS117" s="24" t="e">
        <f>VLOOKUP(C117,#REF!,13,FALSE)</f>
        <v>#REF!</v>
      </c>
      <c r="AT117" s="100"/>
      <c r="AU117" s="100"/>
      <c r="AV117" s="100">
        <v>107</v>
      </c>
      <c r="AW117" s="100"/>
      <c r="AY117" s="9">
        <v>54900</v>
      </c>
    </row>
    <row r="118" spans="1:51" s="2" customFormat="1" ht="12.75" customHeight="1" x14ac:dyDescent="0.2">
      <c r="A118" s="7" t="s">
        <v>1045</v>
      </c>
      <c r="B118" s="8">
        <v>9789500274494</v>
      </c>
      <c r="C118" s="8">
        <v>198548</v>
      </c>
      <c r="D118" s="25">
        <v>352</v>
      </c>
      <c r="E118" s="7" t="s">
        <v>69</v>
      </c>
      <c r="F118" s="7" t="s">
        <v>1046</v>
      </c>
      <c r="G118" s="107">
        <v>37834</v>
      </c>
      <c r="H118" s="108">
        <v>43800</v>
      </c>
      <c r="I118" s="24">
        <v>3061</v>
      </c>
      <c r="J118" s="28" t="s">
        <v>1946</v>
      </c>
      <c r="K118" s="28">
        <v>79.260000000000005</v>
      </c>
      <c r="L118" s="9">
        <v>30500</v>
      </c>
      <c r="M118" s="112">
        <f>+L118*0.1</f>
        <v>3050</v>
      </c>
      <c r="N118" s="9">
        <f t="shared" si="59"/>
        <v>15250</v>
      </c>
      <c r="O118" s="9">
        <f t="shared" si="60"/>
        <v>12120.74</v>
      </c>
      <c r="P118" s="9">
        <f t="shared" si="61"/>
        <v>3129.26</v>
      </c>
      <c r="Q118" s="139">
        <f t="shared" si="62"/>
        <v>0.7948026229508196</v>
      </c>
      <c r="R118" s="335">
        <v>30500</v>
      </c>
      <c r="S118" s="359" t="s">
        <v>1948</v>
      </c>
      <c r="T118" s="305">
        <v>0.7948026229508196</v>
      </c>
      <c r="U118" s="144"/>
      <c r="V118" s="100"/>
      <c r="W118" s="110">
        <f t="shared" si="63"/>
        <v>30500</v>
      </c>
      <c r="X118" s="110">
        <f t="shared" si="64"/>
        <v>79.260000000000005</v>
      </c>
      <c r="Y118" s="110">
        <f t="shared" si="65"/>
        <v>3050</v>
      </c>
      <c r="Z118" s="110">
        <f t="shared" si="66"/>
        <v>12120.74</v>
      </c>
      <c r="AA118" s="260">
        <f t="shared" si="67"/>
        <v>0.7948026229508196</v>
      </c>
      <c r="AB118" s="28">
        <f t="shared" si="68"/>
        <v>10.1</v>
      </c>
      <c r="AC118" s="261">
        <f t="shared" si="69"/>
        <v>0.79569553394508585</v>
      </c>
      <c r="AD118" s="111">
        <f t="shared" si="70"/>
        <v>2.2000000000000002</v>
      </c>
      <c r="AE118" s="262">
        <f t="shared" si="71"/>
        <v>6.2056769475167084E-2</v>
      </c>
      <c r="AF118" s="100"/>
      <c r="AG118" s="111">
        <f t="shared" si="72"/>
        <v>3.4</v>
      </c>
      <c r="AH118" s="262">
        <f t="shared" si="73"/>
        <v>0.39309555671922569</v>
      </c>
      <c r="AI118" s="100"/>
      <c r="AJ118" s="111">
        <f t="shared" si="74"/>
        <v>3.2</v>
      </c>
      <c r="AK118" s="262">
        <f t="shared" si="75"/>
        <v>0.35516402901417737</v>
      </c>
      <c r="AL118" s="100"/>
      <c r="AM118" s="111">
        <f t="shared" si="76"/>
        <v>2.9</v>
      </c>
      <c r="AN118" s="262">
        <f t="shared" si="77"/>
        <v>0.28845685960185075</v>
      </c>
      <c r="AO118" s="100"/>
      <c r="AP118" s="24" t="e">
        <f>VLOOKUP(C118,#REF!,6,FALSE)</f>
        <v>#REF!</v>
      </c>
      <c r="AQ118" s="24" t="e">
        <f>VLOOKUP(C118,#REF!,7,FALSE)</f>
        <v>#REF!</v>
      </c>
      <c r="AR118" s="24" t="e">
        <f>VLOOKUP(C118,#REF!,12,FALSE)</f>
        <v>#REF!</v>
      </c>
      <c r="AS118" s="24" t="e">
        <f>VLOOKUP(C118,#REF!,13,FALSE)</f>
        <v>#REF!</v>
      </c>
      <c r="AT118" s="100"/>
      <c r="AU118" s="100"/>
      <c r="AV118" s="100">
        <v>108</v>
      </c>
      <c r="AW118" s="100"/>
      <c r="AY118" s="9">
        <v>30500</v>
      </c>
    </row>
    <row r="119" spans="1:51" s="2" customFormat="1" ht="12.75" customHeight="1" x14ac:dyDescent="0.2">
      <c r="A119" s="7" t="s">
        <v>1047</v>
      </c>
      <c r="B119" s="8">
        <v>9789500209793</v>
      </c>
      <c r="C119" s="6">
        <v>655253</v>
      </c>
      <c r="D119" s="7">
        <v>304</v>
      </c>
      <c r="E119" s="9" t="s">
        <v>407</v>
      </c>
      <c r="F119" s="10" t="s">
        <v>408</v>
      </c>
      <c r="G119" s="107">
        <v>43374</v>
      </c>
      <c r="H119" s="108">
        <v>45352</v>
      </c>
      <c r="I119" s="24">
        <v>1000</v>
      </c>
      <c r="J119" s="28" t="s">
        <v>1762</v>
      </c>
      <c r="K119" s="9">
        <v>3559.67</v>
      </c>
      <c r="L119" s="9">
        <v>51900</v>
      </c>
      <c r="M119" s="112">
        <f>+L119*0.15</f>
        <v>7785</v>
      </c>
      <c r="N119" s="9">
        <f t="shared" si="59"/>
        <v>25950</v>
      </c>
      <c r="O119" s="9">
        <f t="shared" si="60"/>
        <v>14605.33</v>
      </c>
      <c r="P119" s="9">
        <f t="shared" si="61"/>
        <v>11344.67</v>
      </c>
      <c r="Q119" s="139">
        <f t="shared" si="62"/>
        <v>0.5628258188824663</v>
      </c>
      <c r="R119" s="335">
        <v>51900</v>
      </c>
      <c r="S119" s="359" t="s">
        <v>1948</v>
      </c>
      <c r="T119" s="305">
        <v>0.5628258188824663</v>
      </c>
      <c r="U119" s="144"/>
      <c r="V119" s="100"/>
      <c r="W119" s="110">
        <f t="shared" si="63"/>
        <v>51900</v>
      </c>
      <c r="X119" s="110">
        <f t="shared" si="64"/>
        <v>3559.67</v>
      </c>
      <c r="Y119" s="110">
        <f t="shared" si="65"/>
        <v>7785</v>
      </c>
      <c r="Z119" s="110">
        <f t="shared" si="66"/>
        <v>14605.330000000002</v>
      </c>
      <c r="AA119" s="260">
        <f t="shared" si="67"/>
        <v>0.5628258188824663</v>
      </c>
      <c r="AB119" s="28">
        <f t="shared" si="68"/>
        <v>17.100000000000001</v>
      </c>
      <c r="AC119" s="261">
        <f t="shared" si="69"/>
        <v>0.56252489670158479</v>
      </c>
      <c r="AD119" s="111">
        <f t="shared" si="70"/>
        <v>7.9</v>
      </c>
      <c r="AE119" s="262">
        <f t="shared" si="71"/>
        <v>5.3060219442670732E-2</v>
      </c>
      <c r="AF119" s="100"/>
      <c r="AG119" s="111">
        <f t="shared" si="72"/>
        <v>12.5</v>
      </c>
      <c r="AH119" s="262">
        <f t="shared" si="73"/>
        <v>0.40153405868776787</v>
      </c>
      <c r="AI119" s="100"/>
      <c r="AJ119" s="111">
        <f t="shared" si="74"/>
        <v>11.5</v>
      </c>
      <c r="AK119" s="262">
        <f t="shared" si="75"/>
        <v>0.34949354205192162</v>
      </c>
      <c r="AL119" s="100"/>
      <c r="AM119" s="111">
        <f t="shared" si="76"/>
        <v>10.7</v>
      </c>
      <c r="AN119" s="262">
        <f t="shared" si="77"/>
        <v>0.30085754519599051</v>
      </c>
      <c r="AO119" s="100"/>
      <c r="AP119" s="24" t="e">
        <f>VLOOKUP(C119,#REF!,6,FALSE)</f>
        <v>#REF!</v>
      </c>
      <c r="AQ119" s="24" t="e">
        <f>VLOOKUP(C119,#REF!,7,FALSE)</f>
        <v>#REF!</v>
      </c>
      <c r="AR119" s="24" t="e">
        <f>VLOOKUP(C119,#REF!,12,FALSE)</f>
        <v>#REF!</v>
      </c>
      <c r="AS119" s="24" t="e">
        <f>VLOOKUP(C119,#REF!,13,FALSE)</f>
        <v>#REF!</v>
      </c>
      <c r="AT119" s="100"/>
      <c r="AU119" s="100"/>
      <c r="AV119" s="100">
        <v>109</v>
      </c>
      <c r="AW119" s="100"/>
      <c r="AY119" s="9">
        <v>51900</v>
      </c>
    </row>
    <row r="120" spans="1:51" s="2" customFormat="1" ht="12.75" customHeight="1" x14ac:dyDescent="0.2">
      <c r="A120" s="11" t="s">
        <v>1048</v>
      </c>
      <c r="B120" s="13">
        <v>9789500209892</v>
      </c>
      <c r="C120" s="6">
        <v>657291</v>
      </c>
      <c r="D120" s="7">
        <v>432</v>
      </c>
      <c r="E120" s="6" t="s">
        <v>420</v>
      </c>
      <c r="F120" s="11" t="s">
        <v>421</v>
      </c>
      <c r="G120" s="107">
        <v>43435</v>
      </c>
      <c r="H120" s="108">
        <v>43405</v>
      </c>
      <c r="I120" s="24">
        <v>2505</v>
      </c>
      <c r="J120" s="28" t="s">
        <v>1894</v>
      </c>
      <c r="K120" s="150">
        <v>128.56</v>
      </c>
      <c r="L120" s="128">
        <v>25600</v>
      </c>
      <c r="M120" s="112">
        <f>+L120*0.08</f>
        <v>2048</v>
      </c>
      <c r="N120" s="9">
        <f t="shared" si="59"/>
        <v>12800</v>
      </c>
      <c r="O120" s="9">
        <f t="shared" si="60"/>
        <v>10623.44</v>
      </c>
      <c r="P120" s="9">
        <f t="shared" si="61"/>
        <v>2176.56</v>
      </c>
      <c r="Q120" s="139">
        <f t="shared" si="62"/>
        <v>0.82995625000000006</v>
      </c>
      <c r="R120" s="335">
        <v>25600</v>
      </c>
      <c r="S120" s="359" t="s">
        <v>1948</v>
      </c>
      <c r="T120" s="305">
        <v>0.82995625000000006</v>
      </c>
      <c r="U120" s="140"/>
      <c r="V120" s="100"/>
      <c r="W120" s="110">
        <f t="shared" si="63"/>
        <v>25600</v>
      </c>
      <c r="X120" s="110">
        <f t="shared" si="64"/>
        <v>128.56</v>
      </c>
      <c r="Y120" s="110">
        <f t="shared" si="65"/>
        <v>2048</v>
      </c>
      <c r="Z120" s="110">
        <f t="shared" si="66"/>
        <v>10623.44</v>
      </c>
      <c r="AA120" s="260">
        <f t="shared" si="67"/>
        <v>0.82995625000000006</v>
      </c>
      <c r="AB120" s="28">
        <f t="shared" si="68"/>
        <v>8.4</v>
      </c>
      <c r="AC120" s="261">
        <f t="shared" si="69"/>
        <v>0.82913663981913244</v>
      </c>
      <c r="AD120" s="111">
        <f t="shared" si="70"/>
        <v>1.5</v>
      </c>
      <c r="AE120" s="262">
        <f t="shared" si="71"/>
        <v>4.3165182987141469E-2</v>
      </c>
      <c r="AF120" s="100"/>
      <c r="AG120" s="111">
        <f t="shared" si="72"/>
        <v>2.4</v>
      </c>
      <c r="AH120" s="262">
        <f t="shared" si="73"/>
        <v>0.40197823936696342</v>
      </c>
      <c r="AI120" s="100"/>
      <c r="AJ120" s="111">
        <f t="shared" si="74"/>
        <v>2.2000000000000002</v>
      </c>
      <c r="AK120" s="262">
        <f t="shared" si="75"/>
        <v>0.34761262476396015</v>
      </c>
      <c r="AL120" s="100"/>
      <c r="AM120" s="111">
        <f t="shared" si="76"/>
        <v>2.1</v>
      </c>
      <c r="AN120" s="262">
        <f t="shared" si="77"/>
        <v>0.31654655927652964</v>
      </c>
      <c r="AO120" s="100"/>
      <c r="AP120" s="24" t="e">
        <f>VLOOKUP(C120,#REF!,6,FALSE)</f>
        <v>#REF!</v>
      </c>
      <c r="AQ120" s="24" t="e">
        <f>VLOOKUP(C120,#REF!,7,FALSE)</f>
        <v>#REF!</v>
      </c>
      <c r="AR120" s="24" t="e">
        <f>VLOOKUP(C120,#REF!,12,FALSE)</f>
        <v>#REF!</v>
      </c>
      <c r="AS120" s="24" t="e">
        <f>VLOOKUP(C120,#REF!,13,FALSE)</f>
        <v>#REF!</v>
      </c>
      <c r="AT120" s="100"/>
      <c r="AU120" s="100"/>
      <c r="AV120" s="100">
        <v>110</v>
      </c>
      <c r="AW120" s="100"/>
      <c r="AY120" s="128">
        <v>25600</v>
      </c>
    </row>
    <row r="121" spans="1:51" s="2" customFormat="1" ht="12.75" customHeight="1" x14ac:dyDescent="0.2">
      <c r="A121" s="6" t="s">
        <v>1049</v>
      </c>
      <c r="B121" s="8">
        <v>9789500208550</v>
      </c>
      <c r="C121" s="8">
        <v>613394</v>
      </c>
      <c r="D121" s="7">
        <v>488</v>
      </c>
      <c r="E121" s="31" t="s">
        <v>80</v>
      </c>
      <c r="F121" s="32" t="s">
        <v>81</v>
      </c>
      <c r="G121" s="107">
        <v>42491</v>
      </c>
      <c r="H121" s="108">
        <v>43009</v>
      </c>
      <c r="I121" s="24">
        <v>1040</v>
      </c>
      <c r="J121" s="28" t="s">
        <v>1894</v>
      </c>
      <c r="K121" s="28">
        <v>55.74</v>
      </c>
      <c r="L121" s="128">
        <v>22200</v>
      </c>
      <c r="M121" s="9">
        <f>+L121*0.1</f>
        <v>2220</v>
      </c>
      <c r="N121" s="9">
        <f t="shared" si="59"/>
        <v>11100</v>
      </c>
      <c r="O121" s="9">
        <f t="shared" si="60"/>
        <v>8824.26</v>
      </c>
      <c r="P121" s="9">
        <f t="shared" si="61"/>
        <v>2275.7399999999998</v>
      </c>
      <c r="Q121" s="139">
        <f t="shared" si="62"/>
        <v>0.79497837837837837</v>
      </c>
      <c r="R121" s="335">
        <v>22200</v>
      </c>
      <c r="S121" s="359" t="s">
        <v>1948</v>
      </c>
      <c r="T121" s="305">
        <v>0.79497837837837837</v>
      </c>
      <c r="U121" s="144"/>
      <c r="V121" s="100"/>
      <c r="W121" s="110">
        <f t="shared" si="63"/>
        <v>22200</v>
      </c>
      <c r="X121" s="110">
        <f t="shared" si="64"/>
        <v>55.74</v>
      </c>
      <c r="Y121" s="110">
        <f t="shared" si="65"/>
        <v>2220</v>
      </c>
      <c r="Z121" s="110">
        <f t="shared" si="66"/>
        <v>8824.26</v>
      </c>
      <c r="AA121" s="260">
        <f t="shared" si="67"/>
        <v>0.79497837837837837</v>
      </c>
      <c r="AB121" s="28">
        <f t="shared" si="68"/>
        <v>7.3</v>
      </c>
      <c r="AC121" s="261">
        <f t="shared" si="69"/>
        <v>0.79443112068615096</v>
      </c>
      <c r="AD121" s="111">
        <f t="shared" si="70"/>
        <v>1.6</v>
      </c>
      <c r="AE121" s="262">
        <f t="shared" si="71"/>
        <v>6.2091988130563922E-2</v>
      </c>
      <c r="AF121" s="100"/>
      <c r="AG121" s="111">
        <f t="shared" si="72"/>
        <v>2.5</v>
      </c>
      <c r="AH121" s="262">
        <f t="shared" si="73"/>
        <v>0.39973887240356087</v>
      </c>
      <c r="AI121" s="100"/>
      <c r="AJ121" s="111">
        <f t="shared" si="74"/>
        <v>2.2999999999999998</v>
      </c>
      <c r="AK121" s="262">
        <f t="shared" si="75"/>
        <v>0.34754225261256616</v>
      </c>
      <c r="AL121" s="100"/>
      <c r="AM121" s="111">
        <f t="shared" si="76"/>
        <v>2.1</v>
      </c>
      <c r="AN121" s="262">
        <f t="shared" si="77"/>
        <v>0.28540341952804871</v>
      </c>
      <c r="AO121" s="100"/>
      <c r="AP121" s="24" t="e">
        <f>VLOOKUP(C121,#REF!,6,FALSE)</f>
        <v>#REF!</v>
      </c>
      <c r="AQ121" s="24" t="e">
        <f>VLOOKUP(C121,#REF!,7,FALSE)</f>
        <v>#REF!</v>
      </c>
      <c r="AR121" s="24" t="e">
        <f>VLOOKUP(C121,#REF!,12,FALSE)</f>
        <v>#REF!</v>
      </c>
      <c r="AS121" s="24" t="e">
        <f>VLOOKUP(C121,#REF!,13,FALSE)</f>
        <v>#REF!</v>
      </c>
      <c r="AT121" s="100"/>
      <c r="AU121" s="100"/>
      <c r="AV121" s="100">
        <v>111</v>
      </c>
      <c r="AW121" s="100"/>
      <c r="AY121" s="128">
        <v>22200</v>
      </c>
    </row>
    <row r="122" spans="1:51" s="2" customFormat="1" ht="12.75" customHeight="1" x14ac:dyDescent="0.2">
      <c r="A122" s="6" t="s">
        <v>1050</v>
      </c>
      <c r="B122" s="8">
        <v>9789500209229</v>
      </c>
      <c r="C122" s="6">
        <v>639247</v>
      </c>
      <c r="D122" s="25">
        <v>416</v>
      </c>
      <c r="E122" s="11" t="s">
        <v>331</v>
      </c>
      <c r="F122" s="11" t="s">
        <v>332</v>
      </c>
      <c r="G122" s="107">
        <v>43040</v>
      </c>
      <c r="H122" s="108">
        <v>44743</v>
      </c>
      <c r="I122" s="7">
        <v>2604</v>
      </c>
      <c r="J122" s="28" t="s">
        <v>1762</v>
      </c>
      <c r="K122" s="117">
        <v>467.49</v>
      </c>
      <c r="L122" s="112">
        <v>31700</v>
      </c>
      <c r="M122" s="112">
        <f>+L122*0.1</f>
        <v>3170</v>
      </c>
      <c r="N122" s="9">
        <f t="shared" si="59"/>
        <v>15850</v>
      </c>
      <c r="O122" s="9">
        <f t="shared" si="60"/>
        <v>12212.51</v>
      </c>
      <c r="P122" s="9">
        <f t="shared" si="61"/>
        <v>3637.49</v>
      </c>
      <c r="Q122" s="139">
        <f t="shared" si="62"/>
        <v>0.77050536277602522</v>
      </c>
      <c r="R122" s="335">
        <v>31700</v>
      </c>
      <c r="S122" s="359" t="s">
        <v>1948</v>
      </c>
      <c r="T122" s="305">
        <v>0.77050536277602522</v>
      </c>
      <c r="U122" s="12"/>
      <c r="V122" s="100"/>
      <c r="W122" s="110">
        <f t="shared" si="63"/>
        <v>31700</v>
      </c>
      <c r="X122" s="110">
        <f t="shared" si="64"/>
        <v>467.49</v>
      </c>
      <c r="Y122" s="110">
        <f t="shared" si="65"/>
        <v>3170</v>
      </c>
      <c r="Z122" s="110">
        <f t="shared" si="66"/>
        <v>12212.51</v>
      </c>
      <c r="AA122" s="260">
        <f t="shared" si="67"/>
        <v>0.77050536277602522</v>
      </c>
      <c r="AB122" s="28">
        <f t="shared" si="68"/>
        <v>10.5</v>
      </c>
      <c r="AC122" s="261">
        <f t="shared" si="69"/>
        <v>0.77156108206553309</v>
      </c>
      <c r="AD122" s="111">
        <f t="shared" si="70"/>
        <v>2.5</v>
      </c>
      <c r="AE122" s="262">
        <f t="shared" si="71"/>
        <v>4.0556544675239094E-2</v>
      </c>
      <c r="AF122" s="100"/>
      <c r="AG122" s="111">
        <f t="shared" si="72"/>
        <v>4</v>
      </c>
      <c r="AH122" s="262">
        <f t="shared" si="73"/>
        <v>0.40034784042202443</v>
      </c>
      <c r="AI122" s="100"/>
      <c r="AJ122" s="111">
        <f t="shared" si="74"/>
        <v>3.7</v>
      </c>
      <c r="AK122" s="262">
        <f t="shared" si="75"/>
        <v>0.35172739505083722</v>
      </c>
      <c r="AL122" s="100"/>
      <c r="AM122" s="111">
        <f t="shared" si="76"/>
        <v>3.4</v>
      </c>
      <c r="AN122" s="262">
        <f t="shared" si="77"/>
        <v>0.29452687108473458</v>
      </c>
      <c r="AO122" s="100"/>
      <c r="AP122" s="24" t="e">
        <f>VLOOKUP(C122,#REF!,6,FALSE)</f>
        <v>#REF!</v>
      </c>
      <c r="AQ122" s="24" t="e">
        <f>VLOOKUP(C122,#REF!,7,FALSE)</f>
        <v>#REF!</v>
      </c>
      <c r="AR122" s="24" t="e">
        <f>VLOOKUP(C122,#REF!,12,FALSE)</f>
        <v>#REF!</v>
      </c>
      <c r="AS122" s="24" t="e">
        <f>VLOOKUP(C122,#REF!,13,FALSE)</f>
        <v>#REF!</v>
      </c>
      <c r="AT122" s="100"/>
      <c r="AU122" s="100"/>
      <c r="AV122" s="100">
        <v>112</v>
      </c>
      <c r="AW122" s="100"/>
      <c r="AY122" s="112">
        <v>31700</v>
      </c>
    </row>
    <row r="123" spans="1:51" s="2" customFormat="1" ht="12.75" customHeight="1" x14ac:dyDescent="0.2">
      <c r="A123" s="7" t="s">
        <v>1051</v>
      </c>
      <c r="B123" s="8">
        <v>9789500206709</v>
      </c>
      <c r="C123" s="8">
        <v>551107</v>
      </c>
      <c r="D123" s="7">
        <v>480</v>
      </c>
      <c r="E123" s="7" t="s">
        <v>95</v>
      </c>
      <c r="F123" s="7" t="s">
        <v>96</v>
      </c>
      <c r="G123" s="107">
        <v>41061</v>
      </c>
      <c r="H123" s="108">
        <v>43831</v>
      </c>
      <c r="I123" s="24">
        <v>1540</v>
      </c>
      <c r="J123" s="28" t="s">
        <v>1894</v>
      </c>
      <c r="K123" s="28">
        <v>147.13999999999999</v>
      </c>
      <c r="L123" s="112">
        <v>37500</v>
      </c>
      <c r="M123" s="112">
        <f>+L123*0.14</f>
        <v>5250.0000000000009</v>
      </c>
      <c r="N123" s="9">
        <f t="shared" si="59"/>
        <v>18750</v>
      </c>
      <c r="O123" s="9">
        <f t="shared" si="60"/>
        <v>13352.86</v>
      </c>
      <c r="P123" s="9">
        <f t="shared" si="61"/>
        <v>5397.1400000000012</v>
      </c>
      <c r="Q123" s="139">
        <f t="shared" si="62"/>
        <v>0.71215253333333339</v>
      </c>
      <c r="R123" s="335">
        <v>37500</v>
      </c>
      <c r="S123" s="359" t="s">
        <v>1948</v>
      </c>
      <c r="T123" s="305">
        <v>0.71215253333333339</v>
      </c>
      <c r="U123" s="144"/>
      <c r="V123" s="100"/>
      <c r="W123" s="110">
        <f t="shared" si="63"/>
        <v>37500</v>
      </c>
      <c r="X123" s="110">
        <f t="shared" si="64"/>
        <v>147.13999999999999</v>
      </c>
      <c r="Y123" s="110">
        <f t="shared" si="65"/>
        <v>5250.0000000000009</v>
      </c>
      <c r="Z123" s="110">
        <f t="shared" si="66"/>
        <v>13352.86</v>
      </c>
      <c r="AA123" s="260">
        <f t="shared" si="67"/>
        <v>0.71215253333333339</v>
      </c>
      <c r="AB123" s="28">
        <f t="shared" si="68"/>
        <v>12.4</v>
      </c>
      <c r="AC123" s="261">
        <f t="shared" si="69"/>
        <v>0.71298831137062213</v>
      </c>
      <c r="AD123" s="111">
        <f t="shared" si="70"/>
        <v>3.7</v>
      </c>
      <c r="AE123" s="262">
        <f t="shared" si="71"/>
        <v>3.8122989458300845E-2</v>
      </c>
      <c r="AF123" s="100"/>
      <c r="AG123" s="111">
        <f t="shared" si="72"/>
        <v>5.9</v>
      </c>
      <c r="AH123" s="262">
        <f t="shared" si="73"/>
        <v>0.39678899338910401</v>
      </c>
      <c r="AI123" s="100"/>
      <c r="AJ123" s="111">
        <f t="shared" si="74"/>
        <v>5.5</v>
      </c>
      <c r="AK123" s="262">
        <f t="shared" si="75"/>
        <v>0.35291910199922066</v>
      </c>
      <c r="AL123" s="100"/>
      <c r="AM123" s="111">
        <f t="shared" si="76"/>
        <v>5.0999999999999996</v>
      </c>
      <c r="AN123" s="262">
        <f t="shared" si="77"/>
        <v>0.30216765901876724</v>
      </c>
      <c r="AO123" s="100"/>
      <c r="AP123" s="24" t="e">
        <f>VLOOKUP(C123,#REF!,6,FALSE)</f>
        <v>#REF!</v>
      </c>
      <c r="AQ123" s="24" t="e">
        <f>VLOOKUP(C123,#REF!,7,FALSE)</f>
        <v>#REF!</v>
      </c>
      <c r="AR123" s="24" t="e">
        <f>VLOOKUP(C123,#REF!,12,FALSE)</f>
        <v>#REF!</v>
      </c>
      <c r="AS123" s="24" t="e">
        <f>VLOOKUP(C123,#REF!,13,FALSE)</f>
        <v>#REF!</v>
      </c>
      <c r="AT123" s="100">
        <v>5</v>
      </c>
      <c r="AU123" s="100"/>
      <c r="AV123" s="100">
        <v>113</v>
      </c>
      <c r="AW123" s="100"/>
      <c r="AY123" s="112">
        <v>37500</v>
      </c>
    </row>
    <row r="124" spans="1:51" s="2" customFormat="1" ht="12.75" customHeight="1" x14ac:dyDescent="0.2">
      <c r="A124" s="6" t="s">
        <v>1052</v>
      </c>
      <c r="B124" s="8">
        <v>9789500208499</v>
      </c>
      <c r="C124" s="21">
        <v>590781</v>
      </c>
      <c r="D124" s="25">
        <v>232</v>
      </c>
      <c r="E124" s="22" t="s">
        <v>1053</v>
      </c>
      <c r="F124" s="145" t="s">
        <v>100</v>
      </c>
      <c r="G124" s="107">
        <v>42095</v>
      </c>
      <c r="H124" s="108">
        <v>42064</v>
      </c>
      <c r="I124" s="24">
        <v>3000</v>
      </c>
      <c r="J124" s="28" t="s">
        <v>1894</v>
      </c>
      <c r="K124" s="28">
        <v>22.37</v>
      </c>
      <c r="L124" s="128">
        <v>14500</v>
      </c>
      <c r="M124" s="112">
        <f>+L124*0.1</f>
        <v>1450</v>
      </c>
      <c r="N124" s="9">
        <f t="shared" si="59"/>
        <v>7250</v>
      </c>
      <c r="O124" s="9">
        <f t="shared" si="60"/>
        <v>5777.63</v>
      </c>
      <c r="P124" s="9">
        <f t="shared" si="61"/>
        <v>1472.37</v>
      </c>
      <c r="Q124" s="139">
        <f t="shared" si="62"/>
        <v>0.79691448275862076</v>
      </c>
      <c r="R124" s="335">
        <v>14500</v>
      </c>
      <c r="S124" s="359" t="s">
        <v>1948</v>
      </c>
      <c r="T124" s="305">
        <v>0.79691448275862076</v>
      </c>
      <c r="U124" s="144"/>
      <c r="V124" s="100"/>
      <c r="W124" s="110">
        <f t="shared" si="63"/>
        <v>14500</v>
      </c>
      <c r="X124" s="110">
        <f t="shared" si="64"/>
        <v>22.37</v>
      </c>
      <c r="Y124" s="110">
        <f t="shared" si="65"/>
        <v>1450</v>
      </c>
      <c r="Z124" s="110">
        <f t="shared" si="66"/>
        <v>5777.63</v>
      </c>
      <c r="AA124" s="260">
        <f t="shared" si="67"/>
        <v>0.79691448275862076</v>
      </c>
      <c r="AB124" s="28">
        <f t="shared" si="68"/>
        <v>4.8</v>
      </c>
      <c r="AC124" s="261">
        <f t="shared" si="69"/>
        <v>0.79772914606000656</v>
      </c>
      <c r="AD124" s="111">
        <f t="shared" si="70"/>
        <v>1</v>
      </c>
      <c r="AE124" s="262">
        <f t="shared" si="71"/>
        <v>2.9099901088031725E-2</v>
      </c>
      <c r="AF124" s="100"/>
      <c r="AG124" s="111">
        <f t="shared" si="72"/>
        <v>1.6</v>
      </c>
      <c r="AH124" s="262">
        <f t="shared" si="73"/>
        <v>0.39318743818001983</v>
      </c>
      <c r="AI124" s="100"/>
      <c r="AJ124" s="111">
        <f t="shared" si="74"/>
        <v>1.5</v>
      </c>
      <c r="AK124" s="262">
        <f t="shared" si="75"/>
        <v>0.35273326739202115</v>
      </c>
      <c r="AL124" s="100"/>
      <c r="AM124" s="111">
        <f t="shared" si="76"/>
        <v>1.4</v>
      </c>
      <c r="AN124" s="262">
        <f t="shared" si="77"/>
        <v>0.30649992934859405</v>
      </c>
      <c r="AO124" s="100"/>
      <c r="AP124" s="24" t="e">
        <f>VLOOKUP(C124,#REF!,6,FALSE)</f>
        <v>#REF!</v>
      </c>
      <c r="AQ124" s="24" t="e">
        <f>VLOOKUP(C124,#REF!,7,FALSE)</f>
        <v>#REF!</v>
      </c>
      <c r="AR124" s="24" t="e">
        <f>VLOOKUP(C124,#REF!,12,FALSE)</f>
        <v>#REF!</v>
      </c>
      <c r="AS124" s="24" t="e">
        <f>VLOOKUP(C124,#REF!,13,FALSE)</f>
        <v>#REF!</v>
      </c>
      <c r="AT124" s="100"/>
      <c r="AU124" s="100"/>
      <c r="AV124" s="100">
        <v>114</v>
      </c>
      <c r="AW124" s="100"/>
      <c r="AY124" s="128">
        <v>14500</v>
      </c>
    </row>
    <row r="125" spans="1:51" s="2" customFormat="1" ht="12.75" customHeight="1" x14ac:dyDescent="0.2">
      <c r="A125" s="6" t="s">
        <v>1054</v>
      </c>
      <c r="B125" s="8">
        <v>9789500299800</v>
      </c>
      <c r="C125" s="6">
        <v>630235</v>
      </c>
      <c r="D125" s="25">
        <v>464</v>
      </c>
      <c r="E125" s="7" t="s">
        <v>28</v>
      </c>
      <c r="F125" s="11" t="s">
        <v>29</v>
      </c>
      <c r="G125" s="107">
        <v>42887</v>
      </c>
      <c r="H125" s="108">
        <v>42856</v>
      </c>
      <c r="I125" s="24">
        <v>2910</v>
      </c>
      <c r="J125" s="28" t="s">
        <v>1894</v>
      </c>
      <c r="K125" s="28">
        <v>65.56</v>
      </c>
      <c r="L125" s="112">
        <v>28200</v>
      </c>
      <c r="M125" s="12">
        <f>+L125*0.08</f>
        <v>2256</v>
      </c>
      <c r="N125" s="142">
        <f t="shared" si="59"/>
        <v>14100</v>
      </c>
      <c r="O125" s="142">
        <f t="shared" si="60"/>
        <v>11778.44</v>
      </c>
      <c r="P125" s="142">
        <f t="shared" si="61"/>
        <v>2321.56</v>
      </c>
      <c r="Q125" s="139">
        <f t="shared" si="62"/>
        <v>0.83535035460992912</v>
      </c>
      <c r="R125" s="335">
        <v>28200</v>
      </c>
      <c r="S125" s="359" t="s">
        <v>1948</v>
      </c>
      <c r="T125" s="305">
        <v>0.83535035460992912</v>
      </c>
      <c r="U125" s="144"/>
      <c r="V125" s="100"/>
      <c r="W125" s="110">
        <f t="shared" si="63"/>
        <v>28200</v>
      </c>
      <c r="X125" s="110">
        <f t="shared" si="64"/>
        <v>65.56</v>
      </c>
      <c r="Y125" s="110">
        <f t="shared" si="65"/>
        <v>2256</v>
      </c>
      <c r="Z125" s="110">
        <f t="shared" si="66"/>
        <v>11778.44</v>
      </c>
      <c r="AA125" s="260">
        <f t="shared" si="67"/>
        <v>0.83535035460992912</v>
      </c>
      <c r="AB125" s="28">
        <f t="shared" si="68"/>
        <v>9.3000000000000007</v>
      </c>
      <c r="AC125" s="261">
        <f t="shared" si="69"/>
        <v>0.83539063137033853</v>
      </c>
      <c r="AD125" s="111">
        <f t="shared" si="70"/>
        <v>1.6</v>
      </c>
      <c r="AE125" s="262">
        <f t="shared" si="71"/>
        <v>4.3208044840092379E-2</v>
      </c>
      <c r="AF125" s="100"/>
      <c r="AG125" s="111">
        <f t="shared" si="72"/>
        <v>2.6</v>
      </c>
      <c r="AH125" s="262">
        <f t="shared" si="73"/>
        <v>0.41120495067082607</v>
      </c>
      <c r="AI125" s="100"/>
      <c r="AJ125" s="111">
        <f t="shared" si="74"/>
        <v>2.4</v>
      </c>
      <c r="AK125" s="262">
        <f t="shared" si="75"/>
        <v>0.36213869656006153</v>
      </c>
      <c r="AL125" s="100"/>
      <c r="AM125" s="111">
        <f t="shared" si="76"/>
        <v>2.2000000000000002</v>
      </c>
      <c r="AN125" s="262">
        <f t="shared" si="77"/>
        <v>0.30415130533824902</v>
      </c>
      <c r="AO125" s="100"/>
      <c r="AP125" s="24" t="e">
        <f>VLOOKUP(C125,#REF!,6,FALSE)</f>
        <v>#REF!</v>
      </c>
      <c r="AQ125" s="24" t="e">
        <f>VLOOKUP(C125,#REF!,7,FALSE)</f>
        <v>#REF!</v>
      </c>
      <c r="AR125" s="24" t="e">
        <f>VLOOKUP(C125,#REF!,12,FALSE)</f>
        <v>#REF!</v>
      </c>
      <c r="AS125" s="24" t="e">
        <f>VLOOKUP(C125,#REF!,13,FALSE)</f>
        <v>#REF!</v>
      </c>
      <c r="AT125" s="100"/>
      <c r="AU125" s="100"/>
      <c r="AV125" s="100">
        <v>115</v>
      </c>
      <c r="AW125" s="100"/>
      <c r="AY125" s="112">
        <v>28200</v>
      </c>
    </row>
    <row r="126" spans="1:51" s="2" customFormat="1" ht="12.75" customHeight="1" x14ac:dyDescent="0.2">
      <c r="A126" s="6" t="s">
        <v>1055</v>
      </c>
      <c r="B126" s="8">
        <v>9789500209076</v>
      </c>
      <c r="C126" s="6">
        <v>633016</v>
      </c>
      <c r="D126" s="7">
        <v>464</v>
      </c>
      <c r="E126" s="7" t="s">
        <v>65</v>
      </c>
      <c r="F126" s="11" t="s">
        <v>66</v>
      </c>
      <c r="G126" s="107">
        <v>42948</v>
      </c>
      <c r="H126" s="108">
        <v>42917</v>
      </c>
      <c r="I126" s="24">
        <v>2980</v>
      </c>
      <c r="J126" s="28" t="s">
        <v>1762</v>
      </c>
      <c r="K126" s="28">
        <v>44.97</v>
      </c>
      <c r="L126" s="112">
        <v>32900</v>
      </c>
      <c r="M126" s="112">
        <f>+L126*0.13</f>
        <v>4277</v>
      </c>
      <c r="N126" s="9">
        <f t="shared" si="59"/>
        <v>16450</v>
      </c>
      <c r="O126" s="9">
        <f t="shared" si="60"/>
        <v>12128.03</v>
      </c>
      <c r="P126" s="9">
        <f t="shared" si="61"/>
        <v>4321.97</v>
      </c>
      <c r="Q126" s="139">
        <f t="shared" si="62"/>
        <v>0.7372662613981763</v>
      </c>
      <c r="R126" s="335">
        <v>32900</v>
      </c>
      <c r="S126" s="359" t="s">
        <v>1948</v>
      </c>
      <c r="T126" s="305">
        <v>0.7372662613981763</v>
      </c>
      <c r="U126" s="144"/>
      <c r="V126" s="100"/>
      <c r="W126" s="110">
        <f t="shared" si="63"/>
        <v>32900</v>
      </c>
      <c r="X126" s="110">
        <f t="shared" si="64"/>
        <v>44.97</v>
      </c>
      <c r="Y126" s="110">
        <f t="shared" si="65"/>
        <v>4277</v>
      </c>
      <c r="Z126" s="110">
        <f t="shared" si="66"/>
        <v>12128.029999999999</v>
      </c>
      <c r="AA126" s="260">
        <f t="shared" si="67"/>
        <v>0.73726626139817619</v>
      </c>
      <c r="AB126" s="28">
        <f t="shared" si="68"/>
        <v>10.8</v>
      </c>
      <c r="AC126" s="261">
        <f t="shared" si="69"/>
        <v>0.73611446923349333</v>
      </c>
      <c r="AD126" s="111">
        <f t="shared" si="70"/>
        <v>3</v>
      </c>
      <c r="AE126" s="262">
        <f t="shared" si="71"/>
        <v>5.0012089240575833E-2</v>
      </c>
      <c r="AF126" s="100"/>
      <c r="AG126" s="111">
        <f t="shared" si="72"/>
        <v>4.7</v>
      </c>
      <c r="AH126" s="262">
        <f t="shared" si="73"/>
        <v>0.39362473781313351</v>
      </c>
      <c r="AI126" s="100"/>
      <c r="AJ126" s="111">
        <f t="shared" si="74"/>
        <v>4.4000000000000004</v>
      </c>
      <c r="AK126" s="262">
        <f t="shared" si="75"/>
        <v>0.35228096993675628</v>
      </c>
      <c r="AL126" s="100"/>
      <c r="AM126" s="111">
        <f t="shared" si="76"/>
        <v>4.0999999999999996</v>
      </c>
      <c r="AN126" s="262">
        <f t="shared" si="77"/>
        <v>0.30488689456627494</v>
      </c>
      <c r="AO126" s="100"/>
      <c r="AP126" s="24" t="e">
        <f>VLOOKUP(C126,#REF!,6,FALSE)</f>
        <v>#REF!</v>
      </c>
      <c r="AQ126" s="24" t="e">
        <f>VLOOKUP(C126,#REF!,7,FALSE)</f>
        <v>#REF!</v>
      </c>
      <c r="AR126" s="24" t="e">
        <f>VLOOKUP(C126,#REF!,12,FALSE)</f>
        <v>#REF!</v>
      </c>
      <c r="AS126" s="24" t="e">
        <f>VLOOKUP(C126,#REF!,13,FALSE)</f>
        <v>#REF!</v>
      </c>
      <c r="AT126" s="100"/>
      <c r="AU126" s="100"/>
      <c r="AV126" s="100">
        <v>116</v>
      </c>
      <c r="AW126" s="100"/>
      <c r="AY126" s="112">
        <v>32900</v>
      </c>
    </row>
    <row r="127" spans="1:51" s="2" customFormat="1" ht="12.75" customHeight="1" x14ac:dyDescent="0.2">
      <c r="A127" s="7" t="s">
        <v>1056</v>
      </c>
      <c r="B127" s="8">
        <v>9789500210010</v>
      </c>
      <c r="C127" s="8">
        <v>661295</v>
      </c>
      <c r="D127" s="25">
        <v>304</v>
      </c>
      <c r="E127" s="7" t="s">
        <v>430</v>
      </c>
      <c r="F127" s="7" t="s">
        <v>431</v>
      </c>
      <c r="G127" s="107">
        <v>43556</v>
      </c>
      <c r="H127" s="108">
        <v>43525</v>
      </c>
      <c r="I127" s="7">
        <v>2016</v>
      </c>
      <c r="J127" s="28" t="s">
        <v>1894</v>
      </c>
      <c r="K127" s="9">
        <v>112.8</v>
      </c>
      <c r="L127" s="112">
        <v>25600</v>
      </c>
      <c r="M127" s="112">
        <f>+L127*0.08</f>
        <v>2048</v>
      </c>
      <c r="N127" s="9">
        <f t="shared" si="59"/>
        <v>12800</v>
      </c>
      <c r="O127" s="9">
        <f t="shared" si="60"/>
        <v>10639.2</v>
      </c>
      <c r="P127" s="9">
        <f t="shared" si="61"/>
        <v>2160.8000000000002</v>
      </c>
      <c r="Q127" s="139">
        <f t="shared" si="62"/>
        <v>0.83118750000000008</v>
      </c>
      <c r="R127" s="335">
        <v>25600</v>
      </c>
      <c r="S127" s="359" t="s">
        <v>1948</v>
      </c>
      <c r="T127" s="305">
        <v>0.83118750000000008</v>
      </c>
      <c r="U127" s="144"/>
      <c r="V127" s="100"/>
      <c r="W127" s="110">
        <f t="shared" si="63"/>
        <v>25600</v>
      </c>
      <c r="X127" s="110">
        <f t="shared" si="64"/>
        <v>112.8</v>
      </c>
      <c r="Y127" s="110">
        <f t="shared" si="65"/>
        <v>2048</v>
      </c>
      <c r="Z127" s="110">
        <f t="shared" si="66"/>
        <v>10639.2</v>
      </c>
      <c r="AA127" s="260">
        <f t="shared" si="67"/>
        <v>0.83118750000000008</v>
      </c>
      <c r="AB127" s="28">
        <f t="shared" si="68"/>
        <v>8.4</v>
      </c>
      <c r="AC127" s="261">
        <f t="shared" si="69"/>
        <v>0.83037382443910634</v>
      </c>
      <c r="AD127" s="111">
        <f t="shared" si="70"/>
        <v>1.5</v>
      </c>
      <c r="AE127" s="262">
        <f t="shared" si="71"/>
        <v>5.0093416858995411E-2</v>
      </c>
      <c r="AF127" s="100"/>
      <c r="AG127" s="111">
        <f t="shared" si="72"/>
        <v>2.4</v>
      </c>
      <c r="AH127" s="262">
        <f t="shared" si="73"/>
        <v>0.4063083855368721</v>
      </c>
      <c r="AI127" s="100"/>
      <c r="AJ127" s="111">
        <f t="shared" si="74"/>
        <v>2.2000000000000002</v>
      </c>
      <c r="AK127" s="262">
        <f t="shared" si="75"/>
        <v>0.35233642058567871</v>
      </c>
      <c r="AL127" s="100"/>
      <c r="AM127" s="111">
        <f t="shared" si="76"/>
        <v>2</v>
      </c>
      <c r="AN127" s="262">
        <f t="shared" si="77"/>
        <v>0.28757006264424656</v>
      </c>
      <c r="AO127" s="100"/>
      <c r="AP127" s="24" t="e">
        <f>VLOOKUP(C127,#REF!,6,FALSE)</f>
        <v>#REF!</v>
      </c>
      <c r="AQ127" s="24" t="e">
        <f>VLOOKUP(C127,#REF!,7,FALSE)</f>
        <v>#REF!</v>
      </c>
      <c r="AR127" s="24" t="e">
        <f>VLOOKUP(C127,#REF!,12,FALSE)</f>
        <v>#REF!</v>
      </c>
      <c r="AS127" s="24" t="e">
        <f>VLOOKUP(C127,#REF!,13,FALSE)</f>
        <v>#REF!</v>
      </c>
      <c r="AT127" s="100"/>
      <c r="AU127" s="100"/>
      <c r="AV127" s="100">
        <v>117</v>
      </c>
      <c r="AW127" s="100"/>
      <c r="AY127" s="112">
        <v>25600</v>
      </c>
    </row>
    <row r="128" spans="1:51" s="2" customFormat="1" ht="12.75" customHeight="1" x14ac:dyDescent="0.2">
      <c r="A128" s="6" t="s">
        <v>1057</v>
      </c>
      <c r="B128" s="8">
        <v>9789500299428</v>
      </c>
      <c r="C128" s="8">
        <v>618705</v>
      </c>
      <c r="D128" s="7">
        <v>632</v>
      </c>
      <c r="E128" s="11" t="s">
        <v>70</v>
      </c>
      <c r="F128" s="11" t="s">
        <v>71</v>
      </c>
      <c r="G128" s="107">
        <v>42614</v>
      </c>
      <c r="H128" s="108">
        <v>44197</v>
      </c>
      <c r="I128" s="24">
        <v>2028</v>
      </c>
      <c r="J128" s="28" t="s">
        <v>1946</v>
      </c>
      <c r="K128" s="28">
        <v>171.86</v>
      </c>
      <c r="L128" s="112">
        <v>42300</v>
      </c>
      <c r="M128" s="112">
        <f>+L128*0.13</f>
        <v>5499</v>
      </c>
      <c r="N128" s="9">
        <f t="shared" si="59"/>
        <v>21150</v>
      </c>
      <c r="O128" s="9">
        <f t="shared" si="60"/>
        <v>15479.14</v>
      </c>
      <c r="P128" s="9">
        <f t="shared" si="61"/>
        <v>5670.86</v>
      </c>
      <c r="Q128" s="139">
        <f t="shared" si="62"/>
        <v>0.73187423167848698</v>
      </c>
      <c r="R128" s="335">
        <v>42300</v>
      </c>
      <c r="S128" s="359" t="s">
        <v>1948</v>
      </c>
      <c r="T128" s="305">
        <v>0.73187423167848698</v>
      </c>
      <c r="U128" s="144"/>
      <c r="V128" s="100"/>
      <c r="W128" s="110">
        <f t="shared" si="63"/>
        <v>42300</v>
      </c>
      <c r="X128" s="110">
        <f t="shared" si="64"/>
        <v>171.86</v>
      </c>
      <c r="Y128" s="110">
        <f t="shared" si="65"/>
        <v>5499</v>
      </c>
      <c r="Z128" s="110">
        <f t="shared" si="66"/>
        <v>15479.14</v>
      </c>
      <c r="AA128" s="260">
        <f t="shared" si="67"/>
        <v>0.73187423167848698</v>
      </c>
      <c r="AB128" s="28">
        <f t="shared" si="68"/>
        <v>13.9</v>
      </c>
      <c r="AC128" s="261">
        <f t="shared" si="69"/>
        <v>0.73097557562258797</v>
      </c>
      <c r="AD128" s="111">
        <f t="shared" si="70"/>
        <v>3.9</v>
      </c>
      <c r="AE128" s="262">
        <f t="shared" si="71"/>
        <v>4.1169359270249443E-2</v>
      </c>
      <c r="AF128" s="100"/>
      <c r="AG128" s="111">
        <f t="shared" si="72"/>
        <v>6.2</v>
      </c>
      <c r="AH128" s="262">
        <f t="shared" si="73"/>
        <v>0.39686459696031823</v>
      </c>
      <c r="AI128" s="100"/>
      <c r="AJ128" s="111">
        <f t="shared" si="74"/>
        <v>5.8</v>
      </c>
      <c r="AK128" s="262">
        <f t="shared" si="75"/>
        <v>0.35526905192309866</v>
      </c>
      <c r="AL128" s="100"/>
      <c r="AM128" s="111">
        <f t="shared" si="76"/>
        <v>5.3</v>
      </c>
      <c r="AN128" s="262">
        <f t="shared" si="77"/>
        <v>0.29444537757622136</v>
      </c>
      <c r="AO128" s="100"/>
      <c r="AP128" s="24" t="e">
        <f>VLOOKUP(C128,#REF!,6,FALSE)</f>
        <v>#REF!</v>
      </c>
      <c r="AQ128" s="24" t="e">
        <f>VLOOKUP(C128,#REF!,7,FALSE)</f>
        <v>#REF!</v>
      </c>
      <c r="AR128" s="24" t="e">
        <f>VLOOKUP(C128,#REF!,12,FALSE)</f>
        <v>#REF!</v>
      </c>
      <c r="AS128" s="24" t="e">
        <f>VLOOKUP(C128,#REF!,13,FALSE)</f>
        <v>#REF!</v>
      </c>
      <c r="AT128" s="100"/>
      <c r="AU128" s="100"/>
      <c r="AV128" s="100">
        <v>118</v>
      </c>
      <c r="AW128" s="100"/>
      <c r="AY128" s="112">
        <v>42300</v>
      </c>
    </row>
    <row r="129" spans="1:51" s="2" customFormat="1" ht="12.75" customHeight="1" x14ac:dyDescent="0.2">
      <c r="A129" s="7" t="s">
        <v>1058</v>
      </c>
      <c r="B129" s="33">
        <v>9789500299862</v>
      </c>
      <c r="C129" s="6">
        <v>649882</v>
      </c>
      <c r="D129" s="7">
        <v>480</v>
      </c>
      <c r="E129" s="7" t="s">
        <v>381</v>
      </c>
      <c r="F129" s="15" t="s">
        <v>382</v>
      </c>
      <c r="G129" s="107">
        <v>43252</v>
      </c>
      <c r="H129" s="108">
        <v>43221</v>
      </c>
      <c r="I129" s="24">
        <v>3000</v>
      </c>
      <c r="J129" s="28" t="s">
        <v>1894</v>
      </c>
      <c r="K129" s="28">
        <v>84.85</v>
      </c>
      <c r="L129" s="112">
        <v>29000</v>
      </c>
      <c r="M129" s="112">
        <f>+L129*0.08</f>
        <v>2320</v>
      </c>
      <c r="N129" s="9">
        <f t="shared" si="59"/>
        <v>14500</v>
      </c>
      <c r="O129" s="9">
        <f t="shared" si="60"/>
        <v>12095.15</v>
      </c>
      <c r="P129" s="9">
        <f t="shared" si="61"/>
        <v>2404.85</v>
      </c>
      <c r="Q129" s="139">
        <f t="shared" si="62"/>
        <v>0.83414827586206897</v>
      </c>
      <c r="R129" s="335">
        <v>29000</v>
      </c>
      <c r="S129" s="359" t="s">
        <v>1948</v>
      </c>
      <c r="T129" s="305">
        <v>0.83414827586206897</v>
      </c>
      <c r="U129" s="144"/>
      <c r="V129" s="100"/>
      <c r="W129" s="110">
        <f t="shared" si="63"/>
        <v>29000</v>
      </c>
      <c r="X129" s="110">
        <f t="shared" si="64"/>
        <v>84.85</v>
      </c>
      <c r="Y129" s="110">
        <f t="shared" si="65"/>
        <v>2320</v>
      </c>
      <c r="Z129" s="110">
        <f t="shared" si="66"/>
        <v>12095.15</v>
      </c>
      <c r="AA129" s="260">
        <f t="shared" si="67"/>
        <v>0.83414827586206897</v>
      </c>
      <c r="AB129" s="28">
        <f t="shared" si="68"/>
        <v>9.6</v>
      </c>
      <c r="AC129" s="261">
        <f t="shared" si="69"/>
        <v>0.83481357841521042</v>
      </c>
      <c r="AD129" s="111">
        <f t="shared" si="70"/>
        <v>1.7</v>
      </c>
      <c r="AE129" s="262">
        <f t="shared" si="71"/>
        <v>6.7182560462364899E-2</v>
      </c>
      <c r="AF129" s="100"/>
      <c r="AG129" s="111">
        <f t="shared" si="72"/>
        <v>2.6</v>
      </c>
      <c r="AH129" s="262">
        <f t="shared" si="73"/>
        <v>0.3900809049177002</v>
      </c>
      <c r="AI129" s="100"/>
      <c r="AJ129" s="111">
        <f t="shared" si="74"/>
        <v>2.4</v>
      </c>
      <c r="AK129" s="262">
        <f t="shared" si="75"/>
        <v>0.33925431366084186</v>
      </c>
      <c r="AL129" s="100"/>
      <c r="AM129" s="111">
        <f t="shared" si="76"/>
        <v>2.2999999999999998</v>
      </c>
      <c r="AN129" s="262">
        <f t="shared" si="77"/>
        <v>0.31052624034174803</v>
      </c>
      <c r="AO129" s="100"/>
      <c r="AP129" s="24" t="e">
        <f>VLOOKUP(C129,#REF!,6,FALSE)</f>
        <v>#REF!</v>
      </c>
      <c r="AQ129" s="24" t="e">
        <f>VLOOKUP(C129,#REF!,7,FALSE)</f>
        <v>#REF!</v>
      </c>
      <c r="AR129" s="24" t="e">
        <f>VLOOKUP(C129,#REF!,12,FALSE)</f>
        <v>#REF!</v>
      </c>
      <c r="AS129" s="24" t="e">
        <f>VLOOKUP(C129,#REF!,13,FALSE)</f>
        <v>#REF!</v>
      </c>
      <c r="AT129" s="100"/>
      <c r="AU129" s="100"/>
      <c r="AV129" s="100">
        <v>119</v>
      </c>
      <c r="AW129" s="100"/>
      <c r="AY129" s="112">
        <v>29000</v>
      </c>
    </row>
    <row r="130" spans="1:51" s="2" customFormat="1" ht="12.75" customHeight="1" x14ac:dyDescent="0.2">
      <c r="A130" s="6" t="s">
        <v>1059</v>
      </c>
      <c r="B130" s="8">
        <v>9789500208567</v>
      </c>
      <c r="C130" s="8">
        <v>594408</v>
      </c>
      <c r="D130" s="7">
        <v>320</v>
      </c>
      <c r="E130" s="7" t="s">
        <v>445</v>
      </c>
      <c r="F130" s="6" t="s">
        <v>101</v>
      </c>
      <c r="G130" s="107">
        <v>42217</v>
      </c>
      <c r="H130" s="108">
        <v>42186</v>
      </c>
      <c r="I130" s="24">
        <v>4087</v>
      </c>
      <c r="J130" s="28" t="s">
        <v>1894</v>
      </c>
      <c r="K130" s="28">
        <v>21.13</v>
      </c>
      <c r="L130" s="9">
        <v>23400</v>
      </c>
      <c r="M130" s="112">
        <f>+L130*0.13</f>
        <v>3042</v>
      </c>
      <c r="N130" s="9">
        <f t="shared" ref="N130:N163" si="79">+L130/2</f>
        <v>11700</v>
      </c>
      <c r="O130" s="9">
        <f t="shared" ref="O130:O161" si="80">+N130-M130-K130</f>
        <v>8636.8700000000008</v>
      </c>
      <c r="P130" s="9">
        <f t="shared" ref="P130:P163" si="81">+M130+K130</f>
        <v>3063.13</v>
      </c>
      <c r="Q130" s="139">
        <f t="shared" ref="Q130:Q163" si="82">+O130/N130</f>
        <v>0.73819401709401711</v>
      </c>
      <c r="R130" s="335">
        <v>23400</v>
      </c>
      <c r="S130" s="359" t="s">
        <v>1948</v>
      </c>
      <c r="T130" s="305">
        <v>0.73819401709401711</v>
      </c>
      <c r="U130" s="144"/>
      <c r="V130" s="100"/>
      <c r="W130" s="110">
        <f t="shared" ref="W130:W163" si="83">+L130</f>
        <v>23400</v>
      </c>
      <c r="X130" s="110">
        <f t="shared" ref="X130:X163" si="84">+K130</f>
        <v>21.13</v>
      </c>
      <c r="Y130" s="110">
        <f t="shared" ref="Y130:Y163" si="85">+M130</f>
        <v>3042</v>
      </c>
      <c r="Z130" s="110">
        <f t="shared" ref="Z130:Z161" si="86">+W130/2-X130-Y130</f>
        <v>8636.8700000000008</v>
      </c>
      <c r="AA130" s="260">
        <f t="shared" ref="AA130:AA161" si="87">+Z130/(W130/2)</f>
        <v>0.73819401709401711</v>
      </c>
      <c r="AB130" s="28">
        <f t="shared" ref="AB130:AB163" si="88">ROUND($W130/2/$X$1,1)</f>
        <v>7.7</v>
      </c>
      <c r="AC130" s="261">
        <f t="shared" ref="AC130:AC161" si="89">+(AB130*$X$1-$X130-$Y130)/(AB130*$X$1)</f>
        <v>0.73767946527590456</v>
      </c>
      <c r="AD130" s="111">
        <f t="shared" ref="AD130:AD163" si="90">+IFERROR(ROUND(($X130+$Y130)/(1-$X$2)/$X$1,1),0)</f>
        <v>2.1</v>
      </c>
      <c r="AE130" s="262">
        <f t="shared" ref="AE130:AE161" si="91">+(AD130*$X$1-$X130-$Y130)/(AD130*$X$1)</f>
        <v>3.8158039344982957E-2</v>
      </c>
      <c r="AF130" s="100"/>
      <c r="AG130" s="111">
        <f t="shared" ref="AG130:AG163" si="92">+IFERROR(ROUND(($X130+$Y130)/(1-$AG$2)/$X$1,1),0)</f>
        <v>3.4</v>
      </c>
      <c r="AH130" s="262">
        <f t="shared" ref="AH130:AH161" si="93">+(AG130*$X$1-$X130-$Y130)/(AG130*$X$1)</f>
        <v>0.40592114194837176</v>
      </c>
      <c r="AI130" s="100"/>
      <c r="AJ130" s="111">
        <f t="shared" ref="AJ130:AJ163" si="94">+IFERROR(ROUND(($X130+$Y130)/(1-$AJ$2)/$X$1,1),0)</f>
        <v>3.1</v>
      </c>
      <c r="AK130" s="262">
        <f t="shared" ref="AK130:AK161" si="95">+(AJ130*$X$1-$X130-$Y130)/(AJ130*$X$1)</f>
        <v>0.34842963955627881</v>
      </c>
      <c r="AL130" s="100"/>
      <c r="AM130" s="111">
        <f t="shared" ref="AM130:AM163" si="96">+IFERROR(ROUND(($X130+$Y130)/(1-$AM$2)/$X$1,1),0)</f>
        <v>2.9</v>
      </c>
      <c r="AN130" s="262">
        <f t="shared" ref="AN130:AN161" si="97">+(AM130*$X$1-$X130-$Y130)/(AM130*$X$1)</f>
        <v>0.30349375262912548</v>
      </c>
      <c r="AO130" s="100"/>
      <c r="AP130" s="24" t="e">
        <f>VLOOKUP(C130,#REF!,6,FALSE)</f>
        <v>#REF!</v>
      </c>
      <c r="AQ130" s="24" t="e">
        <f>VLOOKUP(C130,#REF!,7,FALSE)</f>
        <v>#REF!</v>
      </c>
      <c r="AR130" s="24" t="e">
        <f>VLOOKUP(C130,#REF!,12,FALSE)</f>
        <v>#REF!</v>
      </c>
      <c r="AS130" s="24" t="e">
        <f>VLOOKUP(C130,#REF!,13,FALSE)</f>
        <v>#REF!</v>
      </c>
      <c r="AT130" s="100"/>
      <c r="AU130" s="100"/>
      <c r="AV130" s="100">
        <v>120</v>
      </c>
      <c r="AW130" s="100"/>
      <c r="AY130" s="9">
        <v>23400</v>
      </c>
    </row>
    <row r="131" spans="1:51" s="2" customFormat="1" ht="12.75" customHeight="1" x14ac:dyDescent="0.2">
      <c r="A131" s="7" t="s">
        <v>1060</v>
      </c>
      <c r="B131" s="8">
        <v>9789500210065</v>
      </c>
      <c r="C131" s="8">
        <v>665949</v>
      </c>
      <c r="D131" s="25">
        <v>316</v>
      </c>
      <c r="E131" s="7" t="s">
        <v>445</v>
      </c>
      <c r="F131" s="6" t="s">
        <v>1061</v>
      </c>
      <c r="G131" s="107">
        <v>43647</v>
      </c>
      <c r="H131" s="108">
        <v>43617</v>
      </c>
      <c r="I131" s="24">
        <v>1830</v>
      </c>
      <c r="J131" s="28" t="s">
        <v>1894</v>
      </c>
      <c r="K131" s="28">
        <v>21.13</v>
      </c>
      <c r="L131" s="112">
        <v>23400</v>
      </c>
      <c r="M131" s="9">
        <f>+L131*0.15</f>
        <v>3510</v>
      </c>
      <c r="N131" s="9">
        <f t="shared" si="79"/>
        <v>11700</v>
      </c>
      <c r="O131" s="9">
        <f t="shared" si="80"/>
        <v>8168.87</v>
      </c>
      <c r="P131" s="9">
        <f t="shared" si="81"/>
        <v>3531.13</v>
      </c>
      <c r="Q131" s="139">
        <f t="shared" si="82"/>
        <v>0.69819401709401707</v>
      </c>
      <c r="R131" s="335">
        <v>23400</v>
      </c>
      <c r="S131" s="359" t="s">
        <v>1948</v>
      </c>
      <c r="T131" s="305">
        <v>0.69819401709401707</v>
      </c>
      <c r="U131" s="144"/>
      <c r="V131" s="100"/>
      <c r="W131" s="110">
        <f t="shared" si="83"/>
        <v>23400</v>
      </c>
      <c r="X131" s="110">
        <f t="shared" si="84"/>
        <v>21.13</v>
      </c>
      <c r="Y131" s="110">
        <f t="shared" si="85"/>
        <v>3510</v>
      </c>
      <c r="Z131" s="110">
        <f t="shared" si="86"/>
        <v>8168.8700000000008</v>
      </c>
      <c r="AA131" s="260">
        <f t="shared" si="87"/>
        <v>0.69819401709401718</v>
      </c>
      <c r="AB131" s="28">
        <f t="shared" si="88"/>
        <v>7.7</v>
      </c>
      <c r="AC131" s="261">
        <f t="shared" si="89"/>
        <v>0.69760084952963297</v>
      </c>
      <c r="AD131" s="111">
        <f t="shared" si="90"/>
        <v>2.5</v>
      </c>
      <c r="AE131" s="262">
        <f t="shared" si="91"/>
        <v>6.8610616551269335E-2</v>
      </c>
      <c r="AF131" s="100"/>
      <c r="AG131" s="111">
        <f t="shared" si="92"/>
        <v>3.9</v>
      </c>
      <c r="AH131" s="262">
        <f t="shared" si="93"/>
        <v>0.40295552343030078</v>
      </c>
      <c r="AI131" s="100"/>
      <c r="AJ131" s="111">
        <f t="shared" si="94"/>
        <v>3.6</v>
      </c>
      <c r="AK131" s="262">
        <f t="shared" si="95"/>
        <v>0.35320181704949266</v>
      </c>
      <c r="AL131" s="100"/>
      <c r="AM131" s="111">
        <f t="shared" si="96"/>
        <v>3.3</v>
      </c>
      <c r="AN131" s="262">
        <f t="shared" si="97"/>
        <v>0.2944019822358101</v>
      </c>
      <c r="AO131" s="100"/>
      <c r="AP131" s="24" t="e">
        <f>VLOOKUP(C131,#REF!,6,FALSE)</f>
        <v>#REF!</v>
      </c>
      <c r="AQ131" s="24" t="e">
        <f>VLOOKUP(C131,#REF!,7,FALSE)</f>
        <v>#REF!</v>
      </c>
      <c r="AR131" s="24" t="e">
        <f>VLOOKUP(C131,#REF!,12,FALSE)</f>
        <v>#REF!</v>
      </c>
      <c r="AS131" s="24" t="e">
        <f>VLOOKUP(C131,#REF!,13,FALSE)</f>
        <v>#REF!</v>
      </c>
      <c r="AT131" s="100"/>
      <c r="AU131" s="100"/>
      <c r="AV131" s="100">
        <v>121</v>
      </c>
      <c r="AW131" s="100"/>
      <c r="AY131" s="112">
        <v>23400</v>
      </c>
    </row>
    <row r="132" spans="1:51" s="2" customFormat="1" ht="12.75" customHeight="1" x14ac:dyDescent="0.2">
      <c r="A132" s="6" t="s">
        <v>1062</v>
      </c>
      <c r="B132" s="8">
        <v>9789500208178</v>
      </c>
      <c r="C132" s="21">
        <v>582266</v>
      </c>
      <c r="D132" s="7">
        <v>544</v>
      </c>
      <c r="E132" s="7" t="s">
        <v>97</v>
      </c>
      <c r="F132" s="7" t="s">
        <v>98</v>
      </c>
      <c r="G132" s="107">
        <v>41974</v>
      </c>
      <c r="H132" s="108">
        <v>41852</v>
      </c>
      <c r="I132" s="24">
        <v>3162</v>
      </c>
      <c r="J132" s="28" t="s">
        <v>1894</v>
      </c>
      <c r="K132" s="28">
        <v>26.26</v>
      </c>
      <c r="L132" s="112">
        <v>24500</v>
      </c>
      <c r="M132" s="9">
        <f>+L132*0.13</f>
        <v>3185</v>
      </c>
      <c r="N132" s="9">
        <f t="shared" si="79"/>
        <v>12250</v>
      </c>
      <c r="O132" s="9">
        <f t="shared" si="80"/>
        <v>9038.74</v>
      </c>
      <c r="P132" s="9">
        <f t="shared" si="81"/>
        <v>3211.26</v>
      </c>
      <c r="Q132" s="139">
        <f t="shared" si="82"/>
        <v>0.73785632653061217</v>
      </c>
      <c r="R132" s="335">
        <v>24500</v>
      </c>
      <c r="S132" s="359" t="s">
        <v>1948</v>
      </c>
      <c r="T132" s="305">
        <v>0.73785632653061217</v>
      </c>
      <c r="U132" s="115" t="s">
        <v>1063</v>
      </c>
      <c r="V132" s="100"/>
      <c r="W132" s="110">
        <f t="shared" si="83"/>
        <v>24500</v>
      </c>
      <c r="X132" s="110">
        <f t="shared" si="84"/>
        <v>26.26</v>
      </c>
      <c r="Y132" s="110">
        <f t="shared" si="85"/>
        <v>3185</v>
      </c>
      <c r="Z132" s="110">
        <f t="shared" si="86"/>
        <v>9038.74</v>
      </c>
      <c r="AA132" s="260">
        <f t="shared" si="87"/>
        <v>0.73785632653061217</v>
      </c>
      <c r="AB132" s="28">
        <f t="shared" si="88"/>
        <v>8.1</v>
      </c>
      <c r="AC132" s="261">
        <f t="shared" si="89"/>
        <v>0.73857444652037463</v>
      </c>
      <c r="AD132" s="111">
        <f t="shared" si="90"/>
        <v>2.2000000000000002</v>
      </c>
      <c r="AE132" s="262">
        <f t="shared" si="91"/>
        <v>3.7478644006833907E-2</v>
      </c>
      <c r="AF132" s="100"/>
      <c r="AG132" s="111">
        <f t="shared" si="92"/>
        <v>3.5</v>
      </c>
      <c r="AH132" s="262">
        <f t="shared" si="93"/>
        <v>0.39498657623286698</v>
      </c>
      <c r="AI132" s="100"/>
      <c r="AJ132" s="111">
        <f t="shared" si="94"/>
        <v>3.3</v>
      </c>
      <c r="AK132" s="262">
        <f t="shared" si="95"/>
        <v>0.35831909600455586</v>
      </c>
      <c r="AL132" s="100"/>
      <c r="AM132" s="111">
        <f t="shared" si="96"/>
        <v>3</v>
      </c>
      <c r="AN132" s="262">
        <f t="shared" si="97"/>
        <v>0.29415100560501151</v>
      </c>
      <c r="AO132" s="100"/>
      <c r="AP132" s="24" t="e">
        <f>VLOOKUP(C132,#REF!,6,FALSE)</f>
        <v>#REF!</v>
      </c>
      <c r="AQ132" s="24" t="e">
        <f>VLOOKUP(C132,#REF!,7,FALSE)</f>
        <v>#REF!</v>
      </c>
      <c r="AR132" s="24" t="e">
        <f>VLOOKUP(C132,#REF!,12,FALSE)</f>
        <v>#REF!</v>
      </c>
      <c r="AS132" s="24" t="e">
        <f>VLOOKUP(C132,#REF!,13,FALSE)</f>
        <v>#REF!</v>
      </c>
      <c r="AT132" s="100"/>
      <c r="AU132" s="100"/>
      <c r="AV132" s="100">
        <v>122</v>
      </c>
      <c r="AW132" s="100"/>
      <c r="AY132" s="112">
        <v>24500</v>
      </c>
    </row>
    <row r="133" spans="1:51" s="2" customFormat="1" ht="12.75" customHeight="1" x14ac:dyDescent="0.2">
      <c r="A133" s="11" t="s">
        <v>1064</v>
      </c>
      <c r="B133" s="13">
        <v>9789500209908</v>
      </c>
      <c r="C133" s="8">
        <v>657292</v>
      </c>
      <c r="D133" s="7">
        <v>136</v>
      </c>
      <c r="E133" s="6" t="s">
        <v>419</v>
      </c>
      <c r="F133" s="11" t="s">
        <v>1065</v>
      </c>
      <c r="G133" s="107">
        <v>43435</v>
      </c>
      <c r="H133" s="108">
        <v>45170</v>
      </c>
      <c r="I133" s="7">
        <v>3036</v>
      </c>
      <c r="J133" s="28" t="s">
        <v>2136</v>
      </c>
      <c r="K133" s="117">
        <v>1626.47</v>
      </c>
      <c r="L133" s="112">
        <v>44900</v>
      </c>
      <c r="M133" s="112">
        <f>+L133*0.15</f>
        <v>6735</v>
      </c>
      <c r="N133" s="9">
        <f t="shared" si="79"/>
        <v>22450</v>
      </c>
      <c r="O133" s="9">
        <f t="shared" si="80"/>
        <v>14088.53</v>
      </c>
      <c r="P133" s="9">
        <f t="shared" si="81"/>
        <v>8361.4699999999993</v>
      </c>
      <c r="Q133" s="139">
        <f t="shared" si="82"/>
        <v>0.62755144766146997</v>
      </c>
      <c r="R133" s="335">
        <v>44900</v>
      </c>
      <c r="S133" s="359" t="s">
        <v>1948</v>
      </c>
      <c r="T133" s="305">
        <v>0.62755144766146997</v>
      </c>
      <c r="U133" s="144"/>
      <c r="V133" s="100"/>
      <c r="W133" s="110">
        <f t="shared" si="83"/>
        <v>44900</v>
      </c>
      <c r="X133" s="110">
        <f t="shared" si="84"/>
        <v>1626.47</v>
      </c>
      <c r="Y133" s="110">
        <f t="shared" si="85"/>
        <v>6735</v>
      </c>
      <c r="Z133" s="110">
        <f t="shared" si="86"/>
        <v>14088.529999999999</v>
      </c>
      <c r="AA133" s="260">
        <f t="shared" si="87"/>
        <v>0.62755144766146986</v>
      </c>
      <c r="AB133" s="28">
        <f t="shared" si="88"/>
        <v>14.8</v>
      </c>
      <c r="AC133" s="261">
        <f t="shared" si="89"/>
        <v>0.62745520000712873</v>
      </c>
      <c r="AD133" s="111">
        <f t="shared" si="90"/>
        <v>5.8</v>
      </c>
      <c r="AE133" s="262">
        <f t="shared" si="91"/>
        <v>4.9368441397500906E-2</v>
      </c>
      <c r="AF133" s="100"/>
      <c r="AG133" s="111">
        <f t="shared" si="92"/>
        <v>9.1999999999999993</v>
      </c>
      <c r="AH133" s="262">
        <f t="shared" si="93"/>
        <v>0.40068880001146806</v>
      </c>
      <c r="AI133" s="100"/>
      <c r="AJ133" s="111">
        <f t="shared" si="94"/>
        <v>8.5</v>
      </c>
      <c r="AK133" s="262">
        <f t="shared" si="95"/>
        <v>0.35133376001241251</v>
      </c>
      <c r="AL133" s="100"/>
      <c r="AM133" s="111">
        <f t="shared" si="96"/>
        <v>7.9</v>
      </c>
      <c r="AN133" s="262">
        <f t="shared" si="97"/>
        <v>0.30206796963360844</v>
      </c>
      <c r="AO133" s="100"/>
      <c r="AP133" s="24" t="e">
        <f>VLOOKUP(C133,#REF!,6,FALSE)</f>
        <v>#REF!</v>
      </c>
      <c r="AQ133" s="24" t="e">
        <f>VLOOKUP(C133,#REF!,7,FALSE)</f>
        <v>#REF!</v>
      </c>
      <c r="AR133" s="24" t="e">
        <f>VLOOKUP(C133,#REF!,12,FALSE)</f>
        <v>#REF!</v>
      </c>
      <c r="AS133" s="24" t="e">
        <f>VLOOKUP(C133,#REF!,13,FALSE)</f>
        <v>#REF!</v>
      </c>
      <c r="AT133" s="100"/>
      <c r="AU133" s="100"/>
      <c r="AV133" s="100">
        <v>123</v>
      </c>
      <c r="AW133" s="100"/>
      <c r="AY133" s="112">
        <v>44900</v>
      </c>
    </row>
    <row r="134" spans="1:51" s="2" customFormat="1" ht="12.75" customHeight="1" x14ac:dyDescent="0.2">
      <c r="A134" s="6" t="s">
        <v>1066</v>
      </c>
      <c r="B134" s="8">
        <v>9789500298711</v>
      </c>
      <c r="C134" s="8">
        <v>600866</v>
      </c>
      <c r="D134" s="25">
        <v>384</v>
      </c>
      <c r="E134" s="22" t="s">
        <v>88</v>
      </c>
      <c r="F134" s="6" t="s">
        <v>89</v>
      </c>
      <c r="G134" s="107">
        <v>42339</v>
      </c>
      <c r="H134" s="108">
        <v>42795</v>
      </c>
      <c r="I134" s="24">
        <v>1500</v>
      </c>
      <c r="J134" s="28" t="s">
        <v>1894</v>
      </c>
      <c r="K134" s="28">
        <v>42.19</v>
      </c>
      <c r="L134" s="128">
        <v>24500</v>
      </c>
      <c r="M134" s="12">
        <f>+L134*0.13</f>
        <v>3185</v>
      </c>
      <c r="N134" s="9">
        <f t="shared" si="79"/>
        <v>12250</v>
      </c>
      <c r="O134" s="9">
        <f t="shared" si="80"/>
        <v>9022.81</v>
      </c>
      <c r="P134" s="9">
        <f t="shared" si="81"/>
        <v>3227.19</v>
      </c>
      <c r="Q134" s="139">
        <f t="shared" si="82"/>
        <v>0.73655591836734691</v>
      </c>
      <c r="R134" s="335">
        <v>24500</v>
      </c>
      <c r="S134" s="359" t="s">
        <v>1948</v>
      </c>
      <c r="T134" s="305">
        <v>0.73655591836734691</v>
      </c>
      <c r="U134" s="144"/>
      <c r="V134" s="100"/>
      <c r="W134" s="110">
        <f t="shared" si="83"/>
        <v>24500</v>
      </c>
      <c r="X134" s="110">
        <f t="shared" si="84"/>
        <v>42.19</v>
      </c>
      <c r="Y134" s="110">
        <f t="shared" si="85"/>
        <v>3185</v>
      </c>
      <c r="Z134" s="110">
        <f t="shared" si="86"/>
        <v>9022.81</v>
      </c>
      <c r="AA134" s="260">
        <f t="shared" si="87"/>
        <v>0.73655591836734691</v>
      </c>
      <c r="AB134" s="28">
        <f t="shared" si="88"/>
        <v>8.1</v>
      </c>
      <c r="AC134" s="261">
        <f t="shared" si="89"/>
        <v>0.73727760071314308</v>
      </c>
      <c r="AD134" s="111">
        <f t="shared" si="90"/>
        <v>2.2000000000000002</v>
      </c>
      <c r="AE134" s="262">
        <f t="shared" si="91"/>
        <v>3.2703893534754107E-2</v>
      </c>
      <c r="AF134" s="100"/>
      <c r="AG134" s="111">
        <f t="shared" si="92"/>
        <v>3.5</v>
      </c>
      <c r="AH134" s="262">
        <f t="shared" si="93"/>
        <v>0.39198530450755975</v>
      </c>
      <c r="AI134" s="100"/>
      <c r="AJ134" s="111">
        <f t="shared" si="94"/>
        <v>3.3</v>
      </c>
      <c r="AK134" s="262">
        <f t="shared" si="95"/>
        <v>0.35513592902316943</v>
      </c>
      <c r="AL134" s="100"/>
      <c r="AM134" s="111">
        <f t="shared" si="96"/>
        <v>3</v>
      </c>
      <c r="AN134" s="262">
        <f t="shared" si="97"/>
        <v>0.29064952192548643</v>
      </c>
      <c r="AO134" s="100"/>
      <c r="AP134" s="24" t="e">
        <f>VLOOKUP(C134,#REF!,6,FALSE)</f>
        <v>#REF!</v>
      </c>
      <c r="AQ134" s="24" t="e">
        <f>VLOOKUP(C134,#REF!,7,FALSE)</f>
        <v>#REF!</v>
      </c>
      <c r="AR134" s="24" t="e">
        <f>VLOOKUP(C134,#REF!,12,FALSE)</f>
        <v>#REF!</v>
      </c>
      <c r="AS134" s="24" t="e">
        <f>VLOOKUP(C134,#REF!,13,FALSE)</f>
        <v>#REF!</v>
      </c>
      <c r="AT134" s="100"/>
      <c r="AU134" s="100"/>
      <c r="AV134" s="100">
        <v>124</v>
      </c>
      <c r="AW134" s="100"/>
      <c r="AY134" s="128">
        <v>24500</v>
      </c>
    </row>
    <row r="135" spans="1:51" s="2" customFormat="1" ht="12.75" customHeight="1" x14ac:dyDescent="0.2">
      <c r="A135" s="7" t="s">
        <v>1067</v>
      </c>
      <c r="B135" s="8">
        <v>9789500298896</v>
      </c>
      <c r="C135" s="6">
        <v>623592</v>
      </c>
      <c r="D135" s="7">
        <v>656</v>
      </c>
      <c r="E135" s="9" t="s">
        <v>76</v>
      </c>
      <c r="F135" s="7" t="s">
        <v>77</v>
      </c>
      <c r="G135" s="107">
        <v>42705</v>
      </c>
      <c r="H135" s="108">
        <v>42675</v>
      </c>
      <c r="I135" s="24">
        <v>3033</v>
      </c>
      <c r="J135" s="28" t="s">
        <v>1894</v>
      </c>
      <c r="K135" s="28">
        <v>53.51</v>
      </c>
      <c r="L135" s="112">
        <v>37500</v>
      </c>
      <c r="M135" s="9">
        <f>+L135*0.13</f>
        <v>4875</v>
      </c>
      <c r="N135" s="9">
        <f t="shared" si="79"/>
        <v>18750</v>
      </c>
      <c r="O135" s="9">
        <f t="shared" si="80"/>
        <v>13821.49</v>
      </c>
      <c r="P135" s="9">
        <f t="shared" si="81"/>
        <v>4928.51</v>
      </c>
      <c r="Q135" s="139">
        <f t="shared" si="82"/>
        <v>0.73714613333333334</v>
      </c>
      <c r="R135" s="335">
        <v>37500</v>
      </c>
      <c r="S135" s="359" t="s">
        <v>1948</v>
      </c>
      <c r="T135" s="305">
        <v>0.73714613333333334</v>
      </c>
      <c r="U135" s="144"/>
      <c r="V135" s="100"/>
      <c r="W135" s="110">
        <f t="shared" si="83"/>
        <v>37500</v>
      </c>
      <c r="X135" s="110">
        <f t="shared" si="84"/>
        <v>53.51</v>
      </c>
      <c r="Y135" s="110">
        <f t="shared" si="85"/>
        <v>4875</v>
      </c>
      <c r="Z135" s="110">
        <f t="shared" si="86"/>
        <v>13821.490000000002</v>
      </c>
      <c r="AA135" s="260">
        <f t="shared" si="87"/>
        <v>0.73714613333333345</v>
      </c>
      <c r="AB135" s="28">
        <f t="shared" si="88"/>
        <v>12.4</v>
      </c>
      <c r="AC135" s="261">
        <f t="shared" si="89"/>
        <v>0.73790934133137653</v>
      </c>
      <c r="AD135" s="111">
        <f t="shared" si="90"/>
        <v>3.4</v>
      </c>
      <c r="AE135" s="262">
        <f t="shared" si="91"/>
        <v>4.4139950737960718E-2</v>
      </c>
      <c r="AF135" s="100"/>
      <c r="AG135" s="111">
        <f t="shared" si="92"/>
        <v>5.4</v>
      </c>
      <c r="AH135" s="262">
        <f t="shared" si="93"/>
        <v>0.39816219120538276</v>
      </c>
      <c r="AI135" s="100"/>
      <c r="AJ135" s="111">
        <f t="shared" si="94"/>
        <v>5</v>
      </c>
      <c r="AK135" s="262">
        <f t="shared" si="95"/>
        <v>0.35001516650181336</v>
      </c>
      <c r="AL135" s="100"/>
      <c r="AM135" s="111">
        <f t="shared" si="96"/>
        <v>4.5999999999999996</v>
      </c>
      <c r="AN135" s="262">
        <f t="shared" si="97"/>
        <v>0.29349474619762317</v>
      </c>
      <c r="AO135" s="100"/>
      <c r="AP135" s="24" t="e">
        <f>VLOOKUP(C135,#REF!,6,FALSE)</f>
        <v>#REF!</v>
      </c>
      <c r="AQ135" s="24" t="e">
        <f>VLOOKUP(C135,#REF!,7,FALSE)</f>
        <v>#REF!</v>
      </c>
      <c r="AR135" s="24" t="e">
        <f>VLOOKUP(C135,#REF!,12,FALSE)</f>
        <v>#REF!</v>
      </c>
      <c r="AS135" s="24" t="e">
        <f>VLOOKUP(C135,#REF!,13,FALSE)</f>
        <v>#REF!</v>
      </c>
      <c r="AT135" s="100"/>
      <c r="AU135" s="100"/>
      <c r="AV135" s="100">
        <v>125</v>
      </c>
      <c r="AW135" s="100"/>
      <c r="AY135" s="112">
        <v>37500</v>
      </c>
    </row>
    <row r="136" spans="1:51" s="2" customFormat="1" ht="12.75" customHeight="1" x14ac:dyDescent="0.2">
      <c r="A136" s="6" t="s">
        <v>1068</v>
      </c>
      <c r="B136" s="8">
        <v>9789500208543</v>
      </c>
      <c r="C136" s="8">
        <v>598211</v>
      </c>
      <c r="D136" s="25">
        <v>1056</v>
      </c>
      <c r="E136" s="22" t="s">
        <v>1069</v>
      </c>
      <c r="F136" s="6" t="s">
        <v>1070</v>
      </c>
      <c r="G136" s="118">
        <v>42309</v>
      </c>
      <c r="H136" s="108">
        <v>42278</v>
      </c>
      <c r="I136" s="24">
        <v>3006</v>
      </c>
      <c r="J136" s="28" t="s">
        <v>1894</v>
      </c>
      <c r="K136" s="150">
        <v>66.12</v>
      </c>
      <c r="L136" s="28">
        <v>25300</v>
      </c>
      <c r="M136" s="9">
        <f>+L136*0.13</f>
        <v>3289</v>
      </c>
      <c r="N136" s="9">
        <f t="shared" si="79"/>
        <v>12650</v>
      </c>
      <c r="O136" s="9">
        <f t="shared" si="80"/>
        <v>9294.8799999999992</v>
      </c>
      <c r="P136" s="9">
        <f t="shared" si="81"/>
        <v>3355.12</v>
      </c>
      <c r="Q136" s="139">
        <f t="shared" si="82"/>
        <v>0.73477312252964422</v>
      </c>
      <c r="R136" s="335">
        <v>25300</v>
      </c>
      <c r="S136" s="359" t="s">
        <v>1948</v>
      </c>
      <c r="T136" s="305">
        <v>0.73477312252964422</v>
      </c>
      <c r="U136" s="144"/>
      <c r="V136" s="100"/>
      <c r="W136" s="110">
        <f t="shared" si="83"/>
        <v>25300</v>
      </c>
      <c r="X136" s="110">
        <f t="shared" si="84"/>
        <v>66.12</v>
      </c>
      <c r="Y136" s="110">
        <f t="shared" si="85"/>
        <v>3289</v>
      </c>
      <c r="Z136" s="110">
        <f t="shared" si="86"/>
        <v>9294.8799999999992</v>
      </c>
      <c r="AA136" s="260">
        <f t="shared" si="87"/>
        <v>0.73477312252964422</v>
      </c>
      <c r="AB136" s="28">
        <f t="shared" si="88"/>
        <v>8.3000000000000007</v>
      </c>
      <c r="AC136" s="261">
        <f t="shared" si="89"/>
        <v>0.73344455964312238</v>
      </c>
      <c r="AD136" s="111">
        <f t="shared" si="90"/>
        <v>2.2999999999999998</v>
      </c>
      <c r="AE136" s="262">
        <f t="shared" si="91"/>
        <v>3.8082541320833135E-2</v>
      </c>
      <c r="AF136" s="100"/>
      <c r="AG136" s="111">
        <f t="shared" si="92"/>
        <v>3.7</v>
      </c>
      <c r="AH136" s="262">
        <f t="shared" si="93"/>
        <v>0.40205130946970713</v>
      </c>
      <c r="AI136" s="100"/>
      <c r="AJ136" s="111">
        <f t="shared" si="94"/>
        <v>3.4</v>
      </c>
      <c r="AK136" s="262">
        <f t="shared" si="95"/>
        <v>0.34929113089350472</v>
      </c>
      <c r="AL136" s="100"/>
      <c r="AM136" s="111">
        <f t="shared" si="96"/>
        <v>3.2</v>
      </c>
      <c r="AN136" s="262">
        <f t="shared" si="97"/>
        <v>0.30862182657434889</v>
      </c>
      <c r="AO136" s="100"/>
      <c r="AP136" s="24" t="e">
        <f>VLOOKUP(C136,#REF!,6,FALSE)</f>
        <v>#REF!</v>
      </c>
      <c r="AQ136" s="24" t="e">
        <f>VLOOKUP(C136,#REF!,7,FALSE)</f>
        <v>#REF!</v>
      </c>
      <c r="AR136" s="24" t="e">
        <f>VLOOKUP(C136,#REF!,12,FALSE)</f>
        <v>#REF!</v>
      </c>
      <c r="AS136" s="24" t="e">
        <f>VLOOKUP(C136,#REF!,13,FALSE)</f>
        <v>#REF!</v>
      </c>
      <c r="AT136" s="100"/>
      <c r="AU136" s="100"/>
      <c r="AV136" s="100">
        <v>126</v>
      </c>
      <c r="AW136" s="100"/>
      <c r="AY136" s="28">
        <v>25300</v>
      </c>
    </row>
    <row r="137" spans="1:51" s="2" customFormat="1" ht="12.75" customHeight="1" x14ac:dyDescent="0.2">
      <c r="A137" s="6" t="s">
        <v>1071</v>
      </c>
      <c r="B137" s="8">
        <v>9789500209106</v>
      </c>
      <c r="C137" s="8">
        <v>635047</v>
      </c>
      <c r="D137" s="7">
        <v>384</v>
      </c>
      <c r="E137" s="7" t="s">
        <v>63</v>
      </c>
      <c r="F137" s="7" t="s">
        <v>64</v>
      </c>
      <c r="G137" s="107">
        <v>42979</v>
      </c>
      <c r="H137" s="108">
        <v>42948</v>
      </c>
      <c r="I137" s="285">
        <v>3000</v>
      </c>
      <c r="J137" s="128" t="s">
        <v>1894</v>
      </c>
      <c r="K137" s="28">
        <v>35.35</v>
      </c>
      <c r="L137" s="28">
        <v>23400</v>
      </c>
      <c r="M137" s="9">
        <f>+L137*0.13</f>
        <v>3042</v>
      </c>
      <c r="N137" s="9">
        <f t="shared" si="79"/>
        <v>11700</v>
      </c>
      <c r="O137" s="9">
        <f t="shared" si="80"/>
        <v>8622.65</v>
      </c>
      <c r="P137" s="9">
        <f t="shared" si="81"/>
        <v>3077.35</v>
      </c>
      <c r="Q137" s="139">
        <f t="shared" si="82"/>
        <v>0.73697863247863249</v>
      </c>
      <c r="R137" s="335">
        <v>23400</v>
      </c>
      <c r="S137" s="359" t="s">
        <v>1948</v>
      </c>
      <c r="T137" s="305">
        <v>0.73697863247863249</v>
      </c>
      <c r="U137" s="144"/>
      <c r="V137" s="100"/>
      <c r="W137" s="110">
        <f t="shared" si="83"/>
        <v>23400</v>
      </c>
      <c r="X137" s="110">
        <f t="shared" si="84"/>
        <v>35.35</v>
      </c>
      <c r="Y137" s="110">
        <f t="shared" si="85"/>
        <v>3042</v>
      </c>
      <c r="Z137" s="110">
        <f t="shared" si="86"/>
        <v>8622.65</v>
      </c>
      <c r="AA137" s="260">
        <f t="shared" si="87"/>
        <v>0.73697863247863249</v>
      </c>
      <c r="AB137" s="28">
        <f t="shared" si="88"/>
        <v>7.7</v>
      </c>
      <c r="AC137" s="261">
        <f t="shared" si="89"/>
        <v>0.73646169195130617</v>
      </c>
      <c r="AD137" s="111">
        <f t="shared" si="90"/>
        <v>2.1</v>
      </c>
      <c r="AE137" s="262">
        <f t="shared" si="91"/>
        <v>3.3692870488122771E-2</v>
      </c>
      <c r="AF137" s="100"/>
      <c r="AG137" s="111">
        <f t="shared" si="92"/>
        <v>3.4</v>
      </c>
      <c r="AH137" s="262">
        <f t="shared" si="93"/>
        <v>0.40316324353678157</v>
      </c>
      <c r="AI137" s="100"/>
      <c r="AJ137" s="111">
        <f t="shared" si="94"/>
        <v>3.1</v>
      </c>
      <c r="AK137" s="262">
        <f t="shared" si="95"/>
        <v>0.34540484775001862</v>
      </c>
      <c r="AL137" s="100"/>
      <c r="AM137" s="111">
        <f t="shared" si="96"/>
        <v>2.9</v>
      </c>
      <c r="AN137" s="262">
        <f t="shared" si="97"/>
        <v>0.30026035449139904</v>
      </c>
      <c r="AO137" s="100"/>
      <c r="AP137" s="24" t="e">
        <f>VLOOKUP(C137,#REF!,6,FALSE)</f>
        <v>#REF!</v>
      </c>
      <c r="AQ137" s="24" t="e">
        <f>VLOOKUP(C137,#REF!,7,FALSE)</f>
        <v>#REF!</v>
      </c>
      <c r="AR137" s="24" t="e">
        <f>VLOOKUP(C137,#REF!,12,FALSE)</f>
        <v>#REF!</v>
      </c>
      <c r="AS137" s="24" t="e">
        <f>VLOOKUP(C137,#REF!,13,FALSE)</f>
        <v>#REF!</v>
      </c>
      <c r="AT137" s="100"/>
      <c r="AU137" s="100"/>
      <c r="AV137" s="100">
        <v>127</v>
      </c>
      <c r="AW137" s="100"/>
      <c r="AY137" s="28">
        <v>23400</v>
      </c>
    </row>
    <row r="138" spans="1:51" s="2" customFormat="1" ht="12.75" customHeight="1" x14ac:dyDescent="0.2">
      <c r="A138" s="7" t="s">
        <v>1072</v>
      </c>
      <c r="B138" s="8">
        <v>9789500209854</v>
      </c>
      <c r="C138" s="6">
        <v>656687</v>
      </c>
      <c r="D138" s="7">
        <v>656</v>
      </c>
      <c r="E138" s="7" t="s">
        <v>411</v>
      </c>
      <c r="F138" s="15" t="s">
        <v>1073</v>
      </c>
      <c r="G138" s="107">
        <v>43405</v>
      </c>
      <c r="H138" s="108">
        <v>44197</v>
      </c>
      <c r="I138" s="24">
        <v>3000</v>
      </c>
      <c r="J138" s="28" t="s">
        <v>2136</v>
      </c>
      <c r="K138" s="9">
        <v>166.43</v>
      </c>
      <c r="L138" s="112">
        <v>43900</v>
      </c>
      <c r="M138" s="9">
        <f>+L138*0.1</f>
        <v>4390</v>
      </c>
      <c r="N138" s="9">
        <f t="shared" si="79"/>
        <v>21950</v>
      </c>
      <c r="O138" s="9">
        <f t="shared" si="80"/>
        <v>17393.57</v>
      </c>
      <c r="P138" s="9">
        <f t="shared" si="81"/>
        <v>4556.43</v>
      </c>
      <c r="Q138" s="139">
        <f t="shared" si="82"/>
        <v>0.79241776765375849</v>
      </c>
      <c r="R138" s="335">
        <v>43900</v>
      </c>
      <c r="S138" s="359" t="s">
        <v>1948</v>
      </c>
      <c r="T138" s="305">
        <v>0.79241776765375849</v>
      </c>
      <c r="U138" s="144"/>
      <c r="V138" s="100"/>
      <c r="W138" s="110">
        <f t="shared" si="83"/>
        <v>43900</v>
      </c>
      <c r="X138" s="110">
        <f t="shared" si="84"/>
        <v>166.43</v>
      </c>
      <c r="Y138" s="110">
        <f t="shared" si="85"/>
        <v>4390</v>
      </c>
      <c r="Z138" s="110">
        <f t="shared" si="86"/>
        <v>17393.57</v>
      </c>
      <c r="AA138" s="260">
        <f t="shared" si="87"/>
        <v>0.79241776765375849</v>
      </c>
      <c r="AB138" s="28">
        <f t="shared" si="88"/>
        <v>14.5</v>
      </c>
      <c r="AC138" s="261">
        <f t="shared" si="89"/>
        <v>0.79278829428015962</v>
      </c>
      <c r="AD138" s="111">
        <f t="shared" si="90"/>
        <v>3.2</v>
      </c>
      <c r="AE138" s="262">
        <f t="shared" si="91"/>
        <v>6.1071958456973267E-2</v>
      </c>
      <c r="AF138" s="100"/>
      <c r="AG138" s="111">
        <f t="shared" si="92"/>
        <v>5</v>
      </c>
      <c r="AH138" s="262">
        <f t="shared" si="93"/>
        <v>0.39908605341246289</v>
      </c>
      <c r="AI138" s="100"/>
      <c r="AJ138" s="111">
        <f t="shared" si="94"/>
        <v>4.5999999999999996</v>
      </c>
      <c r="AK138" s="262">
        <f t="shared" si="95"/>
        <v>0.34683266675267699</v>
      </c>
      <c r="AL138" s="100"/>
      <c r="AM138" s="111">
        <f t="shared" si="96"/>
        <v>4.3</v>
      </c>
      <c r="AN138" s="262">
        <f t="shared" si="97"/>
        <v>0.30126285280518939</v>
      </c>
      <c r="AO138" s="100"/>
      <c r="AP138" s="24" t="e">
        <f>VLOOKUP(C138,#REF!,6,FALSE)</f>
        <v>#REF!</v>
      </c>
      <c r="AQ138" s="24" t="e">
        <f>VLOOKUP(C138,#REF!,7,FALSE)</f>
        <v>#REF!</v>
      </c>
      <c r="AR138" s="24" t="e">
        <f>VLOOKUP(C138,#REF!,12,FALSE)</f>
        <v>#REF!</v>
      </c>
      <c r="AS138" s="24" t="e">
        <f>VLOOKUP(C138,#REF!,13,FALSE)</f>
        <v>#REF!</v>
      </c>
      <c r="AT138" s="100"/>
      <c r="AU138" s="100"/>
      <c r="AV138" s="100">
        <v>128</v>
      </c>
      <c r="AW138" s="100"/>
      <c r="AY138" s="112">
        <v>43900</v>
      </c>
    </row>
    <row r="139" spans="1:51" s="2" customFormat="1" ht="12.75" customHeight="1" x14ac:dyDescent="0.2">
      <c r="A139" s="7" t="s">
        <v>1074</v>
      </c>
      <c r="B139" s="8">
        <v>9789500210058</v>
      </c>
      <c r="C139" s="8">
        <v>665951</v>
      </c>
      <c r="D139" s="25">
        <v>192</v>
      </c>
      <c r="E139" s="22" t="s">
        <v>446</v>
      </c>
      <c r="F139" s="7" t="s">
        <v>1075</v>
      </c>
      <c r="G139" s="107">
        <v>43647</v>
      </c>
      <c r="H139" s="107">
        <v>43617</v>
      </c>
      <c r="I139" s="25">
        <v>2971</v>
      </c>
      <c r="J139" s="28" t="s">
        <v>1894</v>
      </c>
      <c r="K139" s="9">
        <v>44.33</v>
      </c>
      <c r="L139" s="112">
        <v>20500</v>
      </c>
      <c r="M139" s="9">
        <f>+L139*0.1</f>
        <v>2050</v>
      </c>
      <c r="N139" s="9">
        <f t="shared" si="79"/>
        <v>10250</v>
      </c>
      <c r="O139" s="9">
        <f t="shared" si="80"/>
        <v>8155.67</v>
      </c>
      <c r="P139" s="9">
        <f t="shared" si="81"/>
        <v>2094.33</v>
      </c>
      <c r="Q139" s="139">
        <f t="shared" si="82"/>
        <v>0.79567512195121948</v>
      </c>
      <c r="R139" s="335">
        <v>20500</v>
      </c>
      <c r="S139" s="359" t="s">
        <v>1948</v>
      </c>
      <c r="T139" s="305">
        <v>0.79567512195121948</v>
      </c>
      <c r="U139" s="144"/>
      <c r="V139" s="100"/>
      <c r="W139" s="110">
        <f t="shared" si="83"/>
        <v>20500</v>
      </c>
      <c r="X139" s="110">
        <f t="shared" si="84"/>
        <v>44.33</v>
      </c>
      <c r="Y139" s="110">
        <f t="shared" si="85"/>
        <v>2050</v>
      </c>
      <c r="Z139" s="110">
        <f t="shared" si="86"/>
        <v>8155.67</v>
      </c>
      <c r="AA139" s="260">
        <f t="shared" si="87"/>
        <v>0.79567512195121948</v>
      </c>
      <c r="AB139" s="28">
        <f t="shared" si="88"/>
        <v>6.8</v>
      </c>
      <c r="AC139" s="261">
        <f t="shared" si="89"/>
        <v>0.79690754640134986</v>
      </c>
      <c r="AD139" s="111">
        <f t="shared" si="90"/>
        <v>1.5</v>
      </c>
      <c r="AE139" s="262">
        <f t="shared" si="91"/>
        <v>7.9314210352786046E-2</v>
      </c>
      <c r="AF139" s="100"/>
      <c r="AG139" s="111">
        <f t="shared" si="92"/>
        <v>2.2999999999999998</v>
      </c>
      <c r="AH139" s="262">
        <f t="shared" si="93"/>
        <v>0.39955274588225176</v>
      </c>
      <c r="AI139" s="100"/>
      <c r="AJ139" s="111">
        <f t="shared" si="94"/>
        <v>2.1</v>
      </c>
      <c r="AK139" s="262">
        <f t="shared" si="95"/>
        <v>0.34236729310913289</v>
      </c>
      <c r="AL139" s="100"/>
      <c r="AM139" s="111">
        <f t="shared" si="96"/>
        <v>2</v>
      </c>
      <c r="AN139" s="262">
        <f t="shared" si="97"/>
        <v>0.30948565776458953</v>
      </c>
      <c r="AO139" s="100"/>
      <c r="AP139" s="24" t="e">
        <f>VLOOKUP(C139,#REF!,6,FALSE)</f>
        <v>#REF!</v>
      </c>
      <c r="AQ139" s="24" t="e">
        <f>VLOOKUP(C139,#REF!,7,FALSE)</f>
        <v>#REF!</v>
      </c>
      <c r="AR139" s="24" t="e">
        <f>VLOOKUP(C139,#REF!,12,FALSE)</f>
        <v>#REF!</v>
      </c>
      <c r="AS139" s="24" t="e">
        <f>VLOOKUP(C139,#REF!,13,FALSE)</f>
        <v>#REF!</v>
      </c>
      <c r="AT139" s="100"/>
      <c r="AU139" s="100"/>
      <c r="AV139" s="100">
        <v>129</v>
      </c>
      <c r="AW139" s="100"/>
      <c r="AY139" s="112">
        <v>20500</v>
      </c>
    </row>
    <row r="140" spans="1:51" s="2" customFormat="1" ht="12.75" customHeight="1" x14ac:dyDescent="0.2">
      <c r="A140" s="6" t="s">
        <v>1076</v>
      </c>
      <c r="B140" s="143">
        <v>9789500209564</v>
      </c>
      <c r="C140" s="6">
        <v>647011</v>
      </c>
      <c r="D140" s="7">
        <v>384</v>
      </c>
      <c r="E140" s="7" t="s">
        <v>357</v>
      </c>
      <c r="F140" s="7" t="s">
        <v>358</v>
      </c>
      <c r="G140" s="107">
        <v>43191</v>
      </c>
      <c r="H140" s="108">
        <v>45809</v>
      </c>
      <c r="I140" s="7">
        <v>1026</v>
      </c>
      <c r="J140" s="28" t="s">
        <v>2136</v>
      </c>
      <c r="K140" s="117">
        <v>3815.28</v>
      </c>
      <c r="L140" s="9">
        <v>51900</v>
      </c>
      <c r="M140" s="112">
        <f>+L140*0.15</f>
        <v>7785</v>
      </c>
      <c r="N140" s="9">
        <f t="shared" si="79"/>
        <v>25950</v>
      </c>
      <c r="O140" s="9">
        <f t="shared" si="80"/>
        <v>14349.72</v>
      </c>
      <c r="P140" s="9">
        <f t="shared" si="81"/>
        <v>11600.28</v>
      </c>
      <c r="Q140" s="139">
        <f t="shared" si="82"/>
        <v>0.55297572254335259</v>
      </c>
      <c r="R140" s="335">
        <v>51900</v>
      </c>
      <c r="S140" s="359" t="s">
        <v>1948</v>
      </c>
      <c r="T140" s="305">
        <v>0.55297572254335259</v>
      </c>
      <c r="U140" s="12"/>
      <c r="V140" s="100"/>
      <c r="W140" s="110">
        <f t="shared" si="83"/>
        <v>51900</v>
      </c>
      <c r="X140" s="110">
        <f t="shared" si="84"/>
        <v>3815.28</v>
      </c>
      <c r="Y140" s="110">
        <f t="shared" si="85"/>
        <v>7785</v>
      </c>
      <c r="Z140" s="110">
        <f t="shared" si="86"/>
        <v>14349.720000000001</v>
      </c>
      <c r="AA140" s="260">
        <f t="shared" si="87"/>
        <v>0.5529757225433527</v>
      </c>
      <c r="AB140" s="28">
        <f t="shared" si="88"/>
        <v>17.100000000000001</v>
      </c>
      <c r="AC140" s="261">
        <f t="shared" si="89"/>
        <v>0.55266802019886518</v>
      </c>
      <c r="AD140" s="111">
        <f t="shared" si="90"/>
        <v>8.1</v>
      </c>
      <c r="AE140" s="262">
        <f t="shared" si="91"/>
        <v>5.5632487086492939E-2</v>
      </c>
      <c r="AF140" s="100"/>
      <c r="AG140" s="111">
        <f t="shared" si="92"/>
        <v>12.7</v>
      </c>
      <c r="AH140" s="262">
        <f t="shared" si="93"/>
        <v>0.39768686184256635</v>
      </c>
      <c r="AI140" s="100"/>
      <c r="AJ140" s="111">
        <f t="shared" si="94"/>
        <v>11.8</v>
      </c>
      <c r="AK140" s="262">
        <f t="shared" si="95"/>
        <v>0.35174772418649097</v>
      </c>
      <c r="AL140" s="100"/>
      <c r="AM140" s="111">
        <f t="shared" si="96"/>
        <v>10.9</v>
      </c>
      <c r="AN140" s="262">
        <f t="shared" si="97"/>
        <v>0.29822230691748569</v>
      </c>
      <c r="AO140" s="100"/>
      <c r="AP140" s="24" t="e">
        <f>VLOOKUP(C140,#REF!,6,FALSE)</f>
        <v>#REF!</v>
      </c>
      <c r="AQ140" s="24" t="e">
        <f>VLOOKUP(C140,#REF!,7,FALSE)</f>
        <v>#REF!</v>
      </c>
      <c r="AR140" s="24" t="e">
        <f>VLOOKUP(C140,#REF!,12,FALSE)</f>
        <v>#REF!</v>
      </c>
      <c r="AS140" s="24" t="e">
        <f>VLOOKUP(C140,#REF!,13,FALSE)</f>
        <v>#REF!</v>
      </c>
      <c r="AT140" s="100"/>
      <c r="AU140" s="100"/>
      <c r="AV140" s="100">
        <v>130</v>
      </c>
      <c r="AW140" s="100"/>
      <c r="AY140" s="9">
        <v>51900</v>
      </c>
    </row>
    <row r="141" spans="1:51" s="2" customFormat="1" ht="12.75" customHeight="1" x14ac:dyDescent="0.2">
      <c r="A141" s="7" t="s">
        <v>1077</v>
      </c>
      <c r="B141" s="8">
        <v>9789500209571</v>
      </c>
      <c r="C141" s="6">
        <v>652580</v>
      </c>
      <c r="D141" s="7">
        <v>320</v>
      </c>
      <c r="E141" s="7" t="s">
        <v>391</v>
      </c>
      <c r="F141" s="15" t="s">
        <v>1078</v>
      </c>
      <c r="G141" s="107">
        <v>43313</v>
      </c>
      <c r="H141" s="108">
        <v>43282</v>
      </c>
      <c r="I141" s="24">
        <v>2995</v>
      </c>
      <c r="J141" s="28" t="s">
        <v>1894</v>
      </c>
      <c r="K141" s="28">
        <v>69.3</v>
      </c>
      <c r="L141" s="128">
        <v>23400</v>
      </c>
      <c r="M141" s="112">
        <f>+L141*0.08</f>
        <v>1872</v>
      </c>
      <c r="N141" s="9">
        <f t="shared" si="79"/>
        <v>11700</v>
      </c>
      <c r="O141" s="9">
        <f t="shared" si="80"/>
        <v>9758.7000000000007</v>
      </c>
      <c r="P141" s="9">
        <f t="shared" si="81"/>
        <v>1941.3</v>
      </c>
      <c r="Q141" s="139">
        <f t="shared" si="82"/>
        <v>0.83407692307692316</v>
      </c>
      <c r="R141" s="335">
        <v>23400</v>
      </c>
      <c r="S141" s="359" t="s">
        <v>1948</v>
      </c>
      <c r="T141" s="305">
        <v>0.83407692307692316</v>
      </c>
      <c r="U141" s="144"/>
      <c r="V141" s="100"/>
      <c r="W141" s="110">
        <f t="shared" si="83"/>
        <v>23400</v>
      </c>
      <c r="X141" s="110">
        <f t="shared" si="84"/>
        <v>69.3</v>
      </c>
      <c r="Y141" s="110">
        <f t="shared" si="85"/>
        <v>1872</v>
      </c>
      <c r="Z141" s="110">
        <f t="shared" si="86"/>
        <v>9758.7000000000007</v>
      </c>
      <c r="AA141" s="260">
        <f t="shared" si="87"/>
        <v>0.83407692307692316</v>
      </c>
      <c r="AB141" s="28">
        <f t="shared" si="88"/>
        <v>7.7</v>
      </c>
      <c r="AC141" s="261">
        <f t="shared" si="89"/>
        <v>0.83375081891402369</v>
      </c>
      <c r="AD141" s="111">
        <f t="shared" si="90"/>
        <v>1.3</v>
      </c>
      <c r="AE141" s="262">
        <f t="shared" si="91"/>
        <v>1.529331202921712E-2</v>
      </c>
      <c r="AF141" s="100"/>
      <c r="AG141" s="111">
        <f t="shared" si="92"/>
        <v>2.1</v>
      </c>
      <c r="AH141" s="262">
        <f t="shared" si="93"/>
        <v>0.39041966935142003</v>
      </c>
      <c r="AI141" s="100"/>
      <c r="AJ141" s="111">
        <f t="shared" si="94"/>
        <v>2</v>
      </c>
      <c r="AK141" s="262">
        <f t="shared" si="95"/>
        <v>0.35994065281899101</v>
      </c>
      <c r="AL141" s="100"/>
      <c r="AM141" s="111">
        <f t="shared" si="96"/>
        <v>1.8</v>
      </c>
      <c r="AN141" s="262">
        <f t="shared" si="97"/>
        <v>0.28882294757665677</v>
      </c>
      <c r="AO141" s="100"/>
      <c r="AP141" s="24" t="e">
        <f>VLOOKUP(C141,#REF!,6,FALSE)</f>
        <v>#REF!</v>
      </c>
      <c r="AQ141" s="24" t="e">
        <f>VLOOKUP(C141,#REF!,7,FALSE)</f>
        <v>#REF!</v>
      </c>
      <c r="AR141" s="24" t="e">
        <f>VLOOKUP(C141,#REF!,12,FALSE)</f>
        <v>#REF!</v>
      </c>
      <c r="AS141" s="24" t="e">
        <f>VLOOKUP(C141,#REF!,13,FALSE)</f>
        <v>#REF!</v>
      </c>
      <c r="AT141" s="100"/>
      <c r="AU141" s="100"/>
      <c r="AV141" s="100">
        <v>131</v>
      </c>
      <c r="AW141" s="100"/>
      <c r="AY141" s="128">
        <v>23400</v>
      </c>
    </row>
    <row r="142" spans="1:51" s="2" customFormat="1" ht="12.75" customHeight="1" x14ac:dyDescent="0.2">
      <c r="A142" s="6" t="s">
        <v>1079</v>
      </c>
      <c r="B142" s="8">
        <v>9789500298889</v>
      </c>
      <c r="C142" s="146">
        <v>620181</v>
      </c>
      <c r="D142" s="7">
        <v>368</v>
      </c>
      <c r="E142" s="7" t="s">
        <v>84</v>
      </c>
      <c r="F142" s="7" t="s">
        <v>85</v>
      </c>
      <c r="G142" s="107">
        <v>42644</v>
      </c>
      <c r="H142" s="108">
        <v>43739</v>
      </c>
      <c r="I142" s="24">
        <v>3055</v>
      </c>
      <c r="J142" s="28" t="s">
        <v>1946</v>
      </c>
      <c r="K142" s="150">
        <v>69.7</v>
      </c>
      <c r="L142" s="28">
        <v>25700</v>
      </c>
      <c r="M142" s="112">
        <f>+L142*0.1</f>
        <v>2570</v>
      </c>
      <c r="N142" s="9">
        <f t="shared" si="79"/>
        <v>12850</v>
      </c>
      <c r="O142" s="9">
        <f t="shared" si="80"/>
        <v>10210.299999999999</v>
      </c>
      <c r="P142" s="9">
        <f t="shared" si="81"/>
        <v>2639.7</v>
      </c>
      <c r="Q142" s="139">
        <f t="shared" si="82"/>
        <v>0.79457587548638131</v>
      </c>
      <c r="R142" s="335">
        <v>25700</v>
      </c>
      <c r="S142" s="359" t="s">
        <v>1948</v>
      </c>
      <c r="T142" s="305">
        <v>0.79457587548638131</v>
      </c>
      <c r="U142" s="144"/>
      <c r="V142" s="100"/>
      <c r="W142" s="110">
        <f t="shared" si="83"/>
        <v>25700</v>
      </c>
      <c r="X142" s="110">
        <f t="shared" si="84"/>
        <v>69.7</v>
      </c>
      <c r="Y142" s="110">
        <f t="shared" si="85"/>
        <v>2570</v>
      </c>
      <c r="Z142" s="110">
        <f t="shared" si="86"/>
        <v>10210.299999999999</v>
      </c>
      <c r="AA142" s="260">
        <f t="shared" si="87"/>
        <v>0.79457587548638131</v>
      </c>
      <c r="AB142" s="28">
        <f t="shared" si="88"/>
        <v>8.5</v>
      </c>
      <c r="AC142" s="261">
        <f t="shared" si="89"/>
        <v>0.79521731541281193</v>
      </c>
      <c r="AD142" s="111">
        <f t="shared" si="90"/>
        <v>1.8</v>
      </c>
      <c r="AE142" s="262">
        <f t="shared" si="91"/>
        <v>3.2970656116056873E-2</v>
      </c>
      <c r="AF142" s="100"/>
      <c r="AG142" s="111">
        <f t="shared" si="92"/>
        <v>2.9</v>
      </c>
      <c r="AH142" s="262">
        <f t="shared" si="93"/>
        <v>0.39977489000306965</v>
      </c>
      <c r="AI142" s="100"/>
      <c r="AJ142" s="111">
        <f t="shared" si="94"/>
        <v>2.7</v>
      </c>
      <c r="AK142" s="262">
        <f t="shared" si="95"/>
        <v>0.35531377074403786</v>
      </c>
      <c r="AL142" s="100"/>
      <c r="AM142" s="111">
        <f t="shared" si="96"/>
        <v>2.5</v>
      </c>
      <c r="AN142" s="262">
        <f t="shared" si="97"/>
        <v>0.3037388724035609</v>
      </c>
      <c r="AO142" s="100"/>
      <c r="AP142" s="24" t="e">
        <f>VLOOKUP(C142,#REF!,6,FALSE)</f>
        <v>#REF!</v>
      </c>
      <c r="AQ142" s="24" t="e">
        <f>VLOOKUP(C142,#REF!,7,FALSE)</f>
        <v>#REF!</v>
      </c>
      <c r="AR142" s="24" t="e">
        <f>VLOOKUP(C142,#REF!,12,FALSE)</f>
        <v>#REF!</v>
      </c>
      <c r="AS142" s="24" t="e">
        <f>VLOOKUP(C142,#REF!,13,FALSE)</f>
        <v>#REF!</v>
      </c>
      <c r="AT142" s="100"/>
      <c r="AU142" s="100"/>
      <c r="AV142" s="100">
        <v>132</v>
      </c>
      <c r="AW142" s="100"/>
      <c r="AY142" s="28">
        <v>25700</v>
      </c>
    </row>
    <row r="143" spans="1:51" s="2" customFormat="1" ht="12.75" customHeight="1" x14ac:dyDescent="0.2">
      <c r="A143" s="7" t="s">
        <v>1080</v>
      </c>
      <c r="B143" s="8">
        <v>9789500211000</v>
      </c>
      <c r="C143" s="8">
        <v>680641</v>
      </c>
      <c r="D143" s="25">
        <v>368</v>
      </c>
      <c r="E143" s="7" t="s">
        <v>520</v>
      </c>
      <c r="F143" s="7" t="s">
        <v>521</v>
      </c>
      <c r="G143" s="107">
        <v>44166</v>
      </c>
      <c r="H143" s="108">
        <v>44136</v>
      </c>
      <c r="I143" s="7">
        <v>3054</v>
      </c>
      <c r="J143" s="28" t="s">
        <v>1946</v>
      </c>
      <c r="K143" s="9">
        <v>204.81</v>
      </c>
      <c r="L143" s="112">
        <v>28700</v>
      </c>
      <c r="M143" s="9">
        <f>+L143*0.08</f>
        <v>2296</v>
      </c>
      <c r="N143" s="9">
        <f t="shared" si="79"/>
        <v>14350</v>
      </c>
      <c r="O143" s="9">
        <f t="shared" si="80"/>
        <v>11849.19</v>
      </c>
      <c r="P143" s="9">
        <f t="shared" si="81"/>
        <v>2500.81</v>
      </c>
      <c r="Q143" s="139">
        <f t="shared" si="82"/>
        <v>0.82572752613240419</v>
      </c>
      <c r="R143" s="335">
        <v>28700</v>
      </c>
      <c r="S143" s="359" t="s">
        <v>1948</v>
      </c>
      <c r="T143" s="305">
        <v>0.82572752613240419</v>
      </c>
      <c r="U143" s="144"/>
      <c r="V143" s="100"/>
      <c r="W143" s="110">
        <f t="shared" si="83"/>
        <v>28700</v>
      </c>
      <c r="X143" s="110">
        <f t="shared" si="84"/>
        <v>204.81</v>
      </c>
      <c r="Y143" s="110">
        <f t="shared" si="85"/>
        <v>2296</v>
      </c>
      <c r="Z143" s="110">
        <f t="shared" si="86"/>
        <v>11849.19</v>
      </c>
      <c r="AA143" s="260">
        <f t="shared" si="87"/>
        <v>0.82572752613240419</v>
      </c>
      <c r="AB143" s="28">
        <f t="shared" si="88"/>
        <v>9.5</v>
      </c>
      <c r="AC143" s="261">
        <f t="shared" si="89"/>
        <v>0.82641400732295633</v>
      </c>
      <c r="AD143" s="111">
        <f t="shared" si="90"/>
        <v>1.7</v>
      </c>
      <c r="AE143" s="262">
        <f t="shared" si="91"/>
        <v>2.9960629157696626E-2</v>
      </c>
      <c r="AF143" s="100"/>
      <c r="AG143" s="111">
        <f t="shared" si="92"/>
        <v>2.7</v>
      </c>
      <c r="AH143" s="262">
        <f t="shared" si="93"/>
        <v>0.3892344702104017</v>
      </c>
      <c r="AI143" s="100"/>
      <c r="AJ143" s="111">
        <f t="shared" si="94"/>
        <v>2.5</v>
      </c>
      <c r="AK143" s="262">
        <f t="shared" si="95"/>
        <v>0.34037322782723378</v>
      </c>
      <c r="AL143" s="100"/>
      <c r="AM143" s="111">
        <f t="shared" si="96"/>
        <v>2.4</v>
      </c>
      <c r="AN143" s="262">
        <f t="shared" si="97"/>
        <v>0.31288877898670181</v>
      </c>
      <c r="AO143" s="100"/>
      <c r="AP143" s="24" t="e">
        <f>VLOOKUP(C143,#REF!,6,FALSE)</f>
        <v>#REF!</v>
      </c>
      <c r="AQ143" s="24" t="e">
        <f>VLOOKUP(C143,#REF!,7,FALSE)</f>
        <v>#REF!</v>
      </c>
      <c r="AR143" s="24" t="e">
        <f>VLOOKUP(C143,#REF!,12,FALSE)</f>
        <v>#REF!</v>
      </c>
      <c r="AS143" s="24" t="e">
        <f>VLOOKUP(C143,#REF!,13,FALSE)</f>
        <v>#REF!</v>
      </c>
      <c r="AT143" s="100"/>
      <c r="AU143" s="100"/>
      <c r="AV143" s="100">
        <v>133</v>
      </c>
      <c r="AW143" s="100"/>
      <c r="AY143" s="112">
        <v>28700</v>
      </c>
    </row>
    <row r="144" spans="1:51" s="2" customFormat="1" ht="12.75" customHeight="1" x14ac:dyDescent="0.2">
      <c r="A144" s="6" t="s">
        <v>1081</v>
      </c>
      <c r="B144" s="8">
        <v>9789500299879</v>
      </c>
      <c r="C144" s="8">
        <v>640866</v>
      </c>
      <c r="D144" s="7">
        <v>336</v>
      </c>
      <c r="E144" s="11" t="s">
        <v>338</v>
      </c>
      <c r="F144" s="11" t="s">
        <v>337</v>
      </c>
      <c r="G144" s="118">
        <v>43070</v>
      </c>
      <c r="H144" s="108">
        <v>43040</v>
      </c>
      <c r="I144" s="24">
        <v>3060</v>
      </c>
      <c r="J144" s="28" t="s">
        <v>1762</v>
      </c>
      <c r="K144" s="28">
        <v>138.94999999999999</v>
      </c>
      <c r="L144" s="112">
        <v>28900</v>
      </c>
      <c r="M144" s="12">
        <f>+L144*0.08</f>
        <v>2312</v>
      </c>
      <c r="N144" s="9">
        <f t="shared" si="79"/>
        <v>14450</v>
      </c>
      <c r="O144" s="9">
        <f t="shared" si="80"/>
        <v>11999.05</v>
      </c>
      <c r="P144" s="9">
        <f t="shared" si="81"/>
        <v>2450.9499999999998</v>
      </c>
      <c r="Q144" s="139">
        <f t="shared" si="82"/>
        <v>0.83038408304498268</v>
      </c>
      <c r="R144" s="335">
        <v>28900</v>
      </c>
      <c r="S144" s="359" t="s">
        <v>1948</v>
      </c>
      <c r="T144" s="305">
        <v>0.83038408304498268</v>
      </c>
      <c r="U144" s="144"/>
      <c r="V144" s="100"/>
      <c r="W144" s="110">
        <f t="shared" si="83"/>
        <v>28900</v>
      </c>
      <c r="X144" s="110">
        <f t="shared" si="84"/>
        <v>138.94999999999999</v>
      </c>
      <c r="Y144" s="110">
        <f t="shared" si="85"/>
        <v>2312</v>
      </c>
      <c r="Z144" s="110">
        <f t="shared" si="86"/>
        <v>11999.05</v>
      </c>
      <c r="AA144" s="260">
        <f t="shared" si="87"/>
        <v>0.83038408304498268</v>
      </c>
      <c r="AB144" s="28">
        <f t="shared" si="88"/>
        <v>9.5</v>
      </c>
      <c r="AC144" s="261">
        <f t="shared" si="89"/>
        <v>0.82987488503652795</v>
      </c>
      <c r="AD144" s="111">
        <f t="shared" si="90"/>
        <v>1.7</v>
      </c>
      <c r="AE144" s="262">
        <f t="shared" si="91"/>
        <v>4.9300828145303593E-2</v>
      </c>
      <c r="AF144" s="100"/>
      <c r="AG144" s="111">
        <f t="shared" si="92"/>
        <v>2.7</v>
      </c>
      <c r="AH144" s="262">
        <f t="shared" si="93"/>
        <v>0.40141163253593198</v>
      </c>
      <c r="AI144" s="100"/>
      <c r="AJ144" s="111">
        <f t="shared" si="94"/>
        <v>2.5</v>
      </c>
      <c r="AK144" s="262">
        <f t="shared" si="95"/>
        <v>0.35352456313880654</v>
      </c>
      <c r="AL144" s="100"/>
      <c r="AM144" s="111">
        <f t="shared" si="96"/>
        <v>2.2999999999999998</v>
      </c>
      <c r="AN144" s="262">
        <f t="shared" si="97"/>
        <v>0.29730930775957226</v>
      </c>
      <c r="AO144" s="100"/>
      <c r="AP144" s="24" t="e">
        <f>VLOOKUP(C144,#REF!,6,FALSE)</f>
        <v>#REF!</v>
      </c>
      <c r="AQ144" s="24" t="e">
        <f>VLOOKUP(C144,#REF!,7,FALSE)</f>
        <v>#REF!</v>
      </c>
      <c r="AR144" s="24" t="e">
        <f>VLOOKUP(C144,#REF!,12,FALSE)</f>
        <v>#REF!</v>
      </c>
      <c r="AS144" s="24" t="e">
        <f>VLOOKUP(C144,#REF!,13,FALSE)</f>
        <v>#REF!</v>
      </c>
      <c r="AT144" s="100"/>
      <c r="AU144" s="100"/>
      <c r="AV144" s="100">
        <v>134</v>
      </c>
      <c r="AW144" s="100"/>
      <c r="AY144" s="112">
        <v>28900</v>
      </c>
    </row>
    <row r="145" spans="1:51" s="2" customFormat="1" ht="12.75" customHeight="1" x14ac:dyDescent="0.2">
      <c r="A145" s="7" t="s">
        <v>1082</v>
      </c>
      <c r="B145" s="8">
        <v>9789500206839</v>
      </c>
      <c r="C145" s="146">
        <v>555665</v>
      </c>
      <c r="D145" s="7">
        <v>256</v>
      </c>
      <c r="E145" s="7" t="s">
        <v>102</v>
      </c>
      <c r="F145" s="7" t="s">
        <v>103</v>
      </c>
      <c r="G145" s="107">
        <v>41183</v>
      </c>
      <c r="H145" s="108">
        <v>41791</v>
      </c>
      <c r="I145" s="24">
        <v>1540</v>
      </c>
      <c r="J145" s="28" t="s">
        <v>1894</v>
      </c>
      <c r="K145" s="28">
        <v>30.13</v>
      </c>
      <c r="L145" s="128">
        <v>18700</v>
      </c>
      <c r="M145" s="9">
        <f>+L145*0.14</f>
        <v>2618.0000000000005</v>
      </c>
      <c r="N145" s="9">
        <f t="shared" si="79"/>
        <v>9350</v>
      </c>
      <c r="O145" s="9">
        <f t="shared" si="80"/>
        <v>6701.87</v>
      </c>
      <c r="P145" s="9">
        <f t="shared" si="81"/>
        <v>2648.1300000000006</v>
      </c>
      <c r="Q145" s="139">
        <f t="shared" si="82"/>
        <v>0.71677754010695183</v>
      </c>
      <c r="R145" s="335">
        <v>18700</v>
      </c>
      <c r="S145" s="359" t="s">
        <v>1948</v>
      </c>
      <c r="T145" s="305">
        <v>0.71677754010695183</v>
      </c>
      <c r="U145" s="144"/>
      <c r="V145" s="100"/>
      <c r="W145" s="110">
        <f t="shared" si="83"/>
        <v>18700</v>
      </c>
      <c r="X145" s="110">
        <f t="shared" si="84"/>
        <v>30.13</v>
      </c>
      <c r="Y145" s="110">
        <f t="shared" si="85"/>
        <v>2618.0000000000005</v>
      </c>
      <c r="Z145" s="110">
        <f t="shared" si="86"/>
        <v>6701.8700000000008</v>
      </c>
      <c r="AA145" s="260">
        <f t="shared" si="87"/>
        <v>0.71677754010695194</v>
      </c>
      <c r="AB145" s="28">
        <f t="shared" si="88"/>
        <v>6.2</v>
      </c>
      <c r="AC145" s="261">
        <f t="shared" si="89"/>
        <v>0.71835295619157025</v>
      </c>
      <c r="AD145" s="111">
        <f t="shared" si="90"/>
        <v>1.8</v>
      </c>
      <c r="AE145" s="262">
        <f t="shared" si="91"/>
        <v>2.9882404659852622E-2</v>
      </c>
      <c r="AF145" s="100"/>
      <c r="AG145" s="111">
        <f t="shared" si="92"/>
        <v>2.9</v>
      </c>
      <c r="AH145" s="262">
        <f t="shared" si="93"/>
        <v>0.39785804427163252</v>
      </c>
      <c r="AI145" s="100"/>
      <c r="AJ145" s="111">
        <f t="shared" si="94"/>
        <v>2.7</v>
      </c>
      <c r="AK145" s="262">
        <f t="shared" si="95"/>
        <v>0.35325493643990169</v>
      </c>
      <c r="AL145" s="100"/>
      <c r="AM145" s="111">
        <f t="shared" si="96"/>
        <v>2.5</v>
      </c>
      <c r="AN145" s="262">
        <f t="shared" si="97"/>
        <v>0.30151533135509384</v>
      </c>
      <c r="AO145" s="100"/>
      <c r="AP145" s="24" t="e">
        <f>VLOOKUP(C145,#REF!,6,FALSE)</f>
        <v>#REF!</v>
      </c>
      <c r="AQ145" s="24" t="e">
        <f>VLOOKUP(C145,#REF!,7,FALSE)</f>
        <v>#REF!</v>
      </c>
      <c r="AR145" s="24" t="e">
        <f>VLOOKUP(C145,#REF!,12,FALSE)</f>
        <v>#REF!</v>
      </c>
      <c r="AS145" s="24" t="e">
        <f>VLOOKUP(C145,#REF!,13,FALSE)</f>
        <v>#REF!</v>
      </c>
      <c r="AT145" s="100">
        <v>6</v>
      </c>
      <c r="AU145" s="100"/>
      <c r="AV145" s="100">
        <v>135</v>
      </c>
      <c r="AW145" s="100"/>
      <c r="AY145" s="128">
        <v>18700</v>
      </c>
    </row>
    <row r="146" spans="1:51" s="2" customFormat="1" ht="12.75" customHeight="1" x14ac:dyDescent="0.2">
      <c r="A146" s="6" t="s">
        <v>1083</v>
      </c>
      <c r="B146" s="8">
        <v>9789500299701</v>
      </c>
      <c r="C146" s="6">
        <v>627250</v>
      </c>
      <c r="D146" s="25">
        <v>352</v>
      </c>
      <c r="E146" s="7" t="s">
        <v>86</v>
      </c>
      <c r="F146" s="11" t="s">
        <v>615</v>
      </c>
      <c r="G146" s="107">
        <v>42826</v>
      </c>
      <c r="H146" s="108">
        <v>44197</v>
      </c>
      <c r="I146" s="7">
        <v>2002</v>
      </c>
      <c r="J146" s="28" t="s">
        <v>1946</v>
      </c>
      <c r="K146" s="9">
        <v>108.34</v>
      </c>
      <c r="L146" s="112">
        <v>28700</v>
      </c>
      <c r="M146" s="141">
        <f>+L146*0.15</f>
        <v>4305</v>
      </c>
      <c r="N146" s="9">
        <f t="shared" si="79"/>
        <v>14350</v>
      </c>
      <c r="O146" s="9">
        <f t="shared" si="80"/>
        <v>9936.66</v>
      </c>
      <c r="P146" s="9">
        <f t="shared" si="81"/>
        <v>4413.34</v>
      </c>
      <c r="Q146" s="139">
        <f t="shared" si="82"/>
        <v>0.69245017421602784</v>
      </c>
      <c r="R146" s="335">
        <v>28700</v>
      </c>
      <c r="S146" s="359" t="s">
        <v>1948</v>
      </c>
      <c r="T146" s="305">
        <v>0.69245017421602784</v>
      </c>
      <c r="U146" s="144"/>
      <c r="V146" s="100"/>
      <c r="W146" s="110">
        <f t="shared" si="83"/>
        <v>28700</v>
      </c>
      <c r="X146" s="110">
        <f t="shared" si="84"/>
        <v>108.34</v>
      </c>
      <c r="Y146" s="110">
        <f t="shared" si="85"/>
        <v>4305</v>
      </c>
      <c r="Z146" s="110">
        <f t="shared" si="86"/>
        <v>9936.66</v>
      </c>
      <c r="AA146" s="260">
        <f t="shared" si="87"/>
        <v>0.69245017421602784</v>
      </c>
      <c r="AB146" s="28">
        <f t="shared" si="88"/>
        <v>9.5</v>
      </c>
      <c r="AC146" s="261">
        <f t="shared" si="89"/>
        <v>0.69366165165634164</v>
      </c>
      <c r="AD146" s="111">
        <f t="shared" si="90"/>
        <v>3.1</v>
      </c>
      <c r="AE146" s="262">
        <f t="shared" si="91"/>
        <v>6.1221190559756736E-2</v>
      </c>
      <c r="AF146" s="100"/>
      <c r="AG146" s="111">
        <f t="shared" si="92"/>
        <v>4.9000000000000004</v>
      </c>
      <c r="AH146" s="262">
        <f t="shared" si="93"/>
        <v>0.40607871239494808</v>
      </c>
      <c r="AI146" s="100"/>
      <c r="AJ146" s="111">
        <f t="shared" si="94"/>
        <v>4.5</v>
      </c>
      <c r="AK146" s="262">
        <f t="shared" si="95"/>
        <v>0.3532857090522768</v>
      </c>
      <c r="AL146" s="100"/>
      <c r="AM146" s="111">
        <f t="shared" si="96"/>
        <v>4.2</v>
      </c>
      <c r="AN146" s="262">
        <f t="shared" si="97"/>
        <v>0.30709183112743943</v>
      </c>
      <c r="AO146" s="100"/>
      <c r="AP146" s="24" t="e">
        <f>VLOOKUP(C146,#REF!,6,FALSE)</f>
        <v>#REF!</v>
      </c>
      <c r="AQ146" s="24" t="e">
        <f>VLOOKUP(C146,#REF!,7,FALSE)</f>
        <v>#REF!</v>
      </c>
      <c r="AR146" s="24" t="e">
        <f>VLOOKUP(C146,#REF!,12,FALSE)</f>
        <v>#REF!</v>
      </c>
      <c r="AS146" s="24" t="e">
        <f>VLOOKUP(C146,#REF!,13,FALSE)</f>
        <v>#REF!</v>
      </c>
      <c r="AT146" s="100"/>
      <c r="AU146" s="100"/>
      <c r="AV146" s="100">
        <v>136</v>
      </c>
      <c r="AW146" s="100"/>
      <c r="AY146" s="112">
        <v>28700</v>
      </c>
    </row>
    <row r="147" spans="1:51" s="2" customFormat="1" ht="12.75" customHeight="1" x14ac:dyDescent="0.2">
      <c r="A147" s="6" t="s">
        <v>1084</v>
      </c>
      <c r="B147" s="8">
        <v>9789500298872</v>
      </c>
      <c r="C147" s="8">
        <v>618704</v>
      </c>
      <c r="D147" s="25">
        <v>256</v>
      </c>
      <c r="E147" s="7" t="s">
        <v>90</v>
      </c>
      <c r="F147" s="6" t="s">
        <v>1085</v>
      </c>
      <c r="G147" s="107">
        <v>42614</v>
      </c>
      <c r="H147" s="108">
        <v>42583</v>
      </c>
      <c r="I147" s="24">
        <v>3012</v>
      </c>
      <c r="J147" s="28" t="s">
        <v>1894</v>
      </c>
      <c r="K147" s="28">
        <v>35.28</v>
      </c>
      <c r="L147" s="128">
        <v>23400</v>
      </c>
      <c r="M147" s="112">
        <f>+L147*0.08</f>
        <v>1872</v>
      </c>
      <c r="N147" s="9">
        <f t="shared" si="79"/>
        <v>11700</v>
      </c>
      <c r="O147" s="9">
        <f t="shared" si="80"/>
        <v>9792.7199999999993</v>
      </c>
      <c r="P147" s="9">
        <f t="shared" si="81"/>
        <v>1907.28</v>
      </c>
      <c r="Q147" s="139">
        <f t="shared" si="82"/>
        <v>0.83698461538461533</v>
      </c>
      <c r="R147" s="335">
        <v>23400</v>
      </c>
      <c r="S147" s="359" t="s">
        <v>1948</v>
      </c>
      <c r="T147" s="305">
        <v>0.83698461538461533</v>
      </c>
      <c r="U147" s="144"/>
      <c r="V147" s="100"/>
      <c r="W147" s="110">
        <f t="shared" si="83"/>
        <v>23400</v>
      </c>
      <c r="X147" s="110">
        <f t="shared" si="84"/>
        <v>35.28</v>
      </c>
      <c r="Y147" s="110">
        <f t="shared" si="85"/>
        <v>1872</v>
      </c>
      <c r="Z147" s="110">
        <f t="shared" si="86"/>
        <v>9792.7199999999993</v>
      </c>
      <c r="AA147" s="260">
        <f t="shared" si="87"/>
        <v>0.83698461538461533</v>
      </c>
      <c r="AB147" s="28">
        <f t="shared" si="88"/>
        <v>7.7</v>
      </c>
      <c r="AC147" s="261">
        <f t="shared" si="89"/>
        <v>0.8366642259817334</v>
      </c>
      <c r="AD147" s="111">
        <f t="shared" si="90"/>
        <v>1.3</v>
      </c>
      <c r="AE147" s="262">
        <f t="shared" si="91"/>
        <v>3.2549646199497871E-2</v>
      </c>
      <c r="AF147" s="100"/>
      <c r="AG147" s="111">
        <f t="shared" si="92"/>
        <v>2.1</v>
      </c>
      <c r="AH147" s="262">
        <f t="shared" si="93"/>
        <v>0.40110216193302239</v>
      </c>
      <c r="AI147" s="100"/>
      <c r="AJ147" s="111">
        <f t="shared" si="94"/>
        <v>1.9</v>
      </c>
      <c r="AK147" s="262">
        <f t="shared" si="95"/>
        <v>0.3380602842417616</v>
      </c>
      <c r="AL147" s="100"/>
      <c r="AM147" s="111">
        <f t="shared" si="96"/>
        <v>1.8</v>
      </c>
      <c r="AN147" s="262">
        <f t="shared" si="97"/>
        <v>0.30128585558852622</v>
      </c>
      <c r="AO147" s="100"/>
      <c r="AP147" s="24" t="e">
        <f>VLOOKUP(C147,#REF!,6,FALSE)</f>
        <v>#REF!</v>
      </c>
      <c r="AQ147" s="24" t="e">
        <f>VLOOKUP(C147,#REF!,7,FALSE)</f>
        <v>#REF!</v>
      </c>
      <c r="AR147" s="24" t="e">
        <f>VLOOKUP(C147,#REF!,12,FALSE)</f>
        <v>#REF!</v>
      </c>
      <c r="AS147" s="24" t="e">
        <f>VLOOKUP(C147,#REF!,13,FALSE)</f>
        <v>#REF!</v>
      </c>
      <c r="AT147" s="100"/>
      <c r="AU147" s="100"/>
      <c r="AV147" s="100">
        <v>137</v>
      </c>
      <c r="AW147" s="100"/>
      <c r="AY147" s="128">
        <v>23400</v>
      </c>
    </row>
    <row r="148" spans="1:51" s="2" customFormat="1" ht="12.75" customHeight="1" x14ac:dyDescent="0.2">
      <c r="A148" s="6" t="s">
        <v>1086</v>
      </c>
      <c r="B148" s="8">
        <v>9789500299824</v>
      </c>
      <c r="C148" s="6">
        <v>631529</v>
      </c>
      <c r="D148" s="25">
        <v>224</v>
      </c>
      <c r="E148" s="7" t="s">
        <v>90</v>
      </c>
      <c r="F148" s="11" t="s">
        <v>92</v>
      </c>
      <c r="G148" s="107">
        <v>42917</v>
      </c>
      <c r="H148" s="108">
        <v>42887</v>
      </c>
      <c r="I148" s="24">
        <v>3019</v>
      </c>
      <c r="J148" s="28" t="s">
        <v>1894</v>
      </c>
      <c r="K148" s="28">
        <v>38.65</v>
      </c>
      <c r="L148" s="128">
        <v>23400</v>
      </c>
      <c r="M148" s="112">
        <f>+L148*0.08</f>
        <v>1872</v>
      </c>
      <c r="N148" s="9">
        <f t="shared" si="79"/>
        <v>11700</v>
      </c>
      <c r="O148" s="9">
        <f t="shared" si="80"/>
        <v>9789.35</v>
      </c>
      <c r="P148" s="9">
        <f t="shared" si="81"/>
        <v>1910.65</v>
      </c>
      <c r="Q148" s="139">
        <f t="shared" si="82"/>
        <v>0.83669658119658119</v>
      </c>
      <c r="R148" s="335">
        <v>23400</v>
      </c>
      <c r="S148" s="359" t="s">
        <v>1948</v>
      </c>
      <c r="T148" s="305">
        <v>0.83669658119658119</v>
      </c>
      <c r="U148" s="144"/>
      <c r="V148" s="100"/>
      <c r="W148" s="110">
        <f t="shared" si="83"/>
        <v>23400</v>
      </c>
      <c r="X148" s="110">
        <f t="shared" si="84"/>
        <v>38.65</v>
      </c>
      <c r="Y148" s="110">
        <f t="shared" si="85"/>
        <v>1872</v>
      </c>
      <c r="Z148" s="110">
        <f t="shared" si="86"/>
        <v>9789.35</v>
      </c>
      <c r="AA148" s="260">
        <f t="shared" si="87"/>
        <v>0.83669658119658119</v>
      </c>
      <c r="AB148" s="28">
        <f t="shared" si="88"/>
        <v>7.7</v>
      </c>
      <c r="AC148" s="261">
        <f t="shared" si="89"/>
        <v>0.83637562569313317</v>
      </c>
      <c r="AD148" s="111">
        <f t="shared" si="90"/>
        <v>1.3</v>
      </c>
      <c r="AE148" s="262">
        <f t="shared" si="91"/>
        <v>3.0840244490096098E-2</v>
      </c>
      <c r="AF148" s="100"/>
      <c r="AG148" s="111">
        <f t="shared" si="92"/>
        <v>2.1</v>
      </c>
      <c r="AH148" s="262">
        <f t="shared" si="93"/>
        <v>0.40004396087482141</v>
      </c>
      <c r="AI148" s="100"/>
      <c r="AJ148" s="111">
        <f t="shared" si="94"/>
        <v>1.9</v>
      </c>
      <c r="AK148" s="262">
        <f t="shared" si="95"/>
        <v>0.33689069359848678</v>
      </c>
      <c r="AL148" s="100"/>
      <c r="AM148" s="111">
        <f t="shared" si="96"/>
        <v>1.8</v>
      </c>
      <c r="AN148" s="262">
        <f t="shared" si="97"/>
        <v>0.30005128768729167</v>
      </c>
      <c r="AO148" s="100"/>
      <c r="AP148" s="24" t="e">
        <f>VLOOKUP(C148,#REF!,6,FALSE)</f>
        <v>#REF!</v>
      </c>
      <c r="AQ148" s="24" t="e">
        <f>VLOOKUP(C148,#REF!,7,FALSE)</f>
        <v>#REF!</v>
      </c>
      <c r="AR148" s="24" t="e">
        <f>VLOOKUP(C148,#REF!,12,FALSE)</f>
        <v>#REF!</v>
      </c>
      <c r="AS148" s="24" t="e">
        <f>VLOOKUP(C148,#REF!,13,FALSE)</f>
        <v>#REF!</v>
      </c>
      <c r="AT148" s="100"/>
      <c r="AU148" s="100"/>
      <c r="AV148" s="100">
        <v>138</v>
      </c>
      <c r="AW148" s="100"/>
      <c r="AY148" s="128">
        <v>23400</v>
      </c>
    </row>
    <row r="149" spans="1:51" s="2" customFormat="1" ht="12.75" customHeight="1" x14ac:dyDescent="0.2">
      <c r="A149" s="6" t="s">
        <v>1087</v>
      </c>
      <c r="B149" s="8">
        <v>9789500208529</v>
      </c>
      <c r="C149" s="8">
        <v>595690</v>
      </c>
      <c r="D149" s="7">
        <v>272</v>
      </c>
      <c r="E149" s="7" t="s">
        <v>90</v>
      </c>
      <c r="F149" s="145" t="s">
        <v>1088</v>
      </c>
      <c r="G149" s="107">
        <v>42248</v>
      </c>
      <c r="H149" s="108">
        <v>43862</v>
      </c>
      <c r="I149" s="24">
        <v>1065</v>
      </c>
      <c r="J149" s="28" t="s">
        <v>1894</v>
      </c>
      <c r="K149" s="28">
        <v>107.69</v>
      </c>
      <c r="L149" s="128">
        <v>23400</v>
      </c>
      <c r="M149" s="112">
        <f>+L149*0.1</f>
        <v>2340</v>
      </c>
      <c r="N149" s="9">
        <f t="shared" si="79"/>
        <v>11700</v>
      </c>
      <c r="O149" s="9">
        <f t="shared" si="80"/>
        <v>9252.31</v>
      </c>
      <c r="P149" s="9">
        <f t="shared" si="81"/>
        <v>2447.69</v>
      </c>
      <c r="Q149" s="139">
        <f t="shared" si="82"/>
        <v>0.79079572649572649</v>
      </c>
      <c r="R149" s="335">
        <v>23400</v>
      </c>
      <c r="S149" s="359" t="s">
        <v>1948</v>
      </c>
      <c r="T149" s="305">
        <v>0.79079572649572649</v>
      </c>
      <c r="U149" s="144"/>
      <c r="V149" s="100"/>
      <c r="W149" s="110">
        <f t="shared" si="83"/>
        <v>23400</v>
      </c>
      <c r="X149" s="110">
        <f t="shared" si="84"/>
        <v>107.69</v>
      </c>
      <c r="Y149" s="110">
        <f t="shared" si="85"/>
        <v>2340</v>
      </c>
      <c r="Z149" s="110">
        <f t="shared" si="86"/>
        <v>9252.31</v>
      </c>
      <c r="AA149" s="260">
        <f t="shared" si="87"/>
        <v>0.79079572649572649</v>
      </c>
      <c r="AB149" s="28">
        <f t="shared" si="88"/>
        <v>7.7</v>
      </c>
      <c r="AC149" s="261">
        <f t="shared" si="89"/>
        <v>0.79038455774360816</v>
      </c>
      <c r="AD149" s="111">
        <f t="shared" si="90"/>
        <v>1.7</v>
      </c>
      <c r="AE149" s="262">
        <f t="shared" si="91"/>
        <v>5.056534977987226E-2</v>
      </c>
      <c r="AF149" s="100"/>
      <c r="AG149" s="111">
        <f t="shared" si="92"/>
        <v>2.7</v>
      </c>
      <c r="AH149" s="262">
        <f t="shared" si="93"/>
        <v>0.40220781282436413</v>
      </c>
      <c r="AI149" s="100"/>
      <c r="AJ149" s="111">
        <f t="shared" si="94"/>
        <v>2.5</v>
      </c>
      <c r="AK149" s="262">
        <f t="shared" si="95"/>
        <v>0.35438443785031321</v>
      </c>
      <c r="AL149" s="100"/>
      <c r="AM149" s="111">
        <f t="shared" si="96"/>
        <v>2.2999999999999998</v>
      </c>
      <c r="AN149" s="262">
        <f t="shared" si="97"/>
        <v>0.29824395418512301</v>
      </c>
      <c r="AO149" s="100"/>
      <c r="AP149" s="24" t="e">
        <f>VLOOKUP(C149,#REF!,6,FALSE)</f>
        <v>#REF!</v>
      </c>
      <c r="AQ149" s="24" t="e">
        <f>VLOOKUP(C149,#REF!,7,FALSE)</f>
        <v>#REF!</v>
      </c>
      <c r="AR149" s="24" t="e">
        <f>VLOOKUP(C149,#REF!,12,FALSE)</f>
        <v>#REF!</v>
      </c>
      <c r="AS149" s="24" t="e">
        <f>VLOOKUP(C149,#REF!,13,FALSE)</f>
        <v>#REF!</v>
      </c>
      <c r="AT149" s="100"/>
      <c r="AU149" s="100"/>
      <c r="AV149" s="100">
        <v>139</v>
      </c>
      <c r="AW149" s="100"/>
      <c r="AY149" s="128">
        <v>23400</v>
      </c>
    </row>
    <row r="150" spans="1:51" s="2" customFormat="1" ht="12.75" customHeight="1" x14ac:dyDescent="0.2">
      <c r="A150" s="6" t="s">
        <v>1089</v>
      </c>
      <c r="B150" s="8">
        <v>9789500208123</v>
      </c>
      <c r="C150" s="8">
        <v>580535</v>
      </c>
      <c r="D150" s="7">
        <v>416</v>
      </c>
      <c r="E150" s="7" t="s">
        <v>104</v>
      </c>
      <c r="F150" s="7" t="s">
        <v>105</v>
      </c>
      <c r="G150" s="107">
        <v>41852</v>
      </c>
      <c r="H150" s="108">
        <v>44287</v>
      </c>
      <c r="I150" s="7">
        <v>2003</v>
      </c>
      <c r="J150" s="28" t="s">
        <v>1946</v>
      </c>
      <c r="K150" s="9">
        <v>166.05</v>
      </c>
      <c r="L150" s="9">
        <v>34500</v>
      </c>
      <c r="M150" s="9">
        <f>+L150*0.15</f>
        <v>5175</v>
      </c>
      <c r="N150" s="9">
        <f t="shared" si="79"/>
        <v>17250</v>
      </c>
      <c r="O150" s="9">
        <f t="shared" si="80"/>
        <v>11908.95</v>
      </c>
      <c r="P150" s="9">
        <f t="shared" si="81"/>
        <v>5341.05</v>
      </c>
      <c r="Q150" s="139">
        <f t="shared" si="82"/>
        <v>0.69037391304347828</v>
      </c>
      <c r="R150" s="335">
        <v>34500</v>
      </c>
      <c r="S150" s="359" t="s">
        <v>1948</v>
      </c>
      <c r="T150" s="305">
        <v>0.69037391304347828</v>
      </c>
      <c r="U150" s="140"/>
      <c r="V150" s="100"/>
      <c r="W150" s="110">
        <f t="shared" si="83"/>
        <v>34500</v>
      </c>
      <c r="X150" s="110">
        <f t="shared" si="84"/>
        <v>166.05</v>
      </c>
      <c r="Y150" s="110">
        <f t="shared" si="85"/>
        <v>5175</v>
      </c>
      <c r="Z150" s="110">
        <f t="shared" si="86"/>
        <v>11908.95</v>
      </c>
      <c r="AA150" s="260">
        <f t="shared" si="87"/>
        <v>0.69037391304347828</v>
      </c>
      <c r="AB150" s="28">
        <f t="shared" si="88"/>
        <v>11.4</v>
      </c>
      <c r="AC150" s="261">
        <f t="shared" si="89"/>
        <v>0.69105627570409711</v>
      </c>
      <c r="AD150" s="111">
        <f t="shared" si="90"/>
        <v>3.7</v>
      </c>
      <c r="AE150" s="262">
        <f t="shared" si="91"/>
        <v>4.8119335953163846E-2</v>
      </c>
      <c r="AF150" s="100"/>
      <c r="AG150" s="111">
        <f t="shared" si="92"/>
        <v>5.9</v>
      </c>
      <c r="AH150" s="262">
        <f t="shared" si="93"/>
        <v>0.40305788864859438</v>
      </c>
      <c r="AI150" s="100"/>
      <c r="AJ150" s="111">
        <f t="shared" si="94"/>
        <v>5.4</v>
      </c>
      <c r="AK150" s="262">
        <f t="shared" si="95"/>
        <v>0.34778547093087153</v>
      </c>
      <c r="AL150" s="100"/>
      <c r="AM150" s="111">
        <f t="shared" si="96"/>
        <v>5</v>
      </c>
      <c r="AN150" s="262">
        <f t="shared" si="97"/>
        <v>0.29560830860534121</v>
      </c>
      <c r="AO150" s="100"/>
      <c r="AP150" s="24" t="e">
        <f>VLOOKUP(C150,#REF!,6,FALSE)</f>
        <v>#REF!</v>
      </c>
      <c r="AQ150" s="24" t="e">
        <f>VLOOKUP(C150,#REF!,7,FALSE)</f>
        <v>#REF!</v>
      </c>
      <c r="AR150" s="24" t="e">
        <f>VLOOKUP(C150,#REF!,12,FALSE)</f>
        <v>#REF!</v>
      </c>
      <c r="AS150" s="24" t="e">
        <f>VLOOKUP(C150,#REF!,13,FALSE)</f>
        <v>#REF!</v>
      </c>
      <c r="AT150" s="100"/>
      <c r="AU150" s="100"/>
      <c r="AV150" s="100">
        <v>140</v>
      </c>
      <c r="AW150" s="100"/>
      <c r="AY150" s="9">
        <v>34500</v>
      </c>
    </row>
    <row r="151" spans="1:51" s="2" customFormat="1" ht="12.75" customHeight="1" x14ac:dyDescent="0.2">
      <c r="A151" s="6" t="s">
        <v>1090</v>
      </c>
      <c r="B151" s="8">
        <v>9789500208536</v>
      </c>
      <c r="C151" s="6">
        <v>593816</v>
      </c>
      <c r="D151" s="25">
        <v>400</v>
      </c>
      <c r="E151" s="22" t="s">
        <v>28</v>
      </c>
      <c r="F151" s="6" t="s">
        <v>74</v>
      </c>
      <c r="G151" s="107">
        <v>42186</v>
      </c>
      <c r="H151" s="108">
        <v>44621</v>
      </c>
      <c r="I151" s="7">
        <v>1997</v>
      </c>
      <c r="J151" s="28" t="s">
        <v>2136</v>
      </c>
      <c r="K151" s="117">
        <v>270.76</v>
      </c>
      <c r="L151" s="9">
        <v>46900</v>
      </c>
      <c r="M151" s="112">
        <f>+L151*0.1</f>
        <v>4690</v>
      </c>
      <c r="N151" s="9">
        <f t="shared" si="79"/>
        <v>23450</v>
      </c>
      <c r="O151" s="9">
        <f t="shared" si="80"/>
        <v>18489.240000000002</v>
      </c>
      <c r="P151" s="9">
        <f t="shared" si="81"/>
        <v>4960.76</v>
      </c>
      <c r="Q151" s="139">
        <f t="shared" si="82"/>
        <v>0.78845373134328367</v>
      </c>
      <c r="R151" s="335">
        <v>46900</v>
      </c>
      <c r="S151" s="359" t="s">
        <v>1948</v>
      </c>
      <c r="T151" s="305">
        <v>0.78845373134328367</v>
      </c>
      <c r="U151" s="140"/>
      <c r="V151" s="100"/>
      <c r="W151" s="110">
        <f t="shared" si="83"/>
        <v>46900</v>
      </c>
      <c r="X151" s="110">
        <f t="shared" si="84"/>
        <v>270.76</v>
      </c>
      <c r="Y151" s="110">
        <f t="shared" si="85"/>
        <v>4690</v>
      </c>
      <c r="Z151" s="110">
        <f t="shared" si="86"/>
        <v>18489.240000000002</v>
      </c>
      <c r="AA151" s="260">
        <f t="shared" si="87"/>
        <v>0.78845373134328367</v>
      </c>
      <c r="AB151" s="28">
        <f t="shared" si="88"/>
        <v>15.5</v>
      </c>
      <c r="AC151" s="261">
        <f t="shared" si="89"/>
        <v>0.78895546834285235</v>
      </c>
      <c r="AD151" s="111">
        <f t="shared" si="90"/>
        <v>3.4</v>
      </c>
      <c r="AE151" s="262">
        <f t="shared" si="91"/>
        <v>3.7885223327708786E-2</v>
      </c>
      <c r="AF151" s="100"/>
      <c r="AG151" s="111">
        <f t="shared" si="92"/>
        <v>5.5</v>
      </c>
      <c r="AH151" s="262">
        <f t="shared" si="93"/>
        <v>0.4052381380571291</v>
      </c>
      <c r="AI151" s="100"/>
      <c r="AJ151" s="111">
        <f t="shared" si="94"/>
        <v>5</v>
      </c>
      <c r="AK151" s="262">
        <f t="shared" si="95"/>
        <v>0.34576195186284203</v>
      </c>
      <c r="AL151" s="100"/>
      <c r="AM151" s="111">
        <f t="shared" si="96"/>
        <v>4.7</v>
      </c>
      <c r="AN151" s="262">
        <f t="shared" si="97"/>
        <v>0.30400207644983196</v>
      </c>
      <c r="AO151" s="100"/>
      <c r="AP151" s="24" t="e">
        <f>VLOOKUP(C151,#REF!,6,FALSE)</f>
        <v>#REF!</v>
      </c>
      <c r="AQ151" s="24" t="e">
        <f>VLOOKUP(C151,#REF!,7,FALSE)</f>
        <v>#REF!</v>
      </c>
      <c r="AR151" s="24" t="e">
        <f>VLOOKUP(C151,#REF!,12,FALSE)</f>
        <v>#REF!</v>
      </c>
      <c r="AS151" s="24" t="e">
        <f>VLOOKUP(C151,#REF!,13,FALSE)</f>
        <v>#REF!</v>
      </c>
      <c r="AT151" s="100"/>
      <c r="AU151" s="100"/>
      <c r="AV151" s="100">
        <v>141</v>
      </c>
      <c r="AW151" s="100"/>
      <c r="AY151" s="9">
        <v>46900</v>
      </c>
    </row>
    <row r="152" spans="1:51" s="2" customFormat="1" ht="12.75" customHeight="1" x14ac:dyDescent="0.2">
      <c r="A152" s="7" t="s">
        <v>1091</v>
      </c>
      <c r="B152" s="8">
        <v>9789500209861</v>
      </c>
      <c r="C152" s="6">
        <v>656688</v>
      </c>
      <c r="D152" s="7">
        <v>496</v>
      </c>
      <c r="E152" s="22" t="s">
        <v>412</v>
      </c>
      <c r="F152" s="7" t="s">
        <v>413</v>
      </c>
      <c r="G152" s="107">
        <v>43405</v>
      </c>
      <c r="H152" s="108">
        <v>44621</v>
      </c>
      <c r="I152" s="7">
        <v>2021</v>
      </c>
      <c r="J152" s="28" t="s">
        <v>2136</v>
      </c>
      <c r="K152" s="117">
        <v>316.45</v>
      </c>
      <c r="L152" s="9">
        <v>46900</v>
      </c>
      <c r="M152" s="9">
        <f>+L152*0.08</f>
        <v>3752</v>
      </c>
      <c r="N152" s="9">
        <f t="shared" si="79"/>
        <v>23450</v>
      </c>
      <c r="O152" s="9">
        <f t="shared" si="80"/>
        <v>19381.55</v>
      </c>
      <c r="P152" s="9">
        <f t="shared" si="81"/>
        <v>4068.45</v>
      </c>
      <c r="Q152" s="139">
        <f t="shared" si="82"/>
        <v>0.82650533049040509</v>
      </c>
      <c r="R152" s="335">
        <v>46900</v>
      </c>
      <c r="S152" s="359" t="s">
        <v>1948</v>
      </c>
      <c r="T152" s="305">
        <v>0.82650533049040509</v>
      </c>
      <c r="U152" s="144"/>
      <c r="V152" s="100"/>
      <c r="W152" s="110">
        <f t="shared" si="83"/>
        <v>46900</v>
      </c>
      <c r="X152" s="110">
        <f t="shared" si="84"/>
        <v>316.45</v>
      </c>
      <c r="Y152" s="110">
        <f t="shared" si="85"/>
        <v>3752</v>
      </c>
      <c r="Z152" s="110">
        <f t="shared" si="86"/>
        <v>19381.55</v>
      </c>
      <c r="AA152" s="260">
        <f t="shared" si="87"/>
        <v>0.82650533049040509</v>
      </c>
      <c r="AB152" s="28">
        <f t="shared" si="88"/>
        <v>15.5</v>
      </c>
      <c r="AC152" s="261">
        <f t="shared" si="89"/>
        <v>0.82691681822532781</v>
      </c>
      <c r="AD152" s="111">
        <f t="shared" si="90"/>
        <v>2.8</v>
      </c>
      <c r="AE152" s="262">
        <f t="shared" si="91"/>
        <v>4.186095803306486E-2</v>
      </c>
      <c r="AF152" s="100"/>
      <c r="AG152" s="111">
        <f t="shared" si="92"/>
        <v>4.5</v>
      </c>
      <c r="AH152" s="262">
        <f t="shared" si="93"/>
        <v>0.40382459610946259</v>
      </c>
      <c r="AI152" s="100"/>
      <c r="AJ152" s="111">
        <f t="shared" si="94"/>
        <v>4.0999999999999996</v>
      </c>
      <c r="AK152" s="262">
        <f t="shared" si="95"/>
        <v>0.34566114207136134</v>
      </c>
      <c r="AL152" s="100"/>
      <c r="AM152" s="111">
        <f t="shared" si="96"/>
        <v>3.8</v>
      </c>
      <c r="AN152" s="262">
        <f t="shared" si="97"/>
        <v>0.29400281118225835</v>
      </c>
      <c r="AO152" s="100"/>
      <c r="AP152" s="24" t="e">
        <f>VLOOKUP(C152,#REF!,6,FALSE)</f>
        <v>#REF!</v>
      </c>
      <c r="AQ152" s="24" t="e">
        <f>VLOOKUP(C152,#REF!,7,FALSE)</f>
        <v>#REF!</v>
      </c>
      <c r="AR152" s="24" t="e">
        <f>VLOOKUP(C152,#REF!,12,FALSE)</f>
        <v>#REF!</v>
      </c>
      <c r="AS152" s="24" t="e">
        <f>VLOOKUP(C152,#REF!,13,FALSE)</f>
        <v>#REF!</v>
      </c>
      <c r="AT152" s="100"/>
      <c r="AU152" s="100"/>
      <c r="AV152" s="100">
        <v>142</v>
      </c>
      <c r="AW152" s="100"/>
      <c r="AY152" s="9">
        <v>46900</v>
      </c>
    </row>
    <row r="153" spans="1:51" s="2" customFormat="1" ht="12.75" customHeight="1" x14ac:dyDescent="0.2">
      <c r="A153" s="6" t="s">
        <v>1092</v>
      </c>
      <c r="B153" s="8">
        <v>9789500298810</v>
      </c>
      <c r="C153" s="8">
        <v>610466</v>
      </c>
      <c r="D153" s="7">
        <v>512</v>
      </c>
      <c r="E153" s="31" t="s">
        <v>28</v>
      </c>
      <c r="F153" s="287" t="s">
        <v>75</v>
      </c>
      <c r="G153" s="107">
        <v>42461</v>
      </c>
      <c r="H153" s="108">
        <v>45352</v>
      </c>
      <c r="I153" s="7">
        <v>1044</v>
      </c>
      <c r="J153" s="28" t="s">
        <v>2136</v>
      </c>
      <c r="K153" s="148">
        <v>4227.54</v>
      </c>
      <c r="L153" s="112">
        <v>46900</v>
      </c>
      <c r="M153" s="112">
        <f>+L153*0.1</f>
        <v>4690</v>
      </c>
      <c r="N153" s="9">
        <f t="shared" si="79"/>
        <v>23450</v>
      </c>
      <c r="O153" s="9">
        <f t="shared" si="80"/>
        <v>14532.46</v>
      </c>
      <c r="P153" s="9">
        <f t="shared" si="81"/>
        <v>8917.5400000000009</v>
      </c>
      <c r="Q153" s="139">
        <f t="shared" si="82"/>
        <v>0.61972110874200426</v>
      </c>
      <c r="R153" s="335">
        <v>46900</v>
      </c>
      <c r="S153" s="359" t="s">
        <v>1948</v>
      </c>
      <c r="T153" s="305">
        <v>0.61972110874200426</v>
      </c>
      <c r="U153" s="144"/>
      <c r="V153" s="100"/>
      <c r="W153" s="110">
        <f t="shared" si="83"/>
        <v>46900</v>
      </c>
      <c r="X153" s="110">
        <f t="shared" si="84"/>
        <v>4227.54</v>
      </c>
      <c r="Y153" s="110">
        <f t="shared" si="85"/>
        <v>4690</v>
      </c>
      <c r="Z153" s="110">
        <f t="shared" si="86"/>
        <v>14532.46</v>
      </c>
      <c r="AA153" s="260">
        <f t="shared" si="87"/>
        <v>0.61972110874200426</v>
      </c>
      <c r="AB153" s="28">
        <f t="shared" si="88"/>
        <v>15.5</v>
      </c>
      <c r="AC153" s="261">
        <f t="shared" si="89"/>
        <v>0.62062303904363825</v>
      </c>
      <c r="AD153" s="111">
        <f t="shared" si="90"/>
        <v>6.2</v>
      </c>
      <c r="AE153" s="262">
        <f t="shared" si="91"/>
        <v>5.1557597609095764E-2</v>
      </c>
      <c r="AF153" s="100"/>
      <c r="AG153" s="111">
        <f t="shared" si="92"/>
        <v>9.8000000000000007</v>
      </c>
      <c r="AH153" s="262">
        <f t="shared" si="93"/>
        <v>0.39996501073228496</v>
      </c>
      <c r="AI153" s="100"/>
      <c r="AJ153" s="111">
        <f t="shared" si="94"/>
        <v>9</v>
      </c>
      <c r="AK153" s="262">
        <f t="shared" si="95"/>
        <v>0.34662856724182139</v>
      </c>
      <c r="AL153" s="100"/>
      <c r="AM153" s="111">
        <f t="shared" si="96"/>
        <v>8.4</v>
      </c>
      <c r="AN153" s="262">
        <f t="shared" si="97"/>
        <v>0.2999591791876659</v>
      </c>
      <c r="AO153" s="100"/>
      <c r="AP153" s="24" t="e">
        <f>VLOOKUP(C153,#REF!,6,FALSE)</f>
        <v>#REF!</v>
      </c>
      <c r="AQ153" s="24" t="e">
        <f>VLOOKUP(C153,#REF!,7,FALSE)</f>
        <v>#REF!</v>
      </c>
      <c r="AR153" s="24" t="e">
        <f>VLOOKUP(C153,#REF!,12,FALSE)</f>
        <v>#REF!</v>
      </c>
      <c r="AS153" s="24" t="e">
        <f>VLOOKUP(C153,#REF!,13,FALSE)</f>
        <v>#REF!</v>
      </c>
      <c r="AT153" s="100"/>
      <c r="AU153" s="100"/>
      <c r="AV153" s="100">
        <v>143</v>
      </c>
      <c r="AW153" s="100"/>
      <c r="AY153" s="112">
        <v>46900</v>
      </c>
    </row>
    <row r="154" spans="1:51" s="2" customFormat="1" ht="12.75" customHeight="1" x14ac:dyDescent="0.2">
      <c r="A154" s="7" t="s">
        <v>1093</v>
      </c>
      <c r="B154" s="8">
        <v>9789500206792</v>
      </c>
      <c r="C154" s="8">
        <v>552476</v>
      </c>
      <c r="D154" s="7">
        <v>304</v>
      </c>
      <c r="E154" s="7" t="s">
        <v>90</v>
      </c>
      <c r="F154" s="7" t="s">
        <v>91</v>
      </c>
      <c r="G154" s="107">
        <v>41091</v>
      </c>
      <c r="H154" s="108">
        <v>42856</v>
      </c>
      <c r="I154" s="24">
        <v>1536</v>
      </c>
      <c r="J154" s="28" t="s">
        <v>1894</v>
      </c>
      <c r="K154" s="28">
        <v>41.62</v>
      </c>
      <c r="L154" s="128">
        <v>20700</v>
      </c>
      <c r="M154" s="112">
        <f>+L154*0.1</f>
        <v>2070</v>
      </c>
      <c r="N154" s="9">
        <f t="shared" si="79"/>
        <v>10350</v>
      </c>
      <c r="O154" s="9">
        <f t="shared" si="80"/>
        <v>8238.3799999999992</v>
      </c>
      <c r="P154" s="9">
        <f t="shared" si="81"/>
        <v>2111.62</v>
      </c>
      <c r="Q154" s="139">
        <f t="shared" si="82"/>
        <v>0.7959787439613526</v>
      </c>
      <c r="R154" s="335">
        <v>20700</v>
      </c>
      <c r="S154" s="359" t="s">
        <v>1948</v>
      </c>
      <c r="T154" s="305">
        <v>0.7959787439613526</v>
      </c>
      <c r="U154" s="144"/>
      <c r="V154" s="100"/>
      <c r="W154" s="110">
        <f t="shared" si="83"/>
        <v>20700</v>
      </c>
      <c r="X154" s="110">
        <f t="shared" si="84"/>
        <v>41.62</v>
      </c>
      <c r="Y154" s="110">
        <f t="shared" si="85"/>
        <v>2070</v>
      </c>
      <c r="Z154" s="110">
        <f t="shared" si="86"/>
        <v>8238.3799999999992</v>
      </c>
      <c r="AA154" s="260">
        <f t="shared" si="87"/>
        <v>0.7959787439613526</v>
      </c>
      <c r="AB154" s="28">
        <f t="shared" si="88"/>
        <v>6.8</v>
      </c>
      <c r="AC154" s="261">
        <f t="shared" si="89"/>
        <v>0.79523089156533033</v>
      </c>
      <c r="AD154" s="111">
        <f t="shared" si="90"/>
        <v>1.5</v>
      </c>
      <c r="AE154" s="262">
        <f t="shared" si="91"/>
        <v>7.1713375096164461E-2</v>
      </c>
      <c r="AF154" s="100"/>
      <c r="AG154" s="111">
        <f t="shared" si="92"/>
        <v>2.2999999999999998</v>
      </c>
      <c r="AH154" s="262">
        <f t="shared" si="93"/>
        <v>0.39459567941054202</v>
      </c>
      <c r="AI154" s="100"/>
      <c r="AJ154" s="111">
        <f t="shared" si="94"/>
        <v>2.1</v>
      </c>
      <c r="AK154" s="262">
        <f t="shared" si="95"/>
        <v>0.33693812506868892</v>
      </c>
      <c r="AL154" s="100"/>
      <c r="AM154" s="111">
        <f t="shared" si="96"/>
        <v>2</v>
      </c>
      <c r="AN154" s="262">
        <f t="shared" si="97"/>
        <v>0.30378503132212337</v>
      </c>
      <c r="AO154" s="100"/>
      <c r="AP154" s="24" t="e">
        <f>VLOOKUP(C154,#REF!,6,FALSE)</f>
        <v>#REF!</v>
      </c>
      <c r="AQ154" s="24" t="e">
        <f>VLOOKUP(C154,#REF!,7,FALSE)</f>
        <v>#REF!</v>
      </c>
      <c r="AR154" s="24" t="e">
        <f>VLOOKUP(C154,#REF!,12,FALSE)</f>
        <v>#REF!</v>
      </c>
      <c r="AS154" s="24" t="e">
        <f>VLOOKUP(C154,#REF!,13,FALSE)</f>
        <v>#REF!</v>
      </c>
      <c r="AT154" s="100">
        <v>7</v>
      </c>
      <c r="AU154" s="100"/>
      <c r="AV154" s="100">
        <v>144</v>
      </c>
      <c r="AW154" s="100"/>
      <c r="AY154" s="128">
        <v>20700</v>
      </c>
    </row>
    <row r="155" spans="1:51" s="27" customFormat="1" ht="12.75" customHeight="1" x14ac:dyDescent="0.2">
      <c r="A155" s="7" t="s">
        <v>1094</v>
      </c>
      <c r="B155" s="8">
        <v>9789500206822</v>
      </c>
      <c r="C155" s="8">
        <v>554727</v>
      </c>
      <c r="D155" s="7">
        <v>320</v>
      </c>
      <c r="E155" s="7" t="s">
        <v>90</v>
      </c>
      <c r="F155" s="7" t="s">
        <v>1095</v>
      </c>
      <c r="G155" s="118">
        <v>41153</v>
      </c>
      <c r="H155" s="108">
        <v>42142</v>
      </c>
      <c r="I155" s="24">
        <v>2079</v>
      </c>
      <c r="J155" s="28" t="s">
        <v>1894</v>
      </c>
      <c r="K155" s="28">
        <v>24.53</v>
      </c>
      <c r="L155" s="128">
        <v>20700</v>
      </c>
      <c r="M155" s="112">
        <f>+L155*0.1</f>
        <v>2070</v>
      </c>
      <c r="N155" s="9">
        <f t="shared" si="79"/>
        <v>10350</v>
      </c>
      <c r="O155" s="9">
        <f t="shared" si="80"/>
        <v>8255.4699999999993</v>
      </c>
      <c r="P155" s="9">
        <f t="shared" si="81"/>
        <v>2094.5300000000002</v>
      </c>
      <c r="Q155" s="139">
        <f t="shared" si="82"/>
        <v>0.79762995169082118</v>
      </c>
      <c r="R155" s="335">
        <v>20700</v>
      </c>
      <c r="S155" s="359" t="s">
        <v>1948</v>
      </c>
      <c r="T155" s="305">
        <v>0.79762995169082118</v>
      </c>
      <c r="U155" s="144"/>
      <c r="V155" s="100"/>
      <c r="W155" s="110">
        <f t="shared" si="83"/>
        <v>20700</v>
      </c>
      <c r="X155" s="110">
        <f t="shared" si="84"/>
        <v>24.53</v>
      </c>
      <c r="Y155" s="110">
        <f t="shared" si="85"/>
        <v>2070</v>
      </c>
      <c r="Z155" s="110">
        <f t="shared" si="86"/>
        <v>8255.4699999999993</v>
      </c>
      <c r="AA155" s="260">
        <f t="shared" si="87"/>
        <v>0.79762995169082118</v>
      </c>
      <c r="AB155" s="28">
        <f t="shared" si="88"/>
        <v>6.8</v>
      </c>
      <c r="AC155" s="261">
        <f t="shared" si="89"/>
        <v>0.79688815189775208</v>
      </c>
      <c r="AD155" s="111">
        <f t="shared" si="90"/>
        <v>1.5</v>
      </c>
      <c r="AE155" s="262">
        <f t="shared" si="91"/>
        <v>7.9226288603143111E-2</v>
      </c>
      <c r="AF155" s="100"/>
      <c r="AG155" s="111">
        <f t="shared" si="92"/>
        <v>2.2999999999999998</v>
      </c>
      <c r="AH155" s="262">
        <f t="shared" si="93"/>
        <v>0.39949540561074548</v>
      </c>
      <c r="AI155" s="100"/>
      <c r="AJ155" s="111">
        <f t="shared" si="94"/>
        <v>2.1</v>
      </c>
      <c r="AK155" s="262">
        <f t="shared" si="95"/>
        <v>0.34230449185938794</v>
      </c>
      <c r="AL155" s="100"/>
      <c r="AM155" s="111">
        <f t="shared" si="96"/>
        <v>2</v>
      </c>
      <c r="AN155" s="262">
        <f t="shared" si="97"/>
        <v>0.30941971645235733</v>
      </c>
      <c r="AO155" s="100"/>
      <c r="AP155" s="24" t="e">
        <f>VLOOKUP(C155,#REF!,6,FALSE)</f>
        <v>#REF!</v>
      </c>
      <c r="AQ155" s="24" t="e">
        <f>VLOOKUP(C155,#REF!,7,FALSE)</f>
        <v>#REF!</v>
      </c>
      <c r="AR155" s="24" t="e">
        <f>VLOOKUP(C155,#REF!,12,FALSE)</f>
        <v>#REF!</v>
      </c>
      <c r="AS155" s="24" t="e">
        <f>VLOOKUP(C155,#REF!,13,FALSE)</f>
        <v>#REF!</v>
      </c>
      <c r="AT155" s="100">
        <v>8</v>
      </c>
      <c r="AU155" s="100"/>
      <c r="AV155" s="100">
        <v>145</v>
      </c>
      <c r="AW155" s="100"/>
      <c r="AY155" s="128">
        <v>20700</v>
      </c>
    </row>
    <row r="156" spans="1:51" s="2" customFormat="1" ht="12.75" customHeight="1" x14ac:dyDescent="0.2">
      <c r="A156" s="6" t="s">
        <v>1096</v>
      </c>
      <c r="B156" s="8">
        <v>9789500299817</v>
      </c>
      <c r="C156" s="6">
        <v>630236</v>
      </c>
      <c r="D156" s="25">
        <v>368</v>
      </c>
      <c r="E156" s="7" t="s">
        <v>67</v>
      </c>
      <c r="F156" s="11" t="s">
        <v>68</v>
      </c>
      <c r="G156" s="107">
        <v>42887</v>
      </c>
      <c r="H156" s="108">
        <v>42856</v>
      </c>
      <c r="I156" s="24">
        <v>3018</v>
      </c>
      <c r="J156" s="28" t="s">
        <v>1894</v>
      </c>
      <c r="K156" s="28">
        <v>54.75</v>
      </c>
      <c r="L156" s="128">
        <v>23900</v>
      </c>
      <c r="M156" s="141">
        <f>+L156*0.08</f>
        <v>1912</v>
      </c>
      <c r="N156" s="142">
        <f t="shared" si="79"/>
        <v>11950</v>
      </c>
      <c r="O156" s="142">
        <f t="shared" si="80"/>
        <v>9983.25</v>
      </c>
      <c r="P156" s="142">
        <f t="shared" si="81"/>
        <v>1966.75</v>
      </c>
      <c r="Q156" s="139">
        <f t="shared" si="82"/>
        <v>0.83541841004184103</v>
      </c>
      <c r="R156" s="335">
        <v>23900</v>
      </c>
      <c r="S156" s="359" t="s">
        <v>1948</v>
      </c>
      <c r="T156" s="305">
        <v>0.83541841004184103</v>
      </c>
      <c r="U156" s="144"/>
      <c r="V156" s="100"/>
      <c r="W156" s="110">
        <f t="shared" si="83"/>
        <v>23900</v>
      </c>
      <c r="X156" s="110">
        <f t="shared" si="84"/>
        <v>54.75</v>
      </c>
      <c r="Y156" s="110">
        <f t="shared" si="85"/>
        <v>1912</v>
      </c>
      <c r="Z156" s="110">
        <f t="shared" si="86"/>
        <v>9983.25</v>
      </c>
      <c r="AA156" s="260">
        <f t="shared" si="87"/>
        <v>0.83541841004184103</v>
      </c>
      <c r="AB156" s="28">
        <f t="shared" si="88"/>
        <v>7.9</v>
      </c>
      <c r="AC156" s="261">
        <f t="shared" si="89"/>
        <v>0.83583534704745688</v>
      </c>
      <c r="AD156" s="111">
        <f t="shared" si="90"/>
        <v>1.4</v>
      </c>
      <c r="AE156" s="262">
        <f t="shared" si="91"/>
        <v>7.3642315482078058E-2</v>
      </c>
      <c r="AF156" s="100"/>
      <c r="AG156" s="111">
        <f t="shared" si="92"/>
        <v>2.2000000000000002</v>
      </c>
      <c r="AH156" s="262">
        <f t="shared" si="93"/>
        <v>0.41049965530677701</v>
      </c>
      <c r="AI156" s="100"/>
      <c r="AJ156" s="111">
        <f t="shared" si="94"/>
        <v>2</v>
      </c>
      <c r="AK156" s="262">
        <f t="shared" si="95"/>
        <v>0.35154962083745467</v>
      </c>
      <c r="AL156" s="100"/>
      <c r="AM156" s="111">
        <f t="shared" si="96"/>
        <v>1.9</v>
      </c>
      <c r="AN156" s="262">
        <f t="shared" si="97"/>
        <v>0.31742065351311016</v>
      </c>
      <c r="AO156" s="100"/>
      <c r="AP156" s="24" t="e">
        <f>VLOOKUP(C156,#REF!,6,FALSE)</f>
        <v>#REF!</v>
      </c>
      <c r="AQ156" s="24" t="e">
        <f>VLOOKUP(C156,#REF!,7,FALSE)</f>
        <v>#REF!</v>
      </c>
      <c r="AR156" s="24" t="e">
        <f>VLOOKUP(C156,#REF!,12,FALSE)</f>
        <v>#REF!</v>
      </c>
      <c r="AS156" s="24" t="e">
        <f>VLOOKUP(C156,#REF!,13,FALSE)</f>
        <v>#REF!</v>
      </c>
      <c r="AT156" s="100">
        <v>9</v>
      </c>
      <c r="AU156" s="100"/>
      <c r="AV156" s="100">
        <v>146</v>
      </c>
      <c r="AW156" s="100"/>
      <c r="AY156" s="128">
        <v>23900</v>
      </c>
    </row>
    <row r="157" spans="1:51" s="2" customFormat="1" ht="12.75" customHeight="1" x14ac:dyDescent="0.2">
      <c r="A157" s="7" t="s">
        <v>1097</v>
      </c>
      <c r="B157" s="8">
        <v>9789500206983</v>
      </c>
      <c r="C157" s="8">
        <v>557270</v>
      </c>
      <c r="D157" s="7">
        <v>1080</v>
      </c>
      <c r="E157" s="7" t="s">
        <v>82</v>
      </c>
      <c r="F157" s="6" t="s">
        <v>83</v>
      </c>
      <c r="G157" s="107">
        <v>41214</v>
      </c>
      <c r="H157" s="108">
        <v>45383</v>
      </c>
      <c r="I157" s="239">
        <v>2013</v>
      </c>
      <c r="J157" s="28" t="s">
        <v>1762</v>
      </c>
      <c r="K157" s="148">
        <v>9316.7800000000007</v>
      </c>
      <c r="L157" s="9">
        <v>119900</v>
      </c>
      <c r="M157" s="112">
        <f>+L157*0.14</f>
        <v>16786</v>
      </c>
      <c r="N157" s="9">
        <f t="shared" si="79"/>
        <v>59950</v>
      </c>
      <c r="O157" s="9">
        <f t="shared" si="80"/>
        <v>33847.22</v>
      </c>
      <c r="P157" s="9">
        <f t="shared" si="81"/>
        <v>26102.78</v>
      </c>
      <c r="Q157" s="139">
        <f t="shared" si="82"/>
        <v>0.56459082568807339</v>
      </c>
      <c r="R157" s="335">
        <v>119900</v>
      </c>
      <c r="S157" s="359" t="s">
        <v>1948</v>
      </c>
      <c r="T157" s="305">
        <v>0.56459082568807339</v>
      </c>
      <c r="U157" s="144"/>
      <c r="V157" s="100"/>
      <c r="W157" s="110">
        <f t="shared" si="83"/>
        <v>119900</v>
      </c>
      <c r="X157" s="110">
        <f t="shared" si="84"/>
        <v>9316.7800000000007</v>
      </c>
      <c r="Y157" s="110">
        <f t="shared" si="85"/>
        <v>16786</v>
      </c>
      <c r="Z157" s="110">
        <f t="shared" si="86"/>
        <v>33847.22</v>
      </c>
      <c r="AA157" s="260">
        <f t="shared" si="87"/>
        <v>0.56459082568807339</v>
      </c>
      <c r="AB157" s="28">
        <f t="shared" si="88"/>
        <v>39.5</v>
      </c>
      <c r="AC157" s="261">
        <f t="shared" si="89"/>
        <v>0.56424010984654038</v>
      </c>
      <c r="AD157" s="111">
        <f t="shared" si="90"/>
        <v>18.100000000000001</v>
      </c>
      <c r="AE157" s="262">
        <f t="shared" si="91"/>
        <v>4.9032283919245669E-2</v>
      </c>
      <c r="AF157" s="100"/>
      <c r="AG157" s="111">
        <f t="shared" si="92"/>
        <v>28.7</v>
      </c>
      <c r="AH157" s="262">
        <f t="shared" si="93"/>
        <v>0.40026077836022106</v>
      </c>
      <c r="AI157" s="100"/>
      <c r="AJ157" s="111">
        <f t="shared" si="94"/>
        <v>26.5</v>
      </c>
      <c r="AK157" s="262">
        <f t="shared" si="95"/>
        <v>0.35047110712974888</v>
      </c>
      <c r="AL157" s="100"/>
      <c r="AM157" s="111">
        <f t="shared" si="96"/>
        <v>24.6</v>
      </c>
      <c r="AN157" s="262">
        <f t="shared" si="97"/>
        <v>0.30030424142025797</v>
      </c>
      <c r="AO157" s="100"/>
      <c r="AP157" s="24" t="e">
        <f>VLOOKUP(C157,#REF!,6,FALSE)</f>
        <v>#REF!</v>
      </c>
      <c r="AQ157" s="24" t="e">
        <f>VLOOKUP(C157,#REF!,7,FALSE)</f>
        <v>#REF!</v>
      </c>
      <c r="AR157" s="24" t="e">
        <f>VLOOKUP(C157,#REF!,12,FALSE)</f>
        <v>#REF!</v>
      </c>
      <c r="AS157" s="24" t="e">
        <f>VLOOKUP(C157,#REF!,13,FALSE)</f>
        <v>#REF!</v>
      </c>
      <c r="AT157" s="100"/>
      <c r="AU157" s="100"/>
      <c r="AV157" s="100">
        <v>147</v>
      </c>
      <c r="AW157" s="100"/>
      <c r="AY157" s="9">
        <v>119900</v>
      </c>
    </row>
    <row r="158" spans="1:51" s="2" customFormat="1" ht="12.75" customHeight="1" x14ac:dyDescent="0.2">
      <c r="A158" s="7" t="s">
        <v>1098</v>
      </c>
      <c r="B158" s="8">
        <v>9789500210553</v>
      </c>
      <c r="C158" s="8">
        <v>677840</v>
      </c>
      <c r="D158" s="25">
        <v>512</v>
      </c>
      <c r="E158" s="7" t="s">
        <v>504</v>
      </c>
      <c r="F158" s="7" t="s">
        <v>501</v>
      </c>
      <c r="G158" s="107">
        <v>44105</v>
      </c>
      <c r="H158" s="107">
        <v>44075</v>
      </c>
      <c r="I158" s="7">
        <v>3016</v>
      </c>
      <c r="J158" s="28" t="s">
        <v>1762</v>
      </c>
      <c r="K158" s="9">
        <v>192.57</v>
      </c>
      <c r="L158" s="112">
        <v>51900</v>
      </c>
      <c r="M158" s="112">
        <f>+L158*0.08</f>
        <v>4152</v>
      </c>
      <c r="N158" s="9">
        <f t="shared" si="79"/>
        <v>25950</v>
      </c>
      <c r="O158" s="9">
        <f t="shared" si="80"/>
        <v>21605.43</v>
      </c>
      <c r="P158" s="9">
        <f t="shared" si="81"/>
        <v>4344.57</v>
      </c>
      <c r="Q158" s="139">
        <f t="shared" si="82"/>
        <v>0.83257919075144515</v>
      </c>
      <c r="R158" s="335">
        <v>51900</v>
      </c>
      <c r="S158" s="359" t="s">
        <v>1948</v>
      </c>
      <c r="T158" s="305">
        <v>0.83257919075144515</v>
      </c>
      <c r="U158" s="144"/>
      <c r="V158" s="100"/>
      <c r="W158" s="110">
        <f t="shared" si="83"/>
        <v>51900</v>
      </c>
      <c r="X158" s="110">
        <f t="shared" si="84"/>
        <v>192.57</v>
      </c>
      <c r="Y158" s="110">
        <f t="shared" si="85"/>
        <v>4152</v>
      </c>
      <c r="Z158" s="110">
        <f t="shared" si="86"/>
        <v>21605.43</v>
      </c>
      <c r="AA158" s="260">
        <f t="shared" si="87"/>
        <v>0.83257919075144515</v>
      </c>
      <c r="AB158" s="28">
        <f t="shared" si="88"/>
        <v>17.100000000000001</v>
      </c>
      <c r="AC158" s="261">
        <f t="shared" si="89"/>
        <v>0.83246394919048361</v>
      </c>
      <c r="AD158" s="111">
        <f t="shared" si="90"/>
        <v>3</v>
      </c>
      <c r="AE158" s="262">
        <f t="shared" si="91"/>
        <v>4.5044510385756742E-2</v>
      </c>
      <c r="AF158" s="100"/>
      <c r="AG158" s="111">
        <f t="shared" si="92"/>
        <v>4.8</v>
      </c>
      <c r="AH158" s="262">
        <f t="shared" si="93"/>
        <v>0.40315281899109795</v>
      </c>
      <c r="AI158" s="100"/>
      <c r="AJ158" s="111">
        <f t="shared" si="94"/>
        <v>4.4000000000000004</v>
      </c>
      <c r="AK158" s="262">
        <f t="shared" si="95"/>
        <v>0.3488939843539251</v>
      </c>
      <c r="AL158" s="100"/>
      <c r="AM158" s="111">
        <f t="shared" si="96"/>
        <v>4.0999999999999996</v>
      </c>
      <c r="AN158" s="262">
        <f t="shared" si="97"/>
        <v>0.30125208077006588</v>
      </c>
      <c r="AO158" s="100"/>
      <c r="AP158" s="24" t="e">
        <f>VLOOKUP(C158,#REF!,6,FALSE)</f>
        <v>#REF!</v>
      </c>
      <c r="AQ158" s="24" t="e">
        <f>VLOOKUP(C158,#REF!,7,FALSE)</f>
        <v>#REF!</v>
      </c>
      <c r="AR158" s="24" t="e">
        <f>VLOOKUP(C158,#REF!,12,FALSE)</f>
        <v>#REF!</v>
      </c>
      <c r="AS158" s="24" t="e">
        <f>VLOOKUP(C158,#REF!,13,FALSE)</f>
        <v>#REF!</v>
      </c>
      <c r="AT158" s="100"/>
      <c r="AU158" s="100"/>
      <c r="AV158" s="100">
        <v>148</v>
      </c>
      <c r="AW158" s="100"/>
      <c r="AY158" s="112">
        <v>51900</v>
      </c>
    </row>
    <row r="159" spans="1:51" s="2" customFormat="1" ht="12.75" customHeight="1" x14ac:dyDescent="0.2">
      <c r="A159" s="6" t="s">
        <v>1099</v>
      </c>
      <c r="B159" s="8">
        <v>9789500209205</v>
      </c>
      <c r="C159" s="8">
        <v>639241</v>
      </c>
      <c r="D159" s="7">
        <v>336</v>
      </c>
      <c r="E159" s="11" t="s">
        <v>330</v>
      </c>
      <c r="F159" s="11" t="s">
        <v>1100</v>
      </c>
      <c r="G159" s="107">
        <v>43040</v>
      </c>
      <c r="H159" s="108">
        <v>43009</v>
      </c>
      <c r="I159" s="24">
        <v>3000</v>
      </c>
      <c r="J159" s="28" t="s">
        <v>1946</v>
      </c>
      <c r="K159" s="28">
        <v>52.35</v>
      </c>
      <c r="L159" s="112">
        <v>33300</v>
      </c>
      <c r="M159" s="112">
        <f>+L159*0.08</f>
        <v>2664</v>
      </c>
      <c r="N159" s="9">
        <f t="shared" si="79"/>
        <v>16650</v>
      </c>
      <c r="O159" s="9">
        <f t="shared" si="80"/>
        <v>13933.65</v>
      </c>
      <c r="P159" s="9">
        <f t="shared" si="81"/>
        <v>2716.35</v>
      </c>
      <c r="Q159" s="139">
        <f t="shared" si="82"/>
        <v>0.83685585585585587</v>
      </c>
      <c r="R159" s="335">
        <v>33300</v>
      </c>
      <c r="S159" s="359" t="s">
        <v>1948</v>
      </c>
      <c r="T159" s="305">
        <v>0.83685585585585587</v>
      </c>
      <c r="U159" s="144"/>
      <c r="V159" s="100"/>
      <c r="W159" s="110">
        <f t="shared" si="83"/>
        <v>33300</v>
      </c>
      <c r="X159" s="110">
        <f t="shared" si="84"/>
        <v>52.35</v>
      </c>
      <c r="Y159" s="110">
        <f t="shared" si="85"/>
        <v>2664</v>
      </c>
      <c r="Z159" s="110">
        <f t="shared" si="86"/>
        <v>13933.650000000001</v>
      </c>
      <c r="AA159" s="260">
        <f t="shared" si="87"/>
        <v>0.83685585585585598</v>
      </c>
      <c r="AB159" s="28">
        <f t="shared" si="88"/>
        <v>11</v>
      </c>
      <c r="AC159" s="261">
        <f t="shared" si="89"/>
        <v>0.83716392410754437</v>
      </c>
      <c r="AD159" s="111">
        <f t="shared" si="90"/>
        <v>1.9</v>
      </c>
      <c r="AE159" s="262">
        <f t="shared" si="91"/>
        <v>5.7264823780519551E-2</v>
      </c>
      <c r="AF159" s="100"/>
      <c r="AG159" s="111">
        <f t="shared" si="92"/>
        <v>3</v>
      </c>
      <c r="AH159" s="262">
        <f t="shared" si="93"/>
        <v>0.40293438839432899</v>
      </c>
      <c r="AI159" s="100"/>
      <c r="AJ159" s="111">
        <f t="shared" si="94"/>
        <v>2.8</v>
      </c>
      <c r="AK159" s="262">
        <f t="shared" si="95"/>
        <v>0.3602868447082096</v>
      </c>
      <c r="AL159" s="100"/>
      <c r="AM159" s="111">
        <f t="shared" si="96"/>
        <v>2.6</v>
      </c>
      <c r="AN159" s="262">
        <f t="shared" si="97"/>
        <v>0.3110781404549951</v>
      </c>
      <c r="AO159" s="100"/>
      <c r="AP159" s="24" t="e">
        <f>VLOOKUP(C159,#REF!,6,FALSE)</f>
        <v>#REF!</v>
      </c>
      <c r="AQ159" s="24" t="e">
        <f>VLOOKUP(C159,#REF!,7,FALSE)</f>
        <v>#REF!</v>
      </c>
      <c r="AR159" s="24" t="e">
        <f>VLOOKUP(C159,#REF!,12,FALSE)</f>
        <v>#REF!</v>
      </c>
      <c r="AS159" s="24" t="e">
        <f>VLOOKUP(C159,#REF!,13,FALSE)</f>
        <v>#REF!</v>
      </c>
      <c r="AT159" s="100"/>
      <c r="AU159" s="100"/>
      <c r="AV159" s="100">
        <v>149</v>
      </c>
      <c r="AW159" s="100"/>
      <c r="AY159" s="112">
        <v>33300</v>
      </c>
    </row>
    <row r="160" spans="1:51" s="2" customFormat="1" ht="12.75" customHeight="1" x14ac:dyDescent="0.2">
      <c r="A160" s="7" t="s">
        <v>1101</v>
      </c>
      <c r="B160" s="8">
        <v>9789500207171</v>
      </c>
      <c r="C160" s="21">
        <v>568564</v>
      </c>
      <c r="D160" s="25">
        <v>304</v>
      </c>
      <c r="E160" s="22" t="s">
        <v>62</v>
      </c>
      <c r="F160" s="6" t="s">
        <v>1102</v>
      </c>
      <c r="G160" s="107">
        <v>41518</v>
      </c>
      <c r="H160" s="108">
        <v>41487</v>
      </c>
      <c r="I160" s="24">
        <v>3102</v>
      </c>
      <c r="J160" s="28" t="s">
        <v>1894</v>
      </c>
      <c r="K160" s="150">
        <v>16.53</v>
      </c>
      <c r="L160" s="128">
        <v>18700</v>
      </c>
      <c r="M160" s="112">
        <f>+L160*0.08</f>
        <v>1496</v>
      </c>
      <c r="N160" s="9">
        <f t="shared" si="79"/>
        <v>9350</v>
      </c>
      <c r="O160" s="9">
        <f t="shared" si="80"/>
        <v>7837.47</v>
      </c>
      <c r="P160" s="9">
        <f t="shared" si="81"/>
        <v>1512.53</v>
      </c>
      <c r="Q160" s="139">
        <f t="shared" si="82"/>
        <v>0.83823208556149731</v>
      </c>
      <c r="R160" s="335">
        <v>18700</v>
      </c>
      <c r="S160" s="359" t="s">
        <v>1948</v>
      </c>
      <c r="T160" s="305">
        <v>0.83823208556149731</v>
      </c>
      <c r="U160" s="144"/>
      <c r="V160" s="100"/>
      <c r="W160" s="110">
        <f t="shared" si="83"/>
        <v>18700</v>
      </c>
      <c r="X160" s="110">
        <f t="shared" si="84"/>
        <v>16.53</v>
      </c>
      <c r="Y160" s="110">
        <f t="shared" si="85"/>
        <v>1496</v>
      </c>
      <c r="Z160" s="110">
        <f t="shared" si="86"/>
        <v>7837.4699999999993</v>
      </c>
      <c r="AA160" s="260">
        <f t="shared" si="87"/>
        <v>0.83823208556149731</v>
      </c>
      <c r="AB160" s="28">
        <f t="shared" si="88"/>
        <v>6.2</v>
      </c>
      <c r="AC160" s="261">
        <f t="shared" si="89"/>
        <v>0.83913191453155078</v>
      </c>
      <c r="AD160" s="111">
        <f t="shared" si="90"/>
        <v>1</v>
      </c>
      <c r="AE160" s="262">
        <f t="shared" si="91"/>
        <v>2.6178700956149209E-3</v>
      </c>
      <c r="AF160" s="100"/>
      <c r="AG160" s="111">
        <f t="shared" si="92"/>
        <v>1.7</v>
      </c>
      <c r="AH160" s="262">
        <f t="shared" si="93"/>
        <v>0.41330462946800861</v>
      </c>
      <c r="AI160" s="100"/>
      <c r="AJ160" s="111">
        <f t="shared" si="94"/>
        <v>1.5</v>
      </c>
      <c r="AK160" s="262">
        <f t="shared" si="95"/>
        <v>0.33507858006374319</v>
      </c>
      <c r="AL160" s="100"/>
      <c r="AM160" s="111">
        <f t="shared" si="96"/>
        <v>1.4</v>
      </c>
      <c r="AN160" s="262">
        <f t="shared" si="97"/>
        <v>0.28758419292543907</v>
      </c>
      <c r="AO160" s="100"/>
      <c r="AP160" s="24" t="e">
        <f>VLOOKUP(C160,#REF!,6,FALSE)</f>
        <v>#REF!</v>
      </c>
      <c r="AQ160" s="24" t="e">
        <f>VLOOKUP(C160,#REF!,7,FALSE)</f>
        <v>#REF!</v>
      </c>
      <c r="AR160" s="24" t="e">
        <f>VLOOKUP(C160,#REF!,12,FALSE)</f>
        <v>#REF!</v>
      </c>
      <c r="AS160" s="24" t="e">
        <f>VLOOKUP(C160,#REF!,13,FALSE)</f>
        <v>#REF!</v>
      </c>
      <c r="AT160" s="100"/>
      <c r="AU160" s="100"/>
      <c r="AV160" s="100">
        <v>150</v>
      </c>
      <c r="AW160" s="100"/>
      <c r="AY160" s="128">
        <v>18700</v>
      </c>
    </row>
    <row r="161" spans="1:51" s="2" customFormat="1" ht="12.75" customHeight="1" x14ac:dyDescent="0.2">
      <c r="A161" s="6" t="s">
        <v>1103</v>
      </c>
      <c r="B161" s="8">
        <v>9789500298902</v>
      </c>
      <c r="C161" s="8">
        <v>616438</v>
      </c>
      <c r="D161" s="7">
        <v>376</v>
      </c>
      <c r="E161" s="31" t="s">
        <v>72</v>
      </c>
      <c r="F161" s="32" t="s">
        <v>73</v>
      </c>
      <c r="G161" s="107">
        <v>42552</v>
      </c>
      <c r="H161" s="108">
        <v>42522</v>
      </c>
      <c r="I161" s="24">
        <v>3046</v>
      </c>
      <c r="J161" s="28" t="s">
        <v>1894</v>
      </c>
      <c r="K161" s="28">
        <v>30.39</v>
      </c>
      <c r="L161" s="128">
        <v>18600</v>
      </c>
      <c r="M161" s="112">
        <f>+L161*0.13</f>
        <v>2418</v>
      </c>
      <c r="N161" s="9">
        <f t="shared" si="79"/>
        <v>9300</v>
      </c>
      <c r="O161" s="9">
        <f t="shared" si="80"/>
        <v>6851.61</v>
      </c>
      <c r="P161" s="9">
        <f t="shared" si="81"/>
        <v>2448.39</v>
      </c>
      <c r="Q161" s="139">
        <f t="shared" si="82"/>
        <v>0.73673225806451614</v>
      </c>
      <c r="R161" s="335">
        <v>18600</v>
      </c>
      <c r="S161" s="359" t="s">
        <v>1948</v>
      </c>
      <c r="T161" s="305">
        <v>0.73673225806451614</v>
      </c>
      <c r="U161" s="144"/>
      <c r="V161" s="100"/>
      <c r="W161" s="110">
        <f t="shared" si="83"/>
        <v>18600</v>
      </c>
      <c r="X161" s="110">
        <f t="shared" si="84"/>
        <v>30.39</v>
      </c>
      <c r="Y161" s="110">
        <f t="shared" si="85"/>
        <v>2418</v>
      </c>
      <c r="Z161" s="110">
        <f t="shared" si="86"/>
        <v>6851.6100000000006</v>
      </c>
      <c r="AA161" s="260">
        <f t="shared" si="87"/>
        <v>0.73673225806451614</v>
      </c>
      <c r="AB161" s="28">
        <f t="shared" si="88"/>
        <v>6.1</v>
      </c>
      <c r="AC161" s="261">
        <f t="shared" si="89"/>
        <v>0.73532778777707519</v>
      </c>
      <c r="AD161" s="111">
        <f t="shared" si="90"/>
        <v>1.7</v>
      </c>
      <c r="AE161" s="262">
        <f t="shared" si="91"/>
        <v>5.0293826729504811E-2</v>
      </c>
      <c r="AF161" s="100"/>
      <c r="AG161" s="111">
        <f t="shared" si="92"/>
        <v>2.7</v>
      </c>
      <c r="AH161" s="262">
        <f t="shared" si="93"/>
        <v>0.40203685386672533</v>
      </c>
      <c r="AI161" s="100"/>
      <c r="AJ161" s="111">
        <f t="shared" si="94"/>
        <v>2.5</v>
      </c>
      <c r="AK161" s="262">
        <f t="shared" si="95"/>
        <v>0.35419980217606334</v>
      </c>
      <c r="AL161" s="100"/>
      <c r="AM161" s="111">
        <f t="shared" si="96"/>
        <v>2.2999999999999998</v>
      </c>
      <c r="AN161" s="262">
        <f t="shared" si="97"/>
        <v>0.29804326323485142</v>
      </c>
      <c r="AO161" s="100"/>
      <c r="AP161" s="24" t="e">
        <f>VLOOKUP(C161,#REF!,6,FALSE)</f>
        <v>#REF!</v>
      </c>
      <c r="AQ161" s="24" t="e">
        <f>VLOOKUP(C161,#REF!,7,FALSE)</f>
        <v>#REF!</v>
      </c>
      <c r="AR161" s="24" t="e">
        <f>VLOOKUP(C161,#REF!,12,FALSE)</f>
        <v>#REF!</v>
      </c>
      <c r="AS161" s="24" t="e">
        <f>VLOOKUP(C161,#REF!,13,FALSE)</f>
        <v>#REF!</v>
      </c>
      <c r="AT161" s="100"/>
      <c r="AU161" s="100"/>
      <c r="AV161" s="100">
        <v>151</v>
      </c>
      <c r="AW161" s="100"/>
      <c r="AY161" s="128">
        <v>18600</v>
      </c>
    </row>
    <row r="162" spans="1:51" s="2" customFormat="1" ht="12" customHeight="1" x14ac:dyDescent="0.2">
      <c r="A162" s="6" t="s">
        <v>1104</v>
      </c>
      <c r="B162" s="153">
        <v>9789500209595</v>
      </c>
      <c r="C162" s="145">
        <v>649883</v>
      </c>
      <c r="D162" s="7">
        <v>400</v>
      </c>
      <c r="E162" s="7" t="s">
        <v>383</v>
      </c>
      <c r="F162" s="7" t="s">
        <v>384</v>
      </c>
      <c r="G162" s="107">
        <v>43252</v>
      </c>
      <c r="H162" s="108">
        <v>44743</v>
      </c>
      <c r="I162" s="7">
        <v>3040</v>
      </c>
      <c r="J162" s="28" t="s">
        <v>1762</v>
      </c>
      <c r="K162" s="9">
        <v>329.48</v>
      </c>
      <c r="L162" s="9">
        <v>49900</v>
      </c>
      <c r="M162" s="112">
        <f>+L162*0.1</f>
        <v>4990</v>
      </c>
      <c r="N162" s="9">
        <f t="shared" si="79"/>
        <v>24950</v>
      </c>
      <c r="O162" s="9">
        <f t="shared" ref="O162:O163" si="98">+N162-M162-K162</f>
        <v>19630.52</v>
      </c>
      <c r="P162" s="9">
        <f t="shared" si="81"/>
        <v>5319.48</v>
      </c>
      <c r="Q162" s="139">
        <f t="shared" si="82"/>
        <v>0.78679438877755514</v>
      </c>
      <c r="R162" s="335">
        <v>49900</v>
      </c>
      <c r="S162" s="359" t="s">
        <v>1948</v>
      </c>
      <c r="T162" s="305">
        <v>0.78679438877755514</v>
      </c>
      <c r="U162" s="12"/>
      <c r="V162" s="100"/>
      <c r="W162" s="110">
        <f t="shared" si="83"/>
        <v>49900</v>
      </c>
      <c r="X162" s="110">
        <f t="shared" si="84"/>
        <v>329.48</v>
      </c>
      <c r="Y162" s="110">
        <f t="shared" si="85"/>
        <v>4990</v>
      </c>
      <c r="Z162" s="110">
        <f t="shared" ref="Z162:Z163" si="99">+W162/2-X162-Y162</f>
        <v>19630.52</v>
      </c>
      <c r="AA162" s="260">
        <f t="shared" ref="AA162:AA163" si="100">+Z162/(W162/2)</f>
        <v>0.78679438877755514</v>
      </c>
      <c r="AB162" s="28">
        <f t="shared" si="88"/>
        <v>16.5</v>
      </c>
      <c r="AC162" s="261">
        <f t="shared" ref="AC162:AC163" si="101">+(AB162*$X$1-$X162-$Y162)/(AB162*$X$1)</f>
        <v>0.7874100050954651</v>
      </c>
      <c r="AD162" s="111">
        <f t="shared" si="90"/>
        <v>3.7</v>
      </c>
      <c r="AE162" s="262">
        <f t="shared" ref="AE162:AE163" si="102">+(AD162*$X$1-$X162-$Y162)/(AD162*$X$1)</f>
        <v>5.1963536236533214E-2</v>
      </c>
      <c r="AF162" s="100"/>
      <c r="AG162" s="111">
        <f t="shared" si="92"/>
        <v>5.8</v>
      </c>
      <c r="AH162" s="262">
        <f t="shared" ref="AH162:AH163" si="103">+(AG162*$X$1-$X162-$Y162)/(AG162*$X$1)</f>
        <v>0.39521811794399536</v>
      </c>
      <c r="AI162" s="100"/>
      <c r="AJ162" s="111">
        <f t="shared" si="94"/>
        <v>5.4</v>
      </c>
      <c r="AK162" s="262">
        <f t="shared" ref="AK162:AK163" si="104">+(AJ162*$X$1-$X162-$Y162)/(AJ162*$X$1)</f>
        <v>0.35041946001392105</v>
      </c>
      <c r="AL162" s="100"/>
      <c r="AM162" s="111">
        <f t="shared" si="96"/>
        <v>5</v>
      </c>
      <c r="AN162" s="262">
        <f t="shared" ref="AN162:AN163" si="105">+(AM162*$X$1-$X162-$Y162)/(AM162*$X$1)</f>
        <v>0.29845301681503467</v>
      </c>
      <c r="AO162" s="100"/>
      <c r="AP162" s="24" t="e">
        <f>VLOOKUP(C162,#REF!,6,FALSE)</f>
        <v>#REF!</v>
      </c>
      <c r="AQ162" s="24" t="e">
        <f>VLOOKUP(C162,#REF!,7,FALSE)</f>
        <v>#REF!</v>
      </c>
      <c r="AR162" s="24" t="e">
        <f>VLOOKUP(C162,#REF!,12,FALSE)</f>
        <v>#REF!</v>
      </c>
      <c r="AS162" s="24" t="e">
        <f>VLOOKUP(C162,#REF!,13,FALSE)</f>
        <v>#REF!</v>
      </c>
      <c r="AT162" s="100"/>
      <c r="AU162" s="100"/>
      <c r="AV162" s="100">
        <v>152</v>
      </c>
      <c r="AW162" s="100"/>
      <c r="AY162" s="9">
        <v>49900</v>
      </c>
    </row>
    <row r="163" spans="1:51" s="2" customFormat="1" ht="12.75" customHeight="1" x14ac:dyDescent="0.2">
      <c r="A163" s="6" t="s">
        <v>1105</v>
      </c>
      <c r="B163" s="8">
        <v>9789500299633</v>
      </c>
      <c r="C163" s="6">
        <v>625988</v>
      </c>
      <c r="D163" s="25">
        <v>384</v>
      </c>
      <c r="E163" s="7" t="s">
        <v>78</v>
      </c>
      <c r="F163" s="11" t="s">
        <v>79</v>
      </c>
      <c r="G163" s="107">
        <v>42795</v>
      </c>
      <c r="H163" s="108">
        <v>42767</v>
      </c>
      <c r="I163" s="24">
        <v>3030</v>
      </c>
      <c r="J163" s="28" t="s">
        <v>1762</v>
      </c>
      <c r="K163" s="28">
        <v>35.43</v>
      </c>
      <c r="L163" s="128">
        <v>46900</v>
      </c>
      <c r="M163" s="112">
        <f>+L163*0.13</f>
        <v>6097</v>
      </c>
      <c r="N163" s="9">
        <f t="shared" si="79"/>
        <v>23450</v>
      </c>
      <c r="O163" s="9">
        <f t="shared" si="98"/>
        <v>17317.57</v>
      </c>
      <c r="P163" s="9">
        <f t="shared" si="81"/>
        <v>6132.43</v>
      </c>
      <c r="Q163" s="139">
        <f t="shared" si="82"/>
        <v>0.7384891257995736</v>
      </c>
      <c r="R163" s="335">
        <v>46900</v>
      </c>
      <c r="S163" s="359" t="s">
        <v>1948</v>
      </c>
      <c r="T163" s="305">
        <v>0.7384891257995736</v>
      </c>
      <c r="U163" s="144"/>
      <c r="V163" s="100"/>
      <c r="W163" s="110">
        <f t="shared" si="83"/>
        <v>46900</v>
      </c>
      <c r="X163" s="110">
        <f t="shared" si="84"/>
        <v>35.43</v>
      </c>
      <c r="Y163" s="110">
        <f t="shared" si="85"/>
        <v>6097</v>
      </c>
      <c r="Z163" s="110">
        <f t="shared" si="99"/>
        <v>17317.57</v>
      </c>
      <c r="AA163" s="260">
        <f t="shared" si="100"/>
        <v>0.7384891257995736</v>
      </c>
      <c r="AB163" s="28">
        <f t="shared" si="88"/>
        <v>15.5</v>
      </c>
      <c r="AC163" s="261">
        <f t="shared" si="101"/>
        <v>0.73910936685704565</v>
      </c>
      <c r="AD163" s="111">
        <f t="shared" si="90"/>
        <v>4.3</v>
      </c>
      <c r="AE163" s="262">
        <f t="shared" si="102"/>
        <v>5.9580275880048085E-2</v>
      </c>
      <c r="AF163" s="100"/>
      <c r="AG163" s="111">
        <f t="shared" si="92"/>
        <v>6.7</v>
      </c>
      <c r="AH163" s="262">
        <f t="shared" si="103"/>
        <v>0.39644704272898618</v>
      </c>
      <c r="AI163" s="100"/>
      <c r="AJ163" s="111">
        <f t="shared" si="94"/>
        <v>6.2</v>
      </c>
      <c r="AK163" s="262">
        <f t="shared" si="104"/>
        <v>0.34777341714261406</v>
      </c>
      <c r="AL163" s="100"/>
      <c r="AM163" s="111">
        <f t="shared" si="96"/>
        <v>5.8</v>
      </c>
      <c r="AN163" s="262">
        <f t="shared" si="105"/>
        <v>0.30279227349727694</v>
      </c>
      <c r="AO163" s="100"/>
      <c r="AP163" s="24" t="e">
        <f>VLOOKUP(C163,#REF!,6,FALSE)</f>
        <v>#REF!</v>
      </c>
      <c r="AQ163" s="24" t="e">
        <f>VLOOKUP(C163,#REF!,7,FALSE)</f>
        <v>#REF!</v>
      </c>
      <c r="AR163" s="24" t="e">
        <f>VLOOKUP(C163,#REF!,12,FALSE)</f>
        <v>#REF!</v>
      </c>
      <c r="AS163" s="24" t="e">
        <f>VLOOKUP(C163,#REF!,13,FALSE)</f>
        <v>#REF!</v>
      </c>
      <c r="AT163" s="100"/>
      <c r="AU163" s="100"/>
      <c r="AV163" s="100">
        <v>153</v>
      </c>
      <c r="AW163" s="100"/>
      <c r="AY163" s="128">
        <v>46900</v>
      </c>
    </row>
    <row r="164" spans="1:51" s="2" customFormat="1" ht="12.75" customHeight="1" thickBot="1" x14ac:dyDescent="0.3">
      <c r="A164" s="378"/>
      <c r="B164" s="133"/>
      <c r="C164" s="133"/>
      <c r="D164" s="154"/>
      <c r="E164" s="382"/>
      <c r="F164" s="378"/>
      <c r="G164" s="132"/>
      <c r="H164" s="132"/>
      <c r="I164" s="132"/>
      <c r="J164" s="132"/>
      <c r="K164" s="132"/>
      <c r="L164" s="134"/>
      <c r="M164" s="132"/>
      <c r="N164" s="132"/>
      <c r="O164" s="132"/>
      <c r="P164" s="132"/>
      <c r="Q164" s="147"/>
      <c r="R164" s="356"/>
      <c r="S164" s="360"/>
      <c r="T164" s="307"/>
      <c r="U164" s="135"/>
      <c r="V164" s="100"/>
      <c r="W164"/>
      <c r="X164"/>
      <c r="Y164"/>
      <c r="Z164"/>
      <c r="AA164"/>
      <c r="AB164"/>
      <c r="AC164"/>
      <c r="AD164" s="263"/>
      <c r="AE164"/>
      <c r="AF164" s="100"/>
      <c r="AG164" s="263"/>
      <c r="AH164"/>
      <c r="AI164" s="100"/>
      <c r="AJ164" s="263"/>
      <c r="AK164"/>
      <c r="AL164" s="100"/>
      <c r="AM164" s="263"/>
      <c r="AN164"/>
      <c r="AO164" s="100"/>
      <c r="AP164" s="100"/>
      <c r="AQ164" s="100"/>
      <c r="AR164" s="100"/>
      <c r="AS164" s="100"/>
      <c r="AT164" s="100"/>
      <c r="AU164" s="100"/>
      <c r="AV164" s="100">
        <v>154</v>
      </c>
      <c r="AW164" s="100"/>
      <c r="AY164" s="134"/>
    </row>
    <row r="165" spans="1:51" s="2" customFormat="1" ht="12.75" customHeight="1" x14ac:dyDescent="0.25">
      <c r="A165" s="132"/>
      <c r="B165" s="133"/>
      <c r="C165" s="133"/>
      <c r="D165" s="154"/>
      <c r="E165" s="155" t="s">
        <v>1106</v>
      </c>
      <c r="F165" s="156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47"/>
      <c r="R165" s="356"/>
      <c r="S165" s="360"/>
      <c r="T165" s="307"/>
      <c r="U165" s="135"/>
      <c r="V165" s="100"/>
      <c r="W165"/>
      <c r="X165"/>
      <c r="Y165"/>
      <c r="Z165"/>
      <c r="AA165"/>
      <c r="AB165"/>
      <c r="AC165"/>
      <c r="AD165" s="263"/>
      <c r="AE165"/>
      <c r="AF165" s="100"/>
      <c r="AG165" s="263"/>
      <c r="AH165"/>
      <c r="AI165" s="100"/>
      <c r="AJ165" s="263"/>
      <c r="AK165"/>
      <c r="AL165" s="100"/>
      <c r="AM165" s="263"/>
      <c r="AN165"/>
      <c r="AO165" s="100"/>
      <c r="AP165" s="100"/>
      <c r="AQ165" s="100"/>
      <c r="AR165" s="100"/>
      <c r="AS165" s="100"/>
      <c r="AT165" s="100"/>
      <c r="AU165" s="100"/>
      <c r="AV165" s="100">
        <v>155</v>
      </c>
      <c r="AW165" s="100"/>
      <c r="AY165" s="132"/>
    </row>
    <row r="166" spans="1:51" s="2" customFormat="1" ht="12.75" customHeight="1" x14ac:dyDescent="0.2">
      <c r="A166" s="7" t="s">
        <v>2394</v>
      </c>
      <c r="B166" s="8">
        <v>9789500218078</v>
      </c>
      <c r="C166" s="8">
        <v>748667</v>
      </c>
      <c r="D166" s="7">
        <v>192</v>
      </c>
      <c r="E166" s="7" t="s">
        <v>2395</v>
      </c>
      <c r="F166" s="7" t="s">
        <v>2396</v>
      </c>
      <c r="G166" s="107">
        <v>46235</v>
      </c>
      <c r="H166" s="108">
        <v>46204</v>
      </c>
      <c r="I166" s="116">
        <v>4060</v>
      </c>
      <c r="J166" s="7" t="s">
        <v>1894</v>
      </c>
      <c r="K166" s="148">
        <v>2021.74</v>
      </c>
      <c r="L166" s="352">
        <v>24500</v>
      </c>
      <c r="M166" s="9">
        <f t="shared" ref="M166:M172" si="106">+L166*0.08</f>
        <v>1960</v>
      </c>
      <c r="N166" s="9">
        <f t="shared" ref="N166:N201" si="107">+L166/2</f>
        <v>12250</v>
      </c>
      <c r="O166" s="9">
        <f t="shared" ref="O166:O201" si="108">+N166-M166-K166</f>
        <v>8268.26</v>
      </c>
      <c r="P166" s="9">
        <f t="shared" ref="P166:P201" si="109">+M166+K166</f>
        <v>3981.74</v>
      </c>
      <c r="Q166" s="139">
        <f t="shared" ref="Q166:Q201" si="110">+O166/N166</f>
        <v>0.67496</v>
      </c>
      <c r="R166" s="369">
        <v>24500</v>
      </c>
      <c r="S166" s="359" t="s">
        <v>1948</v>
      </c>
      <c r="T166" s="305">
        <v>0.68412452830188675</v>
      </c>
      <c r="U166" s="6"/>
      <c r="V166" s="100"/>
      <c r="W166" s="110">
        <f t="shared" ref="W166:W201" si="111">+L166</f>
        <v>24500</v>
      </c>
      <c r="X166" s="110">
        <f t="shared" ref="X166:X201" si="112">+K166</f>
        <v>2021.74</v>
      </c>
      <c r="Y166" s="110">
        <f t="shared" ref="Y166:Y201" si="113">+M166</f>
        <v>1960</v>
      </c>
      <c r="Z166" s="110">
        <f t="shared" ref="Z166:Z201" si="114">+W166/2-X166-Y166</f>
        <v>8268.26</v>
      </c>
      <c r="AA166" s="260">
        <f t="shared" ref="AA166:AA201" si="115">+Z166/(W166/2)</f>
        <v>0.67496</v>
      </c>
      <c r="AB166" s="28">
        <f t="shared" ref="AB166:AB201" si="116">ROUND($W166/2/$X$1,1)</f>
        <v>8.1</v>
      </c>
      <c r="AC166" s="261">
        <f t="shared" ref="AC166:AC201" si="117">+(AB166*$X$1-$X166-$Y166)/(AB166*$X$1)</f>
        <v>0.67585041905296883</v>
      </c>
      <c r="AD166" s="111">
        <f t="shared" ref="AD166:AD201" si="118">+IFERROR(ROUND(($X166+$Y166)/(1-$X$2)/$X$1,1),0)</f>
        <v>2.8</v>
      </c>
      <c r="AE166" s="262">
        <f t="shared" ref="AE166:AE201" si="119">+(AD166*$X$1-$X166-$Y166)/(AD166*$X$1)</f>
        <v>6.2281569403231138E-2</v>
      </c>
      <c r="AF166" s="100"/>
      <c r="AG166" s="111">
        <f t="shared" ref="AG166:AG201" si="120">+IFERROR(ROUND(($X166+$Y166)/(1-$AG$2)/$X$1,1),0)</f>
        <v>4.4000000000000004</v>
      </c>
      <c r="AH166" s="262">
        <f t="shared" ref="AH166:AH201" si="121">+(AG166*$X$1-$X166-$Y166)/(AG166*$X$1)</f>
        <v>0.40327008962023803</v>
      </c>
      <c r="AI166" s="100"/>
      <c r="AJ166" s="111">
        <f t="shared" ref="AJ166:AJ201" si="122">+IFERROR(ROUND(($X166+$Y166)/(1-$AJ$2)/$X$1,1),0)</f>
        <v>4</v>
      </c>
      <c r="AK166" s="262">
        <f t="shared" ref="AK166:AK201" si="123">+(AJ166*$X$1-$X166-$Y166)/(AJ166*$X$1)</f>
        <v>0.34359709858226184</v>
      </c>
      <c r="AL166" s="100"/>
      <c r="AM166" s="111">
        <f t="shared" ref="AM166:AM201" si="124">+IFERROR(ROUND(($X166+$Y166)/(1-$AM$2)/$X$1,1),0)</f>
        <v>3.8</v>
      </c>
      <c r="AN166" s="262">
        <f t="shared" ref="AN166:AN201" si="125">+(AM166*$X$1-$X166-$Y166)/(AM166*$X$1)</f>
        <v>0.30904957745501244</v>
      </c>
      <c r="AO166" s="100"/>
      <c r="AP166" s="24" t="e">
        <f>VLOOKUP(C166,#REF!,6,FALSE)</f>
        <v>#REF!</v>
      </c>
      <c r="AQ166" s="24" t="e">
        <f>VLOOKUP(C166,#REF!,7,FALSE)</f>
        <v>#REF!</v>
      </c>
      <c r="AR166" s="24" t="e">
        <f>VLOOKUP(C166,#REF!,12,FALSE)</f>
        <v>#REF!</v>
      </c>
      <c r="AS166" s="24" t="e">
        <f>VLOOKUP(C166,#REF!,13,FALSE)</f>
        <v>#REF!</v>
      </c>
      <c r="AT166" s="100"/>
      <c r="AU166" s="100"/>
      <c r="AV166" s="100">
        <v>156</v>
      </c>
      <c r="AW166" s="100"/>
      <c r="AY166" s="352">
        <v>24500</v>
      </c>
    </row>
    <row r="167" spans="1:51" s="2" customFormat="1" ht="12.75" customHeight="1" x14ac:dyDescent="0.2">
      <c r="A167" s="7" t="s">
        <v>2362</v>
      </c>
      <c r="B167" s="8">
        <v>9789500217873</v>
      </c>
      <c r="C167" s="8">
        <v>747597</v>
      </c>
      <c r="D167" s="7">
        <v>176</v>
      </c>
      <c r="E167" s="7" t="s">
        <v>2363</v>
      </c>
      <c r="F167" s="7" t="s">
        <v>2364</v>
      </c>
      <c r="G167" s="107">
        <v>46204</v>
      </c>
      <c r="H167" s="108">
        <v>46174</v>
      </c>
      <c r="I167" s="116">
        <v>3075</v>
      </c>
      <c r="J167" s="315" t="s">
        <v>1867</v>
      </c>
      <c r="K167" s="148">
        <v>2245.66</v>
      </c>
      <c r="L167" s="9">
        <v>27900</v>
      </c>
      <c r="M167" s="112">
        <f t="shared" si="106"/>
        <v>2232</v>
      </c>
      <c r="N167" s="9">
        <f t="shared" si="107"/>
        <v>13950</v>
      </c>
      <c r="O167" s="9">
        <f t="shared" si="108"/>
        <v>9472.34</v>
      </c>
      <c r="P167" s="9">
        <f t="shared" si="109"/>
        <v>4477.66</v>
      </c>
      <c r="Q167" s="139">
        <f t="shared" si="110"/>
        <v>0.67902078853046599</v>
      </c>
      <c r="R167" s="335">
        <v>27900</v>
      </c>
      <c r="S167" s="359" t="s">
        <v>1948</v>
      </c>
      <c r="T167" s="305">
        <v>0.68412452830188675</v>
      </c>
      <c r="U167" s="6"/>
      <c r="V167" s="100"/>
      <c r="W167" s="110">
        <f t="shared" si="111"/>
        <v>27900</v>
      </c>
      <c r="X167" s="110">
        <f t="shared" si="112"/>
        <v>2245.66</v>
      </c>
      <c r="Y167" s="110">
        <f t="shared" si="113"/>
        <v>2232</v>
      </c>
      <c r="Z167" s="110">
        <f t="shared" si="114"/>
        <v>9472.34</v>
      </c>
      <c r="AA167" s="260">
        <f t="shared" si="115"/>
        <v>0.67902078853046599</v>
      </c>
      <c r="AB167" s="28">
        <f t="shared" si="116"/>
        <v>9.1999999999999993</v>
      </c>
      <c r="AC167" s="261">
        <f t="shared" si="117"/>
        <v>0.67906219985951632</v>
      </c>
      <c r="AD167" s="111">
        <f t="shared" si="118"/>
        <v>3.1</v>
      </c>
      <c r="AE167" s="262">
        <f t="shared" si="119"/>
        <v>4.7539431841145396E-2</v>
      </c>
      <c r="AF167" s="100"/>
      <c r="AG167" s="111">
        <f t="shared" si="120"/>
        <v>4.9000000000000004</v>
      </c>
      <c r="AH167" s="262">
        <f t="shared" si="121"/>
        <v>0.39742290585868378</v>
      </c>
      <c r="AI167" s="100"/>
      <c r="AJ167" s="111">
        <f t="shared" si="122"/>
        <v>4.5</v>
      </c>
      <c r="AK167" s="262">
        <f t="shared" si="123"/>
        <v>0.34386049749056674</v>
      </c>
      <c r="AL167" s="100"/>
      <c r="AM167" s="111">
        <f t="shared" si="124"/>
        <v>4.2</v>
      </c>
      <c r="AN167" s="262">
        <f t="shared" si="125"/>
        <v>0.29699339016846438</v>
      </c>
      <c r="AO167" s="100"/>
      <c r="AP167" s="24" t="e">
        <f>VLOOKUP(C167,#REF!,6,FALSE)</f>
        <v>#REF!</v>
      </c>
      <c r="AQ167" s="24" t="e">
        <f>VLOOKUP(C167,#REF!,7,FALSE)</f>
        <v>#REF!</v>
      </c>
      <c r="AR167" s="24" t="e">
        <f>VLOOKUP(C167,#REF!,12,FALSE)</f>
        <v>#REF!</v>
      </c>
      <c r="AS167" s="24" t="e">
        <f>VLOOKUP(C167,#REF!,13,FALSE)</f>
        <v>#REF!</v>
      </c>
      <c r="AT167" s="100"/>
      <c r="AU167" s="100"/>
      <c r="AV167" s="100">
        <v>157</v>
      </c>
      <c r="AW167" s="100"/>
      <c r="AY167" s="9">
        <v>27900</v>
      </c>
    </row>
    <row r="168" spans="1:51" s="2" customFormat="1" ht="12.75" customHeight="1" x14ac:dyDescent="0.2">
      <c r="A168" s="6" t="s">
        <v>2113</v>
      </c>
      <c r="B168" s="153">
        <v>9789500216661</v>
      </c>
      <c r="C168" s="6">
        <v>734147</v>
      </c>
      <c r="D168" s="41">
        <v>272</v>
      </c>
      <c r="E168" s="6" t="s">
        <v>2118</v>
      </c>
      <c r="F168" s="6" t="s">
        <v>2119</v>
      </c>
      <c r="G168" s="107">
        <v>45901</v>
      </c>
      <c r="H168" s="108">
        <v>46023</v>
      </c>
      <c r="I168" s="7">
        <v>2029</v>
      </c>
      <c r="J168" s="7" t="s">
        <v>1762</v>
      </c>
      <c r="K168" s="148">
        <v>2065.35</v>
      </c>
      <c r="L168" s="9">
        <v>27500</v>
      </c>
      <c r="M168" s="112">
        <f t="shared" si="106"/>
        <v>2200</v>
      </c>
      <c r="N168" s="9">
        <f t="shared" si="107"/>
        <v>13750</v>
      </c>
      <c r="O168" s="9">
        <f t="shared" si="108"/>
        <v>9484.65</v>
      </c>
      <c r="P168" s="9">
        <f t="shared" si="109"/>
        <v>4265.3500000000004</v>
      </c>
      <c r="Q168" s="139">
        <f t="shared" si="110"/>
        <v>0.68979272727272722</v>
      </c>
      <c r="R168" s="304">
        <v>27500</v>
      </c>
      <c r="S168" s="359" t="s">
        <v>1948</v>
      </c>
      <c r="T168" s="305">
        <v>0.68412452830188675</v>
      </c>
      <c r="U168" s="6"/>
      <c r="V168" s="100"/>
      <c r="W168" s="110">
        <f t="shared" si="111"/>
        <v>27500</v>
      </c>
      <c r="X168" s="110">
        <f t="shared" si="112"/>
        <v>2065.35</v>
      </c>
      <c r="Y168" s="110">
        <f t="shared" si="113"/>
        <v>2200</v>
      </c>
      <c r="Z168" s="110">
        <f t="shared" si="114"/>
        <v>9484.65</v>
      </c>
      <c r="AA168" s="260">
        <f t="shared" si="115"/>
        <v>0.68979272727272722</v>
      </c>
      <c r="AB168" s="28">
        <f t="shared" si="116"/>
        <v>9.1</v>
      </c>
      <c r="AC168" s="261">
        <f t="shared" si="117"/>
        <v>0.69092002623159887</v>
      </c>
      <c r="AD168" s="111">
        <f t="shared" si="118"/>
        <v>3</v>
      </c>
      <c r="AE168" s="262">
        <f t="shared" si="119"/>
        <v>6.245741290251678E-2</v>
      </c>
      <c r="AF168" s="100"/>
      <c r="AG168" s="111">
        <f t="shared" si="120"/>
        <v>4.7</v>
      </c>
      <c r="AH168" s="262">
        <f t="shared" si="121"/>
        <v>0.40156856142713843</v>
      </c>
      <c r="AI168" s="100"/>
      <c r="AJ168" s="111">
        <f t="shared" si="122"/>
        <v>4.3</v>
      </c>
      <c r="AK168" s="262">
        <f t="shared" si="123"/>
        <v>0.34590052062966292</v>
      </c>
      <c r="AL168" s="100"/>
      <c r="AM168" s="111">
        <f t="shared" si="124"/>
        <v>4</v>
      </c>
      <c r="AN168" s="262">
        <f t="shared" si="125"/>
        <v>0.29684305967688757</v>
      </c>
      <c r="AO168" s="100"/>
      <c r="AP168" s="24" t="e">
        <f>VLOOKUP(C168,#REF!,6,FALSE)</f>
        <v>#REF!</v>
      </c>
      <c r="AQ168" s="24" t="e">
        <f>VLOOKUP(C168,#REF!,7,FALSE)</f>
        <v>#REF!</v>
      </c>
      <c r="AR168" s="24" t="e">
        <f>VLOOKUP(C168,#REF!,12,FALSE)</f>
        <v>#REF!</v>
      </c>
      <c r="AS168" s="24" t="e">
        <f>VLOOKUP(C168,#REF!,13,FALSE)</f>
        <v>#REF!</v>
      </c>
      <c r="AT168" s="100"/>
      <c r="AU168" s="100"/>
      <c r="AV168" s="100">
        <v>158</v>
      </c>
      <c r="AW168" s="100"/>
      <c r="AY168" s="9">
        <v>27500</v>
      </c>
    </row>
    <row r="169" spans="1:51" s="2" customFormat="1" ht="12.75" customHeight="1" x14ac:dyDescent="0.2">
      <c r="A169" s="7" t="s">
        <v>1107</v>
      </c>
      <c r="B169" s="8">
        <v>9789500213837</v>
      </c>
      <c r="C169" s="8">
        <v>706236</v>
      </c>
      <c r="D169" s="25">
        <v>208</v>
      </c>
      <c r="E169" s="6" t="s">
        <v>777</v>
      </c>
      <c r="F169" s="7" t="s">
        <v>778</v>
      </c>
      <c r="G169" s="107">
        <v>45078</v>
      </c>
      <c r="H169" s="108">
        <v>45047</v>
      </c>
      <c r="I169" s="7">
        <v>3076</v>
      </c>
      <c r="J169" s="28" t="s">
        <v>2136</v>
      </c>
      <c r="K169" s="117">
        <v>520.08000000000004</v>
      </c>
      <c r="L169" s="9">
        <v>26900</v>
      </c>
      <c r="M169" s="112">
        <f t="shared" si="106"/>
        <v>2152</v>
      </c>
      <c r="N169" s="9">
        <f t="shared" si="107"/>
        <v>13450</v>
      </c>
      <c r="O169" s="9">
        <f t="shared" si="108"/>
        <v>10777.92</v>
      </c>
      <c r="P169" s="9">
        <f t="shared" si="109"/>
        <v>2672.08</v>
      </c>
      <c r="Q169" s="139">
        <f t="shared" si="110"/>
        <v>0.80133234200743497</v>
      </c>
      <c r="R169" s="335">
        <v>26900</v>
      </c>
      <c r="S169" s="359" t="s">
        <v>1948</v>
      </c>
      <c r="T169" s="305">
        <v>0.80133234200743497</v>
      </c>
      <c r="U169" s="6"/>
      <c r="V169" s="100"/>
      <c r="W169" s="110">
        <f t="shared" si="111"/>
        <v>26900</v>
      </c>
      <c r="X169" s="110">
        <f t="shared" si="112"/>
        <v>520.08000000000004</v>
      </c>
      <c r="Y169" s="110">
        <f t="shared" si="113"/>
        <v>2152</v>
      </c>
      <c r="Z169" s="110">
        <f t="shared" si="114"/>
        <v>10777.92</v>
      </c>
      <c r="AA169" s="260">
        <f t="shared" si="115"/>
        <v>0.80133234200743497</v>
      </c>
      <c r="AB169" s="28">
        <f t="shared" si="116"/>
        <v>8.9</v>
      </c>
      <c r="AC169" s="261">
        <f t="shared" si="117"/>
        <v>0.80202195327057801</v>
      </c>
      <c r="AD169" s="111">
        <f t="shared" si="118"/>
        <v>1.9</v>
      </c>
      <c r="AE169" s="262">
        <f t="shared" si="119"/>
        <v>7.2629149530601969E-2</v>
      </c>
      <c r="AF169" s="100"/>
      <c r="AG169" s="111">
        <f t="shared" si="120"/>
        <v>2.9</v>
      </c>
      <c r="AH169" s="262">
        <f t="shared" si="121"/>
        <v>0.39241220141660121</v>
      </c>
      <c r="AI169" s="100"/>
      <c r="AJ169" s="111">
        <f t="shared" si="122"/>
        <v>2.7</v>
      </c>
      <c r="AK169" s="262">
        <f t="shared" si="123"/>
        <v>0.34740569781783104</v>
      </c>
      <c r="AL169" s="100"/>
      <c r="AM169" s="111">
        <f t="shared" si="124"/>
        <v>2.5</v>
      </c>
      <c r="AN169" s="262">
        <f t="shared" si="125"/>
        <v>0.29519815364325752</v>
      </c>
      <c r="AO169" s="100"/>
      <c r="AP169" s="24" t="e">
        <f>VLOOKUP(C169,#REF!,6,FALSE)</f>
        <v>#REF!</v>
      </c>
      <c r="AQ169" s="24" t="e">
        <f>VLOOKUP(C169,#REF!,7,FALSE)</f>
        <v>#REF!</v>
      </c>
      <c r="AR169" s="24" t="e">
        <f>VLOOKUP(C169,#REF!,12,FALSE)</f>
        <v>#REF!</v>
      </c>
      <c r="AS169" s="24" t="e">
        <f>VLOOKUP(C169,#REF!,13,FALSE)</f>
        <v>#REF!</v>
      </c>
      <c r="AT169" s="100"/>
      <c r="AU169" s="100"/>
      <c r="AV169" s="100">
        <v>159</v>
      </c>
      <c r="AW169" s="100"/>
      <c r="AY169" s="9">
        <v>26900</v>
      </c>
    </row>
    <row r="170" spans="1:51" s="2" customFormat="1" ht="12.75" customHeight="1" x14ac:dyDescent="0.2">
      <c r="A170" s="6" t="s">
        <v>1108</v>
      </c>
      <c r="B170" s="8">
        <v>9789500213219</v>
      </c>
      <c r="C170" s="8">
        <v>700537</v>
      </c>
      <c r="D170" s="41">
        <v>368</v>
      </c>
      <c r="E170" s="7" t="s">
        <v>740</v>
      </c>
      <c r="F170" s="7" t="s">
        <v>741</v>
      </c>
      <c r="G170" s="107">
        <v>43862</v>
      </c>
      <c r="H170" s="108">
        <v>44470</v>
      </c>
      <c r="I170" s="7">
        <v>3054</v>
      </c>
      <c r="J170" s="28" t="s">
        <v>2136</v>
      </c>
      <c r="K170" s="9">
        <v>667.17</v>
      </c>
      <c r="L170" s="112">
        <v>27900</v>
      </c>
      <c r="M170" s="112">
        <f t="shared" si="106"/>
        <v>2232</v>
      </c>
      <c r="N170" s="9">
        <f t="shared" si="107"/>
        <v>13950</v>
      </c>
      <c r="O170" s="9">
        <f t="shared" si="108"/>
        <v>11050.83</v>
      </c>
      <c r="P170" s="9">
        <f t="shared" si="109"/>
        <v>2899.17</v>
      </c>
      <c r="Q170" s="139">
        <f t="shared" si="110"/>
        <v>0.79217419354838714</v>
      </c>
      <c r="R170" s="335">
        <v>27900</v>
      </c>
      <c r="S170" s="359" t="s">
        <v>1948</v>
      </c>
      <c r="T170" s="305">
        <v>0.79217419354838714</v>
      </c>
      <c r="U170" s="144"/>
      <c r="V170" s="100"/>
      <c r="W170" s="110">
        <f t="shared" si="111"/>
        <v>27900</v>
      </c>
      <c r="X170" s="110">
        <f t="shared" si="112"/>
        <v>667.17</v>
      </c>
      <c r="Y170" s="110">
        <f t="shared" si="113"/>
        <v>2232</v>
      </c>
      <c r="Z170" s="110">
        <f t="shared" si="114"/>
        <v>11050.83</v>
      </c>
      <c r="AA170" s="260">
        <f t="shared" si="115"/>
        <v>0.79217419354838714</v>
      </c>
      <c r="AB170" s="28">
        <f t="shared" si="116"/>
        <v>9.1999999999999993</v>
      </c>
      <c r="AC170" s="261">
        <f t="shared" si="117"/>
        <v>0.79220100632176493</v>
      </c>
      <c r="AD170" s="111">
        <f t="shared" si="118"/>
        <v>2</v>
      </c>
      <c r="AE170" s="262">
        <f t="shared" si="119"/>
        <v>4.4124629080118667E-2</v>
      </c>
      <c r="AF170" s="100"/>
      <c r="AG170" s="111">
        <f t="shared" si="120"/>
        <v>3.2</v>
      </c>
      <c r="AH170" s="262">
        <f t="shared" si="121"/>
        <v>0.4025778931750742</v>
      </c>
      <c r="AI170" s="100"/>
      <c r="AJ170" s="111">
        <f t="shared" si="122"/>
        <v>2.9</v>
      </c>
      <c r="AK170" s="262">
        <f t="shared" si="123"/>
        <v>0.3407756062621507</v>
      </c>
      <c r="AL170" s="100"/>
      <c r="AM170" s="111">
        <f t="shared" si="124"/>
        <v>2.7</v>
      </c>
      <c r="AN170" s="262">
        <f t="shared" si="125"/>
        <v>0.29194416968897685</v>
      </c>
      <c r="AO170" s="100"/>
      <c r="AP170" s="24" t="e">
        <f>VLOOKUP(C170,#REF!,6,FALSE)</f>
        <v>#REF!</v>
      </c>
      <c r="AQ170" s="24" t="e">
        <f>VLOOKUP(C170,#REF!,7,FALSE)</f>
        <v>#REF!</v>
      </c>
      <c r="AR170" s="24" t="e">
        <f>VLOOKUP(C170,#REF!,12,FALSE)</f>
        <v>#REF!</v>
      </c>
      <c r="AS170" s="24" t="e">
        <f>VLOOKUP(C170,#REF!,13,FALSE)</f>
        <v>#REF!</v>
      </c>
      <c r="AT170" s="100"/>
      <c r="AU170" s="100"/>
      <c r="AV170" s="100">
        <v>160</v>
      </c>
      <c r="AW170" s="100"/>
      <c r="AY170" s="112">
        <v>27900</v>
      </c>
    </row>
    <row r="171" spans="1:51" s="2" customFormat="1" ht="12.75" customHeight="1" x14ac:dyDescent="0.2">
      <c r="A171" s="6" t="s">
        <v>1109</v>
      </c>
      <c r="B171" s="8">
        <v>9789500212946</v>
      </c>
      <c r="C171" s="6">
        <v>697473</v>
      </c>
      <c r="D171" s="41">
        <v>200</v>
      </c>
      <c r="E171" s="7" t="s">
        <v>712</v>
      </c>
      <c r="F171" s="7" t="s">
        <v>713</v>
      </c>
      <c r="G171" s="107">
        <v>44805</v>
      </c>
      <c r="H171" s="108">
        <v>44774</v>
      </c>
      <c r="I171" s="7">
        <v>3053</v>
      </c>
      <c r="J171" s="28" t="s">
        <v>1946</v>
      </c>
      <c r="K171" s="9">
        <v>357.2</v>
      </c>
      <c r="L171" s="112">
        <v>21900</v>
      </c>
      <c r="M171" s="9">
        <f t="shared" si="106"/>
        <v>1752</v>
      </c>
      <c r="N171" s="9">
        <f t="shared" si="107"/>
        <v>10950</v>
      </c>
      <c r="O171" s="9">
        <f t="shared" si="108"/>
        <v>8840.7999999999993</v>
      </c>
      <c r="P171" s="9">
        <f t="shared" si="109"/>
        <v>2109.1999999999998</v>
      </c>
      <c r="Q171" s="139">
        <f t="shared" si="110"/>
        <v>0.80737899543378988</v>
      </c>
      <c r="R171" s="335">
        <v>21900</v>
      </c>
      <c r="S171" s="359" t="s">
        <v>1948</v>
      </c>
      <c r="T171" s="305">
        <v>0.80737899543378988</v>
      </c>
      <c r="U171" s="144"/>
      <c r="V171" s="100"/>
      <c r="W171" s="110">
        <f t="shared" si="111"/>
        <v>21900</v>
      </c>
      <c r="X171" s="110">
        <f t="shared" si="112"/>
        <v>357.2</v>
      </c>
      <c r="Y171" s="110">
        <f t="shared" si="113"/>
        <v>1752</v>
      </c>
      <c r="Z171" s="110">
        <f t="shared" si="114"/>
        <v>8840.7999999999993</v>
      </c>
      <c r="AA171" s="260">
        <f t="shared" si="115"/>
        <v>0.80737899543378988</v>
      </c>
      <c r="AB171" s="28">
        <f t="shared" si="116"/>
        <v>7.2</v>
      </c>
      <c r="AC171" s="261">
        <f t="shared" si="117"/>
        <v>0.80682858922225886</v>
      </c>
      <c r="AD171" s="111">
        <f t="shared" si="118"/>
        <v>1.5</v>
      </c>
      <c r="AE171" s="262">
        <f t="shared" si="119"/>
        <v>7.2777228266842492E-2</v>
      </c>
      <c r="AF171" s="100"/>
      <c r="AG171" s="111">
        <f t="shared" si="120"/>
        <v>2.2999999999999998</v>
      </c>
      <c r="AH171" s="262">
        <f t="shared" si="121"/>
        <v>0.39528949669576685</v>
      </c>
      <c r="AI171" s="100"/>
      <c r="AJ171" s="111">
        <f t="shared" si="122"/>
        <v>2.1</v>
      </c>
      <c r="AK171" s="262">
        <f t="shared" si="123"/>
        <v>0.33769802019060186</v>
      </c>
      <c r="AL171" s="100"/>
      <c r="AM171" s="111">
        <f t="shared" si="124"/>
        <v>2</v>
      </c>
      <c r="AN171" s="262">
        <f t="shared" si="125"/>
        <v>0.30458292120013192</v>
      </c>
      <c r="AO171" s="100"/>
      <c r="AP171" s="24" t="e">
        <f>VLOOKUP(C171,#REF!,6,FALSE)</f>
        <v>#REF!</v>
      </c>
      <c r="AQ171" s="24" t="e">
        <f>VLOOKUP(C171,#REF!,7,FALSE)</f>
        <v>#REF!</v>
      </c>
      <c r="AR171" s="24" t="e">
        <f>VLOOKUP(C171,#REF!,12,FALSE)</f>
        <v>#REF!</v>
      </c>
      <c r="AS171" s="24" t="e">
        <f>VLOOKUP(C171,#REF!,13,FALSE)</f>
        <v>#REF!</v>
      </c>
      <c r="AT171" s="100"/>
      <c r="AU171" s="100"/>
      <c r="AV171" s="100">
        <v>161</v>
      </c>
      <c r="AW171" s="100"/>
      <c r="AY171" s="112">
        <v>21900</v>
      </c>
    </row>
    <row r="172" spans="1:51" s="2" customFormat="1" ht="12.75" customHeight="1" x14ac:dyDescent="0.2">
      <c r="A172" s="7" t="s">
        <v>1110</v>
      </c>
      <c r="B172" s="34">
        <v>9789500211802</v>
      </c>
      <c r="C172" s="8">
        <v>683963</v>
      </c>
      <c r="D172" s="25">
        <v>216</v>
      </c>
      <c r="E172" s="30" t="s">
        <v>551</v>
      </c>
      <c r="F172" s="116" t="s">
        <v>1111</v>
      </c>
      <c r="G172" s="107">
        <v>44348</v>
      </c>
      <c r="H172" s="108">
        <v>44317</v>
      </c>
      <c r="I172" s="24">
        <v>3105</v>
      </c>
      <c r="J172" s="28" t="s">
        <v>1946</v>
      </c>
      <c r="K172" s="9">
        <v>163.38999999999999</v>
      </c>
      <c r="L172" s="112">
        <v>19900</v>
      </c>
      <c r="M172" s="9">
        <f t="shared" si="106"/>
        <v>1592</v>
      </c>
      <c r="N172" s="9">
        <f t="shared" si="107"/>
        <v>9950</v>
      </c>
      <c r="O172" s="9">
        <f t="shared" si="108"/>
        <v>8194.61</v>
      </c>
      <c r="P172" s="9">
        <f t="shared" si="109"/>
        <v>1755.3899999999999</v>
      </c>
      <c r="Q172" s="139">
        <f t="shared" si="110"/>
        <v>0.82357889447236188</v>
      </c>
      <c r="R172" s="335">
        <v>19900</v>
      </c>
      <c r="S172" s="359" t="s">
        <v>1948</v>
      </c>
      <c r="T172" s="305">
        <v>0.82357889447236188</v>
      </c>
      <c r="U172" s="144"/>
      <c r="V172" s="100"/>
      <c r="W172" s="110">
        <f t="shared" si="111"/>
        <v>19900</v>
      </c>
      <c r="X172" s="110">
        <f t="shared" si="112"/>
        <v>163.38999999999999</v>
      </c>
      <c r="Y172" s="110">
        <f t="shared" si="113"/>
        <v>1592</v>
      </c>
      <c r="Z172" s="110">
        <f t="shared" si="114"/>
        <v>8194.61</v>
      </c>
      <c r="AA172" s="260">
        <f t="shared" si="115"/>
        <v>0.82357889447236188</v>
      </c>
      <c r="AB172" s="28">
        <f t="shared" si="116"/>
        <v>6.6</v>
      </c>
      <c r="AC172" s="261">
        <f t="shared" si="117"/>
        <v>0.82461709078919765</v>
      </c>
      <c r="AD172" s="111">
        <f t="shared" si="118"/>
        <v>1.2</v>
      </c>
      <c r="AE172" s="262">
        <f t="shared" si="119"/>
        <v>3.5393999340586797E-2</v>
      </c>
      <c r="AF172" s="100"/>
      <c r="AG172" s="111">
        <f t="shared" si="120"/>
        <v>1.9</v>
      </c>
      <c r="AH172" s="262">
        <f t="shared" si="121"/>
        <v>0.39077515747826541</v>
      </c>
      <c r="AI172" s="100"/>
      <c r="AJ172" s="111">
        <f t="shared" si="122"/>
        <v>1.8</v>
      </c>
      <c r="AK172" s="262">
        <f t="shared" si="123"/>
        <v>0.35692933289372469</v>
      </c>
      <c r="AL172" s="100"/>
      <c r="AM172" s="111">
        <f t="shared" si="124"/>
        <v>1.7</v>
      </c>
      <c r="AN172" s="262">
        <f t="shared" si="125"/>
        <v>0.31910164659335544</v>
      </c>
      <c r="AO172" s="100"/>
      <c r="AP172" s="24" t="e">
        <f>VLOOKUP(C172,#REF!,6,FALSE)</f>
        <v>#REF!</v>
      </c>
      <c r="AQ172" s="24" t="e">
        <f>VLOOKUP(C172,#REF!,7,FALSE)</f>
        <v>#REF!</v>
      </c>
      <c r="AR172" s="24" t="e">
        <f>VLOOKUP(C172,#REF!,12,FALSE)</f>
        <v>#REF!</v>
      </c>
      <c r="AS172" s="24" t="e">
        <f>VLOOKUP(C172,#REF!,13,FALSE)</f>
        <v>#REF!</v>
      </c>
      <c r="AT172" s="100"/>
      <c r="AU172" s="100"/>
      <c r="AV172" s="100">
        <v>162</v>
      </c>
      <c r="AW172" s="100"/>
      <c r="AY172" s="112">
        <v>19900</v>
      </c>
    </row>
    <row r="173" spans="1:51" s="132" customFormat="1" ht="12.75" customHeight="1" x14ac:dyDescent="0.2">
      <c r="A173" s="7" t="s">
        <v>1112</v>
      </c>
      <c r="B173" s="8">
        <v>9789500212168</v>
      </c>
      <c r="C173" s="8">
        <v>687543</v>
      </c>
      <c r="D173" s="25">
        <v>568</v>
      </c>
      <c r="E173" s="9" t="s">
        <v>582</v>
      </c>
      <c r="F173" s="7" t="s">
        <v>583</v>
      </c>
      <c r="G173" s="107">
        <v>44470</v>
      </c>
      <c r="H173" s="108">
        <v>44440</v>
      </c>
      <c r="I173" s="7">
        <v>10051</v>
      </c>
      <c r="J173" s="7" t="s">
        <v>1762</v>
      </c>
      <c r="K173" s="9">
        <v>204.27</v>
      </c>
      <c r="L173" s="112">
        <v>30900</v>
      </c>
      <c r="M173" s="9">
        <f>+L173*0.1</f>
        <v>3090</v>
      </c>
      <c r="N173" s="9">
        <f t="shared" si="107"/>
        <v>15450</v>
      </c>
      <c r="O173" s="9">
        <f t="shared" si="108"/>
        <v>12155.73</v>
      </c>
      <c r="P173" s="9">
        <f t="shared" si="109"/>
        <v>3294.27</v>
      </c>
      <c r="Q173" s="139">
        <f t="shared" si="110"/>
        <v>0.78677864077669901</v>
      </c>
      <c r="R173" s="335">
        <v>30900</v>
      </c>
      <c r="S173" s="359" t="s">
        <v>1948</v>
      </c>
      <c r="T173" s="305">
        <v>0.78677864077669901</v>
      </c>
      <c r="U173" s="144"/>
      <c r="V173" s="100"/>
      <c r="W173" s="110">
        <f t="shared" si="111"/>
        <v>30900</v>
      </c>
      <c r="X173" s="110">
        <f t="shared" si="112"/>
        <v>204.27</v>
      </c>
      <c r="Y173" s="110">
        <f t="shared" si="113"/>
        <v>3090</v>
      </c>
      <c r="Z173" s="110">
        <f t="shared" si="114"/>
        <v>12155.73</v>
      </c>
      <c r="AA173" s="260">
        <f t="shared" si="115"/>
        <v>0.78677864077669901</v>
      </c>
      <c r="AB173" s="28">
        <f t="shared" si="116"/>
        <v>10.199999999999999</v>
      </c>
      <c r="AC173" s="261">
        <f t="shared" si="117"/>
        <v>0.7870308954442311</v>
      </c>
      <c r="AD173" s="111">
        <f t="shared" si="118"/>
        <v>2.2999999999999998</v>
      </c>
      <c r="AE173" s="262">
        <f t="shared" si="119"/>
        <v>5.5528318926590076E-2</v>
      </c>
      <c r="AF173" s="100"/>
      <c r="AG173" s="111">
        <f t="shared" si="120"/>
        <v>3.6</v>
      </c>
      <c r="AH173" s="262">
        <f t="shared" si="121"/>
        <v>0.39658753709198813</v>
      </c>
      <c r="AI173" s="100"/>
      <c r="AJ173" s="111">
        <f t="shared" si="122"/>
        <v>3.3</v>
      </c>
      <c r="AK173" s="262">
        <f t="shared" si="123"/>
        <v>0.34173185864580513</v>
      </c>
      <c r="AL173" s="100"/>
      <c r="AM173" s="111">
        <f t="shared" si="124"/>
        <v>3.1</v>
      </c>
      <c r="AN173" s="262">
        <f t="shared" si="125"/>
        <v>0.29926294630037331</v>
      </c>
      <c r="AO173" s="100"/>
      <c r="AP173" s="24" t="e">
        <f>VLOOKUP(C173,#REF!,6,FALSE)</f>
        <v>#REF!</v>
      </c>
      <c r="AQ173" s="24" t="e">
        <f>VLOOKUP(C173,#REF!,7,FALSE)</f>
        <v>#REF!</v>
      </c>
      <c r="AR173" s="24" t="e">
        <f>VLOOKUP(C173,#REF!,12,FALSE)</f>
        <v>#REF!</v>
      </c>
      <c r="AS173" s="24" t="e">
        <f>VLOOKUP(C173,#REF!,13,FALSE)</f>
        <v>#REF!</v>
      </c>
      <c r="AT173" s="100"/>
      <c r="AU173" s="100"/>
      <c r="AV173" s="100">
        <v>163</v>
      </c>
      <c r="AW173" s="100"/>
      <c r="AY173" s="112">
        <v>30900</v>
      </c>
    </row>
    <row r="174" spans="1:51" s="132" customFormat="1" ht="12.75" customHeight="1" x14ac:dyDescent="0.2">
      <c r="A174" s="7" t="s">
        <v>1113</v>
      </c>
      <c r="B174" s="8">
        <v>9789500207270</v>
      </c>
      <c r="C174" s="8">
        <v>566238</v>
      </c>
      <c r="D174" s="25">
        <v>432</v>
      </c>
      <c r="E174" s="22" t="s">
        <v>128</v>
      </c>
      <c r="F174" s="6" t="s">
        <v>129</v>
      </c>
      <c r="G174" s="107">
        <v>41456</v>
      </c>
      <c r="H174" s="108">
        <v>41426</v>
      </c>
      <c r="I174" s="24">
        <v>3058</v>
      </c>
      <c r="J174" s="28" t="s">
        <v>1894</v>
      </c>
      <c r="K174" s="28">
        <v>17.54</v>
      </c>
      <c r="L174" s="128">
        <v>15900</v>
      </c>
      <c r="M174" s="112">
        <f>+L174*0.15</f>
        <v>2385</v>
      </c>
      <c r="N174" s="9">
        <f t="shared" si="107"/>
        <v>7950</v>
      </c>
      <c r="O174" s="9">
        <f t="shared" si="108"/>
        <v>5547.46</v>
      </c>
      <c r="P174" s="9">
        <f t="shared" si="109"/>
        <v>2402.54</v>
      </c>
      <c r="Q174" s="139">
        <f t="shared" si="110"/>
        <v>0.69779371069182394</v>
      </c>
      <c r="R174" s="335">
        <v>15900</v>
      </c>
      <c r="S174" s="359" t="s">
        <v>1948</v>
      </c>
      <c r="T174" s="305">
        <v>0.69779371069182394</v>
      </c>
      <c r="U174" s="144"/>
      <c r="V174" s="100"/>
      <c r="W174" s="110">
        <f t="shared" si="111"/>
        <v>15900</v>
      </c>
      <c r="X174" s="110">
        <f t="shared" si="112"/>
        <v>17.54</v>
      </c>
      <c r="Y174" s="110">
        <f t="shared" si="113"/>
        <v>2385</v>
      </c>
      <c r="Z174" s="110">
        <f t="shared" si="114"/>
        <v>5547.46</v>
      </c>
      <c r="AA174" s="260">
        <f t="shared" si="115"/>
        <v>0.69779371069182394</v>
      </c>
      <c r="AB174" s="28">
        <f t="shared" si="116"/>
        <v>5.2</v>
      </c>
      <c r="AC174" s="261">
        <f t="shared" si="117"/>
        <v>0.69533338405741962</v>
      </c>
      <c r="AD174" s="111">
        <f t="shared" si="118"/>
        <v>1.7</v>
      </c>
      <c r="AE174" s="262">
        <f t="shared" si="119"/>
        <v>6.807858652857772E-2</v>
      </c>
      <c r="AF174" s="100"/>
      <c r="AG174" s="111">
        <f t="shared" si="120"/>
        <v>2.6</v>
      </c>
      <c r="AH174" s="262">
        <f t="shared" si="121"/>
        <v>0.39066676811483936</v>
      </c>
      <c r="AI174" s="100"/>
      <c r="AJ174" s="111">
        <f t="shared" si="122"/>
        <v>2.4</v>
      </c>
      <c r="AK174" s="262">
        <f t="shared" si="123"/>
        <v>0.33988899879107592</v>
      </c>
      <c r="AL174" s="100"/>
      <c r="AM174" s="111">
        <f t="shared" si="124"/>
        <v>2.2999999999999998</v>
      </c>
      <c r="AN174" s="262">
        <f t="shared" si="125"/>
        <v>0.31118852047764445</v>
      </c>
      <c r="AO174" s="100"/>
      <c r="AP174" s="24" t="e">
        <f>VLOOKUP(C174,#REF!,6,FALSE)</f>
        <v>#REF!</v>
      </c>
      <c r="AQ174" s="24" t="e">
        <f>VLOOKUP(C174,#REF!,7,FALSE)</f>
        <v>#REF!</v>
      </c>
      <c r="AR174" s="24" t="e">
        <f>VLOOKUP(C174,#REF!,12,FALSE)</f>
        <v>#REF!</v>
      </c>
      <c r="AS174" s="24" t="e">
        <f>VLOOKUP(C174,#REF!,13,FALSE)</f>
        <v>#REF!</v>
      </c>
      <c r="AT174" s="100">
        <v>10</v>
      </c>
      <c r="AU174" s="100"/>
      <c r="AV174" s="100">
        <v>164</v>
      </c>
      <c r="AW174" s="100"/>
      <c r="AY174" s="128">
        <v>15900</v>
      </c>
    </row>
    <row r="175" spans="1:51" s="2" customFormat="1" ht="12.75" customHeight="1" x14ac:dyDescent="0.2">
      <c r="A175" s="6" t="s">
        <v>1114</v>
      </c>
      <c r="B175" s="8">
        <v>9789500299329</v>
      </c>
      <c r="C175" s="8">
        <v>616437</v>
      </c>
      <c r="D175" s="7">
        <v>384</v>
      </c>
      <c r="E175" s="22" t="s">
        <v>108</v>
      </c>
      <c r="F175" s="6" t="s">
        <v>109</v>
      </c>
      <c r="G175" s="107">
        <v>42552</v>
      </c>
      <c r="H175" s="108">
        <v>42522</v>
      </c>
      <c r="I175" s="24">
        <v>2000</v>
      </c>
      <c r="J175" s="28" t="s">
        <v>1946</v>
      </c>
      <c r="K175" s="28">
        <v>35.26</v>
      </c>
      <c r="L175" s="128">
        <v>20900</v>
      </c>
      <c r="M175" s="9">
        <f>+L175*0.15</f>
        <v>3135</v>
      </c>
      <c r="N175" s="9">
        <f t="shared" si="107"/>
        <v>10450</v>
      </c>
      <c r="O175" s="9">
        <f t="shared" si="108"/>
        <v>7279.74</v>
      </c>
      <c r="P175" s="9">
        <f t="shared" si="109"/>
        <v>3170.26</v>
      </c>
      <c r="Q175" s="139">
        <f t="shared" si="110"/>
        <v>0.69662583732057415</v>
      </c>
      <c r="R175" s="335">
        <v>20900</v>
      </c>
      <c r="S175" s="359" t="s">
        <v>1948</v>
      </c>
      <c r="T175" s="305">
        <v>0.69662583732057415</v>
      </c>
      <c r="U175" s="144"/>
      <c r="V175" s="100"/>
      <c r="W175" s="110">
        <f t="shared" si="111"/>
        <v>20900</v>
      </c>
      <c r="X175" s="110">
        <f t="shared" si="112"/>
        <v>35.26</v>
      </c>
      <c r="Y175" s="110">
        <f t="shared" si="113"/>
        <v>3135</v>
      </c>
      <c r="Z175" s="110">
        <f t="shared" si="114"/>
        <v>7279.74</v>
      </c>
      <c r="AA175" s="260">
        <f t="shared" si="115"/>
        <v>0.69662583732057415</v>
      </c>
      <c r="AB175" s="28">
        <f t="shared" si="116"/>
        <v>6.9</v>
      </c>
      <c r="AC175" s="261">
        <f t="shared" si="117"/>
        <v>0.69702738475800019</v>
      </c>
      <c r="AD175" s="111">
        <f t="shared" si="118"/>
        <v>2.2000000000000002</v>
      </c>
      <c r="AE175" s="262">
        <f t="shared" si="119"/>
        <v>4.9767706741000499E-2</v>
      </c>
      <c r="AF175" s="100"/>
      <c r="AG175" s="111">
        <f t="shared" si="120"/>
        <v>3.5</v>
      </c>
      <c r="AH175" s="262">
        <f t="shared" si="121"/>
        <v>0.402711129951486</v>
      </c>
      <c r="AI175" s="100"/>
      <c r="AJ175" s="111">
        <f t="shared" si="122"/>
        <v>3.2</v>
      </c>
      <c r="AK175" s="262">
        <f t="shared" si="123"/>
        <v>0.34671529838443782</v>
      </c>
      <c r="AL175" s="100"/>
      <c r="AM175" s="111">
        <f t="shared" si="124"/>
        <v>3</v>
      </c>
      <c r="AN175" s="262">
        <f t="shared" si="125"/>
        <v>0.30316298494340033</v>
      </c>
      <c r="AO175" s="100"/>
      <c r="AP175" s="24" t="e">
        <f>VLOOKUP(C175,#REF!,6,FALSE)</f>
        <v>#REF!</v>
      </c>
      <c r="AQ175" s="24" t="e">
        <f>VLOOKUP(C175,#REF!,7,FALSE)</f>
        <v>#REF!</v>
      </c>
      <c r="AR175" s="24" t="e">
        <f>VLOOKUP(C175,#REF!,12,FALSE)</f>
        <v>#REF!</v>
      </c>
      <c r="AS175" s="24" t="e">
        <f>VLOOKUP(C175,#REF!,13,FALSE)</f>
        <v>#REF!</v>
      </c>
      <c r="AT175" s="100"/>
      <c r="AU175" s="100"/>
      <c r="AV175" s="100">
        <v>165</v>
      </c>
      <c r="AW175" s="100"/>
      <c r="AY175" s="128">
        <v>20900</v>
      </c>
    </row>
    <row r="176" spans="1:51" s="2" customFormat="1" ht="12.75" customHeight="1" x14ac:dyDescent="0.2">
      <c r="A176" s="7" t="s">
        <v>1115</v>
      </c>
      <c r="B176" s="8">
        <v>9789500206976</v>
      </c>
      <c r="C176" s="8">
        <v>557271</v>
      </c>
      <c r="D176" s="7">
        <v>208</v>
      </c>
      <c r="E176" s="7" t="s">
        <v>124</v>
      </c>
      <c r="F176" s="6" t="s">
        <v>125</v>
      </c>
      <c r="G176" s="118">
        <v>41214</v>
      </c>
      <c r="H176" s="108">
        <v>41122</v>
      </c>
      <c r="I176" s="24">
        <v>3035</v>
      </c>
      <c r="J176" s="28" t="s">
        <v>1894</v>
      </c>
      <c r="K176" s="28">
        <v>10.56</v>
      </c>
      <c r="L176" s="112">
        <v>12700</v>
      </c>
      <c r="M176" s="9">
        <f>+L176*0.1</f>
        <v>1270</v>
      </c>
      <c r="N176" s="9">
        <f t="shared" si="107"/>
        <v>6350</v>
      </c>
      <c r="O176" s="9">
        <f t="shared" si="108"/>
        <v>5069.4399999999996</v>
      </c>
      <c r="P176" s="9">
        <f t="shared" si="109"/>
        <v>1280.56</v>
      </c>
      <c r="Q176" s="139">
        <f t="shared" si="110"/>
        <v>0.79833700787401574</v>
      </c>
      <c r="R176" s="335">
        <v>12700</v>
      </c>
      <c r="S176" s="359" t="s">
        <v>1948</v>
      </c>
      <c r="T176" s="305">
        <v>0.79833700787401574</v>
      </c>
      <c r="U176" s="144"/>
      <c r="V176" s="100"/>
      <c r="W176" s="110">
        <f t="shared" si="111"/>
        <v>12700</v>
      </c>
      <c r="X176" s="110">
        <f t="shared" si="112"/>
        <v>10.56</v>
      </c>
      <c r="Y176" s="110">
        <f t="shared" si="113"/>
        <v>1270</v>
      </c>
      <c r="Z176" s="110">
        <f t="shared" si="114"/>
        <v>5069.4399999999996</v>
      </c>
      <c r="AA176" s="260">
        <f t="shared" si="115"/>
        <v>0.79833700787401574</v>
      </c>
      <c r="AB176" s="28">
        <f t="shared" si="116"/>
        <v>4.2</v>
      </c>
      <c r="AC176" s="261">
        <f t="shared" si="117"/>
        <v>0.79894807906677334</v>
      </c>
      <c r="AD176" s="111">
        <f t="shared" si="118"/>
        <v>0.9</v>
      </c>
      <c r="AE176" s="262">
        <f t="shared" si="119"/>
        <v>6.1757702311609465E-2</v>
      </c>
      <c r="AF176" s="100"/>
      <c r="AG176" s="111">
        <f t="shared" si="120"/>
        <v>1.4</v>
      </c>
      <c r="AH176" s="262">
        <f t="shared" si="121"/>
        <v>0.3968442372003203</v>
      </c>
      <c r="AI176" s="100"/>
      <c r="AJ176" s="111">
        <f t="shared" si="122"/>
        <v>1.3</v>
      </c>
      <c r="AK176" s="262">
        <f t="shared" si="123"/>
        <v>0.35044764006188345</v>
      </c>
      <c r="AL176" s="100"/>
      <c r="AM176" s="111">
        <f t="shared" si="124"/>
        <v>1.2</v>
      </c>
      <c r="AN176" s="262">
        <f t="shared" si="125"/>
        <v>0.29631827673370703</v>
      </c>
      <c r="AO176" s="100"/>
      <c r="AP176" s="24" t="e">
        <f>VLOOKUP(C176,#REF!,6,FALSE)</f>
        <v>#REF!</v>
      </c>
      <c r="AQ176" s="24" t="e">
        <f>VLOOKUP(C176,#REF!,7,FALSE)</f>
        <v>#REF!</v>
      </c>
      <c r="AR176" s="24" t="e">
        <f>VLOOKUP(C176,#REF!,12,FALSE)</f>
        <v>#REF!</v>
      </c>
      <c r="AS176" s="24" t="e">
        <f>VLOOKUP(C176,#REF!,13,FALSE)</f>
        <v>#REF!</v>
      </c>
      <c r="AT176" s="100">
        <v>11</v>
      </c>
      <c r="AU176" s="100"/>
      <c r="AV176" s="100">
        <v>166</v>
      </c>
      <c r="AW176" s="100"/>
      <c r="AY176" s="112">
        <v>12700</v>
      </c>
    </row>
    <row r="177" spans="1:51" s="2" customFormat="1" ht="12.75" customHeight="1" x14ac:dyDescent="0.2">
      <c r="A177" s="6" t="s">
        <v>1116</v>
      </c>
      <c r="B177" s="8">
        <v>9789500208697</v>
      </c>
      <c r="C177" s="8">
        <v>591834</v>
      </c>
      <c r="D177" s="25">
        <v>224</v>
      </c>
      <c r="E177" s="22" t="s">
        <v>1117</v>
      </c>
      <c r="F177" s="6" t="s">
        <v>1118</v>
      </c>
      <c r="G177" s="118">
        <v>42125</v>
      </c>
      <c r="H177" s="108">
        <v>42095</v>
      </c>
      <c r="I177" s="24">
        <v>2950</v>
      </c>
      <c r="J177" s="28" t="s">
        <v>1894</v>
      </c>
      <c r="K177" s="28">
        <v>21.61</v>
      </c>
      <c r="L177" s="112">
        <v>16800</v>
      </c>
      <c r="M177" s="9">
        <f>+L177*0.08</f>
        <v>1344</v>
      </c>
      <c r="N177" s="9">
        <f t="shared" si="107"/>
        <v>8400</v>
      </c>
      <c r="O177" s="9">
        <f t="shared" si="108"/>
        <v>7034.39</v>
      </c>
      <c r="P177" s="9">
        <f t="shared" si="109"/>
        <v>1365.61</v>
      </c>
      <c r="Q177" s="139">
        <f t="shared" si="110"/>
        <v>0.83742738095238101</v>
      </c>
      <c r="R177" s="335">
        <v>16800</v>
      </c>
      <c r="S177" s="359" t="s">
        <v>1948</v>
      </c>
      <c r="T177" s="305">
        <v>0.83742738095238101</v>
      </c>
      <c r="U177" s="157"/>
      <c r="V177" s="100"/>
      <c r="W177" s="110">
        <f t="shared" si="111"/>
        <v>16800</v>
      </c>
      <c r="X177" s="110">
        <f t="shared" si="112"/>
        <v>21.61</v>
      </c>
      <c r="Y177" s="110">
        <f t="shared" si="113"/>
        <v>1344</v>
      </c>
      <c r="Z177" s="110">
        <f t="shared" si="114"/>
        <v>7034.3899999999994</v>
      </c>
      <c r="AA177" s="260">
        <f t="shared" si="115"/>
        <v>0.8374273809523809</v>
      </c>
      <c r="AB177" s="28">
        <f t="shared" si="116"/>
        <v>5.5</v>
      </c>
      <c r="AC177" s="261">
        <f t="shared" si="117"/>
        <v>0.83627251745946096</v>
      </c>
      <c r="AD177" s="111">
        <f t="shared" si="118"/>
        <v>0.9</v>
      </c>
      <c r="AE177" s="262">
        <f t="shared" si="119"/>
        <v>-5.5683774773767334E-4</v>
      </c>
      <c r="AF177" s="100"/>
      <c r="AG177" s="111">
        <f t="shared" si="120"/>
        <v>1.5</v>
      </c>
      <c r="AH177" s="262">
        <f t="shared" si="121"/>
        <v>0.39966589735135721</v>
      </c>
      <c r="AI177" s="100"/>
      <c r="AJ177" s="111">
        <f t="shared" si="122"/>
        <v>1.4</v>
      </c>
      <c r="AK177" s="262">
        <f t="shared" si="123"/>
        <v>0.3567848900193113</v>
      </c>
      <c r="AL177" s="100"/>
      <c r="AM177" s="111">
        <f t="shared" si="124"/>
        <v>1.3</v>
      </c>
      <c r="AN177" s="262">
        <f t="shared" si="125"/>
        <v>0.30730680463618154</v>
      </c>
      <c r="AO177" s="100"/>
      <c r="AP177" s="24" t="e">
        <f>VLOOKUP(C177,#REF!,6,FALSE)</f>
        <v>#REF!</v>
      </c>
      <c r="AQ177" s="24" t="e">
        <f>VLOOKUP(C177,#REF!,7,FALSE)</f>
        <v>#REF!</v>
      </c>
      <c r="AR177" s="24" t="e">
        <f>VLOOKUP(C177,#REF!,12,FALSE)</f>
        <v>#REF!</v>
      </c>
      <c r="AS177" s="24" t="e">
        <f>VLOOKUP(C177,#REF!,13,FALSE)</f>
        <v>#REF!</v>
      </c>
      <c r="AT177" s="100"/>
      <c r="AU177" s="100"/>
      <c r="AV177" s="100">
        <v>167</v>
      </c>
      <c r="AW177" s="100"/>
      <c r="AY177" s="112">
        <v>16800</v>
      </c>
    </row>
    <row r="178" spans="1:51" s="2" customFormat="1" ht="12.75" customHeight="1" x14ac:dyDescent="0.2">
      <c r="A178" s="7" t="s">
        <v>1119</v>
      </c>
      <c r="B178" s="8">
        <v>9789500207140</v>
      </c>
      <c r="C178" s="146">
        <v>566237</v>
      </c>
      <c r="D178" s="25">
        <v>272</v>
      </c>
      <c r="E178" s="22" t="s">
        <v>114</v>
      </c>
      <c r="F178" s="6" t="s">
        <v>1120</v>
      </c>
      <c r="G178" s="107">
        <v>41456</v>
      </c>
      <c r="H178" s="108">
        <v>41640</v>
      </c>
      <c r="I178" s="24">
        <v>2020</v>
      </c>
      <c r="J178" s="28" t="s">
        <v>1894</v>
      </c>
      <c r="K178" s="28">
        <v>12.72</v>
      </c>
      <c r="L178" s="128">
        <v>16000</v>
      </c>
      <c r="M178" s="9">
        <f>+L178*0.08</f>
        <v>1280</v>
      </c>
      <c r="N178" s="9">
        <f t="shared" si="107"/>
        <v>8000</v>
      </c>
      <c r="O178" s="9">
        <f t="shared" si="108"/>
        <v>6707.28</v>
      </c>
      <c r="P178" s="9">
        <f t="shared" si="109"/>
        <v>1292.72</v>
      </c>
      <c r="Q178" s="139">
        <f t="shared" si="110"/>
        <v>0.83840999999999999</v>
      </c>
      <c r="R178" s="335">
        <v>16000</v>
      </c>
      <c r="S178" s="359" t="s">
        <v>1948</v>
      </c>
      <c r="T178" s="305">
        <v>0.83840999999999999</v>
      </c>
      <c r="U178" s="144"/>
      <c r="V178" s="100"/>
      <c r="W178" s="110">
        <f t="shared" si="111"/>
        <v>16000</v>
      </c>
      <c r="X178" s="110">
        <f t="shared" si="112"/>
        <v>12.72</v>
      </c>
      <c r="Y178" s="110">
        <f t="shared" si="113"/>
        <v>1280</v>
      </c>
      <c r="Z178" s="110">
        <f t="shared" si="114"/>
        <v>6707.28</v>
      </c>
      <c r="AA178" s="260">
        <f t="shared" si="115"/>
        <v>0.83840999999999999</v>
      </c>
      <c r="AB178" s="28">
        <f t="shared" si="116"/>
        <v>5.3</v>
      </c>
      <c r="AC178" s="261">
        <f t="shared" si="117"/>
        <v>0.83916291858736292</v>
      </c>
      <c r="AD178" s="111">
        <f t="shared" si="118"/>
        <v>0.9</v>
      </c>
      <c r="AE178" s="262">
        <f t="shared" si="119"/>
        <v>5.2848298347803864E-2</v>
      </c>
      <c r="AF178" s="100"/>
      <c r="AG178" s="111">
        <f t="shared" si="120"/>
        <v>1.4</v>
      </c>
      <c r="AH178" s="262">
        <f t="shared" si="121"/>
        <v>0.39111676322358824</v>
      </c>
      <c r="AI178" s="100"/>
      <c r="AJ178" s="111">
        <f t="shared" si="122"/>
        <v>1.3</v>
      </c>
      <c r="AK178" s="262">
        <f t="shared" si="123"/>
        <v>0.34427959116386414</v>
      </c>
      <c r="AL178" s="100"/>
      <c r="AM178" s="111">
        <f t="shared" si="124"/>
        <v>1.2</v>
      </c>
      <c r="AN178" s="262">
        <f t="shared" si="125"/>
        <v>0.2896362237608528</v>
      </c>
      <c r="AO178" s="100"/>
      <c r="AP178" s="24" t="e">
        <f>VLOOKUP(C178,#REF!,6,FALSE)</f>
        <v>#REF!</v>
      </c>
      <c r="AQ178" s="24" t="e">
        <f>VLOOKUP(C178,#REF!,7,FALSE)</f>
        <v>#REF!</v>
      </c>
      <c r="AR178" s="24" t="e">
        <f>VLOOKUP(C178,#REF!,12,FALSE)</f>
        <v>#REF!</v>
      </c>
      <c r="AS178" s="24" t="e">
        <f>VLOOKUP(C178,#REF!,13,FALSE)</f>
        <v>#REF!</v>
      </c>
      <c r="AT178" s="100"/>
      <c r="AU178" s="100"/>
      <c r="AV178" s="100">
        <v>168</v>
      </c>
      <c r="AW178" s="100"/>
      <c r="AY178" s="128">
        <v>16000</v>
      </c>
    </row>
    <row r="179" spans="1:51" s="2" customFormat="1" ht="12.75" customHeight="1" x14ac:dyDescent="0.2">
      <c r="A179" s="7" t="s">
        <v>1121</v>
      </c>
      <c r="B179" s="143">
        <v>9789500209557</v>
      </c>
      <c r="C179" s="6">
        <v>647013</v>
      </c>
      <c r="D179" s="7">
        <v>272</v>
      </c>
      <c r="E179" s="7" t="s">
        <v>361</v>
      </c>
      <c r="F179" s="15" t="s">
        <v>597</v>
      </c>
      <c r="G179" s="107">
        <v>43191</v>
      </c>
      <c r="H179" s="108">
        <v>43160</v>
      </c>
      <c r="I179" s="24">
        <v>2983</v>
      </c>
      <c r="J179" s="28" t="s">
        <v>1762</v>
      </c>
      <c r="K179" s="28">
        <v>54.42</v>
      </c>
      <c r="L179" s="128">
        <v>33900</v>
      </c>
      <c r="M179" s="9">
        <f>+L179*0.08</f>
        <v>2712</v>
      </c>
      <c r="N179" s="9">
        <f t="shared" si="107"/>
        <v>16950</v>
      </c>
      <c r="O179" s="9">
        <f t="shared" si="108"/>
        <v>14183.58</v>
      </c>
      <c r="P179" s="9">
        <f t="shared" si="109"/>
        <v>2766.42</v>
      </c>
      <c r="Q179" s="139">
        <f t="shared" si="110"/>
        <v>0.8367893805309734</v>
      </c>
      <c r="R179" s="335">
        <v>33900</v>
      </c>
      <c r="S179" s="359" t="s">
        <v>1948</v>
      </c>
      <c r="T179" s="305">
        <v>0.8367893805309734</v>
      </c>
      <c r="U179" s="144"/>
      <c r="V179" s="100"/>
      <c r="W179" s="110">
        <f t="shared" si="111"/>
        <v>33900</v>
      </c>
      <c r="X179" s="110">
        <f t="shared" si="112"/>
        <v>54.42</v>
      </c>
      <c r="Y179" s="110">
        <f t="shared" si="113"/>
        <v>2712</v>
      </c>
      <c r="Z179" s="110">
        <f t="shared" si="114"/>
        <v>14183.580000000002</v>
      </c>
      <c r="AA179" s="260">
        <f t="shared" si="115"/>
        <v>0.83678938053097351</v>
      </c>
      <c r="AB179" s="28">
        <f t="shared" si="116"/>
        <v>11.2</v>
      </c>
      <c r="AC179" s="261">
        <f t="shared" si="117"/>
        <v>0.83712378126324727</v>
      </c>
      <c r="AD179" s="111">
        <f t="shared" si="118"/>
        <v>1.9</v>
      </c>
      <c r="AE179" s="262">
        <f t="shared" si="119"/>
        <v>3.988755270966729E-2</v>
      </c>
      <c r="AF179" s="100"/>
      <c r="AG179" s="111">
        <f t="shared" si="120"/>
        <v>3</v>
      </c>
      <c r="AH179" s="262">
        <f t="shared" si="121"/>
        <v>0.3919287833827893</v>
      </c>
      <c r="AI179" s="100"/>
      <c r="AJ179" s="111">
        <f t="shared" si="122"/>
        <v>2.8</v>
      </c>
      <c r="AK179" s="262">
        <f t="shared" si="123"/>
        <v>0.34849512505298852</v>
      </c>
      <c r="AL179" s="100"/>
      <c r="AM179" s="111">
        <f t="shared" si="124"/>
        <v>2.6</v>
      </c>
      <c r="AN179" s="262">
        <f t="shared" si="125"/>
        <v>0.29837936544167998</v>
      </c>
      <c r="AO179" s="100"/>
      <c r="AP179" s="24" t="e">
        <f>VLOOKUP(C179,#REF!,6,FALSE)</f>
        <v>#REF!</v>
      </c>
      <c r="AQ179" s="24" t="e">
        <f>VLOOKUP(C179,#REF!,7,FALSE)</f>
        <v>#REF!</v>
      </c>
      <c r="AR179" s="24" t="e">
        <f>VLOOKUP(C179,#REF!,12,FALSE)</f>
        <v>#REF!</v>
      </c>
      <c r="AS179" s="24" t="e">
        <f>VLOOKUP(C179,#REF!,13,FALSE)</f>
        <v>#REF!</v>
      </c>
      <c r="AT179" s="100"/>
      <c r="AU179" s="100"/>
      <c r="AV179" s="100">
        <v>169</v>
      </c>
      <c r="AW179" s="100"/>
      <c r="AY179" s="128">
        <v>33900</v>
      </c>
    </row>
    <row r="180" spans="1:51" s="2" customFormat="1" ht="12.75" customHeight="1" x14ac:dyDescent="0.2">
      <c r="A180" s="7" t="s">
        <v>1122</v>
      </c>
      <c r="B180" s="8">
        <v>9789500211918</v>
      </c>
      <c r="C180" s="8">
        <v>685397</v>
      </c>
      <c r="D180" s="25">
        <v>384</v>
      </c>
      <c r="E180" s="7" t="s">
        <v>559</v>
      </c>
      <c r="F180" s="7" t="s">
        <v>560</v>
      </c>
      <c r="G180" s="107">
        <v>44409</v>
      </c>
      <c r="H180" s="107">
        <v>44378</v>
      </c>
      <c r="I180" s="7">
        <v>3073</v>
      </c>
      <c r="J180" s="28" t="s">
        <v>1762</v>
      </c>
      <c r="K180" s="9">
        <v>194.2</v>
      </c>
      <c r="L180" s="112">
        <v>37900</v>
      </c>
      <c r="M180" s="9">
        <f>+L180*0.1</f>
        <v>3790</v>
      </c>
      <c r="N180" s="9">
        <f t="shared" si="107"/>
        <v>18950</v>
      </c>
      <c r="O180" s="9">
        <f t="shared" si="108"/>
        <v>14965.8</v>
      </c>
      <c r="P180" s="9">
        <f t="shared" si="109"/>
        <v>3984.2</v>
      </c>
      <c r="Q180" s="139">
        <f t="shared" si="110"/>
        <v>0.78975197889182058</v>
      </c>
      <c r="R180" s="335">
        <v>37900</v>
      </c>
      <c r="S180" s="359" t="s">
        <v>1948</v>
      </c>
      <c r="T180" s="305">
        <v>0.78975197889182058</v>
      </c>
      <c r="U180" s="144"/>
      <c r="V180" s="100"/>
      <c r="W180" s="110">
        <f t="shared" si="111"/>
        <v>37900</v>
      </c>
      <c r="X180" s="110">
        <f t="shared" si="112"/>
        <v>194.2</v>
      </c>
      <c r="Y180" s="110">
        <f t="shared" si="113"/>
        <v>3790</v>
      </c>
      <c r="Z180" s="110">
        <f t="shared" si="114"/>
        <v>14965.8</v>
      </c>
      <c r="AA180" s="260">
        <f t="shared" si="115"/>
        <v>0.78975197889182058</v>
      </c>
      <c r="AB180" s="28">
        <f t="shared" si="116"/>
        <v>12.5</v>
      </c>
      <c r="AC180" s="261">
        <f t="shared" si="117"/>
        <v>0.7898212990438509</v>
      </c>
      <c r="AD180" s="111">
        <f t="shared" si="118"/>
        <v>2.8</v>
      </c>
      <c r="AE180" s="262">
        <f t="shared" si="119"/>
        <v>6.17022278743347E-2</v>
      </c>
      <c r="AF180" s="100"/>
      <c r="AG180" s="111">
        <f t="shared" si="120"/>
        <v>4.4000000000000004</v>
      </c>
      <c r="AH180" s="262">
        <f t="shared" si="121"/>
        <v>0.40290141773821303</v>
      </c>
      <c r="AI180" s="100"/>
      <c r="AJ180" s="111">
        <f t="shared" si="122"/>
        <v>4</v>
      </c>
      <c r="AK180" s="262">
        <f t="shared" si="123"/>
        <v>0.34319155951203434</v>
      </c>
      <c r="AL180" s="100"/>
      <c r="AM180" s="111">
        <f t="shared" si="124"/>
        <v>3.8</v>
      </c>
      <c r="AN180" s="262">
        <f t="shared" si="125"/>
        <v>0.30862269422319399</v>
      </c>
      <c r="AO180" s="100"/>
      <c r="AP180" s="24" t="e">
        <f>VLOOKUP(C180,#REF!,6,FALSE)</f>
        <v>#REF!</v>
      </c>
      <c r="AQ180" s="24" t="e">
        <f>VLOOKUP(C180,#REF!,7,FALSE)</f>
        <v>#REF!</v>
      </c>
      <c r="AR180" s="24" t="e">
        <f>VLOOKUP(C180,#REF!,12,FALSE)</f>
        <v>#REF!</v>
      </c>
      <c r="AS180" s="24" t="e">
        <f>VLOOKUP(C180,#REF!,13,FALSE)</f>
        <v>#REF!</v>
      </c>
      <c r="AT180" s="100"/>
      <c r="AU180" s="100"/>
      <c r="AV180" s="100">
        <v>170</v>
      </c>
      <c r="AW180" s="100"/>
      <c r="AY180" s="112">
        <v>37900</v>
      </c>
    </row>
    <row r="181" spans="1:51" s="2" customFormat="1" ht="12.75" customHeight="1" x14ac:dyDescent="0.2">
      <c r="A181" s="6" t="s">
        <v>1123</v>
      </c>
      <c r="B181" s="8">
        <v>9789500208703</v>
      </c>
      <c r="C181" s="8">
        <v>596844</v>
      </c>
      <c r="D181" s="25">
        <v>192</v>
      </c>
      <c r="E181" s="22" t="s">
        <v>559</v>
      </c>
      <c r="F181" s="6" t="s">
        <v>123</v>
      </c>
      <c r="G181" s="107">
        <v>42278</v>
      </c>
      <c r="H181" s="108">
        <v>43739</v>
      </c>
      <c r="I181" s="24">
        <v>2065</v>
      </c>
      <c r="J181" s="28" t="s">
        <v>1762</v>
      </c>
      <c r="K181" s="28">
        <v>53.12</v>
      </c>
      <c r="L181" s="112">
        <v>34900</v>
      </c>
      <c r="M181" s="9">
        <f>+L181*0.1</f>
        <v>3490</v>
      </c>
      <c r="N181" s="9">
        <f t="shared" si="107"/>
        <v>17450</v>
      </c>
      <c r="O181" s="9">
        <f t="shared" si="108"/>
        <v>13906.88</v>
      </c>
      <c r="P181" s="9">
        <f t="shared" si="109"/>
        <v>3543.12</v>
      </c>
      <c r="Q181" s="139">
        <f t="shared" si="110"/>
        <v>0.79695587392550138</v>
      </c>
      <c r="R181" s="335">
        <v>34900</v>
      </c>
      <c r="S181" s="359" t="s">
        <v>1948</v>
      </c>
      <c r="T181" s="305">
        <v>0.79695587392550138</v>
      </c>
      <c r="U181" s="144"/>
      <c r="V181" s="100"/>
      <c r="W181" s="110">
        <f t="shared" si="111"/>
        <v>34900</v>
      </c>
      <c r="X181" s="110">
        <f t="shared" si="112"/>
        <v>53.12</v>
      </c>
      <c r="Y181" s="110">
        <f t="shared" si="113"/>
        <v>3490</v>
      </c>
      <c r="Z181" s="110">
        <f t="shared" si="114"/>
        <v>13906.880000000001</v>
      </c>
      <c r="AA181" s="260">
        <f t="shared" si="115"/>
        <v>0.79695587392550149</v>
      </c>
      <c r="AB181" s="28">
        <f t="shared" si="116"/>
        <v>11.5</v>
      </c>
      <c r="AC181" s="261">
        <f t="shared" si="117"/>
        <v>0.79683653722100378</v>
      </c>
      <c r="AD181" s="111">
        <f t="shared" si="118"/>
        <v>2.5</v>
      </c>
      <c r="AE181" s="262">
        <f t="shared" si="119"/>
        <v>6.5448071216617235E-2</v>
      </c>
      <c r="AF181" s="100"/>
      <c r="AG181" s="111">
        <f t="shared" si="120"/>
        <v>3.9</v>
      </c>
      <c r="AH181" s="262">
        <f t="shared" si="121"/>
        <v>0.40092825077988281</v>
      </c>
      <c r="AI181" s="100"/>
      <c r="AJ181" s="111">
        <f t="shared" si="122"/>
        <v>3.6</v>
      </c>
      <c r="AK181" s="262">
        <f t="shared" si="123"/>
        <v>0.35100560501153982</v>
      </c>
      <c r="AL181" s="100"/>
      <c r="AM181" s="111">
        <f t="shared" si="124"/>
        <v>3.3</v>
      </c>
      <c r="AN181" s="262">
        <f t="shared" si="125"/>
        <v>0.29200611455804332</v>
      </c>
      <c r="AO181" s="100"/>
      <c r="AP181" s="24" t="e">
        <f>VLOOKUP(C181,#REF!,6,FALSE)</f>
        <v>#REF!</v>
      </c>
      <c r="AQ181" s="24" t="e">
        <f>VLOOKUP(C181,#REF!,7,FALSE)</f>
        <v>#REF!</v>
      </c>
      <c r="AR181" s="24" t="e">
        <f>VLOOKUP(C181,#REF!,12,FALSE)</f>
        <v>#REF!</v>
      </c>
      <c r="AS181" s="24" t="e">
        <f>VLOOKUP(C181,#REF!,13,FALSE)</f>
        <v>#REF!</v>
      </c>
      <c r="AT181" s="100"/>
      <c r="AU181" s="100"/>
      <c r="AV181" s="100">
        <v>171</v>
      </c>
      <c r="AW181" s="100"/>
      <c r="AY181" s="112">
        <v>34900</v>
      </c>
    </row>
    <row r="182" spans="1:51" s="2" customFormat="1" ht="12.75" customHeight="1" x14ac:dyDescent="0.2">
      <c r="A182" s="6" t="s">
        <v>1124</v>
      </c>
      <c r="B182" s="8">
        <v>9789500208505</v>
      </c>
      <c r="C182" s="8">
        <v>590782</v>
      </c>
      <c r="D182" s="25">
        <v>320</v>
      </c>
      <c r="E182" s="22" t="s">
        <v>1125</v>
      </c>
      <c r="F182" s="145" t="s">
        <v>599</v>
      </c>
      <c r="G182" s="107">
        <v>42095</v>
      </c>
      <c r="H182" s="108">
        <v>42064</v>
      </c>
      <c r="I182" s="24">
        <v>3043</v>
      </c>
      <c r="J182" s="28" t="s">
        <v>1894</v>
      </c>
      <c r="K182" s="28">
        <v>19.79</v>
      </c>
      <c r="L182" s="128">
        <v>16000</v>
      </c>
      <c r="M182" s="9">
        <f>+L182*0.13</f>
        <v>2080</v>
      </c>
      <c r="N182" s="9">
        <f t="shared" si="107"/>
        <v>8000</v>
      </c>
      <c r="O182" s="9">
        <f t="shared" si="108"/>
        <v>5900.21</v>
      </c>
      <c r="P182" s="9">
        <f t="shared" si="109"/>
        <v>2099.79</v>
      </c>
      <c r="Q182" s="139">
        <f t="shared" si="110"/>
        <v>0.73752625000000005</v>
      </c>
      <c r="R182" s="335">
        <v>16000</v>
      </c>
      <c r="S182" s="359" t="s">
        <v>1948</v>
      </c>
      <c r="T182" s="305">
        <v>0.73752625000000005</v>
      </c>
      <c r="U182" s="140"/>
      <c r="V182" s="100"/>
      <c r="W182" s="110">
        <f t="shared" si="111"/>
        <v>16000</v>
      </c>
      <c r="X182" s="110">
        <f t="shared" si="112"/>
        <v>19.79</v>
      </c>
      <c r="Y182" s="110">
        <f t="shared" si="113"/>
        <v>2080</v>
      </c>
      <c r="Z182" s="110">
        <f t="shared" si="114"/>
        <v>5900.21</v>
      </c>
      <c r="AA182" s="260">
        <f t="shared" si="115"/>
        <v>0.73752625000000005</v>
      </c>
      <c r="AB182" s="28">
        <f t="shared" si="116"/>
        <v>5.3</v>
      </c>
      <c r="AC182" s="261">
        <f t="shared" si="117"/>
        <v>0.73874923016628413</v>
      </c>
      <c r="AD182" s="111">
        <f t="shared" si="118"/>
        <v>1.5</v>
      </c>
      <c r="AE182" s="262">
        <f t="shared" si="119"/>
        <v>7.6913946587537113E-2</v>
      </c>
      <c r="AF182" s="100"/>
      <c r="AG182" s="111">
        <f t="shared" si="120"/>
        <v>2.2999999999999998</v>
      </c>
      <c r="AH182" s="262">
        <f t="shared" si="121"/>
        <v>0.39798735647013289</v>
      </c>
      <c r="AI182" s="100"/>
      <c r="AJ182" s="111">
        <f t="shared" si="122"/>
        <v>2.1</v>
      </c>
      <c r="AK182" s="262">
        <f t="shared" si="123"/>
        <v>0.34065281899109795</v>
      </c>
      <c r="AL182" s="100"/>
      <c r="AM182" s="111">
        <f t="shared" si="124"/>
        <v>2</v>
      </c>
      <c r="AN182" s="262">
        <f t="shared" si="125"/>
        <v>0.30768545994065283</v>
      </c>
      <c r="AO182" s="100"/>
      <c r="AP182" s="24" t="e">
        <f>VLOOKUP(C182,#REF!,6,FALSE)</f>
        <v>#REF!</v>
      </c>
      <c r="AQ182" s="24" t="e">
        <f>VLOOKUP(C182,#REF!,7,FALSE)</f>
        <v>#REF!</v>
      </c>
      <c r="AR182" s="24" t="e">
        <f>VLOOKUP(C182,#REF!,12,FALSE)</f>
        <v>#REF!</v>
      </c>
      <c r="AS182" s="24" t="e">
        <f>VLOOKUP(C182,#REF!,13,FALSE)</f>
        <v>#REF!</v>
      </c>
      <c r="AT182" s="100"/>
      <c r="AU182" s="100"/>
      <c r="AV182" s="100">
        <v>172</v>
      </c>
      <c r="AW182" s="100"/>
      <c r="AY182" s="128">
        <v>16000</v>
      </c>
    </row>
    <row r="183" spans="1:51" s="2" customFormat="1" ht="12.75" customHeight="1" x14ac:dyDescent="0.2">
      <c r="A183" s="6" t="s">
        <v>1126</v>
      </c>
      <c r="B183" s="8">
        <v>9789500299534</v>
      </c>
      <c r="C183" s="6">
        <v>623590</v>
      </c>
      <c r="D183" s="7">
        <v>208</v>
      </c>
      <c r="E183" s="7" t="s">
        <v>110</v>
      </c>
      <c r="F183" s="7" t="s">
        <v>111</v>
      </c>
      <c r="G183" s="107">
        <v>42705</v>
      </c>
      <c r="H183" s="108">
        <v>42675</v>
      </c>
      <c r="I183" s="24">
        <v>3011</v>
      </c>
      <c r="J183" s="28" t="s">
        <v>1894</v>
      </c>
      <c r="K183" s="28">
        <v>35.729999999999997</v>
      </c>
      <c r="L183" s="128">
        <v>16000</v>
      </c>
      <c r="M183" s="112">
        <f>+L183*0.08</f>
        <v>1280</v>
      </c>
      <c r="N183" s="9">
        <f t="shared" si="107"/>
        <v>8000</v>
      </c>
      <c r="O183" s="9">
        <f t="shared" si="108"/>
        <v>6684.27</v>
      </c>
      <c r="P183" s="9">
        <f t="shared" si="109"/>
        <v>1315.73</v>
      </c>
      <c r="Q183" s="139">
        <f t="shared" si="110"/>
        <v>0.83553375000000007</v>
      </c>
      <c r="R183" s="335">
        <v>16000</v>
      </c>
      <c r="S183" s="359" t="s">
        <v>1948</v>
      </c>
      <c r="T183" s="305">
        <v>0.83553375000000007</v>
      </c>
      <c r="U183" s="144"/>
      <c r="V183" s="100"/>
      <c r="W183" s="110">
        <f t="shared" si="111"/>
        <v>16000</v>
      </c>
      <c r="X183" s="110">
        <f t="shared" si="112"/>
        <v>35.729999999999997</v>
      </c>
      <c r="Y183" s="110">
        <f t="shared" si="113"/>
        <v>1280</v>
      </c>
      <c r="Z183" s="110">
        <f t="shared" si="114"/>
        <v>6684.27</v>
      </c>
      <c r="AA183" s="260">
        <f t="shared" si="115"/>
        <v>0.83553375000000007</v>
      </c>
      <c r="AB183" s="28">
        <f t="shared" si="116"/>
        <v>5.3</v>
      </c>
      <c r="AC183" s="261">
        <f t="shared" si="117"/>
        <v>0.83630007029592723</v>
      </c>
      <c r="AD183" s="111">
        <f t="shared" si="118"/>
        <v>0.9</v>
      </c>
      <c r="AE183" s="262">
        <f t="shared" si="119"/>
        <v>3.5989302853793544E-2</v>
      </c>
      <c r="AF183" s="100"/>
      <c r="AG183" s="111">
        <f t="shared" si="120"/>
        <v>1.4</v>
      </c>
      <c r="AH183" s="262">
        <f t="shared" si="121"/>
        <v>0.38027883754886721</v>
      </c>
      <c r="AI183" s="100"/>
      <c r="AJ183" s="111">
        <f t="shared" si="122"/>
        <v>1.3</v>
      </c>
      <c r="AK183" s="262">
        <f t="shared" si="123"/>
        <v>0.33260797889878008</v>
      </c>
      <c r="AL183" s="100"/>
      <c r="AM183" s="111">
        <f t="shared" si="124"/>
        <v>1.2</v>
      </c>
      <c r="AN183" s="262">
        <f t="shared" si="125"/>
        <v>0.27699197714034507</v>
      </c>
      <c r="AO183" s="100"/>
      <c r="AP183" s="24" t="e">
        <f>VLOOKUP(C183,#REF!,6,FALSE)</f>
        <v>#REF!</v>
      </c>
      <c r="AQ183" s="24" t="e">
        <f>VLOOKUP(C183,#REF!,7,FALSE)</f>
        <v>#REF!</v>
      </c>
      <c r="AR183" s="24" t="e">
        <f>VLOOKUP(C183,#REF!,12,FALSE)</f>
        <v>#REF!</v>
      </c>
      <c r="AS183" s="24" t="e">
        <f>VLOOKUP(C183,#REF!,13,FALSE)</f>
        <v>#REF!</v>
      </c>
      <c r="AT183" s="100"/>
      <c r="AU183" s="100"/>
      <c r="AV183" s="100">
        <v>173</v>
      </c>
      <c r="AW183" s="100"/>
      <c r="AY183" s="128">
        <v>16000</v>
      </c>
    </row>
    <row r="184" spans="1:51" s="2" customFormat="1" ht="12.75" customHeight="1" x14ac:dyDescent="0.2">
      <c r="A184" s="6" t="s">
        <v>1127</v>
      </c>
      <c r="B184" s="8">
        <v>9789500208673</v>
      </c>
      <c r="C184" s="8">
        <v>596843</v>
      </c>
      <c r="D184" s="7">
        <v>400</v>
      </c>
      <c r="E184" s="7" t="s">
        <v>1128</v>
      </c>
      <c r="F184" s="6" t="s">
        <v>126</v>
      </c>
      <c r="G184" s="107">
        <v>42278</v>
      </c>
      <c r="H184" s="108">
        <v>42248</v>
      </c>
      <c r="I184" s="24">
        <v>3037</v>
      </c>
      <c r="J184" s="28" t="s">
        <v>1894</v>
      </c>
      <c r="K184" s="28">
        <v>43.35</v>
      </c>
      <c r="L184" s="28">
        <v>21600</v>
      </c>
      <c r="M184" s="9">
        <f>+L184*0.08</f>
        <v>1728</v>
      </c>
      <c r="N184" s="9">
        <f t="shared" si="107"/>
        <v>10800</v>
      </c>
      <c r="O184" s="9">
        <f t="shared" si="108"/>
        <v>9028.65</v>
      </c>
      <c r="P184" s="9">
        <f t="shared" si="109"/>
        <v>1771.35</v>
      </c>
      <c r="Q184" s="139">
        <f t="shared" si="110"/>
        <v>0.8359861111111111</v>
      </c>
      <c r="R184" s="335">
        <v>21600</v>
      </c>
      <c r="S184" s="359" t="s">
        <v>1948</v>
      </c>
      <c r="T184" s="305">
        <v>0.8359861111111111</v>
      </c>
      <c r="U184" s="144"/>
      <c r="V184" s="100"/>
      <c r="W184" s="110">
        <f t="shared" si="111"/>
        <v>21600</v>
      </c>
      <c r="X184" s="110">
        <f t="shared" si="112"/>
        <v>43.35</v>
      </c>
      <c r="Y184" s="110">
        <f t="shared" si="113"/>
        <v>1728</v>
      </c>
      <c r="Z184" s="110">
        <f t="shared" si="114"/>
        <v>9028.65</v>
      </c>
      <c r="AA184" s="260">
        <f t="shared" si="115"/>
        <v>0.8359861111111111</v>
      </c>
      <c r="AB184" s="28">
        <f t="shared" si="116"/>
        <v>7.1</v>
      </c>
      <c r="AC184" s="261">
        <f t="shared" si="117"/>
        <v>0.83548571348964207</v>
      </c>
      <c r="AD184" s="111">
        <f t="shared" si="118"/>
        <v>1.2</v>
      </c>
      <c r="AE184" s="262">
        <f t="shared" si="119"/>
        <v>2.6623804813715818E-2</v>
      </c>
      <c r="AF184" s="100"/>
      <c r="AG184" s="111">
        <f t="shared" si="120"/>
        <v>1.9</v>
      </c>
      <c r="AH184" s="262">
        <f t="shared" si="121"/>
        <v>0.38523608725076786</v>
      </c>
      <c r="AI184" s="100"/>
      <c r="AJ184" s="111">
        <f t="shared" si="122"/>
        <v>1.8</v>
      </c>
      <c r="AK184" s="262">
        <f t="shared" si="123"/>
        <v>0.35108253654247729</v>
      </c>
      <c r="AL184" s="100"/>
      <c r="AM184" s="111">
        <f t="shared" si="124"/>
        <v>1.7</v>
      </c>
      <c r="AN184" s="262">
        <f t="shared" si="125"/>
        <v>0.31291092104497581</v>
      </c>
      <c r="AO184" s="100"/>
      <c r="AP184" s="24" t="e">
        <f>VLOOKUP(C184,#REF!,6,FALSE)</f>
        <v>#REF!</v>
      </c>
      <c r="AQ184" s="24" t="e">
        <f>VLOOKUP(C184,#REF!,7,FALSE)</f>
        <v>#REF!</v>
      </c>
      <c r="AR184" s="24" t="e">
        <f>VLOOKUP(C184,#REF!,12,FALSE)</f>
        <v>#REF!</v>
      </c>
      <c r="AS184" s="24" t="e">
        <f>VLOOKUP(C184,#REF!,13,FALSE)</f>
        <v>#REF!</v>
      </c>
      <c r="AT184" s="100"/>
      <c r="AU184" s="100"/>
      <c r="AV184" s="100">
        <v>174</v>
      </c>
      <c r="AW184" s="100"/>
      <c r="AY184" s="28">
        <v>21600</v>
      </c>
    </row>
    <row r="185" spans="1:51" s="2" customFormat="1" ht="12.75" customHeight="1" x14ac:dyDescent="0.2">
      <c r="A185" s="6" t="s">
        <v>1129</v>
      </c>
      <c r="B185" s="33">
        <v>9789500209601</v>
      </c>
      <c r="C185" s="6">
        <v>651434</v>
      </c>
      <c r="D185" s="7">
        <v>288</v>
      </c>
      <c r="E185" s="7" t="s">
        <v>112</v>
      </c>
      <c r="F185" s="7" t="s">
        <v>388</v>
      </c>
      <c r="G185" s="107">
        <v>43282</v>
      </c>
      <c r="H185" s="108">
        <v>43252</v>
      </c>
      <c r="I185" s="24">
        <v>3018</v>
      </c>
      <c r="J185" s="28" t="s">
        <v>1946</v>
      </c>
      <c r="K185" s="150">
        <v>58.76</v>
      </c>
      <c r="L185" s="128">
        <v>20500</v>
      </c>
      <c r="M185" s="112">
        <f>+L185*0.08</f>
        <v>1640</v>
      </c>
      <c r="N185" s="9">
        <f t="shared" si="107"/>
        <v>10250</v>
      </c>
      <c r="O185" s="9">
        <f t="shared" si="108"/>
        <v>8551.24</v>
      </c>
      <c r="P185" s="9">
        <f t="shared" si="109"/>
        <v>1698.76</v>
      </c>
      <c r="Q185" s="139">
        <f t="shared" si="110"/>
        <v>0.8342673170731707</v>
      </c>
      <c r="R185" s="335">
        <v>20500</v>
      </c>
      <c r="S185" s="359" t="s">
        <v>1948</v>
      </c>
      <c r="T185" s="305">
        <v>0.8342673170731707</v>
      </c>
      <c r="U185" s="144"/>
      <c r="V185" s="100"/>
      <c r="W185" s="110">
        <f t="shared" si="111"/>
        <v>20500</v>
      </c>
      <c r="X185" s="110">
        <f t="shared" si="112"/>
        <v>58.76</v>
      </c>
      <c r="Y185" s="110">
        <f t="shared" si="113"/>
        <v>1640</v>
      </c>
      <c r="Z185" s="110">
        <f t="shared" si="114"/>
        <v>8551.24</v>
      </c>
      <c r="AA185" s="260">
        <f t="shared" si="115"/>
        <v>0.8342673170731707</v>
      </c>
      <c r="AB185" s="28">
        <f t="shared" si="116"/>
        <v>6.8</v>
      </c>
      <c r="AC185" s="261">
        <f t="shared" si="117"/>
        <v>0.83526696534202205</v>
      </c>
      <c r="AD185" s="111">
        <f t="shared" si="118"/>
        <v>1.2</v>
      </c>
      <c r="AE185" s="262">
        <f t="shared" si="119"/>
        <v>6.6512803604791712E-2</v>
      </c>
      <c r="AF185" s="100"/>
      <c r="AG185" s="111">
        <f t="shared" si="120"/>
        <v>1.9</v>
      </c>
      <c r="AH185" s="262">
        <f t="shared" si="121"/>
        <v>0.41042913911881573</v>
      </c>
      <c r="AI185" s="100"/>
      <c r="AJ185" s="111">
        <f t="shared" si="122"/>
        <v>1.7</v>
      </c>
      <c r="AK185" s="262">
        <f t="shared" si="123"/>
        <v>0.34106786136808814</v>
      </c>
      <c r="AL185" s="100"/>
      <c r="AM185" s="111">
        <f t="shared" si="124"/>
        <v>1.6</v>
      </c>
      <c r="AN185" s="262">
        <f t="shared" si="125"/>
        <v>0.29988460270359374</v>
      </c>
      <c r="AO185" s="100"/>
      <c r="AP185" s="24" t="e">
        <f>VLOOKUP(C185,#REF!,6,FALSE)</f>
        <v>#REF!</v>
      </c>
      <c r="AQ185" s="24" t="e">
        <f>VLOOKUP(C185,#REF!,7,FALSE)</f>
        <v>#REF!</v>
      </c>
      <c r="AR185" s="24" t="e">
        <f>VLOOKUP(C185,#REF!,12,FALSE)</f>
        <v>#REF!</v>
      </c>
      <c r="AS185" s="24" t="e">
        <f>VLOOKUP(C185,#REF!,13,FALSE)</f>
        <v>#REF!</v>
      </c>
      <c r="AT185" s="100"/>
      <c r="AU185" s="100"/>
      <c r="AV185" s="100">
        <v>175</v>
      </c>
      <c r="AW185" s="100"/>
      <c r="AY185" s="128">
        <v>20500</v>
      </c>
    </row>
    <row r="186" spans="1:51" s="2" customFormat="1" ht="12.75" customHeight="1" x14ac:dyDescent="0.2">
      <c r="A186" s="7" t="s">
        <v>1130</v>
      </c>
      <c r="B186" s="8">
        <v>9789500207133</v>
      </c>
      <c r="C186" s="8">
        <v>565381</v>
      </c>
      <c r="D186" s="25">
        <v>704</v>
      </c>
      <c r="E186" s="22" t="s">
        <v>115</v>
      </c>
      <c r="F186" s="6" t="s">
        <v>116</v>
      </c>
      <c r="G186" s="107">
        <v>41426</v>
      </c>
      <c r="H186" s="108">
        <v>43282</v>
      </c>
      <c r="I186" s="24">
        <v>498</v>
      </c>
      <c r="J186" s="28" t="s">
        <v>1894</v>
      </c>
      <c r="K186" s="28">
        <v>72.94</v>
      </c>
      <c r="L186" s="128">
        <v>20900</v>
      </c>
      <c r="M186" s="112">
        <f>+L186*0.1</f>
        <v>2090</v>
      </c>
      <c r="N186" s="9">
        <f t="shared" si="107"/>
        <v>10450</v>
      </c>
      <c r="O186" s="9">
        <f t="shared" si="108"/>
        <v>8287.06</v>
      </c>
      <c r="P186" s="9">
        <f t="shared" si="109"/>
        <v>2162.94</v>
      </c>
      <c r="Q186" s="139">
        <f t="shared" si="110"/>
        <v>0.79302009569377985</v>
      </c>
      <c r="R186" s="335">
        <v>20900</v>
      </c>
      <c r="S186" s="359" t="s">
        <v>1948</v>
      </c>
      <c r="T186" s="305">
        <v>0.79302009569377985</v>
      </c>
      <c r="U186" s="144"/>
      <c r="V186" s="100"/>
      <c r="W186" s="110">
        <f t="shared" si="111"/>
        <v>20900</v>
      </c>
      <c r="X186" s="110">
        <f t="shared" si="112"/>
        <v>72.94</v>
      </c>
      <c r="Y186" s="110">
        <f t="shared" si="113"/>
        <v>2090</v>
      </c>
      <c r="Z186" s="110">
        <f t="shared" si="114"/>
        <v>8287.06</v>
      </c>
      <c r="AA186" s="260">
        <f t="shared" si="115"/>
        <v>0.79302009569377985</v>
      </c>
      <c r="AB186" s="28">
        <f t="shared" si="116"/>
        <v>6.9</v>
      </c>
      <c r="AC186" s="261">
        <f t="shared" si="117"/>
        <v>0.79329405524735153</v>
      </c>
      <c r="AD186" s="111">
        <f t="shared" si="118"/>
        <v>1.5</v>
      </c>
      <c r="AE186" s="262">
        <f t="shared" si="119"/>
        <v>4.9152654137817317E-2</v>
      </c>
      <c r="AF186" s="100"/>
      <c r="AG186" s="111">
        <f t="shared" si="120"/>
        <v>2.4</v>
      </c>
      <c r="AH186" s="262">
        <f t="shared" si="121"/>
        <v>0.4057204088361358</v>
      </c>
      <c r="AI186" s="100"/>
      <c r="AJ186" s="111">
        <f t="shared" si="122"/>
        <v>2.2000000000000002</v>
      </c>
      <c r="AK186" s="262">
        <f t="shared" si="123"/>
        <v>0.35169499145760275</v>
      </c>
      <c r="AL186" s="100"/>
      <c r="AM186" s="111">
        <f t="shared" si="124"/>
        <v>2</v>
      </c>
      <c r="AN186" s="262">
        <f t="shared" si="125"/>
        <v>0.286864490603363</v>
      </c>
      <c r="AO186" s="100"/>
      <c r="AP186" s="24" t="e">
        <f>VLOOKUP(C186,#REF!,6,FALSE)</f>
        <v>#REF!</v>
      </c>
      <c r="AQ186" s="24" t="e">
        <f>VLOOKUP(C186,#REF!,7,FALSE)</f>
        <v>#REF!</v>
      </c>
      <c r="AR186" s="24" t="e">
        <f>VLOOKUP(C186,#REF!,12,FALSE)</f>
        <v>#REF!</v>
      </c>
      <c r="AS186" s="24" t="e">
        <f>VLOOKUP(C186,#REF!,13,FALSE)</f>
        <v>#REF!</v>
      </c>
      <c r="AT186" s="100"/>
      <c r="AU186" s="100"/>
      <c r="AV186" s="100">
        <v>176</v>
      </c>
      <c r="AW186" s="100"/>
      <c r="AY186" s="128">
        <v>20900</v>
      </c>
    </row>
    <row r="187" spans="1:51" s="2" customFormat="1" ht="12.75" customHeight="1" x14ac:dyDescent="0.2">
      <c r="A187" s="6" t="s">
        <v>1131</v>
      </c>
      <c r="B187" s="143">
        <v>9789500209489</v>
      </c>
      <c r="C187" s="6">
        <v>645344</v>
      </c>
      <c r="D187" s="7">
        <v>304</v>
      </c>
      <c r="E187" s="7" t="s">
        <v>347</v>
      </c>
      <c r="F187" s="11" t="s">
        <v>348</v>
      </c>
      <c r="G187" s="107">
        <v>43160</v>
      </c>
      <c r="H187" s="108">
        <v>43132</v>
      </c>
      <c r="I187" s="24">
        <v>3100</v>
      </c>
      <c r="J187" s="28" t="s">
        <v>2136</v>
      </c>
      <c r="K187" s="28">
        <v>62.73</v>
      </c>
      <c r="L187" s="128">
        <v>21500</v>
      </c>
      <c r="M187" s="9">
        <f>+L187*0.08</f>
        <v>1720</v>
      </c>
      <c r="N187" s="9">
        <f t="shared" si="107"/>
        <v>10750</v>
      </c>
      <c r="O187" s="9">
        <f t="shared" si="108"/>
        <v>8967.27</v>
      </c>
      <c r="P187" s="9">
        <f t="shared" si="109"/>
        <v>1782.73</v>
      </c>
      <c r="Q187" s="139">
        <f t="shared" si="110"/>
        <v>0.8341646511627907</v>
      </c>
      <c r="R187" s="335">
        <v>21500</v>
      </c>
      <c r="S187" s="359" t="s">
        <v>1948</v>
      </c>
      <c r="T187" s="305">
        <v>0.8341646511627907</v>
      </c>
      <c r="U187" s="140"/>
      <c r="V187" s="100"/>
      <c r="W187" s="110">
        <f t="shared" si="111"/>
        <v>21500</v>
      </c>
      <c r="X187" s="110">
        <f t="shared" si="112"/>
        <v>62.73</v>
      </c>
      <c r="Y187" s="110">
        <f t="shared" si="113"/>
        <v>1720</v>
      </c>
      <c r="Z187" s="110">
        <f t="shared" si="114"/>
        <v>8967.27</v>
      </c>
      <c r="AA187" s="260">
        <f t="shared" si="115"/>
        <v>0.8341646511627907</v>
      </c>
      <c r="AB187" s="28">
        <f t="shared" si="116"/>
        <v>7.1</v>
      </c>
      <c r="AC187" s="261">
        <f t="shared" si="117"/>
        <v>0.83442879499217526</v>
      </c>
      <c r="AD187" s="111">
        <f t="shared" si="118"/>
        <v>1.2</v>
      </c>
      <c r="AE187" s="262">
        <f t="shared" si="119"/>
        <v>2.0370370370370337E-2</v>
      </c>
      <c r="AF187" s="100"/>
      <c r="AG187" s="111">
        <f t="shared" si="120"/>
        <v>2</v>
      </c>
      <c r="AH187" s="262">
        <f t="shared" si="121"/>
        <v>0.41222222222222221</v>
      </c>
      <c r="AI187" s="100"/>
      <c r="AJ187" s="111">
        <f t="shared" si="122"/>
        <v>1.8</v>
      </c>
      <c r="AK187" s="262">
        <f t="shared" si="123"/>
        <v>0.34691358024691366</v>
      </c>
      <c r="AL187" s="100"/>
      <c r="AM187" s="111">
        <f t="shared" si="124"/>
        <v>1.7</v>
      </c>
      <c r="AN187" s="262">
        <f t="shared" si="125"/>
        <v>0.30849673202614369</v>
      </c>
      <c r="AO187" s="100"/>
      <c r="AP187" s="24" t="e">
        <f>VLOOKUP(C187,#REF!,6,FALSE)</f>
        <v>#REF!</v>
      </c>
      <c r="AQ187" s="24" t="e">
        <f>VLOOKUP(C187,#REF!,7,FALSE)</f>
        <v>#REF!</v>
      </c>
      <c r="AR187" s="24" t="e">
        <f>VLOOKUP(C187,#REF!,12,FALSE)</f>
        <v>#REF!</v>
      </c>
      <c r="AS187" s="24" t="e">
        <f>VLOOKUP(C187,#REF!,13,FALSE)</f>
        <v>#REF!</v>
      </c>
      <c r="AT187" s="100"/>
      <c r="AU187" s="100"/>
      <c r="AV187" s="100">
        <v>177</v>
      </c>
      <c r="AW187" s="100"/>
      <c r="AY187" s="128">
        <v>21500</v>
      </c>
    </row>
    <row r="188" spans="1:51" s="2" customFormat="1" ht="12.75" customHeight="1" x14ac:dyDescent="0.2">
      <c r="A188" s="6" t="s">
        <v>1132</v>
      </c>
      <c r="B188" s="8">
        <v>9789500299497</v>
      </c>
      <c r="C188" s="8">
        <v>622048</v>
      </c>
      <c r="D188" s="7">
        <v>240</v>
      </c>
      <c r="E188" s="7" t="s">
        <v>112</v>
      </c>
      <c r="F188" s="7" t="s">
        <v>113</v>
      </c>
      <c r="G188" s="107">
        <v>42675</v>
      </c>
      <c r="H188" s="108">
        <v>44228</v>
      </c>
      <c r="I188" s="24">
        <v>2000</v>
      </c>
      <c r="J188" s="28" t="s">
        <v>2136</v>
      </c>
      <c r="K188" s="28">
        <v>102</v>
      </c>
      <c r="L188" s="112">
        <v>28500</v>
      </c>
      <c r="M188" s="9">
        <f>+L188*0.1</f>
        <v>2850</v>
      </c>
      <c r="N188" s="9">
        <f t="shared" si="107"/>
        <v>14250</v>
      </c>
      <c r="O188" s="9">
        <f t="shared" si="108"/>
        <v>11298</v>
      </c>
      <c r="P188" s="9">
        <f t="shared" si="109"/>
        <v>2952</v>
      </c>
      <c r="Q188" s="139">
        <f t="shared" si="110"/>
        <v>0.7928421052631579</v>
      </c>
      <c r="R188" s="335">
        <v>28500</v>
      </c>
      <c r="S188" s="359" t="s">
        <v>1948</v>
      </c>
      <c r="T188" s="305">
        <v>0.7928421052631579</v>
      </c>
      <c r="U188" s="144"/>
      <c r="V188" s="100"/>
      <c r="W188" s="110">
        <f t="shared" si="111"/>
        <v>28500</v>
      </c>
      <c r="X188" s="110">
        <f t="shared" si="112"/>
        <v>102</v>
      </c>
      <c r="Y188" s="110">
        <f t="shared" si="113"/>
        <v>2850</v>
      </c>
      <c r="Z188" s="110">
        <f t="shared" si="114"/>
        <v>11298</v>
      </c>
      <c r="AA188" s="260">
        <f t="shared" si="115"/>
        <v>0.7928421052631579</v>
      </c>
      <c r="AB188" s="28">
        <f t="shared" si="116"/>
        <v>9.4</v>
      </c>
      <c r="AC188" s="261">
        <f t="shared" si="117"/>
        <v>0.79291621945829915</v>
      </c>
      <c r="AD188" s="111">
        <f t="shared" si="118"/>
        <v>2</v>
      </c>
      <c r="AE188" s="262">
        <f t="shared" si="119"/>
        <v>2.6706231454005934E-2</v>
      </c>
      <c r="AF188" s="100"/>
      <c r="AG188" s="111">
        <f t="shared" si="120"/>
        <v>3.2</v>
      </c>
      <c r="AH188" s="262">
        <f t="shared" si="121"/>
        <v>0.39169139465875374</v>
      </c>
      <c r="AI188" s="100"/>
      <c r="AJ188" s="111">
        <f t="shared" si="122"/>
        <v>3</v>
      </c>
      <c r="AK188" s="262">
        <f t="shared" si="123"/>
        <v>0.35113748763600394</v>
      </c>
      <c r="AL188" s="100"/>
      <c r="AM188" s="111">
        <f t="shared" si="124"/>
        <v>2.8</v>
      </c>
      <c r="AN188" s="262">
        <f t="shared" si="125"/>
        <v>0.30479016532428993</v>
      </c>
      <c r="AO188" s="100"/>
      <c r="AP188" s="24" t="e">
        <f>VLOOKUP(C188,#REF!,6,FALSE)</f>
        <v>#REF!</v>
      </c>
      <c r="AQ188" s="24" t="e">
        <f>VLOOKUP(C188,#REF!,7,FALSE)</f>
        <v>#REF!</v>
      </c>
      <c r="AR188" s="24" t="e">
        <f>VLOOKUP(C188,#REF!,12,FALSE)</f>
        <v>#REF!</v>
      </c>
      <c r="AS188" s="24" t="e">
        <f>VLOOKUP(C188,#REF!,13,FALSE)</f>
        <v>#REF!</v>
      </c>
      <c r="AT188" s="100"/>
      <c r="AU188" s="100"/>
      <c r="AV188" s="100">
        <v>178</v>
      </c>
      <c r="AW188" s="100"/>
      <c r="AY188" s="112">
        <v>28500</v>
      </c>
    </row>
    <row r="189" spans="1:51" s="2" customFormat="1" ht="12.75" customHeight="1" x14ac:dyDescent="0.2">
      <c r="A189" s="7" t="s">
        <v>1133</v>
      </c>
      <c r="B189" s="8">
        <v>9789500207973</v>
      </c>
      <c r="C189" s="21">
        <v>579605</v>
      </c>
      <c r="D189" s="7">
        <v>288</v>
      </c>
      <c r="E189" s="7" t="s">
        <v>127</v>
      </c>
      <c r="F189" s="7" t="s">
        <v>613</v>
      </c>
      <c r="G189" s="107">
        <v>41821</v>
      </c>
      <c r="H189" s="108">
        <v>41791</v>
      </c>
      <c r="I189" s="24">
        <v>3083</v>
      </c>
      <c r="J189" s="28" t="s">
        <v>1894</v>
      </c>
      <c r="K189" s="28">
        <v>19.239999999999998</v>
      </c>
      <c r="L189" s="128">
        <v>16000</v>
      </c>
      <c r="M189" s="9">
        <f>+L189*0.08</f>
        <v>1280</v>
      </c>
      <c r="N189" s="9">
        <f t="shared" si="107"/>
        <v>8000</v>
      </c>
      <c r="O189" s="9">
        <f t="shared" si="108"/>
        <v>6700.76</v>
      </c>
      <c r="P189" s="9">
        <f t="shared" si="109"/>
        <v>1299.24</v>
      </c>
      <c r="Q189" s="139">
        <f t="shared" si="110"/>
        <v>0.83759499999999998</v>
      </c>
      <c r="R189" s="335">
        <v>16000</v>
      </c>
      <c r="S189" s="359" t="s">
        <v>1948</v>
      </c>
      <c r="T189" s="305">
        <v>0.83759499999999998</v>
      </c>
      <c r="U189" s="144"/>
      <c r="V189" s="100"/>
      <c r="W189" s="110">
        <f t="shared" si="111"/>
        <v>16000</v>
      </c>
      <c r="X189" s="110">
        <f t="shared" si="112"/>
        <v>19.239999999999998</v>
      </c>
      <c r="Y189" s="110">
        <f t="shared" si="113"/>
        <v>1280</v>
      </c>
      <c r="Z189" s="110">
        <f t="shared" si="114"/>
        <v>6700.76</v>
      </c>
      <c r="AA189" s="260">
        <f t="shared" si="115"/>
        <v>0.83759499999999998</v>
      </c>
      <c r="AB189" s="28">
        <f t="shared" si="116"/>
        <v>5.3</v>
      </c>
      <c r="AC189" s="261">
        <f t="shared" si="117"/>
        <v>0.83835171602933767</v>
      </c>
      <c r="AD189" s="111">
        <f t="shared" si="118"/>
        <v>0.9</v>
      </c>
      <c r="AE189" s="262">
        <f t="shared" si="119"/>
        <v>4.8071216617210769E-2</v>
      </c>
      <c r="AF189" s="100"/>
      <c r="AG189" s="111">
        <f t="shared" si="120"/>
        <v>1.4</v>
      </c>
      <c r="AH189" s="262">
        <f t="shared" si="121"/>
        <v>0.38804578211106411</v>
      </c>
      <c r="AI189" s="100"/>
      <c r="AJ189" s="111">
        <f t="shared" si="122"/>
        <v>1.3</v>
      </c>
      <c r="AK189" s="262">
        <f t="shared" si="123"/>
        <v>0.34097238073499203</v>
      </c>
      <c r="AL189" s="100"/>
      <c r="AM189" s="111">
        <f t="shared" si="124"/>
        <v>1.2</v>
      </c>
      <c r="AN189" s="262">
        <f t="shared" si="125"/>
        <v>0.286053412462908</v>
      </c>
      <c r="AO189" s="100"/>
      <c r="AP189" s="24" t="e">
        <f>VLOOKUP(C189,#REF!,6,FALSE)</f>
        <v>#REF!</v>
      </c>
      <c r="AQ189" s="24" t="e">
        <f>VLOOKUP(C189,#REF!,7,FALSE)</f>
        <v>#REF!</v>
      </c>
      <c r="AR189" s="24" t="e">
        <f>VLOOKUP(C189,#REF!,12,FALSE)</f>
        <v>#REF!</v>
      </c>
      <c r="AS189" s="24" t="e">
        <f>VLOOKUP(C189,#REF!,13,FALSE)</f>
        <v>#REF!</v>
      </c>
      <c r="AT189" s="100">
        <v>12</v>
      </c>
      <c r="AU189" s="100"/>
      <c r="AV189" s="100">
        <v>179</v>
      </c>
      <c r="AW189" s="100"/>
      <c r="AY189" s="128">
        <v>16000</v>
      </c>
    </row>
    <row r="190" spans="1:51" s="2" customFormat="1" ht="12.75" customHeight="1" x14ac:dyDescent="0.2">
      <c r="A190" s="6" t="s">
        <v>1134</v>
      </c>
      <c r="B190" s="8">
        <v>9789500210034</v>
      </c>
      <c r="C190" s="8">
        <v>348212</v>
      </c>
      <c r="D190" s="25">
        <v>656</v>
      </c>
      <c r="E190" s="7" t="s">
        <v>441</v>
      </c>
      <c r="F190" s="7" t="s">
        <v>442</v>
      </c>
      <c r="G190" s="107">
        <v>43617</v>
      </c>
      <c r="H190" s="108">
        <v>44621</v>
      </c>
      <c r="I190" s="7">
        <v>2029</v>
      </c>
      <c r="J190" s="28" t="s">
        <v>1762</v>
      </c>
      <c r="K190" s="9">
        <v>359.4</v>
      </c>
      <c r="L190" s="9">
        <v>49900</v>
      </c>
      <c r="M190" s="9">
        <f>+L190*0.1</f>
        <v>4990</v>
      </c>
      <c r="N190" s="9">
        <f t="shared" si="107"/>
        <v>24950</v>
      </c>
      <c r="O190" s="9">
        <f t="shared" si="108"/>
        <v>19600.599999999999</v>
      </c>
      <c r="P190" s="9">
        <f t="shared" si="109"/>
        <v>5349.4</v>
      </c>
      <c r="Q190" s="139">
        <f t="shared" si="110"/>
        <v>0.78559519038076142</v>
      </c>
      <c r="R190" s="335">
        <v>49900</v>
      </c>
      <c r="S190" s="359" t="s">
        <v>1948</v>
      </c>
      <c r="T190" s="305">
        <v>0.78559519038076142</v>
      </c>
      <c r="U190" s="144"/>
      <c r="V190" s="100"/>
      <c r="W190" s="110">
        <f t="shared" si="111"/>
        <v>49900</v>
      </c>
      <c r="X190" s="110">
        <f t="shared" si="112"/>
        <v>359.4</v>
      </c>
      <c r="Y190" s="110">
        <f t="shared" si="113"/>
        <v>4990</v>
      </c>
      <c r="Z190" s="110">
        <f t="shared" si="114"/>
        <v>19600.599999999999</v>
      </c>
      <c r="AA190" s="260">
        <f t="shared" si="115"/>
        <v>0.78559519038076142</v>
      </c>
      <c r="AB190" s="28">
        <f t="shared" si="116"/>
        <v>16.5</v>
      </c>
      <c r="AC190" s="261">
        <f t="shared" si="117"/>
        <v>0.78621426930032268</v>
      </c>
      <c r="AD190" s="111">
        <f t="shared" si="118"/>
        <v>3.7</v>
      </c>
      <c r="AE190" s="262">
        <f t="shared" si="119"/>
        <v>4.6631200933871651E-2</v>
      </c>
      <c r="AF190" s="100"/>
      <c r="AG190" s="111">
        <f t="shared" si="120"/>
        <v>5.9</v>
      </c>
      <c r="AH190" s="262">
        <f t="shared" si="121"/>
        <v>0.40212465143310594</v>
      </c>
      <c r="AI190" s="100"/>
      <c r="AJ190" s="111">
        <f t="shared" si="122"/>
        <v>5.4</v>
      </c>
      <c r="AK190" s="262">
        <f t="shared" si="123"/>
        <v>0.34676582286209723</v>
      </c>
      <c r="AL190" s="100"/>
      <c r="AM190" s="111">
        <f t="shared" si="124"/>
        <v>5</v>
      </c>
      <c r="AN190" s="262">
        <f t="shared" si="125"/>
        <v>0.29450708869106501</v>
      </c>
      <c r="AO190" s="100"/>
      <c r="AP190" s="24" t="e">
        <f>VLOOKUP(C190,#REF!,6,FALSE)</f>
        <v>#REF!</v>
      </c>
      <c r="AQ190" s="24" t="e">
        <f>VLOOKUP(C190,#REF!,7,FALSE)</f>
        <v>#REF!</v>
      </c>
      <c r="AR190" s="24" t="e">
        <f>VLOOKUP(C190,#REF!,12,FALSE)</f>
        <v>#REF!</v>
      </c>
      <c r="AS190" s="24" t="e">
        <f>VLOOKUP(C190,#REF!,13,FALSE)</f>
        <v>#REF!</v>
      </c>
      <c r="AT190" s="100"/>
      <c r="AU190" s="100"/>
      <c r="AV190" s="100">
        <v>180</v>
      </c>
      <c r="AW190" s="100"/>
      <c r="AY190" s="9">
        <v>49900</v>
      </c>
    </row>
    <row r="191" spans="1:51" s="2" customFormat="1" ht="12.75" customHeight="1" x14ac:dyDescent="0.2">
      <c r="A191" s="6" t="s">
        <v>1135</v>
      </c>
      <c r="B191" s="8">
        <v>9789500208680</v>
      </c>
      <c r="C191" s="8">
        <v>592797</v>
      </c>
      <c r="D191" s="25">
        <v>232</v>
      </c>
      <c r="E191" s="22" t="s">
        <v>120</v>
      </c>
      <c r="F191" s="145" t="s">
        <v>1136</v>
      </c>
      <c r="G191" s="107">
        <v>42156</v>
      </c>
      <c r="H191" s="108">
        <v>42125</v>
      </c>
      <c r="I191" s="24">
        <v>2952</v>
      </c>
      <c r="J191" s="28" t="s">
        <v>1894</v>
      </c>
      <c r="K191" s="28">
        <v>17.309999999999999</v>
      </c>
      <c r="L191" s="112">
        <v>16000</v>
      </c>
      <c r="M191" s="9">
        <f>+L191*0.15</f>
        <v>2400</v>
      </c>
      <c r="N191" s="9">
        <f t="shared" si="107"/>
        <v>8000</v>
      </c>
      <c r="O191" s="9">
        <f t="shared" si="108"/>
        <v>5582.69</v>
      </c>
      <c r="P191" s="9">
        <f t="shared" si="109"/>
        <v>2417.31</v>
      </c>
      <c r="Q191" s="139">
        <f t="shared" si="110"/>
        <v>0.69783624999999994</v>
      </c>
      <c r="R191" s="335">
        <v>16000</v>
      </c>
      <c r="S191" s="359" t="s">
        <v>1948</v>
      </c>
      <c r="T191" s="305">
        <v>0.69783624999999994</v>
      </c>
      <c r="U191" s="144"/>
      <c r="V191" s="100"/>
      <c r="W191" s="110">
        <f t="shared" si="111"/>
        <v>16000</v>
      </c>
      <c r="X191" s="110">
        <f t="shared" si="112"/>
        <v>17.309999999999999</v>
      </c>
      <c r="Y191" s="110">
        <f t="shared" si="113"/>
        <v>2400</v>
      </c>
      <c r="Z191" s="110">
        <f t="shared" si="114"/>
        <v>5582.69</v>
      </c>
      <c r="AA191" s="260">
        <f t="shared" si="115"/>
        <v>0.69783624999999994</v>
      </c>
      <c r="AB191" s="28">
        <f t="shared" si="116"/>
        <v>5.3</v>
      </c>
      <c r="AC191" s="261">
        <f t="shared" si="117"/>
        <v>0.69924416326073557</v>
      </c>
      <c r="AD191" s="111">
        <f t="shared" si="118"/>
        <v>1.7</v>
      </c>
      <c r="AE191" s="262">
        <f t="shared" si="119"/>
        <v>6.2349450165822926E-2</v>
      </c>
      <c r="AF191" s="100"/>
      <c r="AG191" s="111">
        <f t="shared" si="120"/>
        <v>2.7</v>
      </c>
      <c r="AH191" s="262">
        <f t="shared" si="121"/>
        <v>0.4096274315858886</v>
      </c>
      <c r="AI191" s="100"/>
      <c r="AJ191" s="111">
        <f t="shared" si="122"/>
        <v>2.5</v>
      </c>
      <c r="AK191" s="262">
        <f t="shared" si="123"/>
        <v>0.36239762611275966</v>
      </c>
      <c r="AL191" s="100"/>
      <c r="AM191" s="111">
        <f t="shared" si="124"/>
        <v>2.2999999999999998</v>
      </c>
      <c r="AN191" s="262">
        <f t="shared" si="125"/>
        <v>0.30695394142691262</v>
      </c>
      <c r="AO191" s="100"/>
      <c r="AP191" s="24" t="e">
        <f>VLOOKUP(C191,#REF!,6,FALSE)</f>
        <v>#REF!</v>
      </c>
      <c r="AQ191" s="24" t="e">
        <f>VLOOKUP(C191,#REF!,7,FALSE)</f>
        <v>#REF!</v>
      </c>
      <c r="AR191" s="24" t="e">
        <f>VLOOKUP(C191,#REF!,12,FALSE)</f>
        <v>#REF!</v>
      </c>
      <c r="AS191" s="24" t="e">
        <f>VLOOKUP(C191,#REF!,13,FALSE)</f>
        <v>#REF!</v>
      </c>
      <c r="AT191" s="100">
        <v>13</v>
      </c>
      <c r="AU191" s="100"/>
      <c r="AV191" s="100">
        <v>181</v>
      </c>
      <c r="AW191" s="100"/>
      <c r="AY191" s="112">
        <v>16000</v>
      </c>
    </row>
    <row r="192" spans="1:51" s="2" customFormat="1" ht="12.75" customHeight="1" x14ac:dyDescent="0.2">
      <c r="A192" s="6" t="s">
        <v>1137</v>
      </c>
      <c r="B192" s="8">
        <v>9789500299657</v>
      </c>
      <c r="C192" s="6">
        <v>628864</v>
      </c>
      <c r="D192" s="25">
        <v>368</v>
      </c>
      <c r="E192" s="7" t="s">
        <v>398</v>
      </c>
      <c r="F192" s="11" t="s">
        <v>119</v>
      </c>
      <c r="G192" s="107">
        <v>42856</v>
      </c>
      <c r="H192" s="108">
        <v>42826</v>
      </c>
      <c r="I192" s="24">
        <v>2995</v>
      </c>
      <c r="J192" s="28" t="s">
        <v>1894</v>
      </c>
      <c r="K192" s="28">
        <v>47.27</v>
      </c>
      <c r="L192" s="28">
        <v>23000</v>
      </c>
      <c r="M192" s="9">
        <f>+L192*0.08</f>
        <v>1840</v>
      </c>
      <c r="N192" s="9">
        <f t="shared" si="107"/>
        <v>11500</v>
      </c>
      <c r="O192" s="9">
        <f t="shared" si="108"/>
        <v>9612.73</v>
      </c>
      <c r="P192" s="9">
        <f t="shared" si="109"/>
        <v>1887.27</v>
      </c>
      <c r="Q192" s="139">
        <f t="shared" si="110"/>
        <v>0.83588956521739122</v>
      </c>
      <c r="R192" s="335">
        <v>23000</v>
      </c>
      <c r="S192" s="359" t="s">
        <v>1948</v>
      </c>
      <c r="T192" s="305">
        <v>0.83588956521739122</v>
      </c>
      <c r="U192" s="144"/>
      <c r="V192" s="100"/>
      <c r="W192" s="110">
        <f t="shared" si="111"/>
        <v>23000</v>
      </c>
      <c r="X192" s="110">
        <f t="shared" si="112"/>
        <v>47.27</v>
      </c>
      <c r="Y192" s="110">
        <f t="shared" si="113"/>
        <v>1840</v>
      </c>
      <c r="Z192" s="110">
        <f t="shared" si="114"/>
        <v>9612.73</v>
      </c>
      <c r="AA192" s="260">
        <f t="shared" si="115"/>
        <v>0.83588956521739122</v>
      </c>
      <c r="AB192" s="28">
        <f t="shared" si="116"/>
        <v>7.6</v>
      </c>
      <c r="AC192" s="261">
        <f t="shared" si="117"/>
        <v>0.8362512363996043</v>
      </c>
      <c r="AD192" s="111">
        <f t="shared" si="118"/>
        <v>1.3</v>
      </c>
      <c r="AE192" s="262">
        <f t="shared" si="119"/>
        <v>4.2699535874610089E-2</v>
      </c>
      <c r="AF192" s="100"/>
      <c r="AG192" s="111">
        <f t="shared" si="120"/>
        <v>2.1</v>
      </c>
      <c r="AH192" s="262">
        <f t="shared" si="121"/>
        <v>0.40738542696999674</v>
      </c>
      <c r="AI192" s="100"/>
      <c r="AJ192" s="111">
        <f t="shared" si="122"/>
        <v>1.9</v>
      </c>
      <c r="AK192" s="262">
        <f t="shared" si="123"/>
        <v>0.34500494559841738</v>
      </c>
      <c r="AL192" s="100"/>
      <c r="AM192" s="111">
        <f t="shared" si="124"/>
        <v>1.8</v>
      </c>
      <c r="AN192" s="262">
        <f t="shared" si="125"/>
        <v>0.30861633146499623</v>
      </c>
      <c r="AO192" s="100"/>
      <c r="AP192" s="24" t="e">
        <f>VLOOKUP(C192,#REF!,6,FALSE)</f>
        <v>#REF!</v>
      </c>
      <c r="AQ192" s="24" t="e">
        <f>VLOOKUP(C192,#REF!,7,FALSE)</f>
        <v>#REF!</v>
      </c>
      <c r="AR192" s="24" t="e">
        <f>VLOOKUP(C192,#REF!,12,FALSE)</f>
        <v>#REF!</v>
      </c>
      <c r="AS192" s="24" t="e">
        <f>VLOOKUP(C192,#REF!,13,FALSE)</f>
        <v>#REF!</v>
      </c>
      <c r="AT192" s="100"/>
      <c r="AU192" s="100"/>
      <c r="AV192" s="100">
        <v>182</v>
      </c>
      <c r="AW192" s="100"/>
      <c r="AY192" s="28">
        <v>23000</v>
      </c>
    </row>
    <row r="193" spans="1:51" s="2" customFormat="1" ht="12.75" customHeight="1" x14ac:dyDescent="0.2">
      <c r="A193" s="6" t="s">
        <v>1138</v>
      </c>
      <c r="B193" s="158">
        <v>9789500208338</v>
      </c>
      <c r="C193" s="146">
        <v>586579</v>
      </c>
      <c r="D193" s="25">
        <v>256</v>
      </c>
      <c r="E193" s="22" t="s">
        <v>121</v>
      </c>
      <c r="F193" s="6" t="s">
        <v>1139</v>
      </c>
      <c r="G193" s="107">
        <v>41974</v>
      </c>
      <c r="H193" s="108">
        <v>42979</v>
      </c>
      <c r="I193" s="24">
        <v>1008</v>
      </c>
      <c r="J193" s="28" t="s">
        <v>1894</v>
      </c>
      <c r="K193" s="28">
        <v>38.450000000000003</v>
      </c>
      <c r="L193" s="128">
        <v>16000</v>
      </c>
      <c r="M193" s="112">
        <f>+L193*0.15</f>
        <v>2400</v>
      </c>
      <c r="N193" s="9">
        <f t="shared" si="107"/>
        <v>8000</v>
      </c>
      <c r="O193" s="9">
        <f t="shared" si="108"/>
        <v>5561.55</v>
      </c>
      <c r="P193" s="9">
        <f t="shared" si="109"/>
        <v>2438.4499999999998</v>
      </c>
      <c r="Q193" s="139">
        <f t="shared" si="110"/>
        <v>0.69519375000000005</v>
      </c>
      <c r="R193" s="335">
        <v>16000</v>
      </c>
      <c r="S193" s="359" t="s">
        <v>1948</v>
      </c>
      <c r="T193" s="305">
        <v>0.69519375000000005</v>
      </c>
      <c r="U193" s="144"/>
      <c r="V193" s="100"/>
      <c r="W193" s="110">
        <f t="shared" si="111"/>
        <v>16000</v>
      </c>
      <c r="X193" s="110">
        <f t="shared" si="112"/>
        <v>38.450000000000003</v>
      </c>
      <c r="Y193" s="110">
        <f t="shared" si="113"/>
        <v>2400</v>
      </c>
      <c r="Z193" s="110">
        <f t="shared" si="114"/>
        <v>5561.55</v>
      </c>
      <c r="AA193" s="260">
        <f t="shared" si="115"/>
        <v>0.69519375000000005</v>
      </c>
      <c r="AB193" s="28">
        <f t="shared" si="116"/>
        <v>5.3</v>
      </c>
      <c r="AC193" s="261">
        <f t="shared" si="117"/>
        <v>0.69661397582566609</v>
      </c>
      <c r="AD193" s="111">
        <f t="shared" si="118"/>
        <v>1.7</v>
      </c>
      <c r="AE193" s="262">
        <f t="shared" si="119"/>
        <v>5.4149454044723697E-2</v>
      </c>
      <c r="AF193" s="100"/>
      <c r="AG193" s="111">
        <f t="shared" si="120"/>
        <v>2.7</v>
      </c>
      <c r="AH193" s="262">
        <f t="shared" si="121"/>
        <v>0.40446447106519651</v>
      </c>
      <c r="AI193" s="100"/>
      <c r="AJ193" s="111">
        <f t="shared" si="122"/>
        <v>2.5</v>
      </c>
      <c r="AK193" s="262">
        <f t="shared" si="123"/>
        <v>0.35682162875041218</v>
      </c>
      <c r="AL193" s="100"/>
      <c r="AM193" s="111">
        <f t="shared" si="124"/>
        <v>2.2999999999999998</v>
      </c>
      <c r="AN193" s="262">
        <f t="shared" si="125"/>
        <v>0.30089307472870885</v>
      </c>
      <c r="AO193" s="100"/>
      <c r="AP193" s="24" t="e">
        <f>VLOOKUP(C193,#REF!,6,FALSE)</f>
        <v>#REF!</v>
      </c>
      <c r="AQ193" s="24" t="e">
        <f>VLOOKUP(C193,#REF!,7,FALSE)</f>
        <v>#REF!</v>
      </c>
      <c r="AR193" s="24" t="e">
        <f>VLOOKUP(C193,#REF!,12,FALSE)</f>
        <v>#REF!</v>
      </c>
      <c r="AS193" s="24" t="e">
        <f>VLOOKUP(C193,#REF!,13,FALSE)</f>
        <v>#REF!</v>
      </c>
      <c r="AT193" s="100"/>
      <c r="AU193" s="100"/>
      <c r="AV193" s="100">
        <v>183</v>
      </c>
      <c r="AW193" s="100"/>
      <c r="AY193" s="128">
        <v>16000</v>
      </c>
    </row>
    <row r="194" spans="1:51" s="2" customFormat="1" ht="12.75" customHeight="1" x14ac:dyDescent="0.2">
      <c r="A194" s="6" t="s">
        <v>1140</v>
      </c>
      <c r="B194" s="8">
        <v>9789500208710</v>
      </c>
      <c r="C194" s="8">
        <v>592800</v>
      </c>
      <c r="D194" s="25">
        <v>224</v>
      </c>
      <c r="E194" s="22" t="s">
        <v>131</v>
      </c>
      <c r="F194" s="6" t="s">
        <v>1141</v>
      </c>
      <c r="G194" s="107">
        <v>42156</v>
      </c>
      <c r="H194" s="108">
        <v>42125</v>
      </c>
      <c r="I194" s="24">
        <v>5040</v>
      </c>
      <c r="J194" s="28" t="s">
        <v>1894</v>
      </c>
      <c r="K194" s="28">
        <v>15.06</v>
      </c>
      <c r="L194" s="128">
        <v>16000</v>
      </c>
      <c r="M194" s="112">
        <f>+L194*0.17</f>
        <v>2720</v>
      </c>
      <c r="N194" s="9">
        <f t="shared" si="107"/>
        <v>8000</v>
      </c>
      <c r="O194" s="9">
        <f t="shared" si="108"/>
        <v>5264.94</v>
      </c>
      <c r="P194" s="9">
        <f t="shared" si="109"/>
        <v>2735.06</v>
      </c>
      <c r="Q194" s="139">
        <f t="shared" si="110"/>
        <v>0.65811749999999991</v>
      </c>
      <c r="R194" s="335">
        <v>16000</v>
      </c>
      <c r="S194" s="359" t="s">
        <v>1948</v>
      </c>
      <c r="T194" s="305">
        <v>0.65811749999999991</v>
      </c>
      <c r="U194" s="140"/>
      <c r="V194" s="100"/>
      <c r="W194" s="110">
        <f t="shared" si="111"/>
        <v>16000</v>
      </c>
      <c r="X194" s="110">
        <f t="shared" si="112"/>
        <v>15.06</v>
      </c>
      <c r="Y194" s="110">
        <f t="shared" si="113"/>
        <v>2720</v>
      </c>
      <c r="Z194" s="110">
        <f t="shared" si="114"/>
        <v>5264.94</v>
      </c>
      <c r="AA194" s="260">
        <f t="shared" si="115"/>
        <v>0.65811749999999991</v>
      </c>
      <c r="AB194" s="28">
        <f t="shared" si="116"/>
        <v>5.3</v>
      </c>
      <c r="AC194" s="261">
        <f t="shared" si="117"/>
        <v>0.6597104803140299</v>
      </c>
      <c r="AD194" s="111">
        <f t="shared" si="118"/>
        <v>1.9</v>
      </c>
      <c r="AE194" s="262">
        <f t="shared" si="119"/>
        <v>5.0771339823346681E-2</v>
      </c>
      <c r="AF194" s="100"/>
      <c r="AG194" s="111">
        <f t="shared" si="120"/>
        <v>3</v>
      </c>
      <c r="AH194" s="262">
        <f t="shared" si="121"/>
        <v>0.39882184855478614</v>
      </c>
      <c r="AI194" s="100"/>
      <c r="AJ194" s="111">
        <f t="shared" si="122"/>
        <v>2.8</v>
      </c>
      <c r="AK194" s="262">
        <f t="shared" si="123"/>
        <v>0.35588055202298513</v>
      </c>
      <c r="AL194" s="100"/>
      <c r="AM194" s="111">
        <f t="shared" si="124"/>
        <v>2.6</v>
      </c>
      <c r="AN194" s="262">
        <f t="shared" si="125"/>
        <v>0.30633290217859954</v>
      </c>
      <c r="AO194" s="100"/>
      <c r="AP194" s="24" t="e">
        <f>VLOOKUP(C194,#REF!,6,FALSE)</f>
        <v>#REF!</v>
      </c>
      <c r="AQ194" s="24" t="e">
        <f>VLOOKUP(C194,#REF!,7,FALSE)</f>
        <v>#REF!</v>
      </c>
      <c r="AR194" s="24" t="e">
        <f>VLOOKUP(C194,#REF!,12,FALSE)</f>
        <v>#REF!</v>
      </c>
      <c r="AS194" s="24" t="e">
        <f>VLOOKUP(C194,#REF!,13,FALSE)</f>
        <v>#REF!</v>
      </c>
      <c r="AT194" s="100"/>
      <c r="AU194" s="100"/>
      <c r="AV194" s="100">
        <v>184</v>
      </c>
      <c r="AW194" s="100"/>
      <c r="AY194" s="128">
        <v>16000</v>
      </c>
    </row>
    <row r="195" spans="1:51" s="2" customFormat="1" ht="12.75" customHeight="1" x14ac:dyDescent="0.2">
      <c r="A195" s="7" t="s">
        <v>1142</v>
      </c>
      <c r="B195" s="8">
        <v>9789500286763</v>
      </c>
      <c r="C195" s="8">
        <v>188707</v>
      </c>
      <c r="D195" s="25">
        <v>208</v>
      </c>
      <c r="E195" s="7" t="s">
        <v>130</v>
      </c>
      <c r="F195" s="7" t="s">
        <v>2437</v>
      </c>
      <c r="G195" s="107">
        <v>37591</v>
      </c>
      <c r="H195" s="108">
        <v>46235</v>
      </c>
      <c r="I195" s="7">
        <v>1000</v>
      </c>
      <c r="J195" s="176" t="s">
        <v>1946</v>
      </c>
      <c r="K195" s="117">
        <v>1934.41</v>
      </c>
      <c r="L195" s="9">
        <v>22900</v>
      </c>
      <c r="M195" s="112"/>
      <c r="N195" s="9">
        <f t="shared" si="107"/>
        <v>11450</v>
      </c>
      <c r="O195" s="9">
        <f t="shared" si="108"/>
        <v>9515.59</v>
      </c>
      <c r="P195" s="9">
        <f t="shared" si="109"/>
        <v>1934.41</v>
      </c>
      <c r="Q195" s="139">
        <f t="shared" si="110"/>
        <v>0.83105589519650658</v>
      </c>
      <c r="R195" s="335">
        <v>22900</v>
      </c>
      <c r="S195" s="359" t="s">
        <v>1948</v>
      </c>
      <c r="T195" s="305">
        <v>0.86825589519650659</v>
      </c>
      <c r="U195" s="144"/>
      <c r="V195" s="100"/>
      <c r="W195" s="110">
        <f t="shared" si="111"/>
        <v>22900</v>
      </c>
      <c r="X195" s="110">
        <f t="shared" si="112"/>
        <v>1934.41</v>
      </c>
      <c r="Y195" s="110">
        <f t="shared" si="113"/>
        <v>0</v>
      </c>
      <c r="Z195" s="110">
        <f t="shared" si="114"/>
        <v>9515.59</v>
      </c>
      <c r="AA195" s="260">
        <f t="shared" si="115"/>
        <v>0.83105589519650658</v>
      </c>
      <c r="AB195" s="28">
        <f t="shared" si="116"/>
        <v>7.6</v>
      </c>
      <c r="AC195" s="261">
        <f t="shared" si="117"/>
        <v>0.83216113974352302</v>
      </c>
      <c r="AD195" s="111">
        <f t="shared" si="118"/>
        <v>1.3</v>
      </c>
      <c r="AE195" s="262">
        <f t="shared" si="119"/>
        <v>1.8788201577519065E-2</v>
      </c>
      <c r="AF195" s="100"/>
      <c r="AG195" s="111">
        <f t="shared" si="120"/>
        <v>2.1</v>
      </c>
      <c r="AH195" s="262">
        <f t="shared" si="121"/>
        <v>0.39258317240513085</v>
      </c>
      <c r="AI195" s="100"/>
      <c r="AJ195" s="111">
        <f t="shared" si="122"/>
        <v>2</v>
      </c>
      <c r="AK195" s="262">
        <f t="shared" si="123"/>
        <v>0.36221233102538736</v>
      </c>
      <c r="AL195" s="100"/>
      <c r="AM195" s="111">
        <f t="shared" si="124"/>
        <v>1.8</v>
      </c>
      <c r="AN195" s="262">
        <f t="shared" si="125"/>
        <v>0.2913470344726527</v>
      </c>
      <c r="AO195" s="100"/>
      <c r="AP195" s="24" t="e">
        <f>VLOOKUP(C195,#REF!,6,FALSE)</f>
        <v>#REF!</v>
      </c>
      <c r="AQ195" s="24" t="e">
        <f>VLOOKUP(C195,#REF!,7,FALSE)</f>
        <v>#REF!</v>
      </c>
      <c r="AR195" s="24" t="e">
        <f>VLOOKUP(C195,#REF!,12,FALSE)</f>
        <v>#REF!</v>
      </c>
      <c r="AS195" s="24" t="e">
        <f>VLOOKUP(C195,#REF!,13,FALSE)</f>
        <v>#REF!</v>
      </c>
      <c r="AT195" s="100"/>
      <c r="AU195" s="100"/>
      <c r="AV195" s="100">
        <v>185</v>
      </c>
      <c r="AW195" s="100"/>
      <c r="AY195" s="9">
        <v>22900</v>
      </c>
    </row>
    <row r="196" spans="1:51" s="2" customFormat="1" ht="12.75" customHeight="1" x14ac:dyDescent="0.2">
      <c r="A196" s="7" t="s">
        <v>1143</v>
      </c>
      <c r="B196" s="8">
        <v>9789500210256</v>
      </c>
      <c r="C196" s="14">
        <v>670525</v>
      </c>
      <c r="D196" s="25">
        <v>240</v>
      </c>
      <c r="E196" s="7" t="s">
        <v>461</v>
      </c>
      <c r="F196" s="7" t="s">
        <v>1144</v>
      </c>
      <c r="G196" s="107">
        <v>43770</v>
      </c>
      <c r="H196" s="107">
        <v>43800</v>
      </c>
      <c r="I196" s="7">
        <v>5012</v>
      </c>
      <c r="J196" s="28" t="s">
        <v>1894</v>
      </c>
      <c r="K196" s="9">
        <v>54.95</v>
      </c>
      <c r="L196" s="9">
        <v>23900</v>
      </c>
      <c r="M196" s="9">
        <f>+L196*0.08</f>
        <v>1912</v>
      </c>
      <c r="N196" s="9">
        <f t="shared" si="107"/>
        <v>11950</v>
      </c>
      <c r="O196" s="9">
        <f t="shared" si="108"/>
        <v>9983.0499999999993</v>
      </c>
      <c r="P196" s="9">
        <f t="shared" si="109"/>
        <v>1966.95</v>
      </c>
      <c r="Q196" s="139">
        <f t="shared" si="110"/>
        <v>0.83540167364016726</v>
      </c>
      <c r="R196" s="335">
        <v>23900</v>
      </c>
      <c r="S196" s="359" t="s">
        <v>1948</v>
      </c>
      <c r="T196" s="305">
        <v>0.83540167364016726</v>
      </c>
      <c r="U196" s="144"/>
      <c r="V196" s="100"/>
      <c r="W196" s="110">
        <f t="shared" si="111"/>
        <v>23900</v>
      </c>
      <c r="X196" s="110">
        <f t="shared" si="112"/>
        <v>54.95</v>
      </c>
      <c r="Y196" s="110">
        <f t="shared" si="113"/>
        <v>1912</v>
      </c>
      <c r="Z196" s="110">
        <f t="shared" si="114"/>
        <v>9983.0499999999993</v>
      </c>
      <c r="AA196" s="260">
        <f t="shared" si="115"/>
        <v>0.83540167364016726</v>
      </c>
      <c r="AB196" s="28">
        <f t="shared" si="116"/>
        <v>7.9</v>
      </c>
      <c r="AC196" s="261">
        <f t="shared" si="117"/>
        <v>0.83581865304436009</v>
      </c>
      <c r="AD196" s="111">
        <f t="shared" si="118"/>
        <v>1.4</v>
      </c>
      <c r="AE196" s="262">
        <f t="shared" si="119"/>
        <v>7.354811360746083E-2</v>
      </c>
      <c r="AF196" s="100"/>
      <c r="AG196" s="111">
        <f t="shared" si="120"/>
        <v>2.2000000000000002</v>
      </c>
      <c r="AH196" s="262">
        <f t="shared" si="121"/>
        <v>0.4104397086592933</v>
      </c>
      <c r="AI196" s="100"/>
      <c r="AJ196" s="111">
        <f t="shared" si="122"/>
        <v>2</v>
      </c>
      <c r="AK196" s="262">
        <f t="shared" si="123"/>
        <v>0.35148367952522264</v>
      </c>
      <c r="AL196" s="100"/>
      <c r="AM196" s="111">
        <f t="shared" si="124"/>
        <v>1.9</v>
      </c>
      <c r="AN196" s="262">
        <f t="shared" si="125"/>
        <v>0.31735124160549749</v>
      </c>
      <c r="AO196" s="100"/>
      <c r="AP196" s="24" t="e">
        <f>VLOOKUP(C196,#REF!,6,FALSE)</f>
        <v>#REF!</v>
      </c>
      <c r="AQ196" s="24" t="e">
        <f>VLOOKUP(C196,#REF!,7,FALSE)</f>
        <v>#REF!</v>
      </c>
      <c r="AR196" s="24" t="e">
        <f>VLOOKUP(C196,#REF!,12,FALSE)</f>
        <v>#REF!</v>
      </c>
      <c r="AS196" s="24" t="e">
        <f>VLOOKUP(C196,#REF!,13,FALSE)</f>
        <v>#REF!</v>
      </c>
      <c r="AT196" s="100"/>
      <c r="AU196" s="100"/>
      <c r="AV196" s="100">
        <v>186</v>
      </c>
      <c r="AW196" s="100"/>
      <c r="AY196" s="9">
        <v>23900</v>
      </c>
    </row>
    <row r="197" spans="1:51" s="2" customFormat="1" ht="12.75" customHeight="1" x14ac:dyDescent="0.2">
      <c r="A197" s="7" t="s">
        <v>1145</v>
      </c>
      <c r="B197" s="8">
        <v>9789500211208</v>
      </c>
      <c r="C197" s="14">
        <v>678766</v>
      </c>
      <c r="D197" s="25">
        <v>240</v>
      </c>
      <c r="E197" s="7" t="s">
        <v>461</v>
      </c>
      <c r="F197" s="7" t="s">
        <v>1146</v>
      </c>
      <c r="G197" s="107">
        <v>44136</v>
      </c>
      <c r="H197" s="108">
        <v>45170</v>
      </c>
      <c r="I197" s="7">
        <v>3075</v>
      </c>
      <c r="J197" s="28" t="s">
        <v>2136</v>
      </c>
      <c r="K197" s="9">
        <v>711.05</v>
      </c>
      <c r="L197" s="9">
        <v>34900</v>
      </c>
      <c r="M197" s="112">
        <f>+L197*0.08</f>
        <v>2792</v>
      </c>
      <c r="N197" s="9">
        <f t="shared" si="107"/>
        <v>17450</v>
      </c>
      <c r="O197" s="9">
        <f t="shared" si="108"/>
        <v>13946.95</v>
      </c>
      <c r="P197" s="9">
        <f t="shared" si="109"/>
        <v>3503.05</v>
      </c>
      <c r="Q197" s="139">
        <f t="shared" si="110"/>
        <v>0.7992521489971347</v>
      </c>
      <c r="R197" s="335">
        <v>34900</v>
      </c>
      <c r="S197" s="359" t="s">
        <v>1948</v>
      </c>
      <c r="T197" s="305">
        <v>0.7992521489971347</v>
      </c>
      <c r="U197" s="144"/>
      <c r="V197" s="100"/>
      <c r="W197" s="110">
        <f t="shared" si="111"/>
        <v>34900</v>
      </c>
      <c r="X197" s="110">
        <f t="shared" si="112"/>
        <v>711.05</v>
      </c>
      <c r="Y197" s="110">
        <f t="shared" si="113"/>
        <v>2792</v>
      </c>
      <c r="Z197" s="110">
        <f t="shared" si="114"/>
        <v>13946.95</v>
      </c>
      <c r="AA197" s="260">
        <f t="shared" si="115"/>
        <v>0.7992521489971347</v>
      </c>
      <c r="AB197" s="28">
        <f t="shared" si="116"/>
        <v>11.5</v>
      </c>
      <c r="AC197" s="261">
        <f t="shared" si="117"/>
        <v>0.79913416190025666</v>
      </c>
      <c r="AD197" s="111">
        <f t="shared" si="118"/>
        <v>2.4</v>
      </c>
      <c r="AE197" s="262">
        <f t="shared" si="119"/>
        <v>3.7517859105396248E-2</v>
      </c>
      <c r="AF197" s="100"/>
      <c r="AG197" s="111">
        <f t="shared" si="120"/>
        <v>3.8</v>
      </c>
      <c r="AH197" s="262">
        <f t="shared" si="121"/>
        <v>0.39211654259288176</v>
      </c>
      <c r="AI197" s="100"/>
      <c r="AJ197" s="111">
        <f t="shared" si="122"/>
        <v>3.6</v>
      </c>
      <c r="AK197" s="262">
        <f t="shared" si="123"/>
        <v>0.35834523940359747</v>
      </c>
      <c r="AL197" s="100"/>
      <c r="AM197" s="111">
        <f t="shared" si="124"/>
        <v>3.3</v>
      </c>
      <c r="AN197" s="262">
        <f t="shared" si="125"/>
        <v>0.30001298844028806</v>
      </c>
      <c r="AO197" s="100"/>
      <c r="AP197" s="24" t="e">
        <f>VLOOKUP(C197,#REF!,6,FALSE)</f>
        <v>#REF!</v>
      </c>
      <c r="AQ197" s="24" t="e">
        <f>VLOOKUP(C197,#REF!,7,FALSE)</f>
        <v>#REF!</v>
      </c>
      <c r="AR197" s="24" t="e">
        <f>VLOOKUP(C197,#REF!,12,FALSE)</f>
        <v>#REF!</v>
      </c>
      <c r="AS197" s="24" t="e">
        <f>VLOOKUP(C197,#REF!,13,FALSE)</f>
        <v>#REF!</v>
      </c>
      <c r="AT197" s="100"/>
      <c r="AU197" s="100"/>
      <c r="AV197" s="100">
        <v>187</v>
      </c>
      <c r="AW197" s="100"/>
      <c r="AY197" s="9">
        <v>34900</v>
      </c>
    </row>
    <row r="198" spans="1:51" s="2" customFormat="1" ht="12.75" customHeight="1" x14ac:dyDescent="0.2">
      <c r="A198" s="6" t="s">
        <v>1147</v>
      </c>
      <c r="B198" s="8">
        <v>9789500299732</v>
      </c>
      <c r="C198" s="6">
        <v>627251</v>
      </c>
      <c r="D198" s="25">
        <v>352</v>
      </c>
      <c r="E198" s="7" t="s">
        <v>117</v>
      </c>
      <c r="F198" s="11" t="s">
        <v>118</v>
      </c>
      <c r="G198" s="107">
        <v>42826</v>
      </c>
      <c r="H198" s="108">
        <v>42795</v>
      </c>
      <c r="I198" s="24">
        <v>3165</v>
      </c>
      <c r="J198" s="28" t="s">
        <v>2136</v>
      </c>
      <c r="K198" s="28">
        <v>30.49</v>
      </c>
      <c r="L198" s="128">
        <v>15600</v>
      </c>
      <c r="M198" s="141">
        <f>+L198*0.13</f>
        <v>2028</v>
      </c>
      <c r="N198" s="9">
        <f t="shared" si="107"/>
        <v>7800</v>
      </c>
      <c r="O198" s="9">
        <f t="shared" si="108"/>
        <v>5741.51</v>
      </c>
      <c r="P198" s="9">
        <f t="shared" si="109"/>
        <v>2058.4899999999998</v>
      </c>
      <c r="Q198" s="139">
        <f t="shared" si="110"/>
        <v>0.73609102564102569</v>
      </c>
      <c r="R198" s="335">
        <v>15600</v>
      </c>
      <c r="S198" s="359" t="s">
        <v>1948</v>
      </c>
      <c r="T198" s="305">
        <v>0.73609102564102569</v>
      </c>
      <c r="U198" s="144"/>
      <c r="V198" s="100"/>
      <c r="W198" s="110">
        <f t="shared" si="111"/>
        <v>15600</v>
      </c>
      <c r="X198" s="110">
        <f t="shared" si="112"/>
        <v>30.49</v>
      </c>
      <c r="Y198" s="110">
        <f t="shared" si="113"/>
        <v>2028</v>
      </c>
      <c r="Z198" s="110">
        <f t="shared" si="114"/>
        <v>5741.51</v>
      </c>
      <c r="AA198" s="260">
        <f t="shared" si="115"/>
        <v>0.73609102564102569</v>
      </c>
      <c r="AB198" s="28">
        <f t="shared" si="116"/>
        <v>5.0999999999999996</v>
      </c>
      <c r="AC198" s="261">
        <f t="shared" si="117"/>
        <v>0.73384405526140561</v>
      </c>
      <c r="AD198" s="111">
        <f t="shared" si="118"/>
        <v>1.4</v>
      </c>
      <c r="AE198" s="262">
        <f t="shared" si="119"/>
        <v>3.0431915595120405E-2</v>
      </c>
      <c r="AF198" s="100"/>
      <c r="AG198" s="111">
        <f t="shared" si="120"/>
        <v>2.2999999999999998</v>
      </c>
      <c r="AH198" s="262">
        <f t="shared" si="121"/>
        <v>0.40982812253616024</v>
      </c>
      <c r="AI198" s="100"/>
      <c r="AJ198" s="111">
        <f t="shared" si="122"/>
        <v>2.1</v>
      </c>
      <c r="AK198" s="262">
        <f t="shared" si="123"/>
        <v>0.35362127706341367</v>
      </c>
      <c r="AL198" s="100"/>
      <c r="AM198" s="111">
        <f t="shared" si="124"/>
        <v>1.9</v>
      </c>
      <c r="AN198" s="262">
        <f t="shared" si="125"/>
        <v>0.28558141149114136</v>
      </c>
      <c r="AO198" s="100"/>
      <c r="AP198" s="24" t="e">
        <f>VLOOKUP(C198,#REF!,6,FALSE)</f>
        <v>#REF!</v>
      </c>
      <c r="AQ198" s="24" t="e">
        <f>VLOOKUP(C198,#REF!,7,FALSE)</f>
        <v>#REF!</v>
      </c>
      <c r="AR198" s="24" t="e">
        <f>VLOOKUP(C198,#REF!,12,FALSE)</f>
        <v>#REF!</v>
      </c>
      <c r="AS198" s="24" t="e">
        <f>VLOOKUP(C198,#REF!,13,FALSE)</f>
        <v>#REF!</v>
      </c>
      <c r="AT198" s="100"/>
      <c r="AU198" s="100"/>
      <c r="AV198" s="100">
        <v>188</v>
      </c>
      <c r="AW198" s="100"/>
      <c r="AY198" s="128">
        <v>15600</v>
      </c>
    </row>
    <row r="199" spans="1:51" s="2" customFormat="1" ht="12.75" customHeight="1" x14ac:dyDescent="0.2">
      <c r="A199" s="6" t="s">
        <v>1148</v>
      </c>
      <c r="B199" s="8">
        <v>9789500207904</v>
      </c>
      <c r="C199" s="21">
        <v>578529</v>
      </c>
      <c r="D199" s="25">
        <v>256</v>
      </c>
      <c r="E199" s="22" t="s">
        <v>121</v>
      </c>
      <c r="F199" s="6" t="s">
        <v>122</v>
      </c>
      <c r="G199" s="107">
        <v>41791</v>
      </c>
      <c r="H199" s="108">
        <v>42979</v>
      </c>
      <c r="I199" s="24">
        <v>1039</v>
      </c>
      <c r="J199" s="28" t="s">
        <v>2136</v>
      </c>
      <c r="K199" s="28">
        <v>38.4</v>
      </c>
      <c r="L199" s="128">
        <v>17600</v>
      </c>
      <c r="M199" s="112">
        <f>+L199*0.15</f>
        <v>2640</v>
      </c>
      <c r="N199" s="9">
        <f t="shared" si="107"/>
        <v>8800</v>
      </c>
      <c r="O199" s="9">
        <f t="shared" si="108"/>
        <v>6121.6</v>
      </c>
      <c r="P199" s="9">
        <f t="shared" si="109"/>
        <v>2678.4</v>
      </c>
      <c r="Q199" s="139">
        <f t="shared" si="110"/>
        <v>0.69563636363636372</v>
      </c>
      <c r="R199" s="335">
        <v>17600</v>
      </c>
      <c r="S199" s="359" t="s">
        <v>1948</v>
      </c>
      <c r="T199" s="305">
        <v>0.69563636363636372</v>
      </c>
      <c r="U199" s="115" t="s">
        <v>1063</v>
      </c>
      <c r="V199" s="100"/>
      <c r="W199" s="110">
        <f t="shared" si="111"/>
        <v>17600</v>
      </c>
      <c r="X199" s="110">
        <f t="shared" si="112"/>
        <v>38.4</v>
      </c>
      <c r="Y199" s="110">
        <f t="shared" si="113"/>
        <v>2640</v>
      </c>
      <c r="Z199" s="110">
        <f t="shared" si="114"/>
        <v>6121.6</v>
      </c>
      <c r="AA199" s="260">
        <f t="shared" si="115"/>
        <v>0.69563636363636372</v>
      </c>
      <c r="AB199" s="28">
        <f t="shared" si="116"/>
        <v>5.8</v>
      </c>
      <c r="AC199" s="261">
        <f t="shared" si="117"/>
        <v>0.69548756778880594</v>
      </c>
      <c r="AD199" s="111">
        <f t="shared" si="118"/>
        <v>1.9</v>
      </c>
      <c r="AE199" s="262">
        <f t="shared" si="119"/>
        <v>7.043573325003899E-2</v>
      </c>
      <c r="AF199" s="100"/>
      <c r="AG199" s="111">
        <f t="shared" si="120"/>
        <v>2.9</v>
      </c>
      <c r="AH199" s="262">
        <f t="shared" si="121"/>
        <v>0.39097513557761182</v>
      </c>
      <c r="AI199" s="100"/>
      <c r="AJ199" s="111">
        <f t="shared" si="122"/>
        <v>2.7</v>
      </c>
      <c r="AK199" s="262">
        <f t="shared" si="123"/>
        <v>0.3458621826574349</v>
      </c>
      <c r="AL199" s="100"/>
      <c r="AM199" s="111">
        <f t="shared" si="124"/>
        <v>2.5</v>
      </c>
      <c r="AN199" s="262">
        <f t="shared" si="125"/>
        <v>0.29353115727002965</v>
      </c>
      <c r="AO199" s="100"/>
      <c r="AP199" s="24" t="e">
        <f>VLOOKUP(C199,#REF!,6,FALSE)</f>
        <v>#REF!</v>
      </c>
      <c r="AQ199" s="24" t="e">
        <f>VLOOKUP(C199,#REF!,7,FALSE)</f>
        <v>#REF!</v>
      </c>
      <c r="AR199" s="24" t="e">
        <f>VLOOKUP(C199,#REF!,12,FALSE)</f>
        <v>#REF!</v>
      </c>
      <c r="AS199" s="24" t="e">
        <f>VLOOKUP(C199,#REF!,13,FALSE)</f>
        <v>#REF!</v>
      </c>
      <c r="AT199" s="100"/>
      <c r="AU199" s="100"/>
      <c r="AV199" s="100">
        <v>189</v>
      </c>
      <c r="AW199" s="100"/>
      <c r="AY199" s="128">
        <v>17600</v>
      </c>
    </row>
    <row r="200" spans="1:51" s="2" customFormat="1" ht="12.75" customHeight="1" x14ac:dyDescent="0.2">
      <c r="A200" s="7" t="s">
        <v>1149</v>
      </c>
      <c r="B200" s="8">
        <v>9789500209779</v>
      </c>
      <c r="C200" s="6">
        <v>653549</v>
      </c>
      <c r="D200" s="7">
        <v>200</v>
      </c>
      <c r="E200" s="22" t="s">
        <v>398</v>
      </c>
      <c r="F200" s="7" t="s">
        <v>399</v>
      </c>
      <c r="G200" s="107">
        <v>43344</v>
      </c>
      <c r="H200" s="108">
        <v>43313</v>
      </c>
      <c r="I200" s="24">
        <v>3000</v>
      </c>
      <c r="J200" s="28" t="s">
        <v>1946</v>
      </c>
      <c r="K200" s="28">
        <v>48.43</v>
      </c>
      <c r="L200" s="112">
        <v>19900</v>
      </c>
      <c r="M200" s="112">
        <f>+L200*0.1</f>
        <v>1990</v>
      </c>
      <c r="N200" s="9">
        <f t="shared" si="107"/>
        <v>9950</v>
      </c>
      <c r="O200" s="9">
        <f t="shared" si="108"/>
        <v>7911.57</v>
      </c>
      <c r="P200" s="9">
        <f t="shared" si="109"/>
        <v>2038.43</v>
      </c>
      <c r="Q200" s="139">
        <f t="shared" si="110"/>
        <v>0.79513266331658283</v>
      </c>
      <c r="R200" s="335">
        <v>19900</v>
      </c>
      <c r="S200" s="359" t="s">
        <v>1948</v>
      </c>
      <c r="T200" s="305">
        <v>0.79513266331658283</v>
      </c>
      <c r="U200" s="144"/>
      <c r="V200" s="100"/>
      <c r="W200" s="110">
        <f t="shared" si="111"/>
        <v>19900</v>
      </c>
      <c r="X200" s="110">
        <f t="shared" si="112"/>
        <v>48.43</v>
      </c>
      <c r="Y200" s="110">
        <f t="shared" si="113"/>
        <v>1990</v>
      </c>
      <c r="Z200" s="110">
        <f t="shared" si="114"/>
        <v>7911.57</v>
      </c>
      <c r="AA200" s="260">
        <f t="shared" si="115"/>
        <v>0.79513266331658283</v>
      </c>
      <c r="AB200" s="28">
        <f t="shared" si="116"/>
        <v>6.6</v>
      </c>
      <c r="AC200" s="261">
        <f t="shared" si="117"/>
        <v>0.79633825894953492</v>
      </c>
      <c r="AD200" s="111">
        <f t="shared" si="118"/>
        <v>1.4</v>
      </c>
      <c r="AE200" s="262">
        <f t="shared" si="119"/>
        <v>3.988036361923606E-2</v>
      </c>
      <c r="AF200" s="100"/>
      <c r="AG200" s="111">
        <f t="shared" si="120"/>
        <v>2.2000000000000002</v>
      </c>
      <c r="AH200" s="262">
        <f t="shared" si="121"/>
        <v>0.3890147768486048</v>
      </c>
      <c r="AI200" s="100"/>
      <c r="AJ200" s="111">
        <f t="shared" si="122"/>
        <v>2.1</v>
      </c>
      <c r="AK200" s="262">
        <f t="shared" si="123"/>
        <v>0.35992024241282411</v>
      </c>
      <c r="AL200" s="100"/>
      <c r="AM200" s="111">
        <f t="shared" si="124"/>
        <v>1.9</v>
      </c>
      <c r="AN200" s="262">
        <f t="shared" si="125"/>
        <v>0.29254342582470028</v>
      </c>
      <c r="AO200" s="100"/>
      <c r="AP200" s="24" t="e">
        <f>VLOOKUP(C200,#REF!,6,FALSE)</f>
        <v>#REF!</v>
      </c>
      <c r="AQ200" s="24" t="e">
        <f>VLOOKUP(C200,#REF!,7,FALSE)</f>
        <v>#REF!</v>
      </c>
      <c r="AR200" s="24" t="e">
        <f>VLOOKUP(C200,#REF!,12,FALSE)</f>
        <v>#REF!</v>
      </c>
      <c r="AS200" s="24" t="e">
        <f>VLOOKUP(C200,#REF!,13,FALSE)</f>
        <v>#REF!</v>
      </c>
      <c r="AT200" s="100"/>
      <c r="AU200" s="100"/>
      <c r="AV200" s="100">
        <v>190</v>
      </c>
      <c r="AW200" s="100"/>
      <c r="AY200" s="112">
        <v>19900</v>
      </c>
    </row>
    <row r="201" spans="1:51" s="2" customFormat="1" ht="12.75" customHeight="1" x14ac:dyDescent="0.2">
      <c r="A201" s="7" t="s">
        <v>1149</v>
      </c>
      <c r="B201" s="8">
        <v>9789500209762</v>
      </c>
      <c r="C201" s="6">
        <v>652578</v>
      </c>
      <c r="D201" s="7">
        <v>384</v>
      </c>
      <c r="E201" s="7" t="s">
        <v>392</v>
      </c>
      <c r="F201" s="7" t="s">
        <v>1150</v>
      </c>
      <c r="G201" s="118">
        <v>43313</v>
      </c>
      <c r="H201" s="108">
        <v>43282</v>
      </c>
      <c r="I201" s="24">
        <v>2545</v>
      </c>
      <c r="J201" s="28" t="s">
        <v>1762</v>
      </c>
      <c r="K201" s="28">
        <v>55.3</v>
      </c>
      <c r="L201" s="128">
        <v>26900</v>
      </c>
      <c r="M201" s="12">
        <f>+L201*0.13</f>
        <v>3497</v>
      </c>
      <c r="N201" s="9">
        <f t="shared" si="107"/>
        <v>13450</v>
      </c>
      <c r="O201" s="9">
        <f t="shared" si="108"/>
        <v>9897.7000000000007</v>
      </c>
      <c r="P201" s="9">
        <f t="shared" si="109"/>
        <v>3552.3</v>
      </c>
      <c r="Q201" s="139">
        <f t="shared" si="110"/>
        <v>0.73588847583643124</v>
      </c>
      <c r="R201" s="335">
        <v>26900</v>
      </c>
      <c r="S201" s="359" t="s">
        <v>1948</v>
      </c>
      <c r="T201" s="305">
        <v>0.73588847583643124</v>
      </c>
      <c r="U201" s="144"/>
      <c r="V201" s="100"/>
      <c r="W201" s="110">
        <f t="shared" si="111"/>
        <v>26900</v>
      </c>
      <c r="X201" s="110">
        <f t="shared" si="112"/>
        <v>55.3</v>
      </c>
      <c r="Y201" s="110">
        <f t="shared" si="113"/>
        <v>3497</v>
      </c>
      <c r="Z201" s="110">
        <f t="shared" si="114"/>
        <v>9897.7000000000007</v>
      </c>
      <c r="AA201" s="260">
        <f t="shared" si="115"/>
        <v>0.73588847583643124</v>
      </c>
      <c r="AB201" s="28">
        <f t="shared" si="116"/>
        <v>8.9</v>
      </c>
      <c r="AC201" s="261">
        <f t="shared" si="117"/>
        <v>0.73680525455939727</v>
      </c>
      <c r="AD201" s="111">
        <f t="shared" si="118"/>
        <v>2.5</v>
      </c>
      <c r="AE201" s="262">
        <f t="shared" si="119"/>
        <v>6.3026706231453955E-2</v>
      </c>
      <c r="AF201" s="100"/>
      <c r="AG201" s="111">
        <f t="shared" si="120"/>
        <v>3.9</v>
      </c>
      <c r="AH201" s="262">
        <f t="shared" si="121"/>
        <v>0.39937609373811145</v>
      </c>
      <c r="AI201" s="100"/>
      <c r="AJ201" s="111">
        <f t="shared" si="122"/>
        <v>3.6</v>
      </c>
      <c r="AK201" s="262">
        <f t="shared" si="123"/>
        <v>0.34932410154962085</v>
      </c>
      <c r="AL201" s="100"/>
      <c r="AM201" s="111">
        <f t="shared" si="124"/>
        <v>3.3</v>
      </c>
      <c r="AN201" s="262">
        <f t="shared" si="125"/>
        <v>0.29017174714504085</v>
      </c>
      <c r="AO201" s="100"/>
      <c r="AP201" s="24" t="e">
        <f>VLOOKUP(C201,#REF!,6,FALSE)</f>
        <v>#REF!</v>
      </c>
      <c r="AQ201" s="24" t="e">
        <f>VLOOKUP(C201,#REF!,7,FALSE)</f>
        <v>#REF!</v>
      </c>
      <c r="AR201" s="24" t="e">
        <f>VLOOKUP(C201,#REF!,12,FALSE)</f>
        <v>#REF!</v>
      </c>
      <c r="AS201" s="24" t="e">
        <f>VLOOKUP(C201,#REF!,13,FALSE)</f>
        <v>#REF!</v>
      </c>
      <c r="AT201" s="100"/>
      <c r="AU201" s="100"/>
      <c r="AV201" s="100">
        <v>191</v>
      </c>
      <c r="AW201" s="100"/>
      <c r="AY201" s="128">
        <v>26900</v>
      </c>
    </row>
    <row r="202" spans="1:51" s="2" customFormat="1" ht="12.75" customHeight="1" x14ac:dyDescent="0.25">
      <c r="A202" s="132"/>
      <c r="B202" s="133"/>
      <c r="C202" s="133"/>
      <c r="D202" s="132"/>
      <c r="E202" s="132"/>
      <c r="F202" s="132"/>
      <c r="G202" s="132"/>
      <c r="H202" s="132"/>
      <c r="I202" s="132"/>
      <c r="J202" s="132"/>
      <c r="K202" s="132"/>
      <c r="L202" s="134"/>
      <c r="M202" s="132"/>
      <c r="N202" s="132"/>
      <c r="O202" s="132"/>
      <c r="P202" s="132"/>
      <c r="Q202" s="147"/>
      <c r="R202" s="356"/>
      <c r="S202" s="360"/>
      <c r="T202" s="307"/>
      <c r="U202" s="135"/>
      <c r="V202" s="100"/>
      <c r="W202"/>
      <c r="X202"/>
      <c r="Y202"/>
      <c r="Z202"/>
      <c r="AA202"/>
      <c r="AB202"/>
      <c r="AC202"/>
      <c r="AD202" s="263"/>
      <c r="AE202"/>
      <c r="AF202" s="100"/>
      <c r="AG202" s="263"/>
      <c r="AH202"/>
      <c r="AI202" s="100"/>
      <c r="AJ202" s="263"/>
      <c r="AK202"/>
      <c r="AL202" s="100"/>
      <c r="AM202" s="263"/>
      <c r="AN202"/>
      <c r="AO202" s="100"/>
      <c r="AP202" s="100"/>
      <c r="AQ202" s="100"/>
      <c r="AR202" s="100"/>
      <c r="AS202" s="100"/>
      <c r="AT202" s="100"/>
      <c r="AU202" s="100"/>
      <c r="AV202" s="100">
        <v>192</v>
      </c>
      <c r="AW202" s="100"/>
      <c r="AY202" s="134"/>
    </row>
    <row r="203" spans="1:51" s="2" customFormat="1" ht="12.75" customHeight="1" thickBot="1" x14ac:dyDescent="0.3">
      <c r="A203" s="132"/>
      <c r="B203" s="133"/>
      <c r="C203" s="133"/>
      <c r="D203" s="132"/>
      <c r="E203" s="132"/>
      <c r="F203" s="132"/>
      <c r="G203" s="132"/>
      <c r="H203" s="132"/>
      <c r="I203" s="132"/>
      <c r="J203" s="132"/>
      <c r="K203" s="132"/>
      <c r="L203" s="134"/>
      <c r="M203" s="132"/>
      <c r="N203" s="132"/>
      <c r="O203" s="132"/>
      <c r="P203" s="132"/>
      <c r="Q203" s="147"/>
      <c r="R203" s="356"/>
      <c r="S203" s="360"/>
      <c r="T203" s="307"/>
      <c r="U203" s="135"/>
      <c r="V203" s="100"/>
      <c r="W203"/>
      <c r="X203"/>
      <c r="Y203"/>
      <c r="Z203"/>
      <c r="AA203"/>
      <c r="AB203"/>
      <c r="AC203"/>
      <c r="AD203" s="263"/>
      <c r="AE203"/>
      <c r="AF203" s="100"/>
      <c r="AG203" s="263"/>
      <c r="AH203"/>
      <c r="AI203" s="100"/>
      <c r="AJ203" s="263"/>
      <c r="AK203"/>
      <c r="AL203" s="100"/>
      <c r="AM203" s="263"/>
      <c r="AN203"/>
      <c r="AO203" s="100"/>
      <c r="AP203" s="100"/>
      <c r="AQ203" s="100"/>
      <c r="AR203" s="100"/>
      <c r="AS203" s="100"/>
      <c r="AT203" s="100"/>
      <c r="AU203" s="100"/>
      <c r="AV203" s="100">
        <v>193</v>
      </c>
      <c r="AW203" s="100"/>
      <c r="AY203" s="134"/>
    </row>
    <row r="204" spans="1:51" s="2" customFormat="1" ht="12.75" customHeight="1" x14ac:dyDescent="0.25">
      <c r="A204" s="132"/>
      <c r="B204" s="133"/>
      <c r="C204" s="133"/>
      <c r="D204" s="132"/>
      <c r="E204" s="104" t="s">
        <v>1151</v>
      </c>
      <c r="F204" s="105"/>
      <c r="G204" s="132"/>
      <c r="H204" s="132"/>
      <c r="I204" s="132"/>
      <c r="J204" s="132"/>
      <c r="K204" s="132"/>
      <c r="L204" s="134"/>
      <c r="M204" s="132"/>
      <c r="N204" s="132"/>
      <c r="O204" s="132"/>
      <c r="P204" s="132"/>
      <c r="Q204" s="147"/>
      <c r="R204" s="356"/>
      <c r="S204" s="360"/>
      <c r="T204" s="307"/>
      <c r="U204" s="135"/>
      <c r="V204" s="100"/>
      <c r="W204"/>
      <c r="X204"/>
      <c r="Y204"/>
      <c r="Z204"/>
      <c r="AA204"/>
      <c r="AB204"/>
      <c r="AC204"/>
      <c r="AD204" s="263"/>
      <c r="AE204"/>
      <c r="AF204" s="100"/>
      <c r="AG204" s="263"/>
      <c r="AH204"/>
      <c r="AI204" s="100"/>
      <c r="AJ204" s="263"/>
      <c r="AK204"/>
      <c r="AL204" s="100"/>
      <c r="AM204" s="263"/>
      <c r="AN204"/>
      <c r="AO204" s="100"/>
      <c r="AP204" s="100"/>
      <c r="AQ204" s="100"/>
      <c r="AR204" s="100"/>
      <c r="AS204" s="100"/>
      <c r="AT204" s="100"/>
      <c r="AU204" s="100"/>
      <c r="AV204" s="100">
        <v>194</v>
      </c>
      <c r="AW204" s="100"/>
      <c r="AY204" s="134"/>
    </row>
    <row r="205" spans="1:51" s="68" customFormat="1" ht="12.75" customHeight="1" x14ac:dyDescent="0.2">
      <c r="A205" s="272" t="s">
        <v>1172</v>
      </c>
      <c r="B205" s="153">
        <v>9789500285353</v>
      </c>
      <c r="C205" s="145">
        <v>647012</v>
      </c>
      <c r="D205" s="272">
        <v>496</v>
      </c>
      <c r="E205" s="6" t="s">
        <v>359</v>
      </c>
      <c r="F205" s="6" t="s">
        <v>360</v>
      </c>
      <c r="G205" s="107">
        <v>43160</v>
      </c>
      <c r="H205" s="108">
        <v>45839</v>
      </c>
      <c r="I205" s="7">
        <v>1019</v>
      </c>
      <c r="J205" s="108" t="s">
        <v>1894</v>
      </c>
      <c r="K205" s="9">
        <v>5104.43</v>
      </c>
      <c r="L205" s="9">
        <v>35000</v>
      </c>
      <c r="M205" s="112">
        <f t="shared" ref="M205:M222" si="126">+L205*0.1</f>
        <v>3500</v>
      </c>
      <c r="N205" s="9">
        <f t="shared" ref="N205:N224" si="127">+L205/2</f>
        <v>17500</v>
      </c>
      <c r="O205" s="9">
        <f t="shared" ref="O205:O224" si="128">+N205-M205-K205</f>
        <v>8895.57</v>
      </c>
      <c r="P205" s="9">
        <f t="shared" ref="P205:P224" si="129">+M205+K205</f>
        <v>8604.43</v>
      </c>
      <c r="Q205" s="109">
        <f t="shared" ref="Q205:Q224" si="130">+O205/N205</f>
        <v>0.50831828571428572</v>
      </c>
      <c r="R205" s="335">
        <v>35000</v>
      </c>
      <c r="S205" s="359" t="s">
        <v>1948</v>
      </c>
      <c r="T205" s="305">
        <v>0.50831828571428572</v>
      </c>
      <c r="U205" s="164" t="s">
        <v>1744</v>
      </c>
      <c r="V205" s="100"/>
      <c r="W205" s="110">
        <f t="shared" ref="W205:W224" si="131">+L205</f>
        <v>35000</v>
      </c>
      <c r="X205" s="110">
        <f t="shared" ref="X205:X224" si="132">+K205</f>
        <v>5104.43</v>
      </c>
      <c r="Y205" s="110">
        <f t="shared" ref="Y205:Y224" si="133">+M205</f>
        <v>3500</v>
      </c>
      <c r="Z205" s="110">
        <f t="shared" ref="Z205:Z224" si="134">+W205/2-X205-Y205</f>
        <v>8895.57</v>
      </c>
      <c r="AA205" s="260">
        <f t="shared" ref="AA205:AA224" si="135">+Z205/(W205/2)</f>
        <v>0.50831828571428572</v>
      </c>
      <c r="AB205" s="28">
        <f t="shared" ref="AB205:AB224" si="136">ROUND($W205/2/$X$1,1)</f>
        <v>11.5</v>
      </c>
      <c r="AC205" s="261">
        <f t="shared" ref="AC205:AC224" si="137">+(AB205*$X$1-$X205-$Y205)/(AB205*$X$1)</f>
        <v>0.50661964764403156</v>
      </c>
      <c r="AD205" s="111">
        <f t="shared" ref="AD205:AD224" si="138">+IFERROR(ROUND(($X205+$Y205)/(1-$X$2)/$X$1,1),0)</f>
        <v>6</v>
      </c>
      <c r="AE205" s="262">
        <f t="shared" ref="AE205:AE224" si="139">+(AD205*$X$1-$X205-$Y205)/(AD205*$X$1)</f>
        <v>5.4354324651060527E-2</v>
      </c>
      <c r="AF205" s="100"/>
      <c r="AG205" s="111">
        <f t="shared" ref="AG205:AG224" si="140">+IFERROR(ROUND(($X205+$Y205)/(1-$AG$2)/$X$1,1),0)</f>
        <v>9.5</v>
      </c>
      <c r="AH205" s="262">
        <f t="shared" ref="AH205:AH224" si="141">+(AG205*$X$1-$X205-$Y205)/(AG205*$X$1)</f>
        <v>0.40275009977961718</v>
      </c>
      <c r="AI205" s="100"/>
      <c r="AJ205" s="111">
        <f t="shared" ref="AJ205:AJ224" si="142">+IFERROR(ROUND(($X205+$Y205)/(1-$AJ$2)/$X$1,1),0)</f>
        <v>8.6999999999999993</v>
      </c>
      <c r="AK205" s="262">
        <f t="shared" ref="AK205:AK224" si="143">+(AJ205*$X$1-$X205-$Y205)/(AJ205*$X$1)</f>
        <v>0.34783056872486928</v>
      </c>
      <c r="AL205" s="100"/>
      <c r="AM205" s="111">
        <f t="shared" ref="AM205:AM224" si="144">+IFERROR(ROUND(($X205+$Y205)/(1-$AM$2)/$X$1,1),0)</f>
        <v>8.1</v>
      </c>
      <c r="AN205" s="262">
        <f t="shared" ref="AN205:AN224" si="145">+(AM205*$X$1-$X205-$Y205)/(AM205*$X$1)</f>
        <v>0.29952172196374849</v>
      </c>
      <c r="AO205" s="100"/>
      <c r="AP205" s="24" t="e">
        <f>VLOOKUP(C205,#REF!,6,FALSE)</f>
        <v>#REF!</v>
      </c>
      <c r="AQ205" s="24" t="e">
        <f>VLOOKUP(C205,#REF!,7,FALSE)</f>
        <v>#REF!</v>
      </c>
      <c r="AR205" s="24" t="e">
        <f>VLOOKUP(C205,#REF!,12,FALSE)</f>
        <v>#REF!</v>
      </c>
      <c r="AS205" s="24" t="e">
        <f>VLOOKUP(C205,#REF!,13,FALSE)</f>
        <v>#REF!</v>
      </c>
      <c r="AT205" s="100"/>
      <c r="AU205" s="100"/>
      <c r="AV205" s="100">
        <v>195</v>
      </c>
      <c r="AY205" s="9">
        <v>35000</v>
      </c>
    </row>
    <row r="206" spans="1:51" s="2" customFormat="1" ht="12.75" customHeight="1" x14ac:dyDescent="0.2">
      <c r="A206" s="6" t="s">
        <v>1152</v>
      </c>
      <c r="B206" s="8">
        <v>9789500209052</v>
      </c>
      <c r="C206" s="8">
        <v>595689</v>
      </c>
      <c r="D206" s="7">
        <v>398</v>
      </c>
      <c r="E206" s="7" t="s">
        <v>143</v>
      </c>
      <c r="F206" s="6" t="s">
        <v>611</v>
      </c>
      <c r="G206" s="107">
        <v>42248</v>
      </c>
      <c r="H206" s="108">
        <v>42248</v>
      </c>
      <c r="I206" s="24">
        <v>910</v>
      </c>
      <c r="J206" s="28" t="s">
        <v>1894</v>
      </c>
      <c r="K206" s="28">
        <v>36.64</v>
      </c>
      <c r="L206" s="128">
        <v>17700</v>
      </c>
      <c r="M206" s="112">
        <f t="shared" si="126"/>
        <v>1770</v>
      </c>
      <c r="N206" s="9">
        <f t="shared" si="127"/>
        <v>8850</v>
      </c>
      <c r="O206" s="9">
        <f t="shared" si="128"/>
        <v>7043.36</v>
      </c>
      <c r="P206" s="9">
        <f t="shared" si="129"/>
        <v>1806.64</v>
      </c>
      <c r="Q206" s="139">
        <f t="shared" si="130"/>
        <v>0.79585988700564969</v>
      </c>
      <c r="R206" s="335">
        <v>17700</v>
      </c>
      <c r="S206" s="359" t="s">
        <v>1948</v>
      </c>
      <c r="T206" s="305">
        <v>0.79585988700564969</v>
      </c>
      <c r="U206" s="115" t="s">
        <v>1063</v>
      </c>
      <c r="V206" s="100"/>
      <c r="W206" s="110">
        <f t="shared" si="131"/>
        <v>17700</v>
      </c>
      <c r="X206" s="110">
        <f t="shared" si="132"/>
        <v>36.64</v>
      </c>
      <c r="Y206" s="110">
        <f t="shared" si="133"/>
        <v>1770</v>
      </c>
      <c r="Z206" s="110">
        <f t="shared" si="134"/>
        <v>7043.3600000000006</v>
      </c>
      <c r="AA206" s="260">
        <f t="shared" si="135"/>
        <v>0.7958598870056498</v>
      </c>
      <c r="AB206" s="28">
        <f t="shared" si="136"/>
        <v>5.8</v>
      </c>
      <c r="AC206" s="261">
        <f t="shared" si="137"/>
        <v>0.79459963391202526</v>
      </c>
      <c r="AD206" s="111">
        <f t="shared" si="138"/>
        <v>1.3</v>
      </c>
      <c r="AE206" s="262">
        <f t="shared" si="139"/>
        <v>8.359836668442007E-2</v>
      </c>
      <c r="AF206" s="100"/>
      <c r="AG206" s="111">
        <f t="shared" si="140"/>
        <v>2</v>
      </c>
      <c r="AH206" s="262">
        <f t="shared" si="141"/>
        <v>0.40433893834487311</v>
      </c>
      <c r="AI206" s="100"/>
      <c r="AJ206" s="111">
        <f t="shared" si="142"/>
        <v>1.8</v>
      </c>
      <c r="AK206" s="262">
        <f t="shared" si="143"/>
        <v>0.33815437593874798</v>
      </c>
      <c r="AL206" s="100"/>
      <c r="AM206" s="111">
        <f t="shared" si="144"/>
        <v>1.7</v>
      </c>
      <c r="AN206" s="262">
        <f t="shared" si="145"/>
        <v>0.29922228040573301</v>
      </c>
      <c r="AO206" s="100"/>
      <c r="AP206" s="24" t="e">
        <f>VLOOKUP(C206,#REF!,6,FALSE)</f>
        <v>#REF!</v>
      </c>
      <c r="AQ206" s="24" t="e">
        <f>VLOOKUP(C206,#REF!,7,FALSE)</f>
        <v>#REF!</v>
      </c>
      <c r="AR206" s="24" t="e">
        <f>VLOOKUP(C206,#REF!,12,FALSE)</f>
        <v>#REF!</v>
      </c>
      <c r="AS206" s="24" t="e">
        <f>VLOOKUP(C206,#REF!,13,FALSE)</f>
        <v>#REF!</v>
      </c>
      <c r="AT206" s="100"/>
      <c r="AU206" s="100"/>
      <c r="AV206" s="100">
        <v>196</v>
      </c>
      <c r="AW206" s="100"/>
      <c r="AY206" s="128">
        <v>17700</v>
      </c>
    </row>
    <row r="207" spans="1:51" s="2" customFormat="1" ht="12.75" customHeight="1" x14ac:dyDescent="0.2">
      <c r="A207" s="6" t="s">
        <v>1153</v>
      </c>
      <c r="B207" s="8">
        <v>9789500299404</v>
      </c>
      <c r="C207" s="21">
        <v>617592</v>
      </c>
      <c r="D207" s="7">
        <v>368</v>
      </c>
      <c r="E207" s="11" t="s">
        <v>134</v>
      </c>
      <c r="F207" s="11" t="s">
        <v>1154</v>
      </c>
      <c r="G207" s="107">
        <v>42614</v>
      </c>
      <c r="H207" s="108">
        <v>42552</v>
      </c>
      <c r="I207" s="24">
        <v>3009</v>
      </c>
      <c r="J207" s="28" t="s">
        <v>1894</v>
      </c>
      <c r="K207" s="28">
        <v>36.68</v>
      </c>
      <c r="L207" s="128">
        <v>17700</v>
      </c>
      <c r="M207" s="9">
        <f t="shared" si="126"/>
        <v>1770</v>
      </c>
      <c r="N207" s="9">
        <f t="shared" si="127"/>
        <v>8850</v>
      </c>
      <c r="O207" s="9">
        <f t="shared" si="128"/>
        <v>7043.32</v>
      </c>
      <c r="P207" s="9">
        <f t="shared" si="129"/>
        <v>1806.68</v>
      </c>
      <c r="Q207" s="139">
        <f t="shared" si="130"/>
        <v>0.79585536723163841</v>
      </c>
      <c r="R207" s="335">
        <v>17700</v>
      </c>
      <c r="S207" s="359" t="s">
        <v>1948</v>
      </c>
      <c r="T207" s="305">
        <v>0.79585536723163841</v>
      </c>
      <c r="U207" s="140"/>
      <c r="V207" s="100"/>
      <c r="W207" s="110">
        <f t="shared" si="131"/>
        <v>17700</v>
      </c>
      <c r="X207" s="110">
        <f t="shared" si="132"/>
        <v>36.68</v>
      </c>
      <c r="Y207" s="110">
        <f t="shared" si="133"/>
        <v>1770</v>
      </c>
      <c r="Z207" s="110">
        <f t="shared" si="134"/>
        <v>7043.32</v>
      </c>
      <c r="AA207" s="260">
        <f t="shared" si="135"/>
        <v>0.79585536723163841</v>
      </c>
      <c r="AB207" s="28">
        <f t="shared" si="136"/>
        <v>5.8</v>
      </c>
      <c r="AC207" s="261">
        <f t="shared" si="137"/>
        <v>0.79459508623531949</v>
      </c>
      <c r="AD207" s="111">
        <f t="shared" si="138"/>
        <v>1.3</v>
      </c>
      <c r="AE207" s="262">
        <f t="shared" si="139"/>
        <v>8.3578077049887123E-2</v>
      </c>
      <c r="AF207" s="100"/>
      <c r="AG207" s="111">
        <f t="shared" si="140"/>
        <v>2</v>
      </c>
      <c r="AH207" s="262">
        <f t="shared" si="141"/>
        <v>0.40432575008242672</v>
      </c>
      <c r="AI207" s="100"/>
      <c r="AJ207" s="111">
        <f t="shared" si="142"/>
        <v>1.8</v>
      </c>
      <c r="AK207" s="262">
        <f t="shared" si="143"/>
        <v>0.33813972231380751</v>
      </c>
      <c r="AL207" s="100"/>
      <c r="AM207" s="111">
        <f t="shared" si="144"/>
        <v>1.7</v>
      </c>
      <c r="AN207" s="262">
        <f t="shared" si="145"/>
        <v>0.29920676480285485</v>
      </c>
      <c r="AO207" s="100"/>
      <c r="AP207" s="24" t="e">
        <f>VLOOKUP(C207,#REF!,6,FALSE)</f>
        <v>#REF!</v>
      </c>
      <c r="AQ207" s="24" t="e">
        <f>VLOOKUP(C207,#REF!,7,FALSE)</f>
        <v>#REF!</v>
      </c>
      <c r="AR207" s="24" t="e">
        <f>VLOOKUP(C207,#REF!,12,FALSE)</f>
        <v>#REF!</v>
      </c>
      <c r="AS207" s="24" t="e">
        <f>VLOOKUP(C207,#REF!,13,FALSE)</f>
        <v>#REF!</v>
      </c>
      <c r="AT207" s="100"/>
      <c r="AU207" s="100"/>
      <c r="AV207" s="100">
        <v>197</v>
      </c>
      <c r="AW207" s="100"/>
      <c r="AY207" s="128">
        <v>17700</v>
      </c>
    </row>
    <row r="208" spans="1:51" s="2" customFormat="1" ht="12.75" customHeight="1" x14ac:dyDescent="0.2">
      <c r="A208" s="6" t="s">
        <v>1155</v>
      </c>
      <c r="B208" s="8">
        <v>9789500208185</v>
      </c>
      <c r="C208" s="21">
        <v>582181</v>
      </c>
      <c r="D208" s="25">
        <v>352</v>
      </c>
      <c r="E208" s="22" t="s">
        <v>142</v>
      </c>
      <c r="F208" s="145" t="s">
        <v>144</v>
      </c>
      <c r="G208" s="107">
        <v>41883</v>
      </c>
      <c r="H208" s="108">
        <v>41852</v>
      </c>
      <c r="I208" s="24">
        <v>3042</v>
      </c>
      <c r="J208" s="28" t="s">
        <v>1894</v>
      </c>
      <c r="K208" s="28">
        <v>20.85</v>
      </c>
      <c r="L208" s="128">
        <v>14000</v>
      </c>
      <c r="M208" s="9">
        <f t="shared" si="126"/>
        <v>1400</v>
      </c>
      <c r="N208" s="9">
        <f t="shared" si="127"/>
        <v>7000</v>
      </c>
      <c r="O208" s="9">
        <f t="shared" si="128"/>
        <v>5579.15</v>
      </c>
      <c r="P208" s="9">
        <f t="shared" si="129"/>
        <v>1420.85</v>
      </c>
      <c r="Q208" s="139">
        <f t="shared" si="130"/>
        <v>0.79702142857142855</v>
      </c>
      <c r="R208" s="335">
        <v>14000</v>
      </c>
      <c r="S208" s="359" t="s">
        <v>1948</v>
      </c>
      <c r="T208" s="305">
        <v>0.79702142857142855</v>
      </c>
      <c r="U208" s="144"/>
      <c r="V208" s="100"/>
      <c r="W208" s="110">
        <f t="shared" si="131"/>
        <v>14000</v>
      </c>
      <c r="X208" s="110">
        <f t="shared" si="132"/>
        <v>20.85</v>
      </c>
      <c r="Y208" s="110">
        <f t="shared" si="133"/>
        <v>1400</v>
      </c>
      <c r="Z208" s="110">
        <f t="shared" si="134"/>
        <v>5579.15</v>
      </c>
      <c r="AA208" s="260">
        <f t="shared" si="135"/>
        <v>0.79702142857142855</v>
      </c>
      <c r="AB208" s="28">
        <f t="shared" si="136"/>
        <v>4.5999999999999996</v>
      </c>
      <c r="AC208" s="261">
        <f t="shared" si="137"/>
        <v>0.79632018807609051</v>
      </c>
      <c r="AD208" s="111">
        <f t="shared" si="138"/>
        <v>1</v>
      </c>
      <c r="AE208" s="262">
        <f t="shared" si="139"/>
        <v>6.3072865150016547E-2</v>
      </c>
      <c r="AF208" s="100"/>
      <c r="AG208" s="111">
        <f t="shared" si="140"/>
        <v>1.6</v>
      </c>
      <c r="AH208" s="262">
        <f t="shared" si="141"/>
        <v>0.41442054071876039</v>
      </c>
      <c r="AI208" s="100"/>
      <c r="AJ208" s="111">
        <f t="shared" si="142"/>
        <v>1.4</v>
      </c>
      <c r="AK208" s="262">
        <f t="shared" si="143"/>
        <v>0.33076633225001179</v>
      </c>
      <c r="AL208" s="100"/>
      <c r="AM208" s="111">
        <f t="shared" si="144"/>
        <v>1.3</v>
      </c>
      <c r="AN208" s="262">
        <f t="shared" si="145"/>
        <v>0.27928681934616661</v>
      </c>
      <c r="AO208" s="100"/>
      <c r="AP208" s="24" t="e">
        <f>VLOOKUP(C208,#REF!,6,FALSE)</f>
        <v>#REF!</v>
      </c>
      <c r="AQ208" s="24" t="e">
        <f>VLOOKUP(C208,#REF!,7,FALSE)</f>
        <v>#REF!</v>
      </c>
      <c r="AR208" s="24" t="e">
        <f>VLOOKUP(C208,#REF!,12,FALSE)</f>
        <v>#REF!</v>
      </c>
      <c r="AS208" s="24" t="e">
        <f>VLOOKUP(C208,#REF!,13,FALSE)</f>
        <v>#REF!</v>
      </c>
      <c r="AT208" s="100"/>
      <c r="AU208" s="100"/>
      <c r="AV208" s="100">
        <v>198</v>
      </c>
      <c r="AW208" s="100"/>
      <c r="AY208" s="128">
        <v>14000</v>
      </c>
    </row>
    <row r="209" spans="1:51" s="2" customFormat="1" ht="12.75" customHeight="1" x14ac:dyDescent="0.2">
      <c r="A209" s="6" t="s">
        <v>1156</v>
      </c>
      <c r="B209" s="8">
        <v>9789500299640</v>
      </c>
      <c r="C209" s="380">
        <v>625987</v>
      </c>
      <c r="D209" s="25">
        <v>256</v>
      </c>
      <c r="E209" s="7" t="s">
        <v>132</v>
      </c>
      <c r="F209" s="11" t="s">
        <v>133</v>
      </c>
      <c r="G209" s="107">
        <v>42795</v>
      </c>
      <c r="H209" s="108">
        <v>42767</v>
      </c>
      <c r="I209" s="24">
        <v>2015</v>
      </c>
      <c r="J209" s="28" t="s">
        <v>1894</v>
      </c>
      <c r="K209" s="28">
        <v>32.24</v>
      </c>
      <c r="L209" s="128">
        <v>17700</v>
      </c>
      <c r="M209" s="9">
        <f t="shared" si="126"/>
        <v>1770</v>
      </c>
      <c r="N209" s="9">
        <f t="shared" si="127"/>
        <v>8850</v>
      </c>
      <c r="O209" s="9">
        <f t="shared" si="128"/>
        <v>7047.76</v>
      </c>
      <c r="P209" s="9">
        <f t="shared" si="129"/>
        <v>1802.24</v>
      </c>
      <c r="Q209" s="139">
        <f t="shared" si="130"/>
        <v>0.79635706214689272</v>
      </c>
      <c r="R209" s="335">
        <v>17700</v>
      </c>
      <c r="S209" s="359" t="s">
        <v>1948</v>
      </c>
      <c r="T209" s="305">
        <v>0.79635706214689272</v>
      </c>
      <c r="U209" s="144"/>
      <c r="V209" s="100"/>
      <c r="W209" s="110">
        <f t="shared" si="131"/>
        <v>17700</v>
      </c>
      <c r="X209" s="110">
        <f t="shared" si="132"/>
        <v>32.24</v>
      </c>
      <c r="Y209" s="110">
        <f t="shared" si="133"/>
        <v>1770</v>
      </c>
      <c r="Z209" s="110">
        <f t="shared" si="134"/>
        <v>7047.76</v>
      </c>
      <c r="AA209" s="260">
        <f t="shared" si="135"/>
        <v>0.79635706214689272</v>
      </c>
      <c r="AB209" s="28">
        <f t="shared" si="136"/>
        <v>5.8</v>
      </c>
      <c r="AC209" s="261">
        <f t="shared" si="137"/>
        <v>0.79509987834964813</v>
      </c>
      <c r="AD209" s="111">
        <f t="shared" si="138"/>
        <v>1.3</v>
      </c>
      <c r="AE209" s="262">
        <f t="shared" si="139"/>
        <v>8.5830226483045488E-2</v>
      </c>
      <c r="AF209" s="100"/>
      <c r="AG209" s="111">
        <f t="shared" si="140"/>
        <v>2</v>
      </c>
      <c r="AH209" s="262">
        <f t="shared" si="141"/>
        <v>0.40578964721397964</v>
      </c>
      <c r="AI209" s="100"/>
      <c r="AJ209" s="111">
        <f t="shared" si="142"/>
        <v>1.8</v>
      </c>
      <c r="AK209" s="262">
        <f t="shared" si="143"/>
        <v>0.33976627468219966</v>
      </c>
      <c r="AL209" s="100"/>
      <c r="AM209" s="111">
        <f t="shared" si="144"/>
        <v>1.7</v>
      </c>
      <c r="AN209" s="262">
        <f t="shared" si="145"/>
        <v>0.30092899672232892</v>
      </c>
      <c r="AO209" s="100"/>
      <c r="AP209" s="24" t="e">
        <f>VLOOKUP(C209,#REF!,6,FALSE)</f>
        <v>#REF!</v>
      </c>
      <c r="AQ209" s="24" t="e">
        <f>VLOOKUP(C209,#REF!,7,FALSE)</f>
        <v>#REF!</v>
      </c>
      <c r="AR209" s="24" t="e">
        <f>VLOOKUP(C209,#REF!,12,FALSE)</f>
        <v>#REF!</v>
      </c>
      <c r="AS209" s="24" t="e">
        <f>VLOOKUP(C209,#REF!,13,FALSE)</f>
        <v>#REF!</v>
      </c>
      <c r="AT209" s="100"/>
      <c r="AU209" s="100"/>
      <c r="AV209" s="100">
        <v>199</v>
      </c>
      <c r="AW209" s="100"/>
      <c r="AY209" s="128">
        <v>17700</v>
      </c>
    </row>
    <row r="210" spans="1:51" s="2" customFormat="1" ht="12.75" customHeight="1" x14ac:dyDescent="0.2">
      <c r="A210" s="11" t="s">
        <v>1157</v>
      </c>
      <c r="B210" s="13">
        <v>9789500209939</v>
      </c>
      <c r="C210" s="6">
        <v>658649</v>
      </c>
      <c r="D210" s="7">
        <v>256</v>
      </c>
      <c r="E210" s="6" t="s">
        <v>1158</v>
      </c>
      <c r="F210" s="11" t="s">
        <v>1159</v>
      </c>
      <c r="G210" s="107">
        <v>43435</v>
      </c>
      <c r="H210" s="108">
        <v>43525</v>
      </c>
      <c r="I210" s="24">
        <v>1565</v>
      </c>
      <c r="J210" s="28" t="s">
        <v>1894</v>
      </c>
      <c r="K210" s="28">
        <v>55.53</v>
      </c>
      <c r="L210" s="128">
        <v>17700</v>
      </c>
      <c r="M210" s="9">
        <f t="shared" si="126"/>
        <v>1770</v>
      </c>
      <c r="N210" s="9">
        <f t="shared" si="127"/>
        <v>8850</v>
      </c>
      <c r="O210" s="9">
        <f t="shared" si="128"/>
        <v>7024.47</v>
      </c>
      <c r="P210" s="9">
        <f t="shared" si="129"/>
        <v>1825.53</v>
      </c>
      <c r="Q210" s="139">
        <f t="shared" si="130"/>
        <v>0.79372542372881361</v>
      </c>
      <c r="R210" s="335">
        <v>17700</v>
      </c>
      <c r="S210" s="359" t="s">
        <v>1948</v>
      </c>
      <c r="T210" s="305">
        <v>0.79372542372881361</v>
      </c>
      <c r="U210" s="115"/>
      <c r="V210" s="100"/>
      <c r="W210" s="110">
        <f t="shared" si="131"/>
        <v>17700</v>
      </c>
      <c r="X210" s="110">
        <f t="shared" si="132"/>
        <v>55.53</v>
      </c>
      <c r="Y210" s="110">
        <f t="shared" si="133"/>
        <v>1770</v>
      </c>
      <c r="Z210" s="110">
        <f t="shared" si="134"/>
        <v>7024.4699999999993</v>
      </c>
      <c r="AA210" s="260">
        <f t="shared" si="135"/>
        <v>0.7937254237288135</v>
      </c>
      <c r="AB210" s="28">
        <f t="shared" si="136"/>
        <v>5.8</v>
      </c>
      <c r="AC210" s="261">
        <f t="shared" si="137"/>
        <v>0.79245199358777574</v>
      </c>
      <c r="AD210" s="111">
        <f t="shared" si="138"/>
        <v>1.3</v>
      </c>
      <c r="AE210" s="262">
        <f t="shared" si="139"/>
        <v>7.4016586776230728E-2</v>
      </c>
      <c r="AF210" s="100"/>
      <c r="AG210" s="111">
        <f t="shared" si="140"/>
        <v>2</v>
      </c>
      <c r="AH210" s="262">
        <f t="shared" si="141"/>
        <v>0.39811078140454986</v>
      </c>
      <c r="AI210" s="100"/>
      <c r="AJ210" s="111">
        <f t="shared" si="142"/>
        <v>1.9</v>
      </c>
      <c r="AK210" s="262">
        <f t="shared" si="143"/>
        <v>0.36643240147847356</v>
      </c>
      <c r="AL210" s="100"/>
      <c r="AM210" s="111">
        <f t="shared" si="144"/>
        <v>1.7</v>
      </c>
      <c r="AN210" s="262">
        <f t="shared" si="145"/>
        <v>0.29189503694652918</v>
      </c>
      <c r="AO210" s="100"/>
      <c r="AP210" s="24" t="e">
        <f>VLOOKUP(C210,#REF!,6,FALSE)</f>
        <v>#REF!</v>
      </c>
      <c r="AQ210" s="24" t="e">
        <f>VLOOKUP(C210,#REF!,7,FALSE)</f>
        <v>#REF!</v>
      </c>
      <c r="AR210" s="24" t="e">
        <f>VLOOKUP(C210,#REF!,12,FALSE)</f>
        <v>#REF!</v>
      </c>
      <c r="AS210" s="24" t="e">
        <f>VLOOKUP(C210,#REF!,13,FALSE)</f>
        <v>#REF!</v>
      </c>
      <c r="AT210" s="100">
        <v>14</v>
      </c>
      <c r="AU210" s="100"/>
      <c r="AV210" s="100">
        <v>200</v>
      </c>
      <c r="AW210" s="100"/>
      <c r="AY210" s="128">
        <v>17700</v>
      </c>
    </row>
    <row r="211" spans="1:51" s="2" customFormat="1" ht="12.75" customHeight="1" x14ac:dyDescent="0.2">
      <c r="A211" s="6" t="s">
        <v>1160</v>
      </c>
      <c r="B211" s="8">
        <v>9789500208741</v>
      </c>
      <c r="C211" s="21">
        <v>591832</v>
      </c>
      <c r="D211" s="25">
        <v>352</v>
      </c>
      <c r="E211" s="22" t="s">
        <v>1161</v>
      </c>
      <c r="F211" s="6" t="s">
        <v>141</v>
      </c>
      <c r="G211" s="107">
        <v>42125</v>
      </c>
      <c r="H211" s="108">
        <v>42095</v>
      </c>
      <c r="I211" s="24">
        <v>3068</v>
      </c>
      <c r="J211" s="28" t="s">
        <v>2136</v>
      </c>
      <c r="K211" s="28">
        <v>27.93</v>
      </c>
      <c r="L211" s="128">
        <v>20800</v>
      </c>
      <c r="M211" s="9">
        <f t="shared" si="126"/>
        <v>2080</v>
      </c>
      <c r="N211" s="9">
        <f t="shared" si="127"/>
        <v>10400</v>
      </c>
      <c r="O211" s="9">
        <f t="shared" si="128"/>
        <v>8292.07</v>
      </c>
      <c r="P211" s="9">
        <f t="shared" si="129"/>
        <v>2107.9299999999998</v>
      </c>
      <c r="Q211" s="139">
        <f t="shared" si="130"/>
        <v>0.79731442307692302</v>
      </c>
      <c r="R211" s="335">
        <v>20800</v>
      </c>
      <c r="S211" s="359" t="s">
        <v>1948</v>
      </c>
      <c r="T211" s="305">
        <v>0.79731442307692302</v>
      </c>
      <c r="U211" s="144"/>
      <c r="V211" s="100"/>
      <c r="W211" s="110">
        <f t="shared" si="131"/>
        <v>20800</v>
      </c>
      <c r="X211" s="110">
        <f t="shared" si="132"/>
        <v>27.93</v>
      </c>
      <c r="Y211" s="110">
        <f t="shared" si="133"/>
        <v>2080</v>
      </c>
      <c r="Z211" s="110">
        <f t="shared" si="134"/>
        <v>8292.07</v>
      </c>
      <c r="AA211" s="260">
        <f t="shared" si="135"/>
        <v>0.79731442307692302</v>
      </c>
      <c r="AB211" s="28">
        <f t="shared" si="136"/>
        <v>6.9</v>
      </c>
      <c r="AC211" s="261">
        <f t="shared" si="137"/>
        <v>0.79855120247327704</v>
      </c>
      <c r="AD211" s="111">
        <f t="shared" si="138"/>
        <v>1.5</v>
      </c>
      <c r="AE211" s="262">
        <f t="shared" si="139"/>
        <v>7.3335531377074478E-2</v>
      </c>
      <c r="AF211" s="100"/>
      <c r="AG211" s="111">
        <f t="shared" si="140"/>
        <v>2.2999999999999998</v>
      </c>
      <c r="AH211" s="262">
        <f t="shared" si="141"/>
        <v>0.39565360741983113</v>
      </c>
      <c r="AI211" s="100"/>
      <c r="AJ211" s="111">
        <f t="shared" si="142"/>
        <v>2.1</v>
      </c>
      <c r="AK211" s="262">
        <f t="shared" si="143"/>
        <v>0.3380968081264818</v>
      </c>
      <c r="AL211" s="100"/>
      <c r="AM211" s="111">
        <f t="shared" si="144"/>
        <v>2</v>
      </c>
      <c r="AN211" s="262">
        <f t="shared" si="145"/>
        <v>0.30500164853280587</v>
      </c>
      <c r="AO211" s="100"/>
      <c r="AP211" s="24" t="e">
        <f>VLOOKUP(C211,#REF!,6,FALSE)</f>
        <v>#REF!</v>
      </c>
      <c r="AQ211" s="24" t="e">
        <f>VLOOKUP(C211,#REF!,7,FALSE)</f>
        <v>#REF!</v>
      </c>
      <c r="AR211" s="24" t="e">
        <f>VLOOKUP(C211,#REF!,12,FALSE)</f>
        <v>#REF!</v>
      </c>
      <c r="AS211" s="24" t="e">
        <f>VLOOKUP(C211,#REF!,13,FALSE)</f>
        <v>#REF!</v>
      </c>
      <c r="AT211" s="100"/>
      <c r="AU211" s="100"/>
      <c r="AV211" s="100">
        <v>201</v>
      </c>
      <c r="AW211" s="100"/>
      <c r="AY211" s="128">
        <v>20800</v>
      </c>
    </row>
    <row r="212" spans="1:51" s="2" customFormat="1" ht="12.75" customHeight="1" x14ac:dyDescent="0.2">
      <c r="A212" s="6" t="s">
        <v>1162</v>
      </c>
      <c r="B212" s="8">
        <v>9789500298919</v>
      </c>
      <c r="C212" s="6">
        <v>622047</v>
      </c>
      <c r="D212" s="7">
        <v>272</v>
      </c>
      <c r="E212" s="7" t="s">
        <v>138</v>
      </c>
      <c r="F212" s="7" t="s">
        <v>1163</v>
      </c>
      <c r="G212" s="107">
        <v>42675</v>
      </c>
      <c r="H212" s="108">
        <v>42644</v>
      </c>
      <c r="I212" s="24">
        <v>2025</v>
      </c>
      <c r="J212" s="28" t="s">
        <v>1894</v>
      </c>
      <c r="K212" s="28">
        <v>50.52</v>
      </c>
      <c r="L212" s="128">
        <v>17700</v>
      </c>
      <c r="M212" s="112">
        <f t="shared" si="126"/>
        <v>1770</v>
      </c>
      <c r="N212" s="9">
        <f t="shared" si="127"/>
        <v>8850</v>
      </c>
      <c r="O212" s="9">
        <f t="shared" si="128"/>
        <v>7029.48</v>
      </c>
      <c r="P212" s="9">
        <f t="shared" si="129"/>
        <v>1820.52</v>
      </c>
      <c r="Q212" s="139">
        <f t="shared" si="130"/>
        <v>0.79429152542372872</v>
      </c>
      <c r="R212" s="335">
        <v>17700</v>
      </c>
      <c r="S212" s="359" t="s">
        <v>1948</v>
      </c>
      <c r="T212" s="305">
        <v>0.79429152542372872</v>
      </c>
      <c r="U212" s="157"/>
      <c r="V212" s="100"/>
      <c r="W212" s="110">
        <f t="shared" si="131"/>
        <v>17700</v>
      </c>
      <c r="X212" s="110">
        <f t="shared" si="132"/>
        <v>50.52</v>
      </c>
      <c r="Y212" s="110">
        <f t="shared" si="133"/>
        <v>1770</v>
      </c>
      <c r="Z212" s="110">
        <f t="shared" si="134"/>
        <v>7029.48</v>
      </c>
      <c r="AA212" s="260">
        <f t="shared" si="135"/>
        <v>0.79429152542372872</v>
      </c>
      <c r="AB212" s="28">
        <f t="shared" si="136"/>
        <v>5.8</v>
      </c>
      <c r="AC212" s="261">
        <f t="shared" si="137"/>
        <v>0.79302159009516004</v>
      </c>
      <c r="AD212" s="111">
        <f t="shared" si="138"/>
        <v>1.3</v>
      </c>
      <c r="AE212" s="262">
        <f t="shared" si="139"/>
        <v>7.6557863501483706E-2</v>
      </c>
      <c r="AF212" s="100"/>
      <c r="AG212" s="111">
        <f t="shared" si="140"/>
        <v>2</v>
      </c>
      <c r="AH212" s="262">
        <f t="shared" si="141"/>
        <v>0.39976261127596441</v>
      </c>
      <c r="AI212" s="100"/>
      <c r="AJ212" s="111">
        <f t="shared" si="142"/>
        <v>1.8</v>
      </c>
      <c r="AK212" s="262">
        <f t="shared" si="143"/>
        <v>0.33306956808440497</v>
      </c>
      <c r="AL212" s="100"/>
      <c r="AM212" s="111">
        <f t="shared" si="144"/>
        <v>1.7</v>
      </c>
      <c r="AN212" s="262">
        <f t="shared" si="145"/>
        <v>0.29383836620701687</v>
      </c>
      <c r="AO212" s="100"/>
      <c r="AP212" s="24" t="e">
        <f>VLOOKUP(C212,#REF!,6,FALSE)</f>
        <v>#REF!</v>
      </c>
      <c r="AQ212" s="24" t="e">
        <f>VLOOKUP(C212,#REF!,7,FALSE)</f>
        <v>#REF!</v>
      </c>
      <c r="AR212" s="24" t="e">
        <f>VLOOKUP(C212,#REF!,12,FALSE)</f>
        <v>#REF!</v>
      </c>
      <c r="AS212" s="24" t="e">
        <f>VLOOKUP(C212,#REF!,13,FALSE)</f>
        <v>#REF!</v>
      </c>
      <c r="AT212" s="100">
        <v>15</v>
      </c>
      <c r="AU212" s="100"/>
      <c r="AV212" s="100">
        <v>202</v>
      </c>
      <c r="AW212" s="100"/>
      <c r="AY212" s="128">
        <v>17700</v>
      </c>
    </row>
    <row r="213" spans="1:51" s="2" customFormat="1" ht="12.75" customHeight="1" x14ac:dyDescent="0.2">
      <c r="A213" s="6" t="s">
        <v>1164</v>
      </c>
      <c r="B213" s="8">
        <v>9789500208734</v>
      </c>
      <c r="C213" s="8">
        <v>592799</v>
      </c>
      <c r="D213" s="25">
        <v>400</v>
      </c>
      <c r="E213" s="22" t="s">
        <v>145</v>
      </c>
      <c r="F213" s="6" t="s">
        <v>146</v>
      </c>
      <c r="G213" s="107">
        <v>42156</v>
      </c>
      <c r="H213" s="108">
        <v>42125</v>
      </c>
      <c r="I213" s="24">
        <v>3070</v>
      </c>
      <c r="J213" s="28" t="s">
        <v>1894</v>
      </c>
      <c r="K213" s="28">
        <v>27.73</v>
      </c>
      <c r="L213" s="128">
        <v>17700</v>
      </c>
      <c r="M213" s="112">
        <f t="shared" si="126"/>
        <v>1770</v>
      </c>
      <c r="N213" s="9">
        <f t="shared" si="127"/>
        <v>8850</v>
      </c>
      <c r="O213" s="9">
        <f t="shared" si="128"/>
        <v>7052.27</v>
      </c>
      <c r="P213" s="9">
        <f t="shared" si="129"/>
        <v>1797.73</v>
      </c>
      <c r="Q213" s="139">
        <f t="shared" si="130"/>
        <v>0.79686666666666672</v>
      </c>
      <c r="R213" s="335">
        <v>17700</v>
      </c>
      <c r="S213" s="359" t="s">
        <v>1948</v>
      </c>
      <c r="T213" s="305">
        <v>0.79686666666666672</v>
      </c>
      <c r="U213" s="144"/>
      <c r="V213" s="100"/>
      <c r="W213" s="110">
        <f t="shared" si="131"/>
        <v>17700</v>
      </c>
      <c r="X213" s="110">
        <f t="shared" si="132"/>
        <v>27.73</v>
      </c>
      <c r="Y213" s="110">
        <f t="shared" si="133"/>
        <v>1770</v>
      </c>
      <c r="Z213" s="110">
        <f t="shared" si="134"/>
        <v>7052.27</v>
      </c>
      <c r="AA213" s="260">
        <f t="shared" si="135"/>
        <v>0.79686666666666672</v>
      </c>
      <c r="AB213" s="28">
        <f t="shared" si="136"/>
        <v>5.8</v>
      </c>
      <c r="AC213" s="261">
        <f t="shared" si="137"/>
        <v>0.7956126288982116</v>
      </c>
      <c r="AD213" s="111">
        <f t="shared" si="138"/>
        <v>1.2</v>
      </c>
      <c r="AE213" s="262">
        <f t="shared" si="139"/>
        <v>1.2127706341356159E-2</v>
      </c>
      <c r="AF213" s="100"/>
      <c r="AG213" s="111">
        <f t="shared" si="140"/>
        <v>2</v>
      </c>
      <c r="AH213" s="262">
        <f t="shared" si="141"/>
        <v>0.40727662380481372</v>
      </c>
      <c r="AI213" s="100"/>
      <c r="AJ213" s="111">
        <f t="shared" si="142"/>
        <v>1.8</v>
      </c>
      <c r="AK213" s="262">
        <f t="shared" si="143"/>
        <v>0.34141847089423755</v>
      </c>
      <c r="AL213" s="100"/>
      <c r="AM213" s="111">
        <f t="shared" si="144"/>
        <v>1.7</v>
      </c>
      <c r="AN213" s="262">
        <f t="shared" si="145"/>
        <v>0.30267838094683958</v>
      </c>
      <c r="AO213" s="100"/>
      <c r="AP213" s="24" t="e">
        <f>VLOOKUP(C213,#REF!,6,FALSE)</f>
        <v>#REF!</v>
      </c>
      <c r="AQ213" s="24" t="e">
        <f>VLOOKUP(C213,#REF!,7,FALSE)</f>
        <v>#REF!</v>
      </c>
      <c r="AR213" s="24" t="e">
        <f>VLOOKUP(C213,#REF!,12,FALSE)</f>
        <v>#REF!</v>
      </c>
      <c r="AS213" s="24" t="e">
        <f>VLOOKUP(C213,#REF!,13,FALSE)</f>
        <v>#REF!</v>
      </c>
      <c r="AT213" s="100"/>
      <c r="AU213" s="100"/>
      <c r="AV213" s="100">
        <v>203</v>
      </c>
      <c r="AW213" s="100"/>
      <c r="AY213" s="128">
        <v>17700</v>
      </c>
    </row>
    <row r="214" spans="1:51" s="2" customFormat="1" ht="12.75" customHeight="1" x14ac:dyDescent="0.2">
      <c r="A214" s="6" t="s">
        <v>1165</v>
      </c>
      <c r="B214" s="8">
        <v>9789500209007</v>
      </c>
      <c r="C214" s="21">
        <v>593814</v>
      </c>
      <c r="D214" s="25">
        <v>240</v>
      </c>
      <c r="E214" s="22" t="s">
        <v>1166</v>
      </c>
      <c r="F214" s="6" t="s">
        <v>135</v>
      </c>
      <c r="G214" s="107">
        <v>42186</v>
      </c>
      <c r="H214" s="108">
        <v>42156</v>
      </c>
      <c r="I214" s="24">
        <v>3008</v>
      </c>
      <c r="J214" s="28" t="s">
        <v>1894</v>
      </c>
      <c r="K214" s="28">
        <v>20.73</v>
      </c>
      <c r="L214" s="128">
        <v>17700</v>
      </c>
      <c r="M214" s="112">
        <f t="shared" si="126"/>
        <v>1770</v>
      </c>
      <c r="N214" s="9">
        <f t="shared" si="127"/>
        <v>8850</v>
      </c>
      <c r="O214" s="9">
        <f t="shared" si="128"/>
        <v>7059.27</v>
      </c>
      <c r="P214" s="9">
        <f t="shared" si="129"/>
        <v>1790.73</v>
      </c>
      <c r="Q214" s="139">
        <f t="shared" si="130"/>
        <v>0.79765762711864407</v>
      </c>
      <c r="R214" s="335">
        <v>17700</v>
      </c>
      <c r="S214" s="359" t="s">
        <v>1948</v>
      </c>
      <c r="T214" s="305">
        <v>0.79765762711864407</v>
      </c>
      <c r="U214" s="144"/>
      <c r="V214" s="100"/>
      <c r="W214" s="110">
        <f t="shared" si="131"/>
        <v>17700</v>
      </c>
      <c r="X214" s="110">
        <f t="shared" si="132"/>
        <v>20.73</v>
      </c>
      <c r="Y214" s="110">
        <f t="shared" si="133"/>
        <v>1770</v>
      </c>
      <c r="Z214" s="110">
        <f t="shared" si="134"/>
        <v>7059.27</v>
      </c>
      <c r="AA214" s="260">
        <f t="shared" si="135"/>
        <v>0.79765762711864407</v>
      </c>
      <c r="AB214" s="28">
        <f t="shared" si="136"/>
        <v>5.8</v>
      </c>
      <c r="AC214" s="261">
        <f t="shared" si="137"/>
        <v>0.79640847232170264</v>
      </c>
      <c r="AD214" s="111">
        <f t="shared" si="138"/>
        <v>1.2</v>
      </c>
      <c r="AE214" s="262">
        <f t="shared" si="139"/>
        <v>1.5974282888229441E-2</v>
      </c>
      <c r="AF214" s="100"/>
      <c r="AG214" s="111">
        <f t="shared" si="140"/>
        <v>2</v>
      </c>
      <c r="AH214" s="262">
        <f t="shared" si="141"/>
        <v>0.40958456973293766</v>
      </c>
      <c r="AI214" s="100"/>
      <c r="AJ214" s="111">
        <f t="shared" si="142"/>
        <v>1.8</v>
      </c>
      <c r="AK214" s="262">
        <f t="shared" si="143"/>
        <v>0.34398285525881972</v>
      </c>
      <c r="AL214" s="100"/>
      <c r="AM214" s="111">
        <f t="shared" si="144"/>
        <v>1.7</v>
      </c>
      <c r="AN214" s="262">
        <f t="shared" si="145"/>
        <v>0.30539361145051486</v>
      </c>
      <c r="AO214" s="100"/>
      <c r="AP214" s="24" t="e">
        <f>VLOOKUP(C214,#REF!,6,FALSE)</f>
        <v>#REF!</v>
      </c>
      <c r="AQ214" s="24" t="e">
        <f>VLOOKUP(C214,#REF!,7,FALSE)</f>
        <v>#REF!</v>
      </c>
      <c r="AR214" s="24" t="e">
        <f>VLOOKUP(C214,#REF!,12,FALSE)</f>
        <v>#REF!</v>
      </c>
      <c r="AS214" s="24" t="e">
        <f>VLOOKUP(C214,#REF!,13,FALSE)</f>
        <v>#REF!</v>
      </c>
      <c r="AT214" s="100"/>
      <c r="AU214" s="100"/>
      <c r="AV214" s="100">
        <v>204</v>
      </c>
      <c r="AW214" s="100"/>
      <c r="AY214" s="128">
        <v>17700</v>
      </c>
    </row>
    <row r="215" spans="1:51" s="2" customFormat="1" ht="12.75" customHeight="1" x14ac:dyDescent="0.2">
      <c r="A215" s="6" t="s">
        <v>1167</v>
      </c>
      <c r="B215" s="8">
        <v>9789500207584</v>
      </c>
      <c r="C215" s="21">
        <v>569646</v>
      </c>
      <c r="D215" s="25">
        <v>304</v>
      </c>
      <c r="E215" s="22" t="s">
        <v>142</v>
      </c>
      <c r="F215" s="6" t="s">
        <v>612</v>
      </c>
      <c r="G215" s="107">
        <v>41548</v>
      </c>
      <c r="H215" s="108">
        <v>42186</v>
      </c>
      <c r="I215" s="24">
        <v>1053</v>
      </c>
      <c r="J215" s="28" t="s">
        <v>1894</v>
      </c>
      <c r="K215" s="28">
        <v>30.6</v>
      </c>
      <c r="L215" s="128">
        <v>14200</v>
      </c>
      <c r="M215" s="112">
        <f t="shared" si="126"/>
        <v>1420</v>
      </c>
      <c r="N215" s="9">
        <f t="shared" si="127"/>
        <v>7100</v>
      </c>
      <c r="O215" s="9">
        <f t="shared" si="128"/>
        <v>5649.4</v>
      </c>
      <c r="P215" s="9">
        <f t="shared" si="129"/>
        <v>1450.6</v>
      </c>
      <c r="Q215" s="139">
        <f t="shared" si="130"/>
        <v>0.79569014084507039</v>
      </c>
      <c r="R215" s="335">
        <v>14200</v>
      </c>
      <c r="S215" s="359" t="s">
        <v>1948</v>
      </c>
      <c r="T215" s="305">
        <v>0.79569014084507039</v>
      </c>
      <c r="U215" s="144"/>
      <c r="V215" s="100"/>
      <c r="W215" s="110">
        <f t="shared" si="131"/>
        <v>14200</v>
      </c>
      <c r="X215" s="110">
        <f t="shared" si="132"/>
        <v>30.6</v>
      </c>
      <c r="Y215" s="110">
        <f t="shared" si="133"/>
        <v>1420</v>
      </c>
      <c r="Z215" s="110">
        <f t="shared" si="134"/>
        <v>5649.4</v>
      </c>
      <c r="AA215" s="260">
        <f t="shared" si="135"/>
        <v>0.79569014084507039</v>
      </c>
      <c r="AB215" s="28">
        <f t="shared" si="136"/>
        <v>4.7</v>
      </c>
      <c r="AC215" s="261">
        <f t="shared" si="137"/>
        <v>0.79647985633211971</v>
      </c>
      <c r="AD215" s="111">
        <f t="shared" si="138"/>
        <v>1</v>
      </c>
      <c r="AE215" s="262">
        <f t="shared" si="139"/>
        <v>4.3455324760962803E-2</v>
      </c>
      <c r="AF215" s="100"/>
      <c r="AG215" s="111">
        <f t="shared" si="140"/>
        <v>1.6</v>
      </c>
      <c r="AH215" s="262">
        <f t="shared" si="141"/>
        <v>0.40215957797560176</v>
      </c>
      <c r="AI215" s="100"/>
      <c r="AJ215" s="111">
        <f t="shared" si="142"/>
        <v>1.5</v>
      </c>
      <c r="AK215" s="262">
        <f t="shared" si="143"/>
        <v>0.36230354984064189</v>
      </c>
      <c r="AL215" s="100"/>
      <c r="AM215" s="111">
        <f t="shared" si="144"/>
        <v>1.4</v>
      </c>
      <c r="AN215" s="262">
        <f t="shared" si="145"/>
        <v>0.31675380340068771</v>
      </c>
      <c r="AO215" s="100"/>
      <c r="AP215" s="24" t="e">
        <f>VLOOKUP(C215,#REF!,6,FALSE)</f>
        <v>#REF!</v>
      </c>
      <c r="AQ215" s="24" t="e">
        <f>VLOOKUP(C215,#REF!,7,FALSE)</f>
        <v>#REF!</v>
      </c>
      <c r="AR215" s="24" t="e">
        <f>VLOOKUP(C215,#REF!,12,FALSE)</f>
        <v>#REF!</v>
      </c>
      <c r="AS215" s="24" t="e">
        <f>VLOOKUP(C215,#REF!,13,FALSE)</f>
        <v>#REF!</v>
      </c>
      <c r="AT215" s="100"/>
      <c r="AU215" s="100"/>
      <c r="AV215" s="100">
        <v>205</v>
      </c>
      <c r="AW215" s="100"/>
      <c r="AY215" s="128">
        <v>14200</v>
      </c>
    </row>
    <row r="216" spans="1:51" s="2" customFormat="1" ht="12.75" customHeight="1" x14ac:dyDescent="0.2">
      <c r="A216" s="7" t="s">
        <v>1168</v>
      </c>
      <c r="B216" s="8">
        <v>9789500206594</v>
      </c>
      <c r="C216" s="8">
        <v>539264</v>
      </c>
      <c r="D216" s="25">
        <v>320</v>
      </c>
      <c r="E216" s="7" t="s">
        <v>99</v>
      </c>
      <c r="F216" s="7" t="s">
        <v>1169</v>
      </c>
      <c r="G216" s="107">
        <v>40848</v>
      </c>
      <c r="H216" s="108">
        <v>40817</v>
      </c>
      <c r="I216" s="24">
        <v>2903</v>
      </c>
      <c r="J216" s="28" t="s">
        <v>1894</v>
      </c>
      <c r="K216" s="28">
        <v>13.66</v>
      </c>
      <c r="L216" s="128">
        <v>14100</v>
      </c>
      <c r="M216" s="112">
        <f t="shared" si="126"/>
        <v>1410</v>
      </c>
      <c r="N216" s="9">
        <f t="shared" si="127"/>
        <v>7050</v>
      </c>
      <c r="O216" s="9">
        <f t="shared" si="128"/>
        <v>5626.34</v>
      </c>
      <c r="P216" s="9">
        <f t="shared" si="129"/>
        <v>1423.66</v>
      </c>
      <c r="Q216" s="139">
        <f t="shared" si="130"/>
        <v>0.79806241134751776</v>
      </c>
      <c r="R216" s="335">
        <v>14100</v>
      </c>
      <c r="S216" s="359" t="s">
        <v>1948</v>
      </c>
      <c r="T216" s="305">
        <v>0.79806241134751776</v>
      </c>
      <c r="U216" s="157"/>
      <c r="V216" s="100"/>
      <c r="W216" s="110">
        <f t="shared" si="131"/>
        <v>14100</v>
      </c>
      <c r="X216" s="110">
        <f t="shared" si="132"/>
        <v>13.66</v>
      </c>
      <c r="Y216" s="110">
        <f t="shared" si="133"/>
        <v>1410</v>
      </c>
      <c r="Z216" s="110">
        <f t="shared" si="134"/>
        <v>5626.34</v>
      </c>
      <c r="AA216" s="260">
        <f t="shared" si="135"/>
        <v>0.79806241134751776</v>
      </c>
      <c r="AB216" s="28">
        <f t="shared" si="136"/>
        <v>4.5999999999999996</v>
      </c>
      <c r="AC216" s="261">
        <f t="shared" si="137"/>
        <v>0.79591737266875962</v>
      </c>
      <c r="AD216" s="111">
        <f t="shared" si="138"/>
        <v>1</v>
      </c>
      <c r="AE216" s="262">
        <f t="shared" si="139"/>
        <v>6.1219914276294043E-2</v>
      </c>
      <c r="AF216" s="100"/>
      <c r="AG216" s="111">
        <f t="shared" si="140"/>
        <v>1.6</v>
      </c>
      <c r="AH216" s="262">
        <f t="shared" si="141"/>
        <v>0.41326244642268389</v>
      </c>
      <c r="AI216" s="100"/>
      <c r="AJ216" s="111">
        <f t="shared" si="142"/>
        <v>1.4</v>
      </c>
      <c r="AK216" s="262">
        <f t="shared" si="143"/>
        <v>0.32944279591163866</v>
      </c>
      <c r="AL216" s="100"/>
      <c r="AM216" s="111">
        <f t="shared" si="144"/>
        <v>1.3</v>
      </c>
      <c r="AN216" s="262">
        <f t="shared" si="145"/>
        <v>0.27786147252022619</v>
      </c>
      <c r="AO216" s="100"/>
      <c r="AP216" s="24" t="e">
        <f>VLOOKUP(C216,#REF!,6,FALSE)</f>
        <v>#REF!</v>
      </c>
      <c r="AQ216" s="24" t="e">
        <f>VLOOKUP(C216,#REF!,7,FALSE)</f>
        <v>#REF!</v>
      </c>
      <c r="AR216" s="24" t="e">
        <f>VLOOKUP(C216,#REF!,12,FALSE)</f>
        <v>#REF!</v>
      </c>
      <c r="AS216" s="24" t="e">
        <f>VLOOKUP(C216,#REF!,13,FALSE)</f>
        <v>#REF!</v>
      </c>
      <c r="AT216" s="100">
        <v>16</v>
      </c>
      <c r="AU216" s="100"/>
      <c r="AV216" s="100">
        <v>206</v>
      </c>
      <c r="AW216" s="100"/>
      <c r="AY216" s="128">
        <v>14100</v>
      </c>
    </row>
    <row r="217" spans="1:51" s="2" customFormat="1" ht="12.75" customHeight="1" x14ac:dyDescent="0.2">
      <c r="A217" s="7" t="s">
        <v>1170</v>
      </c>
      <c r="B217" s="8">
        <v>9789500209618</v>
      </c>
      <c r="C217" s="6">
        <v>648595</v>
      </c>
      <c r="D217" s="7">
        <v>368</v>
      </c>
      <c r="E217" s="7" t="s">
        <v>363</v>
      </c>
      <c r="F217" s="15" t="s">
        <v>364</v>
      </c>
      <c r="G217" s="107">
        <v>43221</v>
      </c>
      <c r="H217" s="108">
        <v>43191</v>
      </c>
      <c r="I217" s="24">
        <v>3009</v>
      </c>
      <c r="J217" s="28" t="s">
        <v>2136</v>
      </c>
      <c r="K217" s="28">
        <v>62.96</v>
      </c>
      <c r="L217" s="128">
        <v>20800</v>
      </c>
      <c r="M217" s="112">
        <f t="shared" si="126"/>
        <v>2080</v>
      </c>
      <c r="N217" s="9">
        <f t="shared" si="127"/>
        <v>10400</v>
      </c>
      <c r="O217" s="9">
        <f t="shared" si="128"/>
        <v>8257.0400000000009</v>
      </c>
      <c r="P217" s="9">
        <f t="shared" si="129"/>
        <v>2142.96</v>
      </c>
      <c r="Q217" s="139">
        <f t="shared" si="130"/>
        <v>0.79394615384615397</v>
      </c>
      <c r="R217" s="335">
        <v>20800</v>
      </c>
      <c r="S217" s="359" t="s">
        <v>1948</v>
      </c>
      <c r="T217" s="305">
        <v>0.79394615384615397</v>
      </c>
      <c r="U217" s="144"/>
      <c r="V217" s="100"/>
      <c r="W217" s="110">
        <f t="shared" si="131"/>
        <v>20800</v>
      </c>
      <c r="X217" s="110">
        <f t="shared" si="132"/>
        <v>62.96</v>
      </c>
      <c r="Y217" s="110">
        <f t="shared" si="133"/>
        <v>2080</v>
      </c>
      <c r="Z217" s="110">
        <f t="shared" si="134"/>
        <v>8257.0400000000009</v>
      </c>
      <c r="AA217" s="260">
        <f t="shared" si="135"/>
        <v>0.79394615384615397</v>
      </c>
      <c r="AB217" s="28">
        <f t="shared" si="136"/>
        <v>6.9</v>
      </c>
      <c r="AC217" s="261">
        <f t="shared" si="137"/>
        <v>0.79520348628850768</v>
      </c>
      <c r="AD217" s="111">
        <f t="shared" si="138"/>
        <v>1.5</v>
      </c>
      <c r="AE217" s="262">
        <f t="shared" si="139"/>
        <v>5.7936036927134837E-2</v>
      </c>
      <c r="AF217" s="100"/>
      <c r="AG217" s="111">
        <f t="shared" si="140"/>
        <v>2.4</v>
      </c>
      <c r="AH217" s="262">
        <f t="shared" si="141"/>
        <v>0.41121002307945925</v>
      </c>
      <c r="AI217" s="100"/>
      <c r="AJ217" s="111">
        <f t="shared" si="142"/>
        <v>2.2000000000000002</v>
      </c>
      <c r="AK217" s="262">
        <f t="shared" si="143"/>
        <v>0.35768366154122833</v>
      </c>
      <c r="AL217" s="100"/>
      <c r="AM217" s="111">
        <f t="shared" si="144"/>
        <v>2</v>
      </c>
      <c r="AN217" s="262">
        <f t="shared" si="145"/>
        <v>0.29345202769535111</v>
      </c>
      <c r="AO217" s="100"/>
      <c r="AP217" s="24" t="e">
        <f>VLOOKUP(C217,#REF!,6,FALSE)</f>
        <v>#REF!</v>
      </c>
      <c r="AQ217" s="24" t="e">
        <f>VLOOKUP(C217,#REF!,7,FALSE)</f>
        <v>#REF!</v>
      </c>
      <c r="AR217" s="24" t="e">
        <f>VLOOKUP(C217,#REF!,12,FALSE)</f>
        <v>#REF!</v>
      </c>
      <c r="AS217" s="24" t="e">
        <f>VLOOKUP(C217,#REF!,13,FALSE)</f>
        <v>#REF!</v>
      </c>
      <c r="AT217" s="100"/>
      <c r="AU217" s="100"/>
      <c r="AV217" s="100">
        <v>207</v>
      </c>
      <c r="AW217" s="100"/>
      <c r="AY217" s="128">
        <v>20800</v>
      </c>
    </row>
    <row r="218" spans="1:51" s="2" customFormat="1" ht="12.75" customHeight="1" x14ac:dyDescent="0.2">
      <c r="A218" s="7" t="s">
        <v>1171</v>
      </c>
      <c r="B218" s="8">
        <v>9789500210096</v>
      </c>
      <c r="C218" s="11">
        <v>666998</v>
      </c>
      <c r="D218" s="25">
        <v>160</v>
      </c>
      <c r="E218" s="6" t="s">
        <v>451</v>
      </c>
      <c r="F218" s="7" t="s">
        <v>452</v>
      </c>
      <c r="G218" s="107">
        <v>43678</v>
      </c>
      <c r="H218" s="108">
        <v>43647</v>
      </c>
      <c r="I218" s="24">
        <v>3077</v>
      </c>
      <c r="J218" s="28" t="s">
        <v>1894</v>
      </c>
      <c r="K218" s="9">
        <v>54.59</v>
      </c>
      <c r="L218" s="128">
        <v>17700</v>
      </c>
      <c r="M218" s="112">
        <f t="shared" si="126"/>
        <v>1770</v>
      </c>
      <c r="N218" s="9">
        <f t="shared" si="127"/>
        <v>8850</v>
      </c>
      <c r="O218" s="9">
        <f t="shared" si="128"/>
        <v>7025.41</v>
      </c>
      <c r="P218" s="9">
        <f t="shared" si="129"/>
        <v>1824.59</v>
      </c>
      <c r="Q218" s="139">
        <f t="shared" si="130"/>
        <v>0.79383163841807913</v>
      </c>
      <c r="R218" s="335">
        <v>17700</v>
      </c>
      <c r="S218" s="359" t="s">
        <v>1948</v>
      </c>
      <c r="T218" s="305">
        <v>0.79383163841807913</v>
      </c>
      <c r="U218" s="144"/>
      <c r="V218" s="100"/>
      <c r="W218" s="110">
        <f t="shared" si="131"/>
        <v>17700</v>
      </c>
      <c r="X218" s="110">
        <f t="shared" si="132"/>
        <v>54.59</v>
      </c>
      <c r="Y218" s="110">
        <f t="shared" si="133"/>
        <v>1770</v>
      </c>
      <c r="Z218" s="110">
        <f t="shared" si="134"/>
        <v>7025.41</v>
      </c>
      <c r="AA218" s="260">
        <f t="shared" si="135"/>
        <v>0.79383163841807913</v>
      </c>
      <c r="AB218" s="28">
        <f t="shared" si="136"/>
        <v>5.8</v>
      </c>
      <c r="AC218" s="261">
        <f t="shared" si="137"/>
        <v>0.79255886399035891</v>
      </c>
      <c r="AD218" s="111">
        <f t="shared" si="138"/>
        <v>1.3</v>
      </c>
      <c r="AE218" s="262">
        <f t="shared" si="139"/>
        <v>7.4493393187755275E-2</v>
      </c>
      <c r="AF218" s="100"/>
      <c r="AG218" s="111">
        <f t="shared" si="140"/>
        <v>2</v>
      </c>
      <c r="AH218" s="262">
        <f t="shared" si="141"/>
        <v>0.39842070557204085</v>
      </c>
      <c r="AI218" s="100"/>
      <c r="AJ218" s="111">
        <f t="shared" si="142"/>
        <v>1.9</v>
      </c>
      <c r="AK218" s="262">
        <f t="shared" si="143"/>
        <v>0.36675863744425347</v>
      </c>
      <c r="AL218" s="100"/>
      <c r="AM218" s="111">
        <f t="shared" si="144"/>
        <v>1.7</v>
      </c>
      <c r="AN218" s="262">
        <f t="shared" si="145"/>
        <v>0.29225965361416562</v>
      </c>
      <c r="AO218" s="100"/>
      <c r="AP218" s="24" t="e">
        <f>VLOOKUP(C218,#REF!,6,FALSE)</f>
        <v>#REF!</v>
      </c>
      <c r="AQ218" s="24" t="e">
        <f>VLOOKUP(C218,#REF!,7,FALSE)</f>
        <v>#REF!</v>
      </c>
      <c r="AR218" s="24" t="e">
        <f>VLOOKUP(C218,#REF!,12,FALSE)</f>
        <v>#REF!</v>
      </c>
      <c r="AS218" s="24" t="e">
        <f>VLOOKUP(C218,#REF!,13,FALSE)</f>
        <v>#REF!</v>
      </c>
      <c r="AT218" s="100"/>
      <c r="AU218" s="100"/>
      <c r="AV218" s="100">
        <v>208</v>
      </c>
      <c r="AW218" s="100"/>
      <c r="AY218" s="128">
        <v>17700</v>
      </c>
    </row>
    <row r="219" spans="1:51" s="2" customFormat="1" ht="12.75" customHeight="1" x14ac:dyDescent="0.2">
      <c r="A219" s="6" t="s">
        <v>1172</v>
      </c>
      <c r="B219" s="143">
        <v>9789500285353</v>
      </c>
      <c r="C219" s="145">
        <v>647012</v>
      </c>
      <c r="D219" s="7">
        <v>496</v>
      </c>
      <c r="E219" s="7" t="s">
        <v>359</v>
      </c>
      <c r="F219" s="11" t="s">
        <v>1173</v>
      </c>
      <c r="G219" s="107">
        <v>43191</v>
      </c>
      <c r="H219" s="108">
        <v>43983</v>
      </c>
      <c r="I219" s="24">
        <v>1090</v>
      </c>
      <c r="J219" s="28" t="s">
        <v>1867</v>
      </c>
      <c r="K219" s="28">
        <v>4045.2465673494726</v>
      </c>
      <c r="L219" s="128">
        <v>35000</v>
      </c>
      <c r="M219" s="112">
        <f t="shared" si="126"/>
        <v>3500</v>
      </c>
      <c r="N219" s="9">
        <f t="shared" si="127"/>
        <v>17500</v>
      </c>
      <c r="O219" s="9">
        <f t="shared" si="128"/>
        <v>9954.7534326505265</v>
      </c>
      <c r="P219" s="9">
        <f t="shared" si="129"/>
        <v>7545.2465673494726</v>
      </c>
      <c r="Q219" s="139">
        <f t="shared" si="130"/>
        <v>0.56884305329431584</v>
      </c>
      <c r="R219" s="335">
        <v>35000</v>
      </c>
      <c r="S219" s="359" t="s">
        <v>1948</v>
      </c>
      <c r="T219" s="305">
        <v>0.56884305329431584</v>
      </c>
      <c r="U219" s="144"/>
      <c r="V219" s="100"/>
      <c r="W219" s="110">
        <f t="shared" si="131"/>
        <v>35000</v>
      </c>
      <c r="X219" s="110">
        <f t="shared" si="132"/>
        <v>4045.2465673494726</v>
      </c>
      <c r="Y219" s="110">
        <f t="shared" si="133"/>
        <v>3500</v>
      </c>
      <c r="Z219" s="110">
        <f t="shared" si="134"/>
        <v>9954.7534326505265</v>
      </c>
      <c r="AA219" s="260">
        <f t="shared" si="135"/>
        <v>0.56884305329431584</v>
      </c>
      <c r="AB219" s="28">
        <f t="shared" si="136"/>
        <v>11.5</v>
      </c>
      <c r="AC219" s="261">
        <f t="shared" si="137"/>
        <v>0.5673535132470664</v>
      </c>
      <c r="AD219" s="111">
        <f t="shared" si="138"/>
        <v>5.2</v>
      </c>
      <c r="AE219" s="262">
        <f t="shared" si="139"/>
        <v>4.3185654296397015E-2</v>
      </c>
      <c r="AF219" s="100"/>
      <c r="AG219" s="111">
        <f t="shared" si="140"/>
        <v>8.3000000000000007</v>
      </c>
      <c r="AH219" s="262">
        <f t="shared" si="141"/>
        <v>0.40055004847485109</v>
      </c>
      <c r="AI219" s="100"/>
      <c r="AJ219" s="111">
        <f t="shared" si="142"/>
        <v>7.7</v>
      </c>
      <c r="AK219" s="262">
        <f t="shared" si="143"/>
        <v>0.35383966264172273</v>
      </c>
      <c r="AL219" s="100"/>
      <c r="AM219" s="111">
        <f t="shared" si="144"/>
        <v>7.1</v>
      </c>
      <c r="AN219" s="262">
        <f t="shared" si="145"/>
        <v>0.2992345637100372</v>
      </c>
      <c r="AO219" s="100"/>
      <c r="AP219" s="24" t="e">
        <f>VLOOKUP(C219,#REF!,6,FALSE)</f>
        <v>#REF!</v>
      </c>
      <c r="AQ219" s="24" t="e">
        <f>VLOOKUP(C219,#REF!,7,FALSE)</f>
        <v>#REF!</v>
      </c>
      <c r="AR219" s="24" t="e">
        <f>VLOOKUP(C219,#REF!,12,FALSE)</f>
        <v>#REF!</v>
      </c>
      <c r="AS219" s="24" t="e">
        <f>VLOOKUP(C219,#REF!,13,FALSE)</f>
        <v>#REF!</v>
      </c>
      <c r="AT219" s="100"/>
      <c r="AU219" s="100"/>
      <c r="AV219" s="100">
        <v>209</v>
      </c>
      <c r="AW219" s="100"/>
      <c r="AY219" s="128">
        <v>35000</v>
      </c>
    </row>
    <row r="220" spans="1:51" s="2" customFormat="1" ht="12.75" customHeight="1" x14ac:dyDescent="0.2">
      <c r="A220" s="6" t="s">
        <v>1174</v>
      </c>
      <c r="B220" s="8">
        <v>9789500298827</v>
      </c>
      <c r="C220" s="8">
        <v>610467</v>
      </c>
      <c r="D220" s="7">
        <v>512</v>
      </c>
      <c r="E220" s="31" t="s">
        <v>136</v>
      </c>
      <c r="F220" s="32" t="s">
        <v>137</v>
      </c>
      <c r="G220" s="107">
        <v>42461</v>
      </c>
      <c r="H220" s="108">
        <v>42430</v>
      </c>
      <c r="I220" s="24">
        <v>3010</v>
      </c>
      <c r="J220" s="28" t="s">
        <v>2136</v>
      </c>
      <c r="K220" s="28">
        <v>42.72</v>
      </c>
      <c r="L220" s="128">
        <v>24000</v>
      </c>
      <c r="M220" s="112">
        <f t="shared" si="126"/>
        <v>2400</v>
      </c>
      <c r="N220" s="9">
        <f t="shared" si="127"/>
        <v>12000</v>
      </c>
      <c r="O220" s="9">
        <f t="shared" si="128"/>
        <v>9557.2800000000007</v>
      </c>
      <c r="P220" s="9">
        <f t="shared" si="129"/>
        <v>2442.7199999999998</v>
      </c>
      <c r="Q220" s="139">
        <f t="shared" si="130"/>
        <v>0.79644000000000004</v>
      </c>
      <c r="R220" s="335">
        <v>24000</v>
      </c>
      <c r="S220" s="359" t="s">
        <v>1948</v>
      </c>
      <c r="T220" s="305">
        <v>0.79644000000000004</v>
      </c>
      <c r="U220" s="144"/>
      <c r="V220" s="100"/>
      <c r="W220" s="110">
        <f t="shared" si="131"/>
        <v>24000</v>
      </c>
      <c r="X220" s="110">
        <f t="shared" si="132"/>
        <v>42.72</v>
      </c>
      <c r="Y220" s="110">
        <f t="shared" si="133"/>
        <v>2400</v>
      </c>
      <c r="Z220" s="110">
        <f t="shared" si="134"/>
        <v>9557.2800000000007</v>
      </c>
      <c r="AA220" s="260">
        <f t="shared" si="135"/>
        <v>0.79644000000000004</v>
      </c>
      <c r="AB220" s="28">
        <f t="shared" si="136"/>
        <v>7.9</v>
      </c>
      <c r="AC220" s="261">
        <f t="shared" si="137"/>
        <v>0.79610612377768597</v>
      </c>
      <c r="AD220" s="111">
        <f t="shared" si="138"/>
        <v>1.7</v>
      </c>
      <c r="AE220" s="262">
        <f t="shared" si="139"/>
        <v>5.2493163437481796E-2</v>
      </c>
      <c r="AF220" s="100"/>
      <c r="AG220" s="111">
        <f t="shared" si="140"/>
        <v>2.7</v>
      </c>
      <c r="AH220" s="262">
        <f t="shared" si="141"/>
        <v>0.40342162142359972</v>
      </c>
      <c r="AI220" s="100"/>
      <c r="AJ220" s="111">
        <f t="shared" si="142"/>
        <v>2.5</v>
      </c>
      <c r="AK220" s="262">
        <f t="shared" si="143"/>
        <v>0.35569535113748768</v>
      </c>
      <c r="AL220" s="100"/>
      <c r="AM220" s="111">
        <f t="shared" si="144"/>
        <v>2.2999999999999998</v>
      </c>
      <c r="AN220" s="262">
        <f t="shared" si="145"/>
        <v>0.29966885993205178</v>
      </c>
      <c r="AO220" s="100"/>
      <c r="AP220" s="24" t="e">
        <f>VLOOKUP(C220,#REF!,6,FALSE)</f>
        <v>#REF!</v>
      </c>
      <c r="AQ220" s="24" t="e">
        <f>VLOOKUP(C220,#REF!,7,FALSE)</f>
        <v>#REF!</v>
      </c>
      <c r="AR220" s="24" t="e">
        <f>VLOOKUP(C220,#REF!,12,FALSE)</f>
        <v>#REF!</v>
      </c>
      <c r="AS220" s="24" t="e">
        <f>VLOOKUP(C220,#REF!,13,FALSE)</f>
        <v>#REF!</v>
      </c>
      <c r="AT220" s="100"/>
      <c r="AU220" s="100"/>
      <c r="AV220" s="100">
        <v>210</v>
      </c>
      <c r="AW220" s="100"/>
      <c r="AY220" s="128">
        <v>24000</v>
      </c>
    </row>
    <row r="221" spans="1:51" s="2" customFormat="1" ht="12.75" customHeight="1" x14ac:dyDescent="0.2">
      <c r="A221" s="7" t="s">
        <v>1175</v>
      </c>
      <c r="B221" s="8">
        <v>9789500206662</v>
      </c>
      <c r="C221" s="8">
        <v>547829</v>
      </c>
      <c r="D221" s="25">
        <v>720</v>
      </c>
      <c r="E221" s="9" t="s">
        <v>139</v>
      </c>
      <c r="F221" s="7" t="s">
        <v>140</v>
      </c>
      <c r="G221" s="107">
        <v>41000</v>
      </c>
      <c r="H221" s="108">
        <v>42156</v>
      </c>
      <c r="I221" s="24">
        <v>882</v>
      </c>
      <c r="J221" s="28" t="s">
        <v>1894</v>
      </c>
      <c r="K221" s="28">
        <v>58.98</v>
      </c>
      <c r="L221" s="128">
        <v>23900</v>
      </c>
      <c r="M221" s="112">
        <f t="shared" si="126"/>
        <v>2390</v>
      </c>
      <c r="N221" s="9">
        <f t="shared" si="127"/>
        <v>11950</v>
      </c>
      <c r="O221" s="9">
        <f t="shared" si="128"/>
        <v>9501.02</v>
      </c>
      <c r="P221" s="9">
        <f t="shared" si="129"/>
        <v>2448.98</v>
      </c>
      <c r="Q221" s="139">
        <f t="shared" si="130"/>
        <v>0.79506443514644354</v>
      </c>
      <c r="R221" s="335">
        <v>23900</v>
      </c>
      <c r="S221" s="359" t="s">
        <v>1948</v>
      </c>
      <c r="T221" s="305">
        <v>0.79506443514644354</v>
      </c>
      <c r="U221" s="144"/>
      <c r="V221" s="100"/>
      <c r="W221" s="110">
        <f t="shared" si="131"/>
        <v>23900</v>
      </c>
      <c r="X221" s="110">
        <f t="shared" si="132"/>
        <v>58.98</v>
      </c>
      <c r="Y221" s="110">
        <f t="shared" si="133"/>
        <v>2390</v>
      </c>
      <c r="Z221" s="110">
        <f t="shared" si="134"/>
        <v>9501.02</v>
      </c>
      <c r="AA221" s="260">
        <f t="shared" si="135"/>
        <v>0.79506443514644354</v>
      </c>
      <c r="AB221" s="28">
        <f t="shared" si="136"/>
        <v>7.9</v>
      </c>
      <c r="AC221" s="261">
        <f t="shared" si="137"/>
        <v>0.79558360148075813</v>
      </c>
      <c r="AD221" s="111">
        <f t="shared" si="138"/>
        <v>1.7</v>
      </c>
      <c r="AE221" s="262">
        <f t="shared" si="139"/>
        <v>5.0064971587052122E-2</v>
      </c>
      <c r="AF221" s="100"/>
      <c r="AG221" s="111">
        <f t="shared" si="140"/>
        <v>2.7</v>
      </c>
      <c r="AH221" s="262">
        <f t="shared" si="141"/>
        <v>0.40189275988814399</v>
      </c>
      <c r="AI221" s="100"/>
      <c r="AJ221" s="111">
        <f t="shared" si="142"/>
        <v>2.5</v>
      </c>
      <c r="AK221" s="262">
        <f t="shared" si="143"/>
        <v>0.35404418067919552</v>
      </c>
      <c r="AL221" s="100"/>
      <c r="AM221" s="111">
        <f t="shared" si="144"/>
        <v>2.2999999999999998</v>
      </c>
      <c r="AN221" s="262">
        <f t="shared" si="145"/>
        <v>0.29787410943390813</v>
      </c>
      <c r="AO221" s="100"/>
      <c r="AP221" s="24" t="e">
        <f>VLOOKUP(C221,#REF!,6,FALSE)</f>
        <v>#REF!</v>
      </c>
      <c r="AQ221" s="24" t="e">
        <f>VLOOKUP(C221,#REF!,7,FALSE)</f>
        <v>#REF!</v>
      </c>
      <c r="AR221" s="24" t="e">
        <f>VLOOKUP(C221,#REF!,12,FALSE)</f>
        <v>#REF!</v>
      </c>
      <c r="AS221" s="24" t="e">
        <f>VLOOKUP(C221,#REF!,13,FALSE)</f>
        <v>#REF!</v>
      </c>
      <c r="AT221" s="100"/>
      <c r="AU221" s="100"/>
      <c r="AV221" s="100">
        <v>211</v>
      </c>
      <c r="AW221" s="100"/>
      <c r="AY221" s="128">
        <v>23900</v>
      </c>
    </row>
    <row r="222" spans="1:51" s="2" customFormat="1" ht="12.75" customHeight="1" x14ac:dyDescent="0.2">
      <c r="A222" s="7" t="s">
        <v>1176</v>
      </c>
      <c r="B222" s="8">
        <v>9789500210003</v>
      </c>
      <c r="C222" s="6">
        <v>348065</v>
      </c>
      <c r="D222" s="7">
        <v>432</v>
      </c>
      <c r="E222" s="22" t="s">
        <v>432</v>
      </c>
      <c r="F222" s="11" t="s">
        <v>433</v>
      </c>
      <c r="G222" s="107">
        <v>43556</v>
      </c>
      <c r="H222" s="108">
        <v>43525</v>
      </c>
      <c r="I222" s="7">
        <v>1932</v>
      </c>
      <c r="J222" s="28" t="s">
        <v>1894</v>
      </c>
      <c r="K222" s="9">
        <v>141.94999999999999</v>
      </c>
      <c r="L222" s="128">
        <v>23900</v>
      </c>
      <c r="M222" s="159">
        <f t="shared" si="126"/>
        <v>2390</v>
      </c>
      <c r="N222" s="9">
        <f t="shared" si="127"/>
        <v>11950</v>
      </c>
      <c r="O222" s="9">
        <f t="shared" si="128"/>
        <v>9418.0499999999993</v>
      </c>
      <c r="P222" s="9">
        <f t="shared" si="129"/>
        <v>2531.9499999999998</v>
      </c>
      <c r="Q222" s="139">
        <f t="shared" si="130"/>
        <v>0.78812133891213387</v>
      </c>
      <c r="R222" s="335">
        <v>23900</v>
      </c>
      <c r="S222" s="359" t="s">
        <v>1948</v>
      </c>
      <c r="T222" s="305">
        <v>0.78812133891213387</v>
      </c>
      <c r="U222" s="144"/>
      <c r="V222" s="100"/>
      <c r="W222" s="110">
        <f t="shared" si="131"/>
        <v>23900</v>
      </c>
      <c r="X222" s="110">
        <f t="shared" si="132"/>
        <v>141.94999999999999</v>
      </c>
      <c r="Y222" s="110">
        <f t="shared" si="133"/>
        <v>2390</v>
      </c>
      <c r="Z222" s="110">
        <f t="shared" si="134"/>
        <v>9418.0499999999993</v>
      </c>
      <c r="AA222" s="260">
        <f t="shared" si="135"/>
        <v>0.78812133891213387</v>
      </c>
      <c r="AB222" s="28">
        <f t="shared" si="136"/>
        <v>7.9</v>
      </c>
      <c r="AC222" s="261">
        <f t="shared" si="137"/>
        <v>0.78865809429607647</v>
      </c>
      <c r="AD222" s="111">
        <f t="shared" si="138"/>
        <v>1.8</v>
      </c>
      <c r="AE222" s="262">
        <f t="shared" si="139"/>
        <v>7.2443858299446981E-2</v>
      </c>
      <c r="AF222" s="100"/>
      <c r="AG222" s="111">
        <f t="shared" si="140"/>
        <v>2.8</v>
      </c>
      <c r="AH222" s="262">
        <f t="shared" si="141"/>
        <v>0.40371390890678727</v>
      </c>
      <c r="AI222" s="100"/>
      <c r="AJ222" s="111">
        <f t="shared" si="142"/>
        <v>2.6</v>
      </c>
      <c r="AK222" s="262">
        <f t="shared" si="143"/>
        <v>0.35784574805346325</v>
      </c>
      <c r="AL222" s="100"/>
      <c r="AM222" s="111">
        <f t="shared" si="144"/>
        <v>2.4</v>
      </c>
      <c r="AN222" s="262">
        <f t="shared" si="145"/>
        <v>0.30433289372458516</v>
      </c>
      <c r="AO222" s="100"/>
      <c r="AP222" s="24" t="e">
        <f>VLOOKUP(C222,#REF!,6,FALSE)</f>
        <v>#REF!</v>
      </c>
      <c r="AQ222" s="24" t="e">
        <f>VLOOKUP(C222,#REF!,7,FALSE)</f>
        <v>#REF!</v>
      </c>
      <c r="AR222" s="24" t="e">
        <f>VLOOKUP(C222,#REF!,12,FALSE)</f>
        <v>#REF!</v>
      </c>
      <c r="AS222" s="24" t="e">
        <f>VLOOKUP(C222,#REF!,13,FALSE)</f>
        <v>#REF!</v>
      </c>
      <c r="AT222" s="100"/>
      <c r="AU222" s="100"/>
      <c r="AV222" s="100">
        <v>212</v>
      </c>
      <c r="AW222" s="100"/>
      <c r="AY222" s="128">
        <v>23900</v>
      </c>
    </row>
    <row r="223" spans="1:51" s="2" customFormat="1" ht="12.75" customHeight="1" x14ac:dyDescent="0.2">
      <c r="A223" s="6" t="s">
        <v>1177</v>
      </c>
      <c r="B223" s="8">
        <v>9789500207850</v>
      </c>
      <c r="C223" s="21">
        <v>576586</v>
      </c>
      <c r="D223" s="25">
        <v>880</v>
      </c>
      <c r="E223" s="22" t="s">
        <v>147</v>
      </c>
      <c r="F223" s="6" t="s">
        <v>609</v>
      </c>
      <c r="G223" s="107">
        <v>41730</v>
      </c>
      <c r="H223" s="108">
        <v>44621</v>
      </c>
      <c r="I223" s="24">
        <v>3065</v>
      </c>
      <c r="J223" s="28" t="s">
        <v>2136</v>
      </c>
      <c r="K223" s="117">
        <v>425.56</v>
      </c>
      <c r="L223" s="128">
        <v>63500</v>
      </c>
      <c r="M223" s="159"/>
      <c r="N223" s="9">
        <f t="shared" si="127"/>
        <v>31750</v>
      </c>
      <c r="O223" s="9">
        <f t="shared" si="128"/>
        <v>31324.44</v>
      </c>
      <c r="P223" s="9">
        <f t="shared" si="129"/>
        <v>425.56</v>
      </c>
      <c r="Q223" s="139">
        <f t="shared" si="130"/>
        <v>0.9865965354330708</v>
      </c>
      <c r="R223" s="335">
        <v>63500</v>
      </c>
      <c r="S223" s="359" t="s">
        <v>1948</v>
      </c>
      <c r="T223" s="305">
        <v>0.9865965354330708</v>
      </c>
      <c r="U223" s="144"/>
      <c r="V223" s="100"/>
      <c r="W223" s="110">
        <f t="shared" si="131"/>
        <v>63500</v>
      </c>
      <c r="X223" s="110">
        <f t="shared" si="132"/>
        <v>425.56</v>
      </c>
      <c r="Y223" s="110">
        <f t="shared" si="133"/>
        <v>0</v>
      </c>
      <c r="Z223" s="110">
        <f t="shared" si="134"/>
        <v>31324.44</v>
      </c>
      <c r="AA223" s="260">
        <f t="shared" si="135"/>
        <v>0.9865965354330708</v>
      </c>
      <c r="AB223" s="28">
        <f t="shared" si="136"/>
        <v>20.9</v>
      </c>
      <c r="AC223" s="261">
        <f t="shared" si="137"/>
        <v>0.98657321299832623</v>
      </c>
      <c r="AD223" s="111">
        <f t="shared" si="138"/>
        <v>0.3</v>
      </c>
      <c r="AE223" s="262">
        <f t="shared" si="139"/>
        <v>6.4600505550060416E-2</v>
      </c>
      <c r="AF223" s="100"/>
      <c r="AG223" s="111">
        <f t="shared" si="140"/>
        <v>0.5</v>
      </c>
      <c r="AH223" s="262">
        <f t="shared" si="141"/>
        <v>0.43876030333003624</v>
      </c>
      <c r="AI223" s="100"/>
      <c r="AJ223" s="111">
        <f t="shared" si="142"/>
        <v>0.4</v>
      </c>
      <c r="AK223" s="262">
        <f t="shared" si="143"/>
        <v>0.29845037916254535</v>
      </c>
      <c r="AL223" s="100"/>
      <c r="AM223" s="111">
        <f t="shared" si="144"/>
        <v>0.4</v>
      </c>
      <c r="AN223" s="262">
        <f t="shared" si="145"/>
        <v>0.29845037916254535</v>
      </c>
      <c r="AO223" s="100"/>
      <c r="AP223" s="24" t="e">
        <f>VLOOKUP(C223,#REF!,6,FALSE)</f>
        <v>#REF!</v>
      </c>
      <c r="AQ223" s="24" t="e">
        <f>VLOOKUP(C223,#REF!,7,FALSE)</f>
        <v>#REF!</v>
      </c>
      <c r="AR223" s="24" t="e">
        <f>VLOOKUP(C223,#REF!,12,FALSE)</f>
        <v>#REF!</v>
      </c>
      <c r="AS223" s="24" t="e">
        <f>VLOOKUP(C223,#REF!,13,FALSE)</f>
        <v>#REF!</v>
      </c>
      <c r="AT223" s="100"/>
      <c r="AU223" s="100"/>
      <c r="AV223" s="100">
        <v>213</v>
      </c>
      <c r="AW223" s="100"/>
      <c r="AY223" s="128">
        <v>63500</v>
      </c>
    </row>
    <row r="224" spans="1:51" s="2" customFormat="1" ht="12.75" customHeight="1" x14ac:dyDescent="0.2">
      <c r="A224" s="7" t="s">
        <v>1178</v>
      </c>
      <c r="B224" s="16">
        <v>9789500263634</v>
      </c>
      <c r="C224" s="8">
        <v>516660</v>
      </c>
      <c r="D224" s="25">
        <v>1000</v>
      </c>
      <c r="E224" s="22" t="s">
        <v>147</v>
      </c>
      <c r="F224" s="7" t="s">
        <v>1179</v>
      </c>
      <c r="G224" s="107">
        <v>40422</v>
      </c>
      <c r="H224" s="108">
        <v>45748</v>
      </c>
      <c r="I224" s="7">
        <v>2016</v>
      </c>
      <c r="J224" s="28" t="s">
        <v>2136</v>
      </c>
      <c r="K224" s="117">
        <v>5381.86</v>
      </c>
      <c r="L224" s="9">
        <v>64900</v>
      </c>
      <c r="M224" s="112"/>
      <c r="N224" s="9">
        <f t="shared" si="127"/>
        <v>32450</v>
      </c>
      <c r="O224" s="9">
        <f t="shared" si="128"/>
        <v>27068.14</v>
      </c>
      <c r="P224" s="9">
        <f t="shared" si="129"/>
        <v>5381.86</v>
      </c>
      <c r="Q224" s="139">
        <f t="shared" si="130"/>
        <v>0.83414915254237287</v>
      </c>
      <c r="R224" s="335">
        <v>64900</v>
      </c>
      <c r="S224" s="359" t="s">
        <v>1948</v>
      </c>
      <c r="T224" s="305">
        <v>0.83414915254237287</v>
      </c>
      <c r="U224" s="12"/>
      <c r="V224" s="100"/>
      <c r="W224" s="110">
        <f t="shared" si="131"/>
        <v>64900</v>
      </c>
      <c r="X224" s="110">
        <f t="shared" si="132"/>
        <v>5381.86</v>
      </c>
      <c r="Y224" s="110">
        <f t="shared" si="133"/>
        <v>0</v>
      </c>
      <c r="Z224" s="110">
        <f t="shared" si="134"/>
        <v>27068.14</v>
      </c>
      <c r="AA224" s="260">
        <f t="shared" si="135"/>
        <v>0.83414915254237287</v>
      </c>
      <c r="AB224" s="28">
        <f t="shared" si="136"/>
        <v>21.4</v>
      </c>
      <c r="AC224" s="261">
        <f t="shared" si="137"/>
        <v>0.83416499502358787</v>
      </c>
      <c r="AD224" s="111">
        <f t="shared" si="138"/>
        <v>3.7</v>
      </c>
      <c r="AE224" s="262">
        <f t="shared" si="139"/>
        <v>4.0846187433724618E-2</v>
      </c>
      <c r="AF224" s="100"/>
      <c r="AG224" s="111">
        <f t="shared" si="140"/>
        <v>5.9</v>
      </c>
      <c r="AH224" s="262">
        <f t="shared" si="141"/>
        <v>0.39849676161097985</v>
      </c>
      <c r="AI224" s="100"/>
      <c r="AJ224" s="111">
        <f t="shared" si="142"/>
        <v>5.5</v>
      </c>
      <c r="AK224" s="262">
        <f t="shared" si="143"/>
        <v>0.35475107154632379</v>
      </c>
      <c r="AL224" s="100"/>
      <c r="AM224" s="111">
        <f t="shared" si="144"/>
        <v>5.0999999999999996</v>
      </c>
      <c r="AN224" s="262">
        <f t="shared" si="145"/>
        <v>0.30414331245191778</v>
      </c>
      <c r="AO224" s="100"/>
      <c r="AP224" s="24" t="e">
        <f>VLOOKUP(C224,#REF!,6,FALSE)</f>
        <v>#REF!</v>
      </c>
      <c r="AQ224" s="24" t="e">
        <f>VLOOKUP(C224,#REF!,7,FALSE)</f>
        <v>#REF!</v>
      </c>
      <c r="AR224" s="24" t="e">
        <f>VLOOKUP(C224,#REF!,12,FALSE)</f>
        <v>#REF!</v>
      </c>
      <c r="AS224" s="24" t="e">
        <f>VLOOKUP(C224,#REF!,13,FALSE)</f>
        <v>#REF!</v>
      </c>
      <c r="AT224" s="100"/>
      <c r="AU224" s="100"/>
      <c r="AV224" s="100">
        <v>214</v>
      </c>
      <c r="AW224" s="100"/>
      <c r="AY224" s="9">
        <v>64900</v>
      </c>
    </row>
    <row r="225" spans="1:51" s="2" customFormat="1" ht="12.75" customHeight="1" x14ac:dyDescent="0.25">
      <c r="B225" s="3"/>
      <c r="C225" s="3"/>
      <c r="H225" s="132"/>
      <c r="I225" s="132"/>
      <c r="J225" s="132"/>
      <c r="K225" s="132"/>
      <c r="L225" s="134"/>
      <c r="M225" s="132"/>
      <c r="N225" s="132"/>
      <c r="O225" s="132"/>
      <c r="P225" s="132"/>
      <c r="Q225" s="147"/>
      <c r="R225" s="356"/>
      <c r="S225" s="360"/>
      <c r="T225" s="307"/>
      <c r="U225" s="135"/>
      <c r="V225" s="100"/>
      <c r="W225"/>
      <c r="X225"/>
      <c r="Y225"/>
      <c r="Z225"/>
      <c r="AA225"/>
      <c r="AB225"/>
      <c r="AC225"/>
      <c r="AD225" s="263"/>
      <c r="AE225"/>
      <c r="AF225" s="100"/>
      <c r="AG225" s="263"/>
      <c r="AH225"/>
      <c r="AI225" s="100"/>
      <c r="AJ225" s="263"/>
      <c r="AK225"/>
      <c r="AL225" s="100"/>
      <c r="AM225" s="263"/>
      <c r="AN225"/>
      <c r="AO225" s="100"/>
      <c r="AP225" s="100"/>
      <c r="AQ225" s="100"/>
      <c r="AR225" s="100"/>
      <c r="AS225" s="100"/>
      <c r="AT225" s="100"/>
      <c r="AU225" s="100"/>
      <c r="AV225" s="100">
        <v>215</v>
      </c>
      <c r="AW225" s="100"/>
      <c r="AY225" s="134"/>
    </row>
    <row r="226" spans="1:51" s="2" customFormat="1" ht="12.75" customHeight="1" x14ac:dyDescent="0.25">
      <c r="A226" s="160" t="s">
        <v>822</v>
      </c>
      <c r="B226" s="161"/>
      <c r="C226" s="161"/>
      <c r="D226" s="376"/>
      <c r="E226" s="374"/>
      <c r="F226" s="162"/>
      <c r="G226" s="162"/>
      <c r="H226" s="132"/>
      <c r="I226" s="132"/>
      <c r="J226" s="132"/>
      <c r="K226" s="132"/>
      <c r="L226" s="134"/>
      <c r="M226" s="132"/>
      <c r="N226" s="132"/>
      <c r="O226" s="132"/>
      <c r="P226" s="132"/>
      <c r="Q226" s="147"/>
      <c r="R226" s="356"/>
      <c r="S226" s="360"/>
      <c r="T226" s="307"/>
      <c r="U226" s="135"/>
      <c r="V226" s="100"/>
      <c r="W226"/>
      <c r="X226"/>
      <c r="Y226"/>
      <c r="Z226"/>
      <c r="AA226"/>
      <c r="AB226"/>
      <c r="AC226"/>
      <c r="AD226" s="263"/>
      <c r="AE226"/>
      <c r="AF226" s="100"/>
      <c r="AG226" s="263"/>
      <c r="AH226"/>
      <c r="AI226" s="100"/>
      <c r="AJ226" s="263"/>
      <c r="AK226"/>
      <c r="AL226" s="100"/>
      <c r="AM226" s="263"/>
      <c r="AN226"/>
      <c r="AO226" s="100"/>
      <c r="AP226" s="100"/>
      <c r="AQ226" s="100"/>
      <c r="AR226" s="100"/>
      <c r="AS226" s="100"/>
      <c r="AT226" s="100"/>
      <c r="AU226" s="100"/>
      <c r="AV226" s="100">
        <v>216</v>
      </c>
      <c r="AW226" s="100"/>
      <c r="AY226" s="134"/>
    </row>
    <row r="227" spans="1:51" s="2" customFormat="1" ht="12.75" customHeight="1" x14ac:dyDescent="0.2">
      <c r="A227" s="6" t="s">
        <v>1180</v>
      </c>
      <c r="B227" s="16">
        <v>9789500298780</v>
      </c>
      <c r="C227" s="8">
        <v>609572</v>
      </c>
      <c r="D227" s="7">
        <v>128</v>
      </c>
      <c r="E227" s="16">
        <v>9789500298780</v>
      </c>
      <c r="F227" s="7" t="s">
        <v>1181</v>
      </c>
      <c r="G227" s="107">
        <v>42430</v>
      </c>
      <c r="H227" s="108">
        <v>45992</v>
      </c>
      <c r="I227" s="7">
        <v>3096</v>
      </c>
      <c r="J227" s="176" t="s">
        <v>2219</v>
      </c>
      <c r="K227" s="117">
        <v>685.68</v>
      </c>
      <c r="L227" s="9">
        <v>11900</v>
      </c>
      <c r="M227" s="112"/>
      <c r="N227" s="9">
        <f>+L227/2</f>
        <v>5950</v>
      </c>
      <c r="O227" s="9">
        <f>+N227-M227-K227</f>
        <v>5264.32</v>
      </c>
      <c r="P227" s="9">
        <f>+M227+K227</f>
        <v>685.68</v>
      </c>
      <c r="Q227" s="139">
        <f>+O227/N227</f>
        <v>0.88475966386554616</v>
      </c>
      <c r="R227" s="335">
        <v>11900</v>
      </c>
      <c r="S227" s="359" t="s">
        <v>1948</v>
      </c>
      <c r="T227" s="305">
        <v>0.88475966386554616</v>
      </c>
      <c r="U227" s="144"/>
      <c r="V227" s="100"/>
      <c r="W227" s="110">
        <f>+L227</f>
        <v>11900</v>
      </c>
      <c r="X227" s="110">
        <f>+K227</f>
        <v>685.68</v>
      </c>
      <c r="Y227" s="110">
        <f>+M227</f>
        <v>0</v>
      </c>
      <c r="Z227" s="110">
        <f>+W227/2-X227-Y227</f>
        <v>5264.32</v>
      </c>
      <c r="AA227" s="260">
        <f>+Z227/(W227/2)</f>
        <v>0.88475966386554616</v>
      </c>
      <c r="AB227" s="28">
        <f>ROUND($W227/2/$X$1,1)</f>
        <v>3.9</v>
      </c>
      <c r="AC227" s="261">
        <f>+(AB227*$X$1-$X227-$Y227)/(AB227*$X$1)</f>
        <v>0.88406502827867806</v>
      </c>
      <c r="AD227" s="111">
        <f>+IFERROR(ROUND(($X227+$Y227)/(1-$X$2)/$X$1,1),0)</f>
        <v>0.5</v>
      </c>
      <c r="AE227" s="262">
        <f>+(AD227*$X$1-$X227-$Y227)/(AD227*$X$1)</f>
        <v>9.570722057368948E-2</v>
      </c>
      <c r="AF227" s="100"/>
      <c r="AG227" s="111">
        <f>+IFERROR(ROUND(($X227+$Y227)/(1-$AG$2)/$X$1,1),0)</f>
        <v>0.8</v>
      </c>
      <c r="AH227" s="262">
        <f>+(AG227*$X$1-$X227-$Y227)/(AG227*$X$1)</f>
        <v>0.43481701285855595</v>
      </c>
      <c r="AI227" s="100"/>
      <c r="AJ227" s="111">
        <f>+IFERROR(ROUND(($X227+$Y227)/(1-$AJ$2)/$X$1,1),0)</f>
        <v>0.7</v>
      </c>
      <c r="AK227" s="262">
        <f>+(AJ227*$X$1-$X227-$Y227)/(AJ227*$X$1)</f>
        <v>0.3540765861240639</v>
      </c>
      <c r="AL227" s="100"/>
      <c r="AM227" s="111">
        <f>+IFERROR(ROUND(($X227+$Y227)/(1-$AM$2)/$X$1,1),0)</f>
        <v>0.6</v>
      </c>
      <c r="AN227" s="262">
        <f>+(AM227*$X$1-$X227-$Y227)/(AM227*$X$1)</f>
        <v>0.24642268381140789</v>
      </c>
      <c r="AO227" s="100"/>
      <c r="AP227" s="24" t="e">
        <f>VLOOKUP(C227,#REF!,6,FALSE)</f>
        <v>#REF!</v>
      </c>
      <c r="AQ227" s="24" t="e">
        <f>VLOOKUP(C227,#REF!,7,FALSE)</f>
        <v>#REF!</v>
      </c>
      <c r="AR227" s="24" t="e">
        <f>VLOOKUP(C227,#REF!,12,FALSE)</f>
        <v>#REF!</v>
      </c>
      <c r="AS227" s="24" t="e">
        <f>VLOOKUP(C227,#REF!,13,FALSE)</f>
        <v>#REF!</v>
      </c>
      <c r="AT227" s="100"/>
      <c r="AU227" s="100"/>
      <c r="AV227" s="100">
        <v>217</v>
      </c>
      <c r="AW227" s="100"/>
      <c r="AY227" s="9">
        <v>11900</v>
      </c>
    </row>
    <row r="228" spans="1:51" s="2" customFormat="1" ht="12.75" customHeight="1" x14ac:dyDescent="0.25">
      <c r="A228" s="132"/>
      <c r="B228" s="133"/>
      <c r="C228" s="133"/>
      <c r="D228" s="132"/>
      <c r="E228" s="132"/>
      <c r="F228" s="132"/>
      <c r="G228" s="132"/>
      <c r="H228" s="132"/>
      <c r="I228" s="132"/>
      <c r="J228" s="132"/>
      <c r="K228" s="132"/>
      <c r="L228" s="134"/>
      <c r="M228" s="132"/>
      <c r="N228" s="132"/>
      <c r="O228" s="132"/>
      <c r="P228" s="132"/>
      <c r="Q228" s="147"/>
      <c r="R228" s="356"/>
      <c r="S228" s="360"/>
      <c r="T228" s="307"/>
      <c r="U228" s="135"/>
      <c r="V228" s="100"/>
      <c r="W228"/>
      <c r="X228"/>
      <c r="Y228"/>
      <c r="Z228"/>
      <c r="AA228"/>
      <c r="AB228"/>
      <c r="AC228"/>
      <c r="AD228" s="263"/>
      <c r="AE228"/>
      <c r="AF228" s="100"/>
      <c r="AG228" s="263"/>
      <c r="AH228"/>
      <c r="AI228" s="100"/>
      <c r="AJ228" s="263"/>
      <c r="AK228"/>
      <c r="AL228" s="100"/>
      <c r="AM228" s="263"/>
      <c r="AN228"/>
      <c r="AO228" s="100"/>
      <c r="AP228" s="100"/>
      <c r="AQ228" s="100"/>
      <c r="AR228" s="100"/>
      <c r="AS228" s="100"/>
      <c r="AT228" s="100"/>
      <c r="AU228" s="100"/>
      <c r="AV228" s="100">
        <v>218</v>
      </c>
      <c r="AW228" s="100"/>
      <c r="AY228" s="134"/>
    </row>
    <row r="229" spans="1:51" s="2" customFormat="1" ht="12.75" customHeight="1" thickBot="1" x14ac:dyDescent="0.3">
      <c r="A229" s="132"/>
      <c r="B229" s="133"/>
      <c r="C229" s="133"/>
      <c r="D229" s="132"/>
      <c r="E229" s="132"/>
      <c r="F229" s="132"/>
      <c r="G229" s="132"/>
      <c r="H229" s="132"/>
      <c r="I229" s="132"/>
      <c r="J229" s="132"/>
      <c r="K229" s="132"/>
      <c r="L229" s="134"/>
      <c r="M229" s="132"/>
      <c r="N229" s="132"/>
      <c r="O229" s="132"/>
      <c r="P229" s="132"/>
      <c r="Q229" s="147"/>
      <c r="R229" s="356"/>
      <c r="S229" s="360"/>
      <c r="T229" s="307"/>
      <c r="U229" s="135"/>
      <c r="V229" s="100"/>
      <c r="W229"/>
      <c r="X229"/>
      <c r="Y229"/>
      <c r="Z229"/>
      <c r="AA229"/>
      <c r="AB229"/>
      <c r="AC229"/>
      <c r="AD229" s="263"/>
      <c r="AE229"/>
      <c r="AF229" s="100"/>
      <c r="AG229" s="263"/>
      <c r="AH229"/>
      <c r="AI229" s="100"/>
      <c r="AJ229" s="263"/>
      <c r="AK229"/>
      <c r="AL229" s="100"/>
      <c r="AM229" s="263"/>
      <c r="AN229"/>
      <c r="AO229" s="100"/>
      <c r="AP229" s="100"/>
      <c r="AQ229" s="100"/>
      <c r="AR229" s="100"/>
      <c r="AS229" s="100"/>
      <c r="AT229" s="100"/>
      <c r="AU229" s="100"/>
      <c r="AV229" s="100">
        <v>219</v>
      </c>
      <c r="AW229" s="100"/>
      <c r="AY229" s="134"/>
    </row>
    <row r="230" spans="1:51" s="2" customFormat="1" ht="12.75" customHeight="1" x14ac:dyDescent="0.25">
      <c r="A230" s="132"/>
      <c r="B230" s="133"/>
      <c r="C230" s="133"/>
      <c r="D230" s="163"/>
      <c r="E230" s="104" t="s">
        <v>629</v>
      </c>
      <c r="F230" s="105"/>
      <c r="G230" s="132"/>
      <c r="H230" s="132"/>
      <c r="I230" s="132"/>
      <c r="J230" s="132"/>
      <c r="K230" s="132"/>
      <c r="L230" s="134"/>
      <c r="M230" s="132"/>
      <c r="N230" s="132"/>
      <c r="O230" s="132"/>
      <c r="P230" s="132"/>
      <c r="Q230" s="147"/>
      <c r="R230" s="356"/>
      <c r="S230" s="360"/>
      <c r="T230" s="307"/>
      <c r="U230" s="135"/>
      <c r="V230" s="100"/>
      <c r="W230"/>
      <c r="X230"/>
      <c r="Y230"/>
      <c r="Z230"/>
      <c r="AA230"/>
      <c r="AB230"/>
      <c r="AC230"/>
      <c r="AD230" s="263"/>
      <c r="AE230"/>
      <c r="AF230" s="100"/>
      <c r="AG230" s="263"/>
      <c r="AH230"/>
      <c r="AI230" s="100"/>
      <c r="AJ230" s="263"/>
      <c r="AK230"/>
      <c r="AL230" s="100"/>
      <c r="AM230" s="263"/>
      <c r="AN230"/>
      <c r="AO230" s="100"/>
      <c r="AP230" s="100"/>
      <c r="AQ230" s="100"/>
      <c r="AR230" s="100"/>
      <c r="AS230" s="100"/>
      <c r="AT230" s="100"/>
      <c r="AU230" s="100"/>
      <c r="AV230" s="100">
        <v>220</v>
      </c>
      <c r="AW230" s="100"/>
      <c r="AY230" s="134"/>
    </row>
    <row r="231" spans="1:51" s="2" customFormat="1" ht="12.75" customHeight="1" x14ac:dyDescent="0.2">
      <c r="A231" s="7" t="s">
        <v>2450</v>
      </c>
      <c r="B231" s="8">
        <v>9789500218344</v>
      </c>
      <c r="C231" s="8">
        <v>751236</v>
      </c>
      <c r="D231" s="7">
        <v>80</v>
      </c>
      <c r="E231" s="7" t="s">
        <v>2451</v>
      </c>
      <c r="F231" s="7" t="s">
        <v>2452</v>
      </c>
      <c r="G231" s="107">
        <v>46296</v>
      </c>
      <c r="H231" s="108">
        <v>46266</v>
      </c>
      <c r="I231" s="116">
        <v>3056</v>
      </c>
      <c r="J231" s="6" t="s">
        <v>2160</v>
      </c>
      <c r="K231" s="148">
        <v>2422.56</v>
      </c>
      <c r="L231" s="352">
        <v>24900</v>
      </c>
      <c r="M231" s="112"/>
      <c r="N231" s="9">
        <f t="shared" ref="N231" si="146">+L231/2</f>
        <v>12450</v>
      </c>
      <c r="O231" s="9">
        <f t="shared" ref="O231" si="147">+N231-M231-K231</f>
        <v>10027.44</v>
      </c>
      <c r="P231" s="9">
        <f t="shared" ref="P231" si="148">+M231+K231</f>
        <v>2422.56</v>
      </c>
      <c r="Q231" s="139">
        <f t="shared" ref="Q231" si="149">+O231/N231</f>
        <v>0.8054168674698795</v>
      </c>
      <c r="R231" s="365">
        <v>24900</v>
      </c>
      <c r="S231" s="359" t="s">
        <v>2140</v>
      </c>
      <c r="T231" s="305">
        <v>0.6542206686930091</v>
      </c>
      <c r="U231" s="144"/>
      <c r="V231" s="100"/>
      <c r="W231" s="110">
        <f t="shared" ref="W231" si="150">+L231</f>
        <v>24900</v>
      </c>
      <c r="X231" s="110">
        <f t="shared" ref="X231" si="151">+K231</f>
        <v>2422.56</v>
      </c>
      <c r="Y231" s="110">
        <f t="shared" ref="Y231" si="152">+M231</f>
        <v>0</v>
      </c>
      <c r="Z231" s="110">
        <f t="shared" ref="Z231" si="153">+W231/2-X231-Y231</f>
        <v>10027.44</v>
      </c>
      <c r="AA231" s="260">
        <f t="shared" ref="AA231" si="154">+Z231/(W231/2)</f>
        <v>0.8054168674698795</v>
      </c>
      <c r="AB231" s="28">
        <f t="shared" ref="AB231:AB263" si="155">ROUND($W231/2/$X$1,1)</f>
        <v>8.1999999999999993</v>
      </c>
      <c r="AC231" s="261">
        <f t="shared" ref="AC231" si="156">+(AB231*$X$1-$X231-$Y231)/(AB231*$X$1)</f>
        <v>0.80518684712069677</v>
      </c>
      <c r="AD231" s="111">
        <f t="shared" ref="AD231:AD263" si="157">+IFERROR(ROUND(($X231+$Y231)/(1-$X$2)/$X$1,1),0)</f>
        <v>1.7</v>
      </c>
      <c r="AE231" s="262">
        <f t="shared" ref="AE231" si="158">+(AD231*$X$1-$X231-$Y231)/(AD231*$X$1)</f>
        <v>6.0313027288066486E-2</v>
      </c>
      <c r="AF231" s="100"/>
      <c r="AG231" s="111">
        <f t="shared" ref="AG231:AG263" si="159">+IFERROR(ROUND(($X231+$Y231)/(1-$AG$2)/$X$1,1),0)</f>
        <v>2.7</v>
      </c>
      <c r="AH231" s="262">
        <f t="shared" ref="AH231" si="160">+(AG231*$X$1-$X231-$Y231)/(AG231*$X$1)</f>
        <v>0.40834523940359752</v>
      </c>
      <c r="AI231" s="100"/>
      <c r="AJ231" s="111">
        <f t="shared" ref="AJ231:AJ263" si="161">+IFERROR(ROUND(($X231+$Y231)/(1-$AJ$2)/$X$1,1),0)</f>
        <v>2.5</v>
      </c>
      <c r="AK231" s="262">
        <f t="shared" ref="AK231" si="162">+(AJ231*$X$1-$X231-$Y231)/(AJ231*$X$1)</f>
        <v>0.36101285855588527</v>
      </c>
      <c r="AL231" s="100"/>
      <c r="AM231" s="111">
        <f t="shared" ref="AM231:AM263" si="163">+IFERROR(ROUND(($X231+$Y231)/(1-$AM$2)/$X$1,1),0)</f>
        <v>2.2999999999999998</v>
      </c>
      <c r="AN231" s="262">
        <f t="shared" ref="AN231" si="164">+(AM231*$X$1-$X231-$Y231)/(AM231*$X$1)</f>
        <v>0.30544875929987525</v>
      </c>
      <c r="AO231" s="100"/>
      <c r="AP231" s="24" t="e">
        <f>VLOOKUP(C231,#REF!,6,FALSE)</f>
        <v>#REF!</v>
      </c>
      <c r="AQ231" s="24" t="e">
        <f>VLOOKUP(C231,#REF!,7,FALSE)</f>
        <v>#REF!</v>
      </c>
      <c r="AR231" s="24" t="e">
        <f>VLOOKUP(C231,#REF!,12,FALSE)</f>
        <v>#REF!</v>
      </c>
      <c r="AS231" s="24" t="e">
        <f>VLOOKUP(C231,#REF!,13,FALSE)</f>
        <v>#REF!</v>
      </c>
      <c r="AT231" s="100"/>
      <c r="AU231" s="3"/>
      <c r="AV231" s="100">
        <v>221</v>
      </c>
      <c r="AW231" s="100"/>
      <c r="AY231" s="9">
        <v>15900</v>
      </c>
    </row>
    <row r="232" spans="1:51" s="2" customFormat="1" ht="12.75" customHeight="1" x14ac:dyDescent="0.2">
      <c r="A232" s="7" t="s">
        <v>2428</v>
      </c>
      <c r="B232" s="8">
        <v>9789500218177</v>
      </c>
      <c r="C232" s="8">
        <v>750391</v>
      </c>
      <c r="D232" s="7">
        <v>272</v>
      </c>
      <c r="E232" s="7" t="s">
        <v>2429</v>
      </c>
      <c r="F232" s="7" t="s">
        <v>2430</v>
      </c>
      <c r="G232" s="107">
        <v>46266</v>
      </c>
      <c r="H232" s="107">
        <v>46235</v>
      </c>
      <c r="I232" s="116">
        <v>2951</v>
      </c>
      <c r="J232" s="6" t="s">
        <v>2136</v>
      </c>
      <c r="K232" s="148">
        <v>2126.35</v>
      </c>
      <c r="L232" s="9">
        <v>15900</v>
      </c>
      <c r="M232" s="112"/>
      <c r="N232" s="9">
        <f t="shared" ref="N232:N263" si="165">+L232/2</f>
        <v>7950</v>
      </c>
      <c r="O232" s="9">
        <f t="shared" ref="O232:O263" si="166">+N232-M232-K232</f>
        <v>5823.65</v>
      </c>
      <c r="P232" s="9">
        <f t="shared" ref="P232:P263" si="167">+M232+K232</f>
        <v>2126.35</v>
      </c>
      <c r="Q232" s="139">
        <f t="shared" ref="Q232:Q263" si="168">+O232/N232</f>
        <v>0.73253459119496855</v>
      </c>
      <c r="R232" s="386">
        <v>15900</v>
      </c>
      <c r="S232" s="359" t="s">
        <v>1948</v>
      </c>
      <c r="T232" s="305">
        <v>0.6542206686930091</v>
      </c>
      <c r="U232" s="144"/>
      <c r="V232" s="100"/>
      <c r="W232" s="110">
        <f t="shared" ref="W232:W263" si="169">+L232</f>
        <v>15900</v>
      </c>
      <c r="X232" s="110">
        <f t="shared" ref="X232:X263" si="170">+K232</f>
        <v>2126.35</v>
      </c>
      <c r="Y232" s="110">
        <f t="shared" ref="Y232:Y263" si="171">+M232</f>
        <v>0</v>
      </c>
      <c r="Z232" s="110">
        <f t="shared" ref="Z232:Z263" si="172">+W232/2-X232-Y232</f>
        <v>5823.65</v>
      </c>
      <c r="AA232" s="260">
        <f t="shared" ref="AA232:AA263" si="173">+Z232/(W232/2)</f>
        <v>0.73253459119496855</v>
      </c>
      <c r="AB232" s="28">
        <f t="shared" si="155"/>
        <v>5.2</v>
      </c>
      <c r="AC232" s="261">
        <f t="shared" ref="AC232:AC263" si="174">+(AB232*$X$1-$X232-$Y232)/(AB232*$X$1)</f>
        <v>0.73035709756778011</v>
      </c>
      <c r="AD232" s="111">
        <f t="shared" si="157"/>
        <v>1.5</v>
      </c>
      <c r="AE232" s="262">
        <f t="shared" ref="AE232:AE263" si="175">+(AD232*$X$1-$X232-$Y232)/(AD232*$X$1)</f>
        <v>6.5237938234970913E-2</v>
      </c>
      <c r="AF232" s="100"/>
      <c r="AG232" s="111">
        <f t="shared" si="159"/>
        <v>2.2999999999999998</v>
      </c>
      <c r="AH232" s="262">
        <f t="shared" ref="AH232:AH263" si="176">+(AG232*$X$1-$X232-$Y232)/(AG232*$X$1)</f>
        <v>0.39037256841411144</v>
      </c>
      <c r="AI232" s="100"/>
      <c r="AJ232" s="111">
        <f t="shared" si="161"/>
        <v>2.2000000000000002</v>
      </c>
      <c r="AK232" s="262">
        <f t="shared" ref="AK232:AK263" si="177">+(AJ232*$X$1-$X232-$Y232)/(AJ232*$X$1)</f>
        <v>0.36266223061475295</v>
      </c>
      <c r="AL232" s="100"/>
      <c r="AM232" s="111">
        <f t="shared" si="163"/>
        <v>2</v>
      </c>
      <c r="AN232" s="262">
        <f t="shared" ref="AN232:AN263" si="178">+(AM232*$X$1-$X232-$Y232)/(AM232*$X$1)</f>
        <v>0.29892845367622817</v>
      </c>
      <c r="AO232" s="100"/>
      <c r="AP232" s="24" t="e">
        <f>VLOOKUP(C232,#REF!,6,FALSE)</f>
        <v>#REF!</v>
      </c>
      <c r="AQ232" s="24" t="e">
        <f>VLOOKUP(C232,#REF!,7,FALSE)</f>
        <v>#REF!</v>
      </c>
      <c r="AR232" s="24" t="e">
        <f>VLOOKUP(C232,#REF!,12,FALSE)</f>
        <v>#REF!</v>
      </c>
      <c r="AS232" s="24" t="e">
        <f>VLOOKUP(C232,#REF!,13,FALSE)</f>
        <v>#REF!</v>
      </c>
      <c r="AT232" s="100"/>
      <c r="AU232" s="3"/>
      <c r="AV232" s="100">
        <v>221</v>
      </c>
      <c r="AW232" s="100"/>
      <c r="AY232" s="9">
        <v>15900</v>
      </c>
    </row>
    <row r="233" spans="1:51" s="2" customFormat="1" ht="12.75" customHeight="1" x14ac:dyDescent="0.2">
      <c r="A233" s="7" t="s">
        <v>2425</v>
      </c>
      <c r="B233" s="8">
        <v>9789500218160</v>
      </c>
      <c r="C233" s="8">
        <v>750390</v>
      </c>
      <c r="D233" s="7">
        <v>400</v>
      </c>
      <c r="E233" s="7" t="s">
        <v>2426</v>
      </c>
      <c r="F233" s="7" t="s">
        <v>2427</v>
      </c>
      <c r="G233" s="107">
        <v>46266</v>
      </c>
      <c r="H233" s="107">
        <v>46235</v>
      </c>
      <c r="I233" s="116">
        <v>5974</v>
      </c>
      <c r="J233" s="6" t="s">
        <v>2136</v>
      </c>
      <c r="K233" s="148">
        <v>2977.14</v>
      </c>
      <c r="L233" s="352">
        <v>34900</v>
      </c>
      <c r="M233" s="112">
        <f>+L233*0.08</f>
        <v>2792</v>
      </c>
      <c r="N233" s="9">
        <f t="shared" si="165"/>
        <v>17450</v>
      </c>
      <c r="O233" s="9">
        <f t="shared" si="166"/>
        <v>11680.86</v>
      </c>
      <c r="P233" s="9">
        <f t="shared" si="167"/>
        <v>5769.1399999999994</v>
      </c>
      <c r="Q233" s="139">
        <f t="shared" si="168"/>
        <v>0.66939025787965623</v>
      </c>
      <c r="R233" s="386">
        <v>34900</v>
      </c>
      <c r="S233" s="359" t="s">
        <v>1948</v>
      </c>
      <c r="T233" s="305">
        <v>0.6542206686930091</v>
      </c>
      <c r="U233" s="144"/>
      <c r="V233" s="100"/>
      <c r="W233" s="110">
        <f t="shared" si="169"/>
        <v>34900</v>
      </c>
      <c r="X233" s="110">
        <f t="shared" si="170"/>
        <v>2977.14</v>
      </c>
      <c r="Y233" s="110">
        <f t="shared" si="171"/>
        <v>2792</v>
      </c>
      <c r="Z233" s="110">
        <f t="shared" si="172"/>
        <v>11680.86</v>
      </c>
      <c r="AA233" s="260">
        <f t="shared" si="173"/>
        <v>0.66939025787965623</v>
      </c>
      <c r="AB233" s="28">
        <f t="shared" si="155"/>
        <v>11.5</v>
      </c>
      <c r="AC233" s="261">
        <f t="shared" si="174"/>
        <v>0.66919594604280452</v>
      </c>
      <c r="AD233" s="111">
        <f t="shared" si="157"/>
        <v>4</v>
      </c>
      <c r="AE233" s="262">
        <f t="shared" si="175"/>
        <v>4.8938344873062992E-2</v>
      </c>
      <c r="AF233" s="100"/>
      <c r="AG233" s="111">
        <f t="shared" si="159"/>
        <v>6.3</v>
      </c>
      <c r="AH233" s="262">
        <f t="shared" si="176"/>
        <v>0.39615133007813519</v>
      </c>
      <c r="AI233" s="100"/>
      <c r="AJ233" s="111">
        <f t="shared" si="161"/>
        <v>5.9</v>
      </c>
      <c r="AK233" s="262">
        <f t="shared" si="177"/>
        <v>0.35521243720207668</v>
      </c>
      <c r="AL233" s="100"/>
      <c r="AM233" s="111">
        <f t="shared" si="163"/>
        <v>5.4</v>
      </c>
      <c r="AN233" s="262">
        <f t="shared" si="178"/>
        <v>0.29550988509115789</v>
      </c>
      <c r="AO233" s="100"/>
      <c r="AP233" s="24" t="e">
        <f>VLOOKUP(C233,#REF!,6,FALSE)</f>
        <v>#REF!</v>
      </c>
      <c r="AQ233" s="24" t="e">
        <f>VLOOKUP(C233,#REF!,7,FALSE)</f>
        <v>#REF!</v>
      </c>
      <c r="AR233" s="24" t="e">
        <f>VLOOKUP(C233,#REF!,12,FALSE)</f>
        <v>#REF!</v>
      </c>
      <c r="AS233" s="24" t="e">
        <f>VLOOKUP(C233,#REF!,13,FALSE)</f>
        <v>#REF!</v>
      </c>
      <c r="AT233" s="100"/>
      <c r="AU233" s="3"/>
      <c r="AV233" s="100">
        <v>222</v>
      </c>
      <c r="AW233" s="100"/>
      <c r="AY233" s="352">
        <v>34900</v>
      </c>
    </row>
    <row r="234" spans="1:51" s="2" customFormat="1" ht="12.75" customHeight="1" x14ac:dyDescent="0.2">
      <c r="A234" s="6" t="s">
        <v>2337</v>
      </c>
      <c r="B234" s="8">
        <v>9789500217729</v>
      </c>
      <c r="C234" s="8">
        <v>745988</v>
      </c>
      <c r="D234" s="8">
        <v>352</v>
      </c>
      <c r="E234" s="6" t="s">
        <v>2338</v>
      </c>
      <c r="F234" s="6" t="s">
        <v>2339</v>
      </c>
      <c r="G234" s="107">
        <v>46174</v>
      </c>
      <c r="H234" s="108">
        <v>46143</v>
      </c>
      <c r="I234" s="116">
        <v>4078</v>
      </c>
      <c r="J234" s="8" t="s">
        <v>1762</v>
      </c>
      <c r="K234" s="148">
        <v>3056.07</v>
      </c>
      <c r="L234" s="352">
        <v>33900</v>
      </c>
      <c r="M234" s="112">
        <f>+L234*0.08</f>
        <v>2712</v>
      </c>
      <c r="N234" s="9">
        <f t="shared" si="165"/>
        <v>16950</v>
      </c>
      <c r="O234" s="9">
        <f t="shared" si="166"/>
        <v>11181.93</v>
      </c>
      <c r="P234" s="9">
        <f t="shared" si="167"/>
        <v>5768.07</v>
      </c>
      <c r="Q234" s="139">
        <f t="shared" si="168"/>
        <v>0.65970088495575219</v>
      </c>
      <c r="R234" s="387">
        <v>33900</v>
      </c>
      <c r="S234" s="359" t="s">
        <v>1948</v>
      </c>
      <c r="T234" s="305">
        <v>0.6542206686930091</v>
      </c>
      <c r="U234" s="144"/>
      <c r="V234" s="100"/>
      <c r="W234" s="110">
        <f t="shared" si="169"/>
        <v>33900</v>
      </c>
      <c r="X234" s="110">
        <f t="shared" si="170"/>
        <v>3056.07</v>
      </c>
      <c r="Y234" s="110">
        <f t="shared" si="171"/>
        <v>2712</v>
      </c>
      <c r="Z234" s="110">
        <f t="shared" si="172"/>
        <v>11181.93</v>
      </c>
      <c r="AA234" s="260">
        <f t="shared" si="173"/>
        <v>0.65970088495575219</v>
      </c>
      <c r="AB234" s="28">
        <f t="shared" si="155"/>
        <v>11.2</v>
      </c>
      <c r="AC234" s="261">
        <f t="shared" si="174"/>
        <v>0.6603981206726014</v>
      </c>
      <c r="AD234" s="111">
        <f t="shared" si="157"/>
        <v>4</v>
      </c>
      <c r="AE234" s="262">
        <f t="shared" si="175"/>
        <v>4.9114737883283847E-2</v>
      </c>
      <c r="AF234" s="100"/>
      <c r="AG234" s="111">
        <f t="shared" si="159"/>
        <v>6.3</v>
      </c>
      <c r="AH234" s="262">
        <f t="shared" si="176"/>
        <v>0.39626332564018019</v>
      </c>
      <c r="AI234" s="100"/>
      <c r="AJ234" s="111">
        <f t="shared" si="161"/>
        <v>5.9</v>
      </c>
      <c r="AK234" s="262">
        <f t="shared" si="177"/>
        <v>0.35533202568358235</v>
      </c>
      <c r="AL234" s="100"/>
      <c r="AM234" s="111">
        <f t="shared" si="163"/>
        <v>5.4</v>
      </c>
      <c r="AN234" s="262">
        <f t="shared" si="178"/>
        <v>0.29564054658021033</v>
      </c>
      <c r="AO234" s="100"/>
      <c r="AP234" s="24" t="e">
        <f>VLOOKUP(C234,#REF!,6,FALSE)</f>
        <v>#REF!</v>
      </c>
      <c r="AQ234" s="24" t="e">
        <f>VLOOKUP(C234,#REF!,7,FALSE)</f>
        <v>#REF!</v>
      </c>
      <c r="AR234" s="24" t="e">
        <f>VLOOKUP(C234,#REF!,12,FALSE)</f>
        <v>#REF!</v>
      </c>
      <c r="AS234" s="24" t="e">
        <f>VLOOKUP(C234,#REF!,13,FALSE)</f>
        <v>#REF!</v>
      </c>
      <c r="AT234" s="100"/>
      <c r="AU234" s="3"/>
      <c r="AV234" s="100">
        <v>223</v>
      </c>
      <c r="AW234" s="100"/>
      <c r="AY234" s="352">
        <v>33900</v>
      </c>
    </row>
    <row r="235" spans="1:51" s="2" customFormat="1" ht="12.75" customHeight="1" x14ac:dyDescent="0.2">
      <c r="A235" s="6" t="s">
        <v>2283</v>
      </c>
      <c r="B235" s="153">
        <v>9789500217446</v>
      </c>
      <c r="C235" s="6">
        <v>743064</v>
      </c>
      <c r="D235" s="41">
        <v>256</v>
      </c>
      <c r="E235" s="6" t="s">
        <v>2284</v>
      </c>
      <c r="F235" s="6" t="s">
        <v>2285</v>
      </c>
      <c r="G235" s="107">
        <v>46113</v>
      </c>
      <c r="H235" s="108">
        <v>46082</v>
      </c>
      <c r="I235" s="7">
        <v>4047</v>
      </c>
      <c r="J235" s="6" t="s">
        <v>1333</v>
      </c>
      <c r="K235" s="148">
        <v>2331.88</v>
      </c>
      <c r="L235" s="9">
        <v>32900</v>
      </c>
      <c r="M235" s="112">
        <f>+L235*0.08</f>
        <v>2632</v>
      </c>
      <c r="N235" s="9">
        <f t="shared" si="165"/>
        <v>16450</v>
      </c>
      <c r="O235" s="9">
        <f t="shared" si="166"/>
        <v>11486.119999999999</v>
      </c>
      <c r="P235" s="9">
        <f t="shared" si="167"/>
        <v>4963.88</v>
      </c>
      <c r="Q235" s="139">
        <f t="shared" si="168"/>
        <v>0.69824437689969598</v>
      </c>
      <c r="R235" s="304">
        <v>32900</v>
      </c>
      <c r="S235" s="359" t="s">
        <v>1948</v>
      </c>
      <c r="T235" s="305">
        <v>0.6938006269592476</v>
      </c>
      <c r="U235" s="144"/>
      <c r="V235" s="100"/>
      <c r="W235" s="110">
        <f t="shared" si="169"/>
        <v>32900</v>
      </c>
      <c r="X235" s="110">
        <f t="shared" si="170"/>
        <v>2331.88</v>
      </c>
      <c r="Y235" s="110">
        <f t="shared" si="171"/>
        <v>2632</v>
      </c>
      <c r="Z235" s="110">
        <f t="shared" si="172"/>
        <v>11486.119999999999</v>
      </c>
      <c r="AA235" s="260">
        <f t="shared" si="173"/>
        <v>0.69824437689969598</v>
      </c>
      <c r="AB235" s="28">
        <f t="shared" si="155"/>
        <v>10.8</v>
      </c>
      <c r="AC235" s="261">
        <f t="shared" si="174"/>
        <v>0.69692151762708965</v>
      </c>
      <c r="AD235" s="111">
        <f t="shared" si="157"/>
        <v>3.4</v>
      </c>
      <c r="AE235" s="262">
        <f t="shared" si="175"/>
        <v>3.7280114815461174E-2</v>
      </c>
      <c r="AF235" s="100"/>
      <c r="AG235" s="111">
        <f t="shared" si="159"/>
        <v>5.5</v>
      </c>
      <c r="AH235" s="262">
        <f t="shared" si="176"/>
        <v>0.40486407097683058</v>
      </c>
      <c r="AI235" s="100"/>
      <c r="AJ235" s="111">
        <f t="shared" si="161"/>
        <v>5</v>
      </c>
      <c r="AK235" s="262">
        <f t="shared" si="177"/>
        <v>0.34535047807451369</v>
      </c>
      <c r="AL235" s="100"/>
      <c r="AM235" s="111">
        <f t="shared" si="163"/>
        <v>4.7</v>
      </c>
      <c r="AN235" s="262">
        <f t="shared" si="178"/>
        <v>0.3035643383771422</v>
      </c>
      <c r="AO235" s="100"/>
      <c r="AP235" s="24" t="e">
        <f>VLOOKUP(C235,#REF!,6,FALSE)</f>
        <v>#REF!</v>
      </c>
      <c r="AQ235" s="24" t="e">
        <f>VLOOKUP(C235,#REF!,7,FALSE)</f>
        <v>#REF!</v>
      </c>
      <c r="AR235" s="24" t="e">
        <f>VLOOKUP(C235,#REF!,12,FALSE)</f>
        <v>#REF!</v>
      </c>
      <c r="AS235" s="24" t="e">
        <f>VLOOKUP(C235,#REF!,13,FALSE)</f>
        <v>#REF!</v>
      </c>
      <c r="AT235" s="100"/>
      <c r="AU235" s="100"/>
      <c r="AV235" s="100">
        <v>224</v>
      </c>
      <c r="AW235" s="100"/>
      <c r="AY235" s="9">
        <v>32900</v>
      </c>
    </row>
    <row r="236" spans="1:51" s="2" customFormat="1" ht="12.75" customHeight="1" x14ac:dyDescent="0.2">
      <c r="A236" s="6" t="s">
        <v>2254</v>
      </c>
      <c r="B236" s="153">
        <v>9789500217316</v>
      </c>
      <c r="C236" s="6">
        <v>741697</v>
      </c>
      <c r="D236" s="41">
        <v>288</v>
      </c>
      <c r="E236" s="6" t="s">
        <v>1938</v>
      </c>
      <c r="F236" s="6" t="s">
        <v>2255</v>
      </c>
      <c r="G236" s="107">
        <v>46082</v>
      </c>
      <c r="H236" s="108">
        <v>46054</v>
      </c>
      <c r="I236" s="7">
        <v>2018</v>
      </c>
      <c r="J236" s="8" t="s">
        <v>2258</v>
      </c>
      <c r="K236" s="148">
        <v>4554.67</v>
      </c>
      <c r="L236" s="9">
        <v>32900</v>
      </c>
      <c r="M236" s="9">
        <f>+L236*0.08</f>
        <v>2632</v>
      </c>
      <c r="N236" s="9">
        <f t="shared" si="165"/>
        <v>16450</v>
      </c>
      <c r="O236" s="9">
        <f t="shared" si="166"/>
        <v>9263.33</v>
      </c>
      <c r="P236" s="9">
        <f t="shared" si="167"/>
        <v>7186.67</v>
      </c>
      <c r="Q236" s="109">
        <f t="shared" si="168"/>
        <v>0.56312036474164129</v>
      </c>
      <c r="R236" s="304">
        <v>32900</v>
      </c>
      <c r="S236" s="359" t="s">
        <v>1948</v>
      </c>
      <c r="T236" s="305">
        <v>0.56312036474164129</v>
      </c>
      <c r="U236" s="12"/>
      <c r="V236" s="100"/>
      <c r="W236" s="110">
        <f t="shared" si="169"/>
        <v>32900</v>
      </c>
      <c r="X236" s="110">
        <f t="shared" si="170"/>
        <v>4554.67</v>
      </c>
      <c r="Y236" s="110">
        <f t="shared" si="171"/>
        <v>2632</v>
      </c>
      <c r="Z236" s="110">
        <f t="shared" si="172"/>
        <v>9263.33</v>
      </c>
      <c r="AA236" s="260">
        <f t="shared" si="173"/>
        <v>0.56312036474164129</v>
      </c>
      <c r="AB236" s="28">
        <f t="shared" si="155"/>
        <v>10.8</v>
      </c>
      <c r="AC236" s="261">
        <f t="shared" si="174"/>
        <v>0.56120513853781251</v>
      </c>
      <c r="AD236" s="111">
        <f t="shared" si="157"/>
        <v>5</v>
      </c>
      <c r="AE236" s="262">
        <f t="shared" si="175"/>
        <v>5.2203099241674898E-2</v>
      </c>
      <c r="AF236" s="100"/>
      <c r="AG236" s="111">
        <f t="shared" si="159"/>
        <v>7.9</v>
      </c>
      <c r="AH236" s="262">
        <f t="shared" si="176"/>
        <v>0.40012854382384488</v>
      </c>
      <c r="AI236" s="100"/>
      <c r="AJ236" s="111">
        <f t="shared" si="161"/>
        <v>7.3</v>
      </c>
      <c r="AK236" s="262">
        <f t="shared" si="177"/>
        <v>0.35082404057648958</v>
      </c>
      <c r="AL236" s="100"/>
      <c r="AM236" s="111">
        <f t="shared" si="163"/>
        <v>6.8</v>
      </c>
      <c r="AN236" s="262">
        <f t="shared" si="178"/>
        <v>0.3030905141482903</v>
      </c>
      <c r="AO236" s="100"/>
      <c r="AP236" s="24" t="e">
        <f>VLOOKUP(C236,#REF!,6,FALSE)</f>
        <v>#REF!</v>
      </c>
      <c r="AQ236" s="24" t="e">
        <f>VLOOKUP(C236,#REF!,7,FALSE)</f>
        <v>#REF!</v>
      </c>
      <c r="AR236" s="24" t="e">
        <f>VLOOKUP(C236,#REF!,12,FALSE)</f>
        <v>#REF!</v>
      </c>
      <c r="AS236" s="24" t="e">
        <f>VLOOKUP(C236,#REF!,13,FALSE)</f>
        <v>#REF!</v>
      </c>
      <c r="AT236" s="100"/>
      <c r="AU236" s="100"/>
      <c r="AV236" s="100">
        <v>225</v>
      </c>
      <c r="AW236" s="100"/>
      <c r="AY236" s="9">
        <v>32900</v>
      </c>
    </row>
    <row r="237" spans="1:51" s="2" customFormat="1" ht="12.75" customHeight="1" x14ac:dyDescent="0.2">
      <c r="A237" s="6" t="s">
        <v>2166</v>
      </c>
      <c r="B237" s="153">
        <v>9789500216821</v>
      </c>
      <c r="C237" s="6">
        <v>737013</v>
      </c>
      <c r="D237" s="41">
        <v>336</v>
      </c>
      <c r="E237" s="316" t="s">
        <v>2167</v>
      </c>
      <c r="F237" s="29" t="s">
        <v>2168</v>
      </c>
      <c r="G237" s="329">
        <v>45962</v>
      </c>
      <c r="H237" s="108">
        <v>45931</v>
      </c>
      <c r="I237" s="7">
        <v>4117</v>
      </c>
      <c r="J237" s="7" t="s">
        <v>1946</v>
      </c>
      <c r="K237" s="292">
        <v>6557.28</v>
      </c>
      <c r="L237" s="9">
        <v>47900</v>
      </c>
      <c r="M237" s="9"/>
      <c r="N237" s="9">
        <f t="shared" si="165"/>
        <v>23950</v>
      </c>
      <c r="O237" s="9">
        <f t="shared" si="166"/>
        <v>17392.72</v>
      </c>
      <c r="P237" s="9">
        <f t="shared" si="167"/>
        <v>6557.28</v>
      </c>
      <c r="Q237" s="109">
        <f t="shared" si="168"/>
        <v>0.72620960334029228</v>
      </c>
      <c r="R237" s="335">
        <v>47900</v>
      </c>
      <c r="S237" s="359" t="s">
        <v>1948</v>
      </c>
      <c r="T237" s="305">
        <v>0.72620960334029228</v>
      </c>
      <c r="U237" s="12"/>
      <c r="V237" s="100"/>
      <c r="W237" s="110">
        <f t="shared" si="169"/>
        <v>47900</v>
      </c>
      <c r="X237" s="110">
        <f t="shared" si="170"/>
        <v>6557.28</v>
      </c>
      <c r="Y237" s="110">
        <f t="shared" si="171"/>
        <v>0</v>
      </c>
      <c r="Z237" s="110">
        <f t="shared" si="172"/>
        <v>17392.72</v>
      </c>
      <c r="AA237" s="260">
        <f t="shared" si="173"/>
        <v>0.72620960334029228</v>
      </c>
      <c r="AB237" s="28">
        <f t="shared" si="155"/>
        <v>15.8</v>
      </c>
      <c r="AC237" s="261">
        <f t="shared" si="174"/>
        <v>0.72633186843456166</v>
      </c>
      <c r="AD237" s="111">
        <f t="shared" si="157"/>
        <v>4.5999999999999996</v>
      </c>
      <c r="AE237" s="262">
        <f t="shared" si="175"/>
        <v>6.0009461144798507E-2</v>
      </c>
      <c r="AF237" s="100"/>
      <c r="AG237" s="111">
        <f t="shared" si="159"/>
        <v>7.2</v>
      </c>
      <c r="AH237" s="262">
        <f t="shared" si="176"/>
        <v>0.39945048906473246</v>
      </c>
      <c r="AI237" s="100"/>
      <c r="AJ237" s="111">
        <f t="shared" si="161"/>
        <v>6.7</v>
      </c>
      <c r="AK237" s="262">
        <f t="shared" si="177"/>
        <v>0.35463336138299612</v>
      </c>
      <c r="AL237" s="100"/>
      <c r="AM237" s="111">
        <f t="shared" si="163"/>
        <v>6.2</v>
      </c>
      <c r="AN237" s="262">
        <f t="shared" si="178"/>
        <v>0.30258766472033449</v>
      </c>
      <c r="AO237" s="100"/>
      <c r="AP237" s="24" t="e">
        <f>VLOOKUP(C237,#REF!,6,FALSE)</f>
        <v>#REF!</v>
      </c>
      <c r="AQ237" s="24" t="e">
        <f>VLOOKUP(C237,#REF!,7,FALSE)</f>
        <v>#REF!</v>
      </c>
      <c r="AR237" s="24" t="e">
        <f>VLOOKUP(C237,#REF!,12,FALSE)</f>
        <v>#REF!</v>
      </c>
      <c r="AS237" s="24" t="e">
        <f>VLOOKUP(C237,#REF!,13,FALSE)</f>
        <v>#REF!</v>
      </c>
      <c r="AT237" s="100"/>
      <c r="AU237" s="100"/>
      <c r="AV237" s="100">
        <v>226</v>
      </c>
      <c r="AW237" s="100"/>
      <c r="AY237" s="9">
        <v>47900</v>
      </c>
    </row>
    <row r="238" spans="1:51" s="2" customFormat="1" ht="12.75" customHeight="1" x14ac:dyDescent="0.2">
      <c r="A238" s="6" t="s">
        <v>2172</v>
      </c>
      <c r="B238" s="153">
        <v>9789500216852</v>
      </c>
      <c r="C238" s="6">
        <v>737015</v>
      </c>
      <c r="D238" s="41">
        <v>272</v>
      </c>
      <c r="E238" s="6" t="s">
        <v>2173</v>
      </c>
      <c r="F238" s="29" t="s">
        <v>2174</v>
      </c>
      <c r="G238" s="329">
        <v>45962</v>
      </c>
      <c r="H238" s="108">
        <v>45931</v>
      </c>
      <c r="I238" s="7">
        <v>4000</v>
      </c>
      <c r="J238" s="7" t="s">
        <v>1762</v>
      </c>
      <c r="K238" s="148">
        <v>2519.5100000000002</v>
      </c>
      <c r="L238" s="9">
        <v>24900</v>
      </c>
      <c r="M238" s="9">
        <f>+L238*0.08</f>
        <v>1992</v>
      </c>
      <c r="N238" s="9">
        <f t="shared" si="165"/>
        <v>12450</v>
      </c>
      <c r="O238" s="9">
        <f t="shared" si="166"/>
        <v>7938.49</v>
      </c>
      <c r="P238" s="9">
        <f t="shared" si="167"/>
        <v>4511.51</v>
      </c>
      <c r="Q238" s="109">
        <f t="shared" si="168"/>
        <v>0.63762971887550202</v>
      </c>
      <c r="R238" s="335">
        <v>24900</v>
      </c>
      <c r="S238" s="359" t="s">
        <v>1948</v>
      </c>
      <c r="T238" s="305">
        <v>0.63762971887550202</v>
      </c>
      <c r="U238" s="12"/>
      <c r="V238" s="100"/>
      <c r="W238" s="110">
        <f t="shared" si="169"/>
        <v>24900</v>
      </c>
      <c r="X238" s="110">
        <f t="shared" si="170"/>
        <v>2519.5100000000002</v>
      </c>
      <c r="Y238" s="110">
        <f t="shared" si="171"/>
        <v>1992</v>
      </c>
      <c r="Z238" s="110">
        <f t="shared" si="172"/>
        <v>7938.49</v>
      </c>
      <c r="AA238" s="260">
        <f t="shared" si="173"/>
        <v>0.63762971887550202</v>
      </c>
      <c r="AB238" s="28">
        <f t="shared" si="155"/>
        <v>8.1999999999999993</v>
      </c>
      <c r="AC238" s="261">
        <f t="shared" si="174"/>
        <v>0.63720135420938773</v>
      </c>
      <c r="AD238" s="111">
        <f t="shared" si="157"/>
        <v>3.1</v>
      </c>
      <c r="AE238" s="262">
        <f t="shared" si="175"/>
        <v>4.033906597321938E-2</v>
      </c>
      <c r="AF238" s="100"/>
      <c r="AG238" s="111">
        <f t="shared" si="159"/>
        <v>5</v>
      </c>
      <c r="AH238" s="262">
        <f t="shared" si="176"/>
        <v>0.40501022090339595</v>
      </c>
      <c r="AI238" s="100"/>
      <c r="AJ238" s="111">
        <f t="shared" si="161"/>
        <v>4.5999999999999996</v>
      </c>
      <c r="AK238" s="262">
        <f t="shared" si="177"/>
        <v>0.35327197924282167</v>
      </c>
      <c r="AL238" s="100"/>
      <c r="AM238" s="111">
        <f t="shared" si="163"/>
        <v>4.2</v>
      </c>
      <c r="AN238" s="262">
        <f t="shared" si="178"/>
        <v>0.29167883440880471</v>
      </c>
      <c r="AO238" s="100"/>
      <c r="AP238" s="24" t="e">
        <f>VLOOKUP(C238,#REF!,6,FALSE)</f>
        <v>#REF!</v>
      </c>
      <c r="AQ238" s="24" t="e">
        <f>VLOOKUP(C238,#REF!,7,FALSE)</f>
        <v>#REF!</v>
      </c>
      <c r="AR238" s="24" t="e">
        <f>VLOOKUP(C238,#REF!,12,FALSE)</f>
        <v>#REF!</v>
      </c>
      <c r="AS238" s="24" t="e">
        <f>VLOOKUP(C238,#REF!,13,FALSE)</f>
        <v>#REF!</v>
      </c>
      <c r="AT238" s="100"/>
      <c r="AU238" s="100"/>
      <c r="AV238" s="100">
        <v>227</v>
      </c>
      <c r="AW238" s="100"/>
      <c r="AY238" s="9">
        <v>24900</v>
      </c>
    </row>
    <row r="239" spans="1:51" s="2" customFormat="1" ht="12.75" customHeight="1" x14ac:dyDescent="0.2">
      <c r="A239" s="6" t="s">
        <v>2151</v>
      </c>
      <c r="B239" s="153">
        <v>9789500216784</v>
      </c>
      <c r="C239" s="6">
        <v>735112</v>
      </c>
      <c r="D239" s="41">
        <v>416</v>
      </c>
      <c r="E239" s="6" t="s">
        <v>2152</v>
      </c>
      <c r="F239" s="6" t="s">
        <v>2153</v>
      </c>
      <c r="G239" s="107">
        <v>45931</v>
      </c>
      <c r="H239" s="108">
        <v>46023</v>
      </c>
      <c r="I239" s="7">
        <v>2059</v>
      </c>
      <c r="J239" s="7" t="s">
        <v>1762</v>
      </c>
      <c r="K239" s="148">
        <v>3354.42</v>
      </c>
      <c r="L239" s="9">
        <v>32500</v>
      </c>
      <c r="M239" s="9">
        <f>+L239*0.09</f>
        <v>2925</v>
      </c>
      <c r="N239" s="9">
        <f t="shared" si="165"/>
        <v>16250</v>
      </c>
      <c r="O239" s="9">
        <f t="shared" si="166"/>
        <v>9970.58</v>
      </c>
      <c r="P239" s="9">
        <f t="shared" si="167"/>
        <v>6279.42</v>
      </c>
      <c r="Q239" s="109">
        <f t="shared" si="168"/>
        <v>0.61357415384615388</v>
      </c>
      <c r="R239" s="336">
        <v>32500</v>
      </c>
      <c r="S239" s="359" t="s">
        <v>1948</v>
      </c>
      <c r="T239" s="305">
        <v>0.61357415384615388</v>
      </c>
      <c r="U239" s="12"/>
      <c r="V239" s="100"/>
      <c r="W239" s="110">
        <f t="shared" si="169"/>
        <v>32500</v>
      </c>
      <c r="X239" s="110">
        <f t="shared" si="170"/>
        <v>3354.42</v>
      </c>
      <c r="Y239" s="110">
        <f t="shared" si="171"/>
        <v>2925</v>
      </c>
      <c r="Z239" s="110">
        <f t="shared" si="172"/>
        <v>9970.58</v>
      </c>
      <c r="AA239" s="260">
        <f t="shared" si="173"/>
        <v>0.61357415384615388</v>
      </c>
      <c r="AB239" s="28">
        <f t="shared" si="155"/>
        <v>10.7</v>
      </c>
      <c r="AC239" s="261">
        <f t="shared" si="174"/>
        <v>0.6130157057415162</v>
      </c>
      <c r="AD239" s="111">
        <f t="shared" si="157"/>
        <v>4.4000000000000004</v>
      </c>
      <c r="AE239" s="262">
        <f t="shared" si="175"/>
        <v>5.8924557144141756E-2</v>
      </c>
      <c r="AF239" s="100"/>
      <c r="AG239" s="111">
        <f t="shared" si="159"/>
        <v>6.9</v>
      </c>
      <c r="AH239" s="262">
        <f t="shared" si="176"/>
        <v>0.39989392049771355</v>
      </c>
      <c r="AI239" s="100"/>
      <c r="AJ239" s="111">
        <f t="shared" si="161"/>
        <v>6.4</v>
      </c>
      <c r="AK239" s="262">
        <f t="shared" si="177"/>
        <v>0.35301063303659747</v>
      </c>
      <c r="AL239" s="100"/>
      <c r="AM239" s="111">
        <f t="shared" si="163"/>
        <v>5.9</v>
      </c>
      <c r="AN239" s="262">
        <f t="shared" si="178"/>
        <v>0.29818102566681759</v>
      </c>
      <c r="AO239" s="100"/>
      <c r="AP239" s="24" t="e">
        <f>VLOOKUP(C239,#REF!,6,FALSE)</f>
        <v>#REF!</v>
      </c>
      <c r="AQ239" s="24" t="e">
        <f>VLOOKUP(C239,#REF!,7,FALSE)</f>
        <v>#REF!</v>
      </c>
      <c r="AR239" s="24" t="e">
        <f>VLOOKUP(C239,#REF!,12,FALSE)</f>
        <v>#REF!</v>
      </c>
      <c r="AS239" s="24" t="e">
        <f>VLOOKUP(C239,#REF!,13,FALSE)</f>
        <v>#REF!</v>
      </c>
      <c r="AT239" s="100"/>
      <c r="AU239" s="100"/>
      <c r="AV239" s="100">
        <v>228</v>
      </c>
      <c r="AW239" s="100"/>
      <c r="AY239" s="9">
        <v>32500</v>
      </c>
    </row>
    <row r="240" spans="1:51" s="2" customFormat="1" ht="12.75" customHeight="1" x14ac:dyDescent="0.2">
      <c r="A240" s="6" t="s">
        <v>2113</v>
      </c>
      <c r="B240" s="153">
        <v>9789500216616</v>
      </c>
      <c r="C240" s="6">
        <v>734148</v>
      </c>
      <c r="D240" s="41">
        <v>384</v>
      </c>
      <c r="E240" s="6" t="s">
        <v>2120</v>
      </c>
      <c r="F240" s="6" t="s">
        <v>2139</v>
      </c>
      <c r="G240" s="107">
        <v>45901</v>
      </c>
      <c r="H240" s="108">
        <v>45870</v>
      </c>
      <c r="I240" s="7">
        <v>5010</v>
      </c>
      <c r="J240" s="7" t="s">
        <v>1762</v>
      </c>
      <c r="K240" s="148">
        <v>2806.4</v>
      </c>
      <c r="L240" s="9">
        <v>32500</v>
      </c>
      <c r="M240" s="9">
        <f>+L240*0.08</f>
        <v>2600</v>
      </c>
      <c r="N240" s="9">
        <f t="shared" si="165"/>
        <v>16250</v>
      </c>
      <c r="O240" s="9">
        <f t="shared" si="166"/>
        <v>10843.6</v>
      </c>
      <c r="P240" s="9">
        <f t="shared" si="167"/>
        <v>5406.4</v>
      </c>
      <c r="Q240" s="109">
        <f t="shared" si="168"/>
        <v>0.66729846153846151</v>
      </c>
      <c r="R240" s="336">
        <v>32500</v>
      </c>
      <c r="S240" s="359" t="s">
        <v>1948</v>
      </c>
      <c r="T240" s="305">
        <v>0.66729846153846151</v>
      </c>
      <c r="U240" s="12"/>
      <c r="V240" s="100"/>
      <c r="W240" s="110">
        <f t="shared" si="169"/>
        <v>32500</v>
      </c>
      <c r="X240" s="110">
        <f t="shared" si="170"/>
        <v>2806.4</v>
      </c>
      <c r="Y240" s="110">
        <f t="shared" si="171"/>
        <v>2600</v>
      </c>
      <c r="Z240" s="110">
        <f t="shared" si="172"/>
        <v>10843.6</v>
      </c>
      <c r="AA240" s="260">
        <f t="shared" si="173"/>
        <v>0.66729846153846151</v>
      </c>
      <c r="AB240" s="28">
        <f t="shared" si="155"/>
        <v>10.7</v>
      </c>
      <c r="AC240" s="261">
        <f t="shared" si="174"/>
        <v>0.66681765378345981</v>
      </c>
      <c r="AD240" s="111">
        <f t="shared" si="157"/>
        <v>3.8</v>
      </c>
      <c r="AE240" s="262">
        <f t="shared" si="175"/>
        <v>6.1828656706057881E-2</v>
      </c>
      <c r="AF240" s="100"/>
      <c r="AG240" s="111">
        <f t="shared" si="159"/>
        <v>5.9</v>
      </c>
      <c r="AH240" s="262">
        <f t="shared" si="176"/>
        <v>0.39575405008186787</v>
      </c>
      <c r="AI240" s="100"/>
      <c r="AJ240" s="111">
        <f t="shared" si="161"/>
        <v>5.5</v>
      </c>
      <c r="AK240" s="262">
        <f t="shared" si="177"/>
        <v>0.3518088900878219</v>
      </c>
      <c r="AL240" s="100"/>
      <c r="AM240" s="111">
        <f t="shared" si="163"/>
        <v>5.0999999999999996</v>
      </c>
      <c r="AN240" s="262">
        <f t="shared" si="178"/>
        <v>0.30097037166333729</v>
      </c>
      <c r="AO240" s="100"/>
      <c r="AP240" s="24" t="e">
        <f>VLOOKUP(C240,#REF!,6,FALSE)</f>
        <v>#REF!</v>
      </c>
      <c r="AQ240" s="24" t="e">
        <f>VLOOKUP(C240,#REF!,7,FALSE)</f>
        <v>#REF!</v>
      </c>
      <c r="AR240" s="24" t="e">
        <f>VLOOKUP(C240,#REF!,12,FALSE)</f>
        <v>#REF!</v>
      </c>
      <c r="AS240" s="24" t="e">
        <f>VLOOKUP(C240,#REF!,13,FALSE)</f>
        <v>#REF!</v>
      </c>
      <c r="AT240" s="100"/>
      <c r="AU240" s="100"/>
      <c r="AV240" s="100">
        <v>229</v>
      </c>
      <c r="AW240" s="100"/>
      <c r="AY240" s="9">
        <v>32500</v>
      </c>
    </row>
    <row r="241" spans="1:51" s="2" customFormat="1" ht="12.75" customHeight="1" x14ac:dyDescent="0.2">
      <c r="A241" s="6" t="s">
        <v>2013</v>
      </c>
      <c r="B241" s="279">
        <v>9789500216050</v>
      </c>
      <c r="C241" s="6">
        <v>728112</v>
      </c>
      <c r="D241" s="41">
        <v>448</v>
      </c>
      <c r="E241" s="6" t="s">
        <v>2014</v>
      </c>
      <c r="F241" s="6" t="s">
        <v>2015</v>
      </c>
      <c r="G241" s="118">
        <v>45748</v>
      </c>
      <c r="H241" s="108">
        <v>45901</v>
      </c>
      <c r="I241" s="264">
        <v>2024</v>
      </c>
      <c r="J241" s="8" t="s">
        <v>2258</v>
      </c>
      <c r="K241" s="292">
        <v>2893.44</v>
      </c>
      <c r="L241" s="9">
        <v>36900</v>
      </c>
      <c r="M241" s="112">
        <f>+L241*0.12</f>
        <v>4428</v>
      </c>
      <c r="N241" s="9">
        <f t="shared" si="165"/>
        <v>18450</v>
      </c>
      <c r="O241" s="9">
        <f t="shared" si="166"/>
        <v>11128.56</v>
      </c>
      <c r="P241" s="9">
        <f t="shared" si="167"/>
        <v>7321.4400000000005</v>
      </c>
      <c r="Q241" s="109">
        <f t="shared" si="168"/>
        <v>0.60317398373983733</v>
      </c>
      <c r="R241" s="336">
        <v>36900</v>
      </c>
      <c r="S241" s="359" t="s">
        <v>1948</v>
      </c>
      <c r="T241" s="305">
        <v>0.60317398373983733</v>
      </c>
      <c r="U241" s="12"/>
      <c r="V241" s="100"/>
      <c r="W241" s="110">
        <f t="shared" si="169"/>
        <v>36900</v>
      </c>
      <c r="X241" s="110">
        <f t="shared" si="170"/>
        <v>2893.44</v>
      </c>
      <c r="Y241" s="110">
        <f t="shared" si="171"/>
        <v>4428</v>
      </c>
      <c r="Z241" s="110">
        <f t="shared" si="172"/>
        <v>11128.56</v>
      </c>
      <c r="AA241" s="260">
        <f t="shared" si="173"/>
        <v>0.60317398373983733</v>
      </c>
      <c r="AB241" s="28">
        <f t="shared" si="155"/>
        <v>12.2</v>
      </c>
      <c r="AC241" s="261">
        <f t="shared" si="174"/>
        <v>0.60427429423878321</v>
      </c>
      <c r="AD241" s="111">
        <f t="shared" si="157"/>
        <v>5.0999999999999996</v>
      </c>
      <c r="AE241" s="262">
        <f t="shared" si="175"/>
        <v>5.3362037198657793E-2</v>
      </c>
      <c r="AF241" s="100"/>
      <c r="AG241" s="111">
        <f t="shared" si="159"/>
        <v>8</v>
      </c>
      <c r="AH241" s="262">
        <f t="shared" si="176"/>
        <v>0.39651829871414435</v>
      </c>
      <c r="AI241" s="100"/>
      <c r="AJ241" s="111">
        <f t="shared" si="161"/>
        <v>7.4</v>
      </c>
      <c r="AK241" s="262">
        <f t="shared" si="177"/>
        <v>0.34758734996123719</v>
      </c>
      <c r="AL241" s="100"/>
      <c r="AM241" s="111">
        <f t="shared" si="163"/>
        <v>6.9</v>
      </c>
      <c r="AN241" s="262">
        <f t="shared" si="178"/>
        <v>0.30031107097292103</v>
      </c>
      <c r="AO241" s="100"/>
      <c r="AP241" s="24" t="e">
        <f>VLOOKUP(C241,#REF!,6,FALSE)</f>
        <v>#REF!</v>
      </c>
      <c r="AQ241" s="24" t="e">
        <f>VLOOKUP(C241,#REF!,7,FALSE)</f>
        <v>#REF!</v>
      </c>
      <c r="AR241" s="24" t="e">
        <f>VLOOKUP(C241,#REF!,12,FALSE)</f>
        <v>#REF!</v>
      </c>
      <c r="AS241" s="24" t="e">
        <f>VLOOKUP(C241,#REF!,13,FALSE)</f>
        <v>#REF!</v>
      </c>
      <c r="AT241" s="100"/>
      <c r="AU241" s="100"/>
      <c r="AV241" s="100">
        <v>230</v>
      </c>
      <c r="AW241" s="100"/>
      <c r="AY241" s="9">
        <v>36900</v>
      </c>
    </row>
    <row r="242" spans="1:51" s="2" customFormat="1" ht="12.75" customHeight="1" x14ac:dyDescent="0.2">
      <c r="A242" s="6" t="s">
        <v>1964</v>
      </c>
      <c r="B242" s="8">
        <v>9789500216203</v>
      </c>
      <c r="C242" s="8">
        <v>728655</v>
      </c>
      <c r="D242" s="41">
        <v>400</v>
      </c>
      <c r="E242" s="6" t="s">
        <v>534</v>
      </c>
      <c r="F242" s="6" t="s">
        <v>2033</v>
      </c>
      <c r="G242" s="107">
        <v>45748</v>
      </c>
      <c r="H242" s="108">
        <v>45992</v>
      </c>
      <c r="I242" s="264">
        <v>2002</v>
      </c>
      <c r="J242" s="28" t="s">
        <v>1946</v>
      </c>
      <c r="K242" s="148">
        <v>3393.08</v>
      </c>
      <c r="L242" s="9">
        <v>38700</v>
      </c>
      <c r="M242" s="112">
        <f>+L242*0.12</f>
        <v>4644</v>
      </c>
      <c r="N242" s="9">
        <f t="shared" si="165"/>
        <v>19350</v>
      </c>
      <c r="O242" s="9">
        <f t="shared" si="166"/>
        <v>11312.92</v>
      </c>
      <c r="P242" s="9">
        <f t="shared" si="167"/>
        <v>8037.08</v>
      </c>
      <c r="Q242" s="139">
        <f t="shared" si="168"/>
        <v>0.58464702842377259</v>
      </c>
      <c r="R242" s="336">
        <v>38700</v>
      </c>
      <c r="S242" s="359" t="s">
        <v>1948</v>
      </c>
      <c r="T242" s="305">
        <v>0.58464702842377259</v>
      </c>
      <c r="U242" s="144"/>
      <c r="V242" s="100"/>
      <c r="W242" s="110">
        <f t="shared" si="169"/>
        <v>38700</v>
      </c>
      <c r="X242" s="110">
        <f t="shared" si="170"/>
        <v>3393.08</v>
      </c>
      <c r="Y242" s="110">
        <f t="shared" si="171"/>
        <v>4644</v>
      </c>
      <c r="Z242" s="110">
        <f t="shared" si="172"/>
        <v>11312.92</v>
      </c>
      <c r="AA242" s="260">
        <f t="shared" si="173"/>
        <v>0.58464702842377259</v>
      </c>
      <c r="AB242" s="28">
        <f t="shared" si="155"/>
        <v>12.8</v>
      </c>
      <c r="AC242" s="261">
        <f t="shared" si="174"/>
        <v>0.58595656116056716</v>
      </c>
      <c r="AD242" s="111">
        <f t="shared" si="157"/>
        <v>5.6</v>
      </c>
      <c r="AE242" s="262">
        <f t="shared" si="175"/>
        <v>5.361499693843904E-2</v>
      </c>
      <c r="AF242" s="100"/>
      <c r="AG242" s="111">
        <f t="shared" si="159"/>
        <v>8.8000000000000007</v>
      </c>
      <c r="AH242" s="262">
        <f t="shared" si="176"/>
        <v>0.39775499805173398</v>
      </c>
      <c r="AI242" s="100"/>
      <c r="AJ242" s="111">
        <f t="shared" si="161"/>
        <v>8.1999999999999993</v>
      </c>
      <c r="AK242" s="262">
        <f t="shared" si="177"/>
        <v>0.35368829059210471</v>
      </c>
      <c r="AL242" s="100"/>
      <c r="AM242" s="111">
        <f t="shared" si="163"/>
        <v>7.6</v>
      </c>
      <c r="AN242" s="262">
        <f t="shared" si="178"/>
        <v>0.30266368195463933</v>
      </c>
      <c r="AO242" s="100"/>
      <c r="AP242" s="24" t="e">
        <f>VLOOKUP(C242,#REF!,6,FALSE)</f>
        <v>#REF!</v>
      </c>
      <c r="AQ242" s="24" t="e">
        <f>VLOOKUP(C242,#REF!,7,FALSE)</f>
        <v>#REF!</v>
      </c>
      <c r="AR242" s="24" t="e">
        <f>VLOOKUP(C242,#REF!,12,FALSE)</f>
        <v>#REF!</v>
      </c>
      <c r="AS242" s="24" t="e">
        <f>VLOOKUP(C242,#REF!,13,FALSE)</f>
        <v>#REF!</v>
      </c>
      <c r="AT242" s="100"/>
      <c r="AU242" s="100"/>
      <c r="AV242" s="100">
        <v>231</v>
      </c>
      <c r="AW242" s="100"/>
      <c r="AY242" s="9">
        <v>38700</v>
      </c>
    </row>
    <row r="243" spans="1:51" s="2" customFormat="1" ht="12.75" customHeight="1" x14ac:dyDescent="0.2">
      <c r="A243" s="6" t="s">
        <v>1964</v>
      </c>
      <c r="B243" s="279">
        <v>9789500215787</v>
      </c>
      <c r="C243" s="8">
        <v>725178</v>
      </c>
      <c r="D243" s="41">
        <v>400</v>
      </c>
      <c r="E243" s="6" t="s">
        <v>534</v>
      </c>
      <c r="F243" s="6" t="s">
        <v>1965</v>
      </c>
      <c r="G243" s="107">
        <v>45658</v>
      </c>
      <c r="H243" s="108">
        <v>45627</v>
      </c>
      <c r="I243" s="264">
        <v>5043</v>
      </c>
      <c r="J243" s="28" t="s">
        <v>1946</v>
      </c>
      <c r="K243" s="148">
        <v>3122.16</v>
      </c>
      <c r="L243" s="9">
        <v>38700</v>
      </c>
      <c r="M243" s="112">
        <f>+L243*0.1</f>
        <v>3870</v>
      </c>
      <c r="N243" s="9">
        <f t="shared" si="165"/>
        <v>19350</v>
      </c>
      <c r="O243" s="9">
        <f t="shared" si="166"/>
        <v>12357.84</v>
      </c>
      <c r="P243" s="9">
        <f t="shared" si="167"/>
        <v>6992.16</v>
      </c>
      <c r="Q243" s="139">
        <f t="shared" si="168"/>
        <v>0.63864806201550384</v>
      </c>
      <c r="R243" s="335">
        <v>38700</v>
      </c>
      <c r="S243" s="359" t="s">
        <v>1948</v>
      </c>
      <c r="T243" s="305">
        <v>0.63864806201550384</v>
      </c>
      <c r="U243" s="144"/>
      <c r="V243" s="100"/>
      <c r="W243" s="110">
        <f t="shared" si="169"/>
        <v>38700</v>
      </c>
      <c r="X243" s="110">
        <f t="shared" si="170"/>
        <v>3122.16</v>
      </c>
      <c r="Y243" s="110">
        <f t="shared" si="171"/>
        <v>3870</v>
      </c>
      <c r="Z243" s="110">
        <f t="shared" si="172"/>
        <v>12357.84</v>
      </c>
      <c r="AA243" s="260">
        <f t="shared" si="173"/>
        <v>0.63864806201550384</v>
      </c>
      <c r="AB243" s="28">
        <f t="shared" si="155"/>
        <v>12.8</v>
      </c>
      <c r="AC243" s="261">
        <f t="shared" si="174"/>
        <v>0.63978733926805142</v>
      </c>
      <c r="AD243" s="111">
        <f t="shared" si="157"/>
        <v>4.9000000000000004</v>
      </c>
      <c r="AE243" s="262">
        <f t="shared" si="175"/>
        <v>5.903631482266504E-2</v>
      </c>
      <c r="AF243" s="100"/>
      <c r="AG243" s="111">
        <f t="shared" si="159"/>
        <v>7.7</v>
      </c>
      <c r="AH243" s="262">
        <f t="shared" si="176"/>
        <v>0.40120492761442322</v>
      </c>
      <c r="AI243" s="100"/>
      <c r="AJ243" s="111">
        <f t="shared" si="161"/>
        <v>7.1</v>
      </c>
      <c r="AK243" s="262">
        <f t="shared" si="177"/>
        <v>0.35060252713113499</v>
      </c>
      <c r="AL243" s="100"/>
      <c r="AM243" s="111">
        <f t="shared" si="163"/>
        <v>6.6</v>
      </c>
      <c r="AN243" s="262">
        <f t="shared" si="178"/>
        <v>0.3014057488834937</v>
      </c>
      <c r="AO243" s="100"/>
      <c r="AP243" s="24" t="e">
        <f>VLOOKUP(C243,#REF!,6,FALSE)</f>
        <v>#REF!</v>
      </c>
      <c r="AQ243" s="24" t="e">
        <f>VLOOKUP(C243,#REF!,7,FALSE)</f>
        <v>#REF!</v>
      </c>
      <c r="AR243" s="24" t="e">
        <f>VLOOKUP(C243,#REF!,12,FALSE)</f>
        <v>#REF!</v>
      </c>
      <c r="AS243" s="24" t="e">
        <f>VLOOKUP(C243,#REF!,13,FALSE)</f>
        <v>#REF!</v>
      </c>
      <c r="AT243" s="100"/>
      <c r="AU243" s="100"/>
      <c r="AV243" s="100">
        <v>232</v>
      </c>
      <c r="AW243" s="100"/>
      <c r="AY243" s="9">
        <v>38700</v>
      </c>
    </row>
    <row r="244" spans="1:51" s="132" customFormat="1" ht="12.75" customHeight="1" x14ac:dyDescent="0.2">
      <c r="A244" s="7" t="s">
        <v>1911</v>
      </c>
      <c r="B244" s="279">
        <v>9789500215527</v>
      </c>
      <c r="C244" s="8">
        <v>721548</v>
      </c>
      <c r="D244" s="41">
        <v>520</v>
      </c>
      <c r="E244" s="7" t="s">
        <v>844</v>
      </c>
      <c r="F244" s="278" t="s">
        <v>1912</v>
      </c>
      <c r="G244" s="107">
        <v>45566</v>
      </c>
      <c r="H244" s="108">
        <v>45962</v>
      </c>
      <c r="I244" s="264">
        <v>2035</v>
      </c>
      <c r="J244" s="8" t="s">
        <v>2258</v>
      </c>
      <c r="K244" s="148">
        <v>4054.6400000000003</v>
      </c>
      <c r="L244" s="9">
        <v>37700</v>
      </c>
      <c r="M244" s="112">
        <f>+L244*0.1</f>
        <v>3770</v>
      </c>
      <c r="N244" s="9">
        <f t="shared" si="165"/>
        <v>18850</v>
      </c>
      <c r="O244" s="9">
        <f t="shared" si="166"/>
        <v>11025.36</v>
      </c>
      <c r="P244" s="9">
        <f t="shared" si="167"/>
        <v>7824.64</v>
      </c>
      <c r="Q244" s="139">
        <f t="shared" si="168"/>
        <v>0.5848997347480106</v>
      </c>
      <c r="R244" s="336">
        <v>37700</v>
      </c>
      <c r="S244" s="359" t="s">
        <v>1948</v>
      </c>
      <c r="T244" s="305">
        <v>0.5848997347480106</v>
      </c>
      <c r="U244" s="6"/>
      <c r="V244" s="100"/>
      <c r="W244" s="110">
        <f t="shared" si="169"/>
        <v>37700</v>
      </c>
      <c r="X244" s="110">
        <f t="shared" si="170"/>
        <v>4054.6400000000003</v>
      </c>
      <c r="Y244" s="110">
        <f t="shared" si="171"/>
        <v>3770</v>
      </c>
      <c r="Z244" s="110">
        <f t="shared" si="172"/>
        <v>11025.36</v>
      </c>
      <c r="AA244" s="260">
        <f t="shared" si="173"/>
        <v>0.5848997347480106</v>
      </c>
      <c r="AB244" s="28">
        <f t="shared" si="155"/>
        <v>12.4</v>
      </c>
      <c r="AC244" s="261">
        <f t="shared" si="174"/>
        <v>0.58389755698073886</v>
      </c>
      <c r="AD244" s="111">
        <f t="shared" si="157"/>
        <v>5.4</v>
      </c>
      <c r="AE244" s="262">
        <f t="shared" si="175"/>
        <v>4.450550121502974E-2</v>
      </c>
      <c r="AF244" s="100"/>
      <c r="AG244" s="111">
        <f t="shared" si="159"/>
        <v>8.6</v>
      </c>
      <c r="AH244" s="262">
        <f t="shared" si="176"/>
        <v>0.40003833797222788</v>
      </c>
      <c r="AI244" s="100"/>
      <c r="AJ244" s="111">
        <f t="shared" si="161"/>
        <v>7.9</v>
      </c>
      <c r="AK244" s="262">
        <f t="shared" si="177"/>
        <v>0.34687717804571649</v>
      </c>
      <c r="AL244" s="100"/>
      <c r="AM244" s="111">
        <f t="shared" si="163"/>
        <v>7.4</v>
      </c>
      <c r="AN244" s="262">
        <f t="shared" si="178"/>
        <v>0.30274725764340005</v>
      </c>
      <c r="AO244" s="100"/>
      <c r="AP244" s="24" t="e">
        <f>VLOOKUP(C244,#REF!,6,FALSE)</f>
        <v>#REF!</v>
      </c>
      <c r="AQ244" s="24" t="e">
        <f>VLOOKUP(C244,#REF!,7,FALSE)</f>
        <v>#REF!</v>
      </c>
      <c r="AR244" s="24" t="e">
        <f>VLOOKUP(C244,#REF!,12,FALSE)</f>
        <v>#REF!</v>
      </c>
      <c r="AS244" s="24" t="e">
        <f>VLOOKUP(C244,#REF!,13,FALSE)</f>
        <v>#REF!</v>
      </c>
      <c r="AT244" s="100"/>
      <c r="AU244" s="100"/>
      <c r="AV244" s="100">
        <v>233</v>
      </c>
      <c r="AW244" s="100"/>
      <c r="AY244" s="9">
        <v>37700</v>
      </c>
    </row>
    <row r="245" spans="1:51" s="2" customFormat="1" ht="12.75" customHeight="1" x14ac:dyDescent="0.2">
      <c r="A245" s="7" t="s">
        <v>1789</v>
      </c>
      <c r="B245" s="8">
        <v>9789500214773</v>
      </c>
      <c r="C245" s="8">
        <v>714590</v>
      </c>
      <c r="D245" s="25">
        <v>256</v>
      </c>
      <c r="E245" s="25" t="s">
        <v>1790</v>
      </c>
      <c r="F245" s="25" t="s">
        <v>1791</v>
      </c>
      <c r="G245" s="107">
        <v>45383</v>
      </c>
      <c r="H245" s="108">
        <v>45352</v>
      </c>
      <c r="I245" s="7">
        <v>3028</v>
      </c>
      <c r="J245" s="8" t="s">
        <v>2258</v>
      </c>
      <c r="K245" s="148">
        <v>2228.36</v>
      </c>
      <c r="L245" s="9">
        <v>21900</v>
      </c>
      <c r="M245" s="112">
        <f>+L245*0.1</f>
        <v>2190</v>
      </c>
      <c r="N245" s="9">
        <f t="shared" si="165"/>
        <v>10950</v>
      </c>
      <c r="O245" s="9">
        <f t="shared" si="166"/>
        <v>6531.6399999999994</v>
      </c>
      <c r="P245" s="9">
        <f t="shared" si="167"/>
        <v>4418.3600000000006</v>
      </c>
      <c r="Q245" s="139">
        <f t="shared" si="168"/>
        <v>0.59649680365296798</v>
      </c>
      <c r="R245" s="335">
        <v>21900</v>
      </c>
      <c r="S245" s="359" t="s">
        <v>1948</v>
      </c>
      <c r="T245" s="305">
        <v>0.59649680365296798</v>
      </c>
      <c r="U245" s="6"/>
      <c r="V245" s="100"/>
      <c r="W245" s="110">
        <f t="shared" si="169"/>
        <v>21900</v>
      </c>
      <c r="X245" s="110">
        <f t="shared" si="170"/>
        <v>2228.36</v>
      </c>
      <c r="Y245" s="110">
        <f t="shared" si="171"/>
        <v>2190</v>
      </c>
      <c r="Z245" s="110">
        <f t="shared" si="172"/>
        <v>6531.6399999999994</v>
      </c>
      <c r="AA245" s="260">
        <f t="shared" si="173"/>
        <v>0.59649680365296798</v>
      </c>
      <c r="AB245" s="28">
        <f t="shared" si="155"/>
        <v>7.2</v>
      </c>
      <c r="AC245" s="261">
        <f t="shared" si="174"/>
        <v>0.59534381067516573</v>
      </c>
      <c r="AD245" s="111">
        <f t="shared" si="157"/>
        <v>3.1</v>
      </c>
      <c r="AE245" s="262">
        <f t="shared" si="175"/>
        <v>6.0153366729417353E-2</v>
      </c>
      <c r="AF245" s="100"/>
      <c r="AG245" s="111">
        <f t="shared" si="159"/>
        <v>4.9000000000000004</v>
      </c>
      <c r="AH245" s="262">
        <f t="shared" si="176"/>
        <v>0.40540315037983538</v>
      </c>
      <c r="AI245" s="100"/>
      <c r="AJ245" s="111">
        <f t="shared" si="161"/>
        <v>4.5</v>
      </c>
      <c r="AK245" s="262">
        <f t="shared" si="177"/>
        <v>0.35255009708026513</v>
      </c>
      <c r="AL245" s="100"/>
      <c r="AM245" s="111">
        <f t="shared" si="163"/>
        <v>4.2</v>
      </c>
      <c r="AN245" s="262">
        <f t="shared" si="178"/>
        <v>0.30630367544314141</v>
      </c>
      <c r="AO245" s="100"/>
      <c r="AP245" s="24" t="e">
        <f>VLOOKUP(C245,#REF!,6,FALSE)</f>
        <v>#REF!</v>
      </c>
      <c r="AQ245" s="24" t="e">
        <f>VLOOKUP(C245,#REF!,7,FALSE)</f>
        <v>#REF!</v>
      </c>
      <c r="AR245" s="24" t="e">
        <f>VLOOKUP(C245,#REF!,12,FALSE)</f>
        <v>#REF!</v>
      </c>
      <c r="AS245" s="24" t="e">
        <f>VLOOKUP(C245,#REF!,13,FALSE)</f>
        <v>#REF!</v>
      </c>
      <c r="AT245" s="100"/>
      <c r="AU245" s="100"/>
      <c r="AV245" s="100">
        <v>234</v>
      </c>
      <c r="AW245" s="100"/>
      <c r="AY245" s="9">
        <v>21900</v>
      </c>
    </row>
    <row r="246" spans="1:51" s="2" customFormat="1" ht="12.75" customHeight="1" x14ac:dyDescent="0.2">
      <c r="A246" s="6" t="s">
        <v>890</v>
      </c>
      <c r="B246" s="8">
        <v>9789500214803</v>
      </c>
      <c r="C246" s="8">
        <v>713925</v>
      </c>
      <c r="D246" s="41">
        <v>192</v>
      </c>
      <c r="E246" s="7" t="s">
        <v>891</v>
      </c>
      <c r="F246" s="7" t="s">
        <v>880</v>
      </c>
      <c r="G246" s="107">
        <v>45352</v>
      </c>
      <c r="H246" s="108">
        <v>45323</v>
      </c>
      <c r="I246" s="7">
        <v>4069</v>
      </c>
      <c r="J246" s="7" t="s">
        <v>1762</v>
      </c>
      <c r="K246" s="148">
        <v>1548.56</v>
      </c>
      <c r="L246" s="9">
        <v>22900</v>
      </c>
      <c r="M246" s="112">
        <f>+L246*0.08</f>
        <v>1832</v>
      </c>
      <c r="N246" s="9">
        <f t="shared" si="165"/>
        <v>11450</v>
      </c>
      <c r="O246" s="9">
        <f t="shared" si="166"/>
        <v>8069.4400000000005</v>
      </c>
      <c r="P246" s="9">
        <f t="shared" si="167"/>
        <v>3380.56</v>
      </c>
      <c r="Q246" s="139">
        <f t="shared" si="168"/>
        <v>0.70475458515283851</v>
      </c>
      <c r="R246" s="336">
        <v>22900</v>
      </c>
      <c r="S246" s="359" t="s">
        <v>1948</v>
      </c>
      <c r="T246" s="305">
        <v>0.70475458515283851</v>
      </c>
      <c r="U246" s="6"/>
      <c r="V246" s="100"/>
      <c r="W246" s="110">
        <f t="shared" si="169"/>
        <v>22900</v>
      </c>
      <c r="X246" s="110">
        <f t="shared" si="170"/>
        <v>1548.56</v>
      </c>
      <c r="Y246" s="110">
        <f t="shared" si="171"/>
        <v>1832</v>
      </c>
      <c r="Z246" s="110">
        <f t="shared" si="172"/>
        <v>8069.4400000000005</v>
      </c>
      <c r="AA246" s="260">
        <f t="shared" si="173"/>
        <v>0.70475458515283851</v>
      </c>
      <c r="AB246" s="28">
        <f t="shared" si="155"/>
        <v>7.6</v>
      </c>
      <c r="AC246" s="261">
        <f t="shared" si="174"/>
        <v>0.70668610200079829</v>
      </c>
      <c r="AD246" s="111">
        <f t="shared" si="157"/>
        <v>2.2999999999999998</v>
      </c>
      <c r="AE246" s="262">
        <f t="shared" si="175"/>
        <v>3.0788858785246315E-2</v>
      </c>
      <c r="AF246" s="100"/>
      <c r="AG246" s="111">
        <f t="shared" si="159"/>
        <v>3.7</v>
      </c>
      <c r="AH246" s="262">
        <f t="shared" si="176"/>
        <v>0.39751739870434233</v>
      </c>
      <c r="AI246" s="100"/>
      <c r="AJ246" s="111">
        <f t="shared" si="161"/>
        <v>3.4</v>
      </c>
      <c r="AK246" s="262">
        <f t="shared" si="177"/>
        <v>0.34435716917825482</v>
      </c>
      <c r="AL246" s="100"/>
      <c r="AM246" s="111">
        <f t="shared" si="163"/>
        <v>3.2</v>
      </c>
      <c r="AN246" s="262">
        <f t="shared" si="178"/>
        <v>0.30337949225189587</v>
      </c>
      <c r="AO246" s="100"/>
      <c r="AP246" s="24" t="e">
        <f>VLOOKUP(C246,#REF!,6,FALSE)</f>
        <v>#REF!</v>
      </c>
      <c r="AQ246" s="24" t="e">
        <f>VLOOKUP(C246,#REF!,7,FALSE)</f>
        <v>#REF!</v>
      </c>
      <c r="AR246" s="24" t="e">
        <f>VLOOKUP(C246,#REF!,12,FALSE)</f>
        <v>#REF!</v>
      </c>
      <c r="AS246" s="24" t="e">
        <f>VLOOKUP(C246,#REF!,13,FALSE)</f>
        <v>#REF!</v>
      </c>
      <c r="AT246" s="100"/>
      <c r="AU246" s="100"/>
      <c r="AV246" s="100">
        <v>235</v>
      </c>
      <c r="AW246" s="100"/>
      <c r="AY246" s="9">
        <v>22900</v>
      </c>
    </row>
    <row r="247" spans="1:51" s="132" customFormat="1" ht="12.75" customHeight="1" x14ac:dyDescent="0.2">
      <c r="A247" s="36" t="s">
        <v>1182</v>
      </c>
      <c r="B247" s="37">
        <v>9789500214728</v>
      </c>
      <c r="C247" s="37">
        <v>713083</v>
      </c>
      <c r="D247" s="149">
        <v>176</v>
      </c>
      <c r="E247" s="38" t="s">
        <v>876</v>
      </c>
      <c r="F247" s="38" t="s">
        <v>874</v>
      </c>
      <c r="G247" s="107">
        <v>45292</v>
      </c>
      <c r="H247" s="108">
        <v>45261</v>
      </c>
      <c r="I247" s="7">
        <v>3045</v>
      </c>
      <c r="J247" s="8" t="s">
        <v>2258</v>
      </c>
      <c r="K247" s="148">
        <v>975.98</v>
      </c>
      <c r="L247" s="9">
        <v>19700</v>
      </c>
      <c r="M247" s="112">
        <f>+L247*0.08</f>
        <v>1576</v>
      </c>
      <c r="N247" s="9">
        <f t="shared" si="165"/>
        <v>9850</v>
      </c>
      <c r="O247" s="9">
        <f t="shared" si="166"/>
        <v>7298.02</v>
      </c>
      <c r="P247" s="9">
        <f t="shared" si="167"/>
        <v>2551.98</v>
      </c>
      <c r="Q247" s="139">
        <f t="shared" si="168"/>
        <v>0.74091573604060923</v>
      </c>
      <c r="R247" s="335">
        <v>19700</v>
      </c>
      <c r="S247" s="359" t="s">
        <v>1948</v>
      </c>
      <c r="T247" s="305">
        <v>0.74091573604060923</v>
      </c>
      <c r="U247" s="38"/>
      <c r="V247" s="100"/>
      <c r="W247" s="110">
        <f t="shared" si="169"/>
        <v>19700</v>
      </c>
      <c r="X247" s="110">
        <f t="shared" si="170"/>
        <v>975.98</v>
      </c>
      <c r="Y247" s="110">
        <f t="shared" si="171"/>
        <v>1576</v>
      </c>
      <c r="Z247" s="110">
        <f t="shared" si="172"/>
        <v>7298.02</v>
      </c>
      <c r="AA247" s="260">
        <f t="shared" si="173"/>
        <v>0.74091573604060923</v>
      </c>
      <c r="AB247" s="28">
        <f t="shared" si="155"/>
        <v>6.5</v>
      </c>
      <c r="AC247" s="261">
        <f t="shared" si="174"/>
        <v>0.74110629232290959</v>
      </c>
      <c r="AD247" s="111">
        <f t="shared" si="157"/>
        <v>1.8</v>
      </c>
      <c r="AE247" s="262">
        <f t="shared" si="175"/>
        <v>6.5106055610506738E-2</v>
      </c>
      <c r="AF247" s="100"/>
      <c r="AG247" s="111">
        <f t="shared" si="159"/>
        <v>2.8</v>
      </c>
      <c r="AH247" s="262">
        <f t="shared" si="176"/>
        <v>0.3989967500353257</v>
      </c>
      <c r="AI247" s="100"/>
      <c r="AJ247" s="111">
        <f t="shared" si="161"/>
        <v>2.6</v>
      </c>
      <c r="AK247" s="262">
        <f t="shared" si="177"/>
        <v>0.35276573080727386</v>
      </c>
      <c r="AL247" s="100"/>
      <c r="AM247" s="111">
        <f t="shared" si="163"/>
        <v>2.4</v>
      </c>
      <c r="AN247" s="262">
        <f t="shared" si="178"/>
        <v>0.29882954170787995</v>
      </c>
      <c r="AO247" s="100"/>
      <c r="AP247" s="24" t="e">
        <f>VLOOKUP(C247,#REF!,6,FALSE)</f>
        <v>#REF!</v>
      </c>
      <c r="AQ247" s="24" t="e">
        <f>VLOOKUP(C247,#REF!,7,FALSE)</f>
        <v>#REF!</v>
      </c>
      <c r="AR247" s="24" t="e">
        <f>VLOOKUP(C247,#REF!,12,FALSE)</f>
        <v>#REF!</v>
      </c>
      <c r="AS247" s="24" t="e">
        <f>VLOOKUP(C247,#REF!,13,FALSE)</f>
        <v>#REF!</v>
      </c>
      <c r="AT247" s="100"/>
      <c r="AU247" s="100"/>
      <c r="AV247" s="100">
        <v>236</v>
      </c>
      <c r="AW247" s="100"/>
      <c r="AY247" s="9">
        <v>19700</v>
      </c>
    </row>
    <row r="248" spans="1:51" s="132" customFormat="1" ht="12.75" customHeight="1" x14ac:dyDescent="0.2">
      <c r="A248" s="6" t="s">
        <v>1183</v>
      </c>
      <c r="B248" s="8">
        <v>9789500214513</v>
      </c>
      <c r="C248" s="6">
        <v>711847</v>
      </c>
      <c r="D248" s="41">
        <v>320</v>
      </c>
      <c r="E248" s="7" t="s">
        <v>710</v>
      </c>
      <c r="F248" s="7" t="s">
        <v>863</v>
      </c>
      <c r="G248" s="107">
        <v>45261</v>
      </c>
      <c r="H248" s="108">
        <v>45231</v>
      </c>
      <c r="I248" s="7">
        <v>3090</v>
      </c>
      <c r="J248" s="8" t="s">
        <v>2258</v>
      </c>
      <c r="K248" s="9">
        <v>1108.6199999999999</v>
      </c>
      <c r="L248" s="9">
        <v>24900</v>
      </c>
      <c r="M248" s="112">
        <f>+L248*0.08</f>
        <v>1992</v>
      </c>
      <c r="N248" s="9">
        <f t="shared" si="165"/>
        <v>12450</v>
      </c>
      <c r="O248" s="9">
        <f t="shared" si="166"/>
        <v>9349.380000000001</v>
      </c>
      <c r="P248" s="9">
        <f t="shared" si="167"/>
        <v>3100.62</v>
      </c>
      <c r="Q248" s="139">
        <f t="shared" si="168"/>
        <v>0.75095421686746999</v>
      </c>
      <c r="R248" s="335">
        <v>24900</v>
      </c>
      <c r="S248" s="359" t="s">
        <v>1948</v>
      </c>
      <c r="T248" s="305">
        <v>0.75095421686746999</v>
      </c>
      <c r="U248" s="6"/>
      <c r="V248" s="100"/>
      <c r="W248" s="110">
        <f t="shared" si="169"/>
        <v>24900</v>
      </c>
      <c r="X248" s="110">
        <f t="shared" si="170"/>
        <v>1108.6199999999999</v>
      </c>
      <c r="Y248" s="110">
        <f t="shared" si="171"/>
        <v>1992</v>
      </c>
      <c r="Z248" s="110">
        <f t="shared" si="172"/>
        <v>9349.380000000001</v>
      </c>
      <c r="AA248" s="260">
        <f t="shared" si="173"/>
        <v>0.75095421686746999</v>
      </c>
      <c r="AB248" s="28">
        <f t="shared" si="155"/>
        <v>8.1999999999999993</v>
      </c>
      <c r="AC248" s="261">
        <f t="shared" si="174"/>
        <v>0.75065981520349334</v>
      </c>
      <c r="AD248" s="111">
        <f t="shared" si="157"/>
        <v>2.2000000000000002</v>
      </c>
      <c r="AE248" s="262">
        <f t="shared" si="175"/>
        <v>7.0641129394838673E-2</v>
      </c>
      <c r="AF248" s="100"/>
      <c r="AG248" s="111">
        <f t="shared" si="159"/>
        <v>3.4</v>
      </c>
      <c r="AH248" s="262">
        <f t="shared" si="176"/>
        <v>0.39865014254960141</v>
      </c>
      <c r="AI248" s="100"/>
      <c r="AJ248" s="111">
        <f t="shared" si="161"/>
        <v>3.1</v>
      </c>
      <c r="AK248" s="262">
        <f t="shared" si="177"/>
        <v>0.34045499505440169</v>
      </c>
      <c r="AL248" s="100"/>
      <c r="AM248" s="111">
        <f t="shared" si="163"/>
        <v>2.9</v>
      </c>
      <c r="AN248" s="262">
        <f t="shared" si="178"/>
        <v>0.29496913264436025</v>
      </c>
      <c r="AO248" s="100"/>
      <c r="AP248" s="24" t="e">
        <f>VLOOKUP(C248,#REF!,6,FALSE)</f>
        <v>#REF!</v>
      </c>
      <c r="AQ248" s="24" t="e">
        <f>VLOOKUP(C248,#REF!,7,FALSE)</f>
        <v>#REF!</v>
      </c>
      <c r="AR248" s="24" t="e">
        <f>VLOOKUP(C248,#REF!,12,FALSE)</f>
        <v>#REF!</v>
      </c>
      <c r="AS248" s="24" t="e">
        <f>VLOOKUP(C248,#REF!,13,FALSE)</f>
        <v>#REF!</v>
      </c>
      <c r="AT248" s="100"/>
      <c r="AU248" s="100"/>
      <c r="AV248" s="100">
        <v>237</v>
      </c>
      <c r="AW248" s="100"/>
      <c r="AY248" s="9">
        <v>24900</v>
      </c>
    </row>
    <row r="249" spans="1:51" s="132" customFormat="1" ht="12.75" customHeight="1" x14ac:dyDescent="0.2">
      <c r="A249" s="6" t="s">
        <v>1184</v>
      </c>
      <c r="B249" s="8">
        <v>9789500214285</v>
      </c>
      <c r="C249" s="8">
        <v>710536</v>
      </c>
      <c r="D249" s="41">
        <v>256</v>
      </c>
      <c r="E249" s="7" t="s">
        <v>479</v>
      </c>
      <c r="F249" s="6" t="s">
        <v>853</v>
      </c>
      <c r="G249" s="107">
        <v>45231</v>
      </c>
      <c r="H249" s="108">
        <v>46174</v>
      </c>
      <c r="I249" s="116">
        <v>1093</v>
      </c>
      <c r="J249" s="7" t="s">
        <v>1762</v>
      </c>
      <c r="K249" s="148">
        <v>2611.89</v>
      </c>
      <c r="L249" s="9">
        <v>27500</v>
      </c>
      <c r="M249" s="9">
        <f>+L249*0.1</f>
        <v>2750</v>
      </c>
      <c r="N249" s="9">
        <f t="shared" si="165"/>
        <v>13750</v>
      </c>
      <c r="O249" s="9">
        <f t="shared" si="166"/>
        <v>8388.11</v>
      </c>
      <c r="P249" s="9">
        <f t="shared" si="167"/>
        <v>5361.8899999999994</v>
      </c>
      <c r="Q249" s="139">
        <f t="shared" si="168"/>
        <v>0.61004436363636372</v>
      </c>
      <c r="R249" s="336">
        <v>27500</v>
      </c>
      <c r="S249" s="359" t="s">
        <v>1948</v>
      </c>
      <c r="T249" s="305">
        <v>0.59828654545454552</v>
      </c>
      <c r="U249" s="144"/>
      <c r="V249" s="100"/>
      <c r="W249" s="110">
        <f t="shared" si="169"/>
        <v>27500</v>
      </c>
      <c r="X249" s="110">
        <f t="shared" si="170"/>
        <v>2611.89</v>
      </c>
      <c r="Y249" s="110">
        <f t="shared" si="171"/>
        <v>2750</v>
      </c>
      <c r="Z249" s="110">
        <f t="shared" si="172"/>
        <v>8388.11</v>
      </c>
      <c r="AA249" s="260">
        <f t="shared" si="173"/>
        <v>0.61004436363636372</v>
      </c>
      <c r="AB249" s="28">
        <f t="shared" si="155"/>
        <v>9.1</v>
      </c>
      <c r="AC249" s="261">
        <f t="shared" si="174"/>
        <v>0.611461469621707</v>
      </c>
      <c r="AD249" s="111">
        <f t="shared" si="157"/>
        <v>3.7</v>
      </c>
      <c r="AE249" s="262">
        <f t="shared" si="175"/>
        <v>4.4405236096630808E-2</v>
      </c>
      <c r="AF249" s="100"/>
      <c r="AG249" s="111">
        <f t="shared" si="159"/>
        <v>5.9</v>
      </c>
      <c r="AH249" s="262">
        <f t="shared" si="176"/>
        <v>0.40072870738263294</v>
      </c>
      <c r="AI249" s="100"/>
      <c r="AJ249" s="111">
        <f t="shared" si="161"/>
        <v>5.4</v>
      </c>
      <c r="AK249" s="262">
        <f t="shared" si="177"/>
        <v>0.34524062473287676</v>
      </c>
      <c r="AL249" s="100"/>
      <c r="AM249" s="111">
        <f t="shared" si="163"/>
        <v>5.0999999999999996</v>
      </c>
      <c r="AN249" s="262">
        <f t="shared" si="178"/>
        <v>0.30672536736422235</v>
      </c>
      <c r="AO249" s="100"/>
      <c r="AP249" s="24" t="e">
        <f>VLOOKUP(C249,#REF!,6,FALSE)</f>
        <v>#REF!</v>
      </c>
      <c r="AQ249" s="24" t="e">
        <f>VLOOKUP(C249,#REF!,7,FALSE)</f>
        <v>#REF!</v>
      </c>
      <c r="AR249" s="24" t="e">
        <f>VLOOKUP(C249,#REF!,12,FALSE)</f>
        <v>#REF!</v>
      </c>
      <c r="AS249" s="24" t="e">
        <f>VLOOKUP(C249,#REF!,13,FALSE)</f>
        <v>#REF!</v>
      </c>
      <c r="AT249" s="100"/>
      <c r="AU249" s="100"/>
      <c r="AV249" s="100">
        <v>238</v>
      </c>
      <c r="AW249" s="100"/>
      <c r="AY249" s="9">
        <v>27500</v>
      </c>
    </row>
    <row r="250" spans="1:51" s="2" customFormat="1" ht="12.75" customHeight="1" x14ac:dyDescent="0.2">
      <c r="A250" s="6" t="s">
        <v>1185</v>
      </c>
      <c r="B250" s="8">
        <v>9789500214193</v>
      </c>
      <c r="C250" s="8">
        <v>709895</v>
      </c>
      <c r="D250" s="41">
        <v>544</v>
      </c>
      <c r="E250" s="7" t="s">
        <v>844</v>
      </c>
      <c r="F250" s="6" t="s">
        <v>845</v>
      </c>
      <c r="G250" s="107">
        <v>45200</v>
      </c>
      <c r="H250" s="108">
        <v>46054</v>
      </c>
      <c r="I250" s="264">
        <v>2091</v>
      </c>
      <c r="J250" s="8" t="s">
        <v>2258</v>
      </c>
      <c r="K250" s="117">
        <v>4255.6499999999996</v>
      </c>
      <c r="L250" s="9">
        <v>37700</v>
      </c>
      <c r="M250" s="9">
        <f>+L250*0.08</f>
        <v>3016</v>
      </c>
      <c r="N250" s="9">
        <f t="shared" si="165"/>
        <v>18850</v>
      </c>
      <c r="O250" s="9">
        <f t="shared" si="166"/>
        <v>11578.35</v>
      </c>
      <c r="P250" s="9">
        <f t="shared" si="167"/>
        <v>7271.65</v>
      </c>
      <c r="Q250" s="139">
        <f t="shared" si="168"/>
        <v>0.61423607427055704</v>
      </c>
      <c r="R250" s="336">
        <v>37700</v>
      </c>
      <c r="S250" s="359" t="s">
        <v>1948</v>
      </c>
      <c r="T250" s="305">
        <v>0.61423607427055704</v>
      </c>
      <c r="U250" s="6"/>
      <c r="V250" s="100"/>
      <c r="W250" s="110">
        <f t="shared" si="169"/>
        <v>37700</v>
      </c>
      <c r="X250" s="110">
        <f t="shared" si="170"/>
        <v>4255.6499999999996</v>
      </c>
      <c r="Y250" s="110">
        <f t="shared" si="171"/>
        <v>3016</v>
      </c>
      <c r="Z250" s="110">
        <f t="shared" si="172"/>
        <v>11578.35</v>
      </c>
      <c r="AA250" s="260">
        <f t="shared" si="173"/>
        <v>0.61423607427055704</v>
      </c>
      <c r="AB250" s="28">
        <f t="shared" si="155"/>
        <v>12.4</v>
      </c>
      <c r="AC250" s="261">
        <f t="shared" si="174"/>
        <v>0.61330472331238106</v>
      </c>
      <c r="AD250" s="111">
        <f t="shared" si="157"/>
        <v>5</v>
      </c>
      <c r="AE250" s="262">
        <f t="shared" si="175"/>
        <v>4.0995713814704959E-2</v>
      </c>
      <c r="AF250" s="100"/>
      <c r="AG250" s="111">
        <f t="shared" si="159"/>
        <v>8</v>
      </c>
      <c r="AH250" s="262">
        <f t="shared" si="176"/>
        <v>0.40062232113419061</v>
      </c>
      <c r="AI250" s="100"/>
      <c r="AJ250" s="111">
        <f t="shared" si="161"/>
        <v>7.4</v>
      </c>
      <c r="AK250" s="262">
        <f t="shared" si="177"/>
        <v>0.35202413095588175</v>
      </c>
      <c r="AL250" s="100"/>
      <c r="AM250" s="111">
        <f t="shared" si="163"/>
        <v>6.9</v>
      </c>
      <c r="AN250" s="262">
        <f t="shared" si="178"/>
        <v>0.30506935783674277</v>
      </c>
      <c r="AO250" s="100"/>
      <c r="AP250" s="24" t="e">
        <f>VLOOKUP(C250,#REF!,6,FALSE)</f>
        <v>#REF!</v>
      </c>
      <c r="AQ250" s="24" t="e">
        <f>VLOOKUP(C250,#REF!,7,FALSE)</f>
        <v>#REF!</v>
      </c>
      <c r="AR250" s="24" t="e">
        <f>VLOOKUP(C250,#REF!,12,FALSE)</f>
        <v>#REF!</v>
      </c>
      <c r="AS250" s="24" t="e">
        <f>VLOOKUP(C250,#REF!,13,FALSE)</f>
        <v>#REF!</v>
      </c>
      <c r="AT250" s="100"/>
      <c r="AU250" s="100"/>
      <c r="AV250" s="100">
        <v>239</v>
      </c>
      <c r="AW250" s="100"/>
      <c r="AY250" s="9">
        <v>37700</v>
      </c>
    </row>
    <row r="251" spans="1:51" s="2" customFormat="1" ht="12.75" customHeight="1" x14ac:dyDescent="0.2">
      <c r="A251" s="6" t="s">
        <v>1186</v>
      </c>
      <c r="B251" s="8">
        <v>9789500213479</v>
      </c>
      <c r="C251" s="8">
        <v>707247</v>
      </c>
      <c r="D251" s="41">
        <v>544</v>
      </c>
      <c r="E251" s="7" t="s">
        <v>810</v>
      </c>
      <c r="F251" s="7" t="s">
        <v>809</v>
      </c>
      <c r="G251" s="107">
        <v>45108</v>
      </c>
      <c r="H251" s="108">
        <v>45078</v>
      </c>
      <c r="I251" s="7">
        <v>3078</v>
      </c>
      <c r="J251" s="8" t="s">
        <v>2258</v>
      </c>
      <c r="K251" s="9">
        <v>1061.46</v>
      </c>
      <c r="L251" s="9">
        <v>22900</v>
      </c>
      <c r="M251" s="9">
        <f>+L251*0.08</f>
        <v>1832</v>
      </c>
      <c r="N251" s="9">
        <f t="shared" si="165"/>
        <v>11450</v>
      </c>
      <c r="O251" s="9">
        <f t="shared" si="166"/>
        <v>8556.5400000000009</v>
      </c>
      <c r="P251" s="9">
        <f t="shared" si="167"/>
        <v>2893.46</v>
      </c>
      <c r="Q251" s="139">
        <f t="shared" si="168"/>
        <v>0.74729606986899566</v>
      </c>
      <c r="R251" s="335">
        <v>22900</v>
      </c>
      <c r="S251" s="359" t="s">
        <v>1948</v>
      </c>
      <c r="T251" s="305">
        <v>0.74729606986899566</v>
      </c>
      <c r="U251" s="271"/>
      <c r="V251" s="100"/>
      <c r="W251" s="110">
        <f t="shared" si="169"/>
        <v>22900</v>
      </c>
      <c r="X251" s="110">
        <f t="shared" si="170"/>
        <v>1061.46</v>
      </c>
      <c r="Y251" s="110">
        <f t="shared" si="171"/>
        <v>1832</v>
      </c>
      <c r="Z251" s="110">
        <f t="shared" si="172"/>
        <v>8556.5400000000009</v>
      </c>
      <c r="AA251" s="260">
        <f t="shared" si="173"/>
        <v>0.74729606986899566</v>
      </c>
      <c r="AB251" s="28">
        <f t="shared" si="155"/>
        <v>7.6</v>
      </c>
      <c r="AC251" s="261">
        <f t="shared" si="174"/>
        <v>0.7489492772485119</v>
      </c>
      <c r="AD251" s="111">
        <f t="shared" si="157"/>
        <v>2</v>
      </c>
      <c r="AE251" s="262">
        <f t="shared" si="175"/>
        <v>4.6007253544345518E-2</v>
      </c>
      <c r="AF251" s="100"/>
      <c r="AG251" s="111">
        <f t="shared" si="159"/>
        <v>3.2</v>
      </c>
      <c r="AH251" s="262">
        <f t="shared" si="176"/>
        <v>0.40375453346521595</v>
      </c>
      <c r="AI251" s="100"/>
      <c r="AJ251" s="111">
        <f t="shared" si="161"/>
        <v>2.9</v>
      </c>
      <c r="AK251" s="262">
        <f t="shared" si="177"/>
        <v>0.34207396796161754</v>
      </c>
      <c r="AL251" s="100"/>
      <c r="AM251" s="111">
        <f t="shared" si="163"/>
        <v>2.7</v>
      </c>
      <c r="AN251" s="262">
        <f t="shared" si="178"/>
        <v>0.29333870632914488</v>
      </c>
      <c r="AO251" s="100"/>
      <c r="AP251" s="24" t="e">
        <f>VLOOKUP(C251,#REF!,6,FALSE)</f>
        <v>#REF!</v>
      </c>
      <c r="AQ251" s="24" t="e">
        <f>VLOOKUP(C251,#REF!,7,FALSE)</f>
        <v>#REF!</v>
      </c>
      <c r="AR251" s="24" t="e">
        <f>VLOOKUP(C251,#REF!,12,FALSE)</f>
        <v>#REF!</v>
      </c>
      <c r="AS251" s="24" t="e">
        <f>VLOOKUP(C251,#REF!,13,FALSE)</f>
        <v>#REF!</v>
      </c>
      <c r="AT251" s="100"/>
      <c r="AU251" s="100"/>
      <c r="AV251" s="100">
        <v>240</v>
      </c>
      <c r="AW251" s="100"/>
      <c r="AY251" s="9">
        <v>22900</v>
      </c>
    </row>
    <row r="252" spans="1:51" s="2" customFormat="1" ht="12.75" customHeight="1" x14ac:dyDescent="0.2">
      <c r="A252" s="6" t="s">
        <v>1187</v>
      </c>
      <c r="B252" s="8">
        <v>9789500214063</v>
      </c>
      <c r="C252" s="8">
        <v>709128</v>
      </c>
      <c r="D252" s="41">
        <v>432</v>
      </c>
      <c r="E252" s="7" t="s">
        <v>156</v>
      </c>
      <c r="F252" s="6" t="s">
        <v>814</v>
      </c>
      <c r="G252" s="107">
        <v>45170</v>
      </c>
      <c r="H252" s="108">
        <v>45139</v>
      </c>
      <c r="I252" s="7">
        <v>4000</v>
      </c>
      <c r="J252" s="7" t="s">
        <v>1762</v>
      </c>
      <c r="K252" s="117">
        <v>1725.8</v>
      </c>
      <c r="L252" s="9">
        <v>32900</v>
      </c>
      <c r="M252" s="9"/>
      <c r="N252" s="9">
        <f t="shared" si="165"/>
        <v>16450</v>
      </c>
      <c r="O252" s="9">
        <f t="shared" si="166"/>
        <v>14724.2</v>
      </c>
      <c r="P252" s="9">
        <f t="shared" si="167"/>
        <v>1725.8</v>
      </c>
      <c r="Q252" s="139">
        <f t="shared" si="168"/>
        <v>0.89508814589665653</v>
      </c>
      <c r="R252" s="335">
        <v>32900</v>
      </c>
      <c r="S252" s="359" t="s">
        <v>1948</v>
      </c>
      <c r="T252" s="305">
        <v>0.89508814589665653</v>
      </c>
      <c r="U252" s="6"/>
      <c r="V252" s="100"/>
      <c r="W252" s="110">
        <f t="shared" si="169"/>
        <v>32900</v>
      </c>
      <c r="X252" s="110">
        <f t="shared" si="170"/>
        <v>1725.8</v>
      </c>
      <c r="Y252" s="110">
        <f t="shared" si="171"/>
        <v>0</v>
      </c>
      <c r="Z252" s="110">
        <f t="shared" si="172"/>
        <v>14724.2</v>
      </c>
      <c r="AA252" s="260">
        <f t="shared" si="173"/>
        <v>0.89508814589665653</v>
      </c>
      <c r="AB252" s="28">
        <f t="shared" si="155"/>
        <v>10.8</v>
      </c>
      <c r="AC252" s="261">
        <f t="shared" si="174"/>
        <v>0.89462822532390618</v>
      </c>
      <c r="AD252" s="111">
        <f t="shared" si="157"/>
        <v>1.2</v>
      </c>
      <c r="AE252" s="262">
        <f t="shared" si="175"/>
        <v>5.1654027915155512E-2</v>
      </c>
      <c r="AF252" s="100"/>
      <c r="AG252" s="111">
        <f t="shared" si="159"/>
        <v>1.9</v>
      </c>
      <c r="AH252" s="262">
        <f t="shared" si="176"/>
        <v>0.40104464920957189</v>
      </c>
      <c r="AI252" s="100"/>
      <c r="AJ252" s="111">
        <f t="shared" si="161"/>
        <v>1.8</v>
      </c>
      <c r="AK252" s="262">
        <f t="shared" si="177"/>
        <v>0.36776935194343707</v>
      </c>
      <c r="AL252" s="100"/>
      <c r="AM252" s="111">
        <f t="shared" si="163"/>
        <v>1.6</v>
      </c>
      <c r="AN252" s="262">
        <f t="shared" si="178"/>
        <v>0.28874052093636665</v>
      </c>
      <c r="AO252" s="100"/>
      <c r="AP252" s="24" t="e">
        <f>VLOOKUP(C252,#REF!,6,FALSE)</f>
        <v>#REF!</v>
      </c>
      <c r="AQ252" s="24" t="e">
        <f>VLOOKUP(C252,#REF!,7,FALSE)</f>
        <v>#REF!</v>
      </c>
      <c r="AR252" s="24" t="e">
        <f>VLOOKUP(C252,#REF!,12,FALSE)</f>
        <v>#REF!</v>
      </c>
      <c r="AS252" s="24" t="e">
        <f>VLOOKUP(C252,#REF!,13,FALSE)</f>
        <v>#REF!</v>
      </c>
      <c r="AT252" s="100"/>
      <c r="AU252" s="100"/>
      <c r="AV252" s="100">
        <v>241</v>
      </c>
      <c r="AW252" s="100"/>
      <c r="AY252" s="9">
        <v>32900</v>
      </c>
    </row>
    <row r="253" spans="1:51" s="2" customFormat="1" ht="12.75" customHeight="1" x14ac:dyDescent="0.2">
      <c r="A253" s="6" t="s">
        <v>1188</v>
      </c>
      <c r="B253" s="8">
        <v>9789500213318</v>
      </c>
      <c r="C253" s="8">
        <v>706234</v>
      </c>
      <c r="D253" s="41">
        <v>336</v>
      </c>
      <c r="E253" s="7" t="s">
        <v>774</v>
      </c>
      <c r="F253" s="7" t="s">
        <v>775</v>
      </c>
      <c r="G253" s="107">
        <v>45078</v>
      </c>
      <c r="H253" s="108">
        <v>45536</v>
      </c>
      <c r="I253" s="7">
        <v>2089</v>
      </c>
      <c r="J253" s="8" t="s">
        <v>1333</v>
      </c>
      <c r="K253" s="9">
        <v>2370.91</v>
      </c>
      <c r="L253" s="9">
        <v>27900</v>
      </c>
      <c r="M253" s="9">
        <f>+L253*0.1</f>
        <v>2790</v>
      </c>
      <c r="N253" s="9">
        <f t="shared" si="165"/>
        <v>13950</v>
      </c>
      <c r="O253" s="9">
        <f t="shared" si="166"/>
        <v>8789.09</v>
      </c>
      <c r="P253" s="9">
        <f t="shared" si="167"/>
        <v>5160.91</v>
      </c>
      <c r="Q253" s="139">
        <f t="shared" si="168"/>
        <v>0.63004229390680999</v>
      </c>
      <c r="R253" s="336">
        <v>27900</v>
      </c>
      <c r="S253" s="359" t="s">
        <v>1948</v>
      </c>
      <c r="T253" s="305">
        <v>0.63004229390680999</v>
      </c>
      <c r="U253" s="6"/>
      <c r="V253" s="100"/>
      <c r="W253" s="110">
        <f t="shared" si="169"/>
        <v>27900</v>
      </c>
      <c r="X253" s="110">
        <f t="shared" si="170"/>
        <v>2370.91</v>
      </c>
      <c r="Y253" s="110">
        <f t="shared" si="171"/>
        <v>2790</v>
      </c>
      <c r="Z253" s="110">
        <f t="shared" si="172"/>
        <v>8789.09</v>
      </c>
      <c r="AA253" s="260">
        <f t="shared" si="173"/>
        <v>0.63004229390680999</v>
      </c>
      <c r="AB253" s="28">
        <f t="shared" si="155"/>
        <v>9.1999999999999993</v>
      </c>
      <c r="AC253" s="261">
        <f t="shared" si="174"/>
        <v>0.6300900242262647</v>
      </c>
      <c r="AD253" s="111">
        <f t="shared" si="157"/>
        <v>3.6</v>
      </c>
      <c r="AE253" s="262">
        <f t="shared" si="175"/>
        <v>5.4674506356009941E-2</v>
      </c>
      <c r="AF253" s="100"/>
      <c r="AG253" s="111">
        <f t="shared" si="159"/>
        <v>5.7</v>
      </c>
      <c r="AH253" s="262">
        <f t="shared" si="176"/>
        <v>0.40295231980379576</v>
      </c>
      <c r="AI253" s="100"/>
      <c r="AJ253" s="111">
        <f t="shared" si="161"/>
        <v>5.2</v>
      </c>
      <c r="AK253" s="262">
        <f t="shared" si="177"/>
        <v>0.34554388901569916</v>
      </c>
      <c r="AL253" s="100"/>
      <c r="AM253" s="111">
        <f t="shared" si="163"/>
        <v>4.9000000000000004</v>
      </c>
      <c r="AN253" s="262">
        <f t="shared" si="178"/>
        <v>0.30547514752686439</v>
      </c>
      <c r="AO253" s="100"/>
      <c r="AP253" s="24" t="e">
        <f>VLOOKUP(C253,#REF!,6,FALSE)</f>
        <v>#REF!</v>
      </c>
      <c r="AQ253" s="24" t="e">
        <f>VLOOKUP(C253,#REF!,7,FALSE)</f>
        <v>#REF!</v>
      </c>
      <c r="AR253" s="24" t="e">
        <f>VLOOKUP(C253,#REF!,12,FALSE)</f>
        <v>#REF!</v>
      </c>
      <c r="AS253" s="24" t="e">
        <f>VLOOKUP(C253,#REF!,13,FALSE)</f>
        <v>#REF!</v>
      </c>
      <c r="AT253" s="100"/>
      <c r="AU253" s="100"/>
      <c r="AV253" s="100">
        <v>242</v>
      </c>
      <c r="AW253" s="100"/>
      <c r="AY253" s="9">
        <v>27900</v>
      </c>
    </row>
    <row r="254" spans="1:51" s="2" customFormat="1" ht="12.75" customHeight="1" x14ac:dyDescent="0.2">
      <c r="A254" s="7" t="s">
        <v>1189</v>
      </c>
      <c r="B254" s="8">
        <v>9789500213684</v>
      </c>
      <c r="C254" s="8">
        <v>705125</v>
      </c>
      <c r="D254" s="25">
        <v>352</v>
      </c>
      <c r="E254" s="6" t="s">
        <v>784</v>
      </c>
      <c r="F254" s="7" t="s">
        <v>785</v>
      </c>
      <c r="G254" s="107">
        <v>45047</v>
      </c>
      <c r="H254" s="108">
        <v>45017</v>
      </c>
      <c r="I254" s="7">
        <v>3083</v>
      </c>
      <c r="J254" s="7" t="s">
        <v>1762</v>
      </c>
      <c r="K254" s="117">
        <v>690.85</v>
      </c>
      <c r="L254" s="9">
        <v>26900</v>
      </c>
      <c r="M254" s="112">
        <f>+L254*0.1</f>
        <v>2690</v>
      </c>
      <c r="N254" s="9">
        <f t="shared" si="165"/>
        <v>13450</v>
      </c>
      <c r="O254" s="9">
        <f t="shared" si="166"/>
        <v>10069.15</v>
      </c>
      <c r="P254" s="9">
        <f t="shared" si="167"/>
        <v>3380.85</v>
      </c>
      <c r="Q254" s="139">
        <f t="shared" si="168"/>
        <v>0.74863568773234201</v>
      </c>
      <c r="R254" s="336">
        <v>26900</v>
      </c>
      <c r="S254" s="359" t="s">
        <v>1948</v>
      </c>
      <c r="T254" s="305">
        <v>0.74863568773234201</v>
      </c>
      <c r="U254" s="144"/>
      <c r="V254" s="100"/>
      <c r="W254" s="110">
        <f t="shared" si="169"/>
        <v>26900</v>
      </c>
      <c r="X254" s="110">
        <f t="shared" si="170"/>
        <v>690.85</v>
      </c>
      <c r="Y254" s="110">
        <f t="shared" si="171"/>
        <v>2690</v>
      </c>
      <c r="Z254" s="110">
        <f t="shared" si="172"/>
        <v>10069.15</v>
      </c>
      <c r="AA254" s="260">
        <f t="shared" si="173"/>
        <v>0.74863568773234201</v>
      </c>
      <c r="AB254" s="28">
        <f t="shared" si="155"/>
        <v>8.9</v>
      </c>
      <c r="AC254" s="261">
        <f t="shared" si="174"/>
        <v>0.74950821858433636</v>
      </c>
      <c r="AD254" s="111">
        <f t="shared" si="157"/>
        <v>2.2999999999999998</v>
      </c>
      <c r="AE254" s="262">
        <f t="shared" si="175"/>
        <v>3.0705715391562353E-2</v>
      </c>
      <c r="AF254" s="100"/>
      <c r="AG254" s="111">
        <f t="shared" si="159"/>
        <v>3.7</v>
      </c>
      <c r="AH254" s="262">
        <f t="shared" si="176"/>
        <v>0.39746571497313332</v>
      </c>
      <c r="AI254" s="100"/>
      <c r="AJ254" s="111">
        <f t="shared" si="161"/>
        <v>3.4</v>
      </c>
      <c r="AK254" s="262">
        <f t="shared" si="177"/>
        <v>0.34430092511782145</v>
      </c>
      <c r="AL254" s="100"/>
      <c r="AM254" s="111">
        <f t="shared" si="163"/>
        <v>3.2</v>
      </c>
      <c r="AN254" s="262">
        <f t="shared" si="178"/>
        <v>0.30331973293768544</v>
      </c>
      <c r="AO254" s="100"/>
      <c r="AP254" s="24" t="e">
        <f>VLOOKUP(C254,#REF!,6,FALSE)</f>
        <v>#REF!</v>
      </c>
      <c r="AQ254" s="24" t="e">
        <f>VLOOKUP(C254,#REF!,7,FALSE)</f>
        <v>#REF!</v>
      </c>
      <c r="AR254" s="24" t="e">
        <f>VLOOKUP(C254,#REF!,12,FALSE)</f>
        <v>#REF!</v>
      </c>
      <c r="AS254" s="24" t="e">
        <f>VLOOKUP(C254,#REF!,13,FALSE)</f>
        <v>#REF!</v>
      </c>
      <c r="AT254" s="100"/>
      <c r="AU254" s="100"/>
      <c r="AV254" s="100">
        <v>243</v>
      </c>
      <c r="AW254" s="100"/>
      <c r="AY254" s="9">
        <v>26900</v>
      </c>
    </row>
    <row r="255" spans="1:51" s="2" customFormat="1" ht="12.75" customHeight="1" x14ac:dyDescent="0.2">
      <c r="A255" s="6" t="s">
        <v>1190</v>
      </c>
      <c r="B255" s="8">
        <v>9789500213585</v>
      </c>
      <c r="C255" s="6">
        <v>704434</v>
      </c>
      <c r="D255" s="41">
        <v>512</v>
      </c>
      <c r="E255" s="7" t="s">
        <v>534</v>
      </c>
      <c r="F255" s="7" t="s">
        <v>768</v>
      </c>
      <c r="G255" s="107">
        <v>45017</v>
      </c>
      <c r="H255" s="108">
        <v>46082</v>
      </c>
      <c r="I255" s="7">
        <v>2079</v>
      </c>
      <c r="J255" s="8" t="s">
        <v>2258</v>
      </c>
      <c r="K255" s="9">
        <v>2778.41</v>
      </c>
      <c r="L255" s="9">
        <v>45900</v>
      </c>
      <c r="M255" s="112">
        <f>+L255*0.12</f>
        <v>5508</v>
      </c>
      <c r="N255" s="9">
        <f t="shared" si="165"/>
        <v>22950</v>
      </c>
      <c r="O255" s="9">
        <f t="shared" si="166"/>
        <v>14663.59</v>
      </c>
      <c r="P255" s="9">
        <f t="shared" si="167"/>
        <v>8286.41</v>
      </c>
      <c r="Q255" s="139">
        <f t="shared" si="168"/>
        <v>0.63893638344226578</v>
      </c>
      <c r="R255" s="336">
        <v>45900</v>
      </c>
      <c r="S255" s="359" t="s">
        <v>1948</v>
      </c>
      <c r="T255" s="305">
        <v>0.63893638344226578</v>
      </c>
      <c r="U255" s="144"/>
      <c r="V255" s="100"/>
      <c r="W255" s="110">
        <f t="shared" si="169"/>
        <v>45900</v>
      </c>
      <c r="X255" s="110">
        <f t="shared" si="170"/>
        <v>2778.41</v>
      </c>
      <c r="Y255" s="110">
        <f t="shared" si="171"/>
        <v>5508</v>
      </c>
      <c r="Z255" s="110">
        <f t="shared" si="172"/>
        <v>14663.59</v>
      </c>
      <c r="AA255" s="260">
        <f t="shared" si="173"/>
        <v>0.63893638344226578</v>
      </c>
      <c r="AB255" s="28">
        <f t="shared" si="155"/>
        <v>15.1</v>
      </c>
      <c r="AC255" s="261">
        <f t="shared" si="174"/>
        <v>0.63813460324946558</v>
      </c>
      <c r="AD255" s="111">
        <f t="shared" si="157"/>
        <v>5.8</v>
      </c>
      <c r="AE255" s="262">
        <f t="shared" si="175"/>
        <v>5.7902156735677564E-2</v>
      </c>
      <c r="AF255" s="100"/>
      <c r="AG255" s="111">
        <f t="shared" si="159"/>
        <v>9.1</v>
      </c>
      <c r="AH255" s="262">
        <f t="shared" si="176"/>
        <v>0.39954203396339893</v>
      </c>
      <c r="AI255" s="100"/>
      <c r="AJ255" s="111">
        <f t="shared" si="161"/>
        <v>8.4</v>
      </c>
      <c r="AK255" s="262">
        <f t="shared" si="177"/>
        <v>0.34950387012701556</v>
      </c>
      <c r="AL255" s="100"/>
      <c r="AM255" s="111">
        <f t="shared" si="163"/>
        <v>7.8</v>
      </c>
      <c r="AN255" s="262">
        <f t="shared" si="178"/>
        <v>0.29946570629063207</v>
      </c>
      <c r="AO255" s="100"/>
      <c r="AP255" s="24" t="e">
        <f>VLOOKUP(C255,#REF!,6,FALSE)</f>
        <v>#REF!</v>
      </c>
      <c r="AQ255" s="24" t="e">
        <f>VLOOKUP(C255,#REF!,7,FALSE)</f>
        <v>#REF!</v>
      </c>
      <c r="AR255" s="24" t="e">
        <f>VLOOKUP(C255,#REF!,12,FALSE)</f>
        <v>#REF!</v>
      </c>
      <c r="AS255" s="24" t="e">
        <f>VLOOKUP(C255,#REF!,13,FALSE)</f>
        <v>#REF!</v>
      </c>
      <c r="AT255" s="100"/>
      <c r="AU255" s="100"/>
      <c r="AV255" s="100">
        <v>244</v>
      </c>
      <c r="AW255" s="100"/>
      <c r="AY255" s="9">
        <v>45900</v>
      </c>
    </row>
    <row r="256" spans="1:51" s="2" customFormat="1" ht="12.75" customHeight="1" x14ac:dyDescent="0.2">
      <c r="A256" s="6" t="s">
        <v>1191</v>
      </c>
      <c r="B256" s="8">
        <v>9789500213301</v>
      </c>
      <c r="C256" s="8">
        <v>702717</v>
      </c>
      <c r="D256" s="41">
        <v>176</v>
      </c>
      <c r="E256" s="7" t="s">
        <v>751</v>
      </c>
      <c r="F256" s="7" t="s">
        <v>752</v>
      </c>
      <c r="G256" s="107">
        <v>44927</v>
      </c>
      <c r="H256" s="108">
        <v>45078</v>
      </c>
      <c r="I256" s="7">
        <v>2043</v>
      </c>
      <c r="J256" s="8" t="s">
        <v>2258</v>
      </c>
      <c r="K256" s="9">
        <v>828.4</v>
      </c>
      <c r="L256" s="9">
        <v>26900</v>
      </c>
      <c r="M256" s="112">
        <f>+L256*0.08</f>
        <v>2152</v>
      </c>
      <c r="N256" s="9">
        <f t="shared" si="165"/>
        <v>13450</v>
      </c>
      <c r="O256" s="9">
        <f t="shared" si="166"/>
        <v>10469.6</v>
      </c>
      <c r="P256" s="9">
        <f t="shared" si="167"/>
        <v>2980.4</v>
      </c>
      <c r="Q256" s="139">
        <f t="shared" si="168"/>
        <v>0.77840892193308553</v>
      </c>
      <c r="R256" s="336">
        <v>26900</v>
      </c>
      <c r="S256" s="359" t="s">
        <v>1948</v>
      </c>
      <c r="T256" s="305">
        <v>0.77840892193308553</v>
      </c>
      <c r="U256" s="142" t="s">
        <v>1192</v>
      </c>
      <c r="V256" s="100"/>
      <c r="W256" s="110">
        <f t="shared" si="169"/>
        <v>26900</v>
      </c>
      <c r="X256" s="110">
        <f t="shared" si="170"/>
        <v>828.4</v>
      </c>
      <c r="Y256" s="110">
        <f t="shared" si="171"/>
        <v>2152</v>
      </c>
      <c r="Z256" s="110">
        <f t="shared" si="172"/>
        <v>10469.6</v>
      </c>
      <c r="AA256" s="260">
        <f t="shared" si="173"/>
        <v>0.77840892193308553</v>
      </c>
      <c r="AB256" s="28">
        <f t="shared" si="155"/>
        <v>8.9</v>
      </c>
      <c r="AC256" s="261">
        <f t="shared" si="174"/>
        <v>0.77917810452068448</v>
      </c>
      <c r="AD256" s="111">
        <f t="shared" si="157"/>
        <v>2.1</v>
      </c>
      <c r="AE256" s="262">
        <f t="shared" si="175"/>
        <v>6.4135776301948402E-2</v>
      </c>
      <c r="AF256" s="100"/>
      <c r="AG256" s="111">
        <f t="shared" si="159"/>
        <v>3.3</v>
      </c>
      <c r="AH256" s="262">
        <f t="shared" si="176"/>
        <v>0.40445003946487629</v>
      </c>
      <c r="AI256" s="100"/>
      <c r="AJ256" s="111">
        <f t="shared" si="161"/>
        <v>3</v>
      </c>
      <c r="AK256" s="262">
        <f t="shared" si="177"/>
        <v>0.34489504341136384</v>
      </c>
      <c r="AL256" s="100"/>
      <c r="AM256" s="111">
        <f t="shared" si="163"/>
        <v>2.8</v>
      </c>
      <c r="AN256" s="262">
        <f t="shared" si="178"/>
        <v>0.29810183222646125</v>
      </c>
      <c r="AO256" s="100"/>
      <c r="AP256" s="24" t="e">
        <f>VLOOKUP(C256,#REF!,6,FALSE)</f>
        <v>#REF!</v>
      </c>
      <c r="AQ256" s="24" t="e">
        <f>VLOOKUP(C256,#REF!,7,FALSE)</f>
        <v>#REF!</v>
      </c>
      <c r="AR256" s="24" t="e">
        <f>VLOOKUP(C256,#REF!,12,FALSE)</f>
        <v>#REF!</v>
      </c>
      <c r="AS256" s="24" t="e">
        <f>VLOOKUP(C256,#REF!,13,FALSE)</f>
        <v>#REF!</v>
      </c>
      <c r="AT256" s="100"/>
      <c r="AU256" s="100"/>
      <c r="AV256" s="100">
        <v>245</v>
      </c>
      <c r="AW256" s="100"/>
      <c r="AY256" s="9">
        <v>26900</v>
      </c>
    </row>
    <row r="257" spans="1:51" s="2" customFormat="1" ht="12.75" customHeight="1" x14ac:dyDescent="0.2">
      <c r="A257" s="7" t="s">
        <v>1193</v>
      </c>
      <c r="B257" s="8">
        <v>9789500210393</v>
      </c>
      <c r="C257" s="13">
        <v>673645</v>
      </c>
      <c r="D257" s="25">
        <v>304</v>
      </c>
      <c r="E257" s="7" t="s">
        <v>479</v>
      </c>
      <c r="F257" s="7" t="s">
        <v>480</v>
      </c>
      <c r="G257" s="107">
        <v>43862</v>
      </c>
      <c r="H257" s="108">
        <v>46174</v>
      </c>
      <c r="I257" s="7">
        <v>1076</v>
      </c>
      <c r="J257" s="8" t="s">
        <v>2258</v>
      </c>
      <c r="K257" s="117">
        <v>3737.1</v>
      </c>
      <c r="L257" s="9">
        <v>26900</v>
      </c>
      <c r="M257" s="112">
        <f>+L257*0.08</f>
        <v>2152</v>
      </c>
      <c r="N257" s="9">
        <f t="shared" si="165"/>
        <v>13450</v>
      </c>
      <c r="O257" s="9">
        <f t="shared" si="166"/>
        <v>7560.9</v>
      </c>
      <c r="P257" s="9">
        <f t="shared" si="167"/>
        <v>5889.1</v>
      </c>
      <c r="Q257" s="139">
        <f t="shared" si="168"/>
        <v>0.56214869888475838</v>
      </c>
      <c r="R257" s="336">
        <v>26900</v>
      </c>
      <c r="S257" s="359" t="s">
        <v>1948</v>
      </c>
      <c r="T257" s="305">
        <v>0.5474007434944238</v>
      </c>
      <c r="U257" s="144"/>
      <c r="V257" s="100"/>
      <c r="W257" s="110">
        <f t="shared" si="169"/>
        <v>26900</v>
      </c>
      <c r="X257" s="110">
        <f t="shared" si="170"/>
        <v>3737.1</v>
      </c>
      <c r="Y257" s="110">
        <f t="shared" si="171"/>
        <v>2152</v>
      </c>
      <c r="Z257" s="110">
        <f t="shared" si="172"/>
        <v>7560.9</v>
      </c>
      <c r="AA257" s="260">
        <f t="shared" si="173"/>
        <v>0.56214869888475838</v>
      </c>
      <c r="AB257" s="28">
        <f t="shared" si="155"/>
        <v>8.9</v>
      </c>
      <c r="AC257" s="261">
        <f t="shared" si="174"/>
        <v>0.5636685597009673</v>
      </c>
      <c r="AD257" s="111">
        <f t="shared" si="157"/>
        <v>4.0999999999999996</v>
      </c>
      <c r="AE257" s="262">
        <f t="shared" si="175"/>
        <v>5.2841507643563039E-2</v>
      </c>
      <c r="AF257" s="100"/>
      <c r="AG257" s="111">
        <f t="shared" si="159"/>
        <v>6.5</v>
      </c>
      <c r="AH257" s="262">
        <f t="shared" si="176"/>
        <v>0.40256156635978591</v>
      </c>
      <c r="AI257" s="100"/>
      <c r="AJ257" s="111">
        <f t="shared" si="161"/>
        <v>6</v>
      </c>
      <c r="AK257" s="262">
        <f t="shared" si="177"/>
        <v>0.35277503022310142</v>
      </c>
      <c r="AL257" s="100"/>
      <c r="AM257" s="111">
        <f t="shared" si="163"/>
        <v>5.5</v>
      </c>
      <c r="AN257" s="262">
        <f t="shared" si="178"/>
        <v>0.2939363966070197</v>
      </c>
      <c r="AO257" s="100"/>
      <c r="AP257" s="24" t="e">
        <f>VLOOKUP(C257,#REF!,6,FALSE)</f>
        <v>#REF!</v>
      </c>
      <c r="AQ257" s="24" t="e">
        <f>VLOOKUP(C257,#REF!,7,FALSE)</f>
        <v>#REF!</v>
      </c>
      <c r="AR257" s="24" t="e">
        <f>VLOOKUP(C257,#REF!,12,FALSE)</f>
        <v>#REF!</v>
      </c>
      <c r="AS257" s="24" t="e">
        <f>VLOOKUP(C257,#REF!,13,FALSE)</f>
        <v>#REF!</v>
      </c>
      <c r="AT257" s="100"/>
      <c r="AU257" s="100"/>
      <c r="AV257" s="100">
        <v>246</v>
      </c>
      <c r="AW257" s="100"/>
      <c r="AY257" s="9">
        <v>26900</v>
      </c>
    </row>
    <row r="258" spans="1:51" s="2" customFormat="1" ht="12.75" customHeight="1" x14ac:dyDescent="0.2">
      <c r="A258" s="6" t="s">
        <v>1194</v>
      </c>
      <c r="B258" s="8">
        <v>9789500211598</v>
      </c>
      <c r="C258" s="8">
        <v>682010</v>
      </c>
      <c r="D258" s="7">
        <v>528</v>
      </c>
      <c r="E258" s="7" t="s">
        <v>534</v>
      </c>
      <c r="F258" s="7" t="s">
        <v>535</v>
      </c>
      <c r="G258" s="107">
        <v>44256</v>
      </c>
      <c r="H258" s="108">
        <v>45474</v>
      </c>
      <c r="I258" s="264">
        <v>3009</v>
      </c>
      <c r="J258" s="28" t="s">
        <v>1946</v>
      </c>
      <c r="K258" s="9">
        <v>3064.1700000000005</v>
      </c>
      <c r="L258" s="9">
        <v>45900</v>
      </c>
      <c r="M258" s="112">
        <f>+L258*0.12</f>
        <v>5508</v>
      </c>
      <c r="N258" s="9">
        <f t="shared" si="165"/>
        <v>22950</v>
      </c>
      <c r="O258" s="9">
        <f t="shared" si="166"/>
        <v>14377.83</v>
      </c>
      <c r="P258" s="9">
        <f t="shared" si="167"/>
        <v>8572.17</v>
      </c>
      <c r="Q258" s="139">
        <f t="shared" si="168"/>
        <v>0.62648496732026149</v>
      </c>
      <c r="R258" s="336">
        <v>45900</v>
      </c>
      <c r="S258" s="359" t="s">
        <v>1948</v>
      </c>
      <c r="T258" s="305">
        <v>0.62648496732026149</v>
      </c>
      <c r="U258" s="144"/>
      <c r="V258" s="100"/>
      <c r="W258" s="110">
        <f t="shared" si="169"/>
        <v>45900</v>
      </c>
      <c r="X258" s="110">
        <f t="shared" si="170"/>
        <v>3064.1700000000005</v>
      </c>
      <c r="Y258" s="110">
        <f t="shared" si="171"/>
        <v>5508</v>
      </c>
      <c r="Z258" s="110">
        <f t="shared" si="172"/>
        <v>14377.829999999998</v>
      </c>
      <c r="AA258" s="260">
        <f t="shared" si="173"/>
        <v>0.62648496732026138</v>
      </c>
      <c r="AB258" s="28">
        <f t="shared" si="155"/>
        <v>15.1</v>
      </c>
      <c r="AC258" s="261">
        <f t="shared" si="174"/>
        <v>0.62565553743261204</v>
      </c>
      <c r="AD258" s="111">
        <f t="shared" si="157"/>
        <v>6</v>
      </c>
      <c r="AE258" s="262">
        <f t="shared" si="175"/>
        <v>5.7899769205407181E-2</v>
      </c>
      <c r="AF258" s="100"/>
      <c r="AG258" s="111">
        <f t="shared" si="159"/>
        <v>9.4</v>
      </c>
      <c r="AH258" s="262">
        <f t="shared" si="176"/>
        <v>0.39865942715238756</v>
      </c>
      <c r="AI258" s="100"/>
      <c r="AJ258" s="111">
        <f t="shared" si="161"/>
        <v>8.6999999999999993</v>
      </c>
      <c r="AK258" s="262">
        <f t="shared" si="177"/>
        <v>0.35027570290028076</v>
      </c>
      <c r="AL258" s="100"/>
      <c r="AM258" s="111">
        <f t="shared" si="163"/>
        <v>8.1</v>
      </c>
      <c r="AN258" s="262">
        <f t="shared" si="178"/>
        <v>0.30214797718919051</v>
      </c>
      <c r="AO258" s="100"/>
      <c r="AP258" s="24" t="e">
        <f>VLOOKUP(C258,#REF!,6,FALSE)</f>
        <v>#REF!</v>
      </c>
      <c r="AQ258" s="24" t="e">
        <f>VLOOKUP(C258,#REF!,7,FALSE)</f>
        <v>#REF!</v>
      </c>
      <c r="AR258" s="24" t="e">
        <f>VLOOKUP(C258,#REF!,12,FALSE)</f>
        <v>#REF!</v>
      </c>
      <c r="AS258" s="24" t="e">
        <f>VLOOKUP(C258,#REF!,13,FALSE)</f>
        <v>#REF!</v>
      </c>
      <c r="AT258" s="100"/>
      <c r="AU258" s="100"/>
      <c r="AV258" s="100">
        <v>247</v>
      </c>
      <c r="AW258" s="100"/>
      <c r="AY258" s="9">
        <v>45900</v>
      </c>
    </row>
    <row r="259" spans="1:51" s="2" customFormat="1" ht="12.75" customHeight="1" x14ac:dyDescent="0.2">
      <c r="A259" s="7" t="s">
        <v>1195</v>
      </c>
      <c r="B259" s="8">
        <v>9789500211888</v>
      </c>
      <c r="C259" s="8">
        <v>684661</v>
      </c>
      <c r="D259" s="25">
        <v>480</v>
      </c>
      <c r="E259" s="7" t="s">
        <v>545</v>
      </c>
      <c r="F259" s="7" t="s">
        <v>531</v>
      </c>
      <c r="G259" s="107">
        <v>44378</v>
      </c>
      <c r="H259" s="108">
        <v>44348</v>
      </c>
      <c r="I259" s="7">
        <v>3065</v>
      </c>
      <c r="J259" s="28" t="s">
        <v>1946</v>
      </c>
      <c r="K259" s="9">
        <v>133.57</v>
      </c>
      <c r="L259" s="112">
        <v>35700</v>
      </c>
      <c r="M259" s="112">
        <f>+L259*0.15</f>
        <v>5355</v>
      </c>
      <c r="N259" s="9">
        <f t="shared" si="165"/>
        <v>17850</v>
      </c>
      <c r="O259" s="9">
        <f t="shared" si="166"/>
        <v>12361.43</v>
      </c>
      <c r="P259" s="9">
        <f t="shared" si="167"/>
        <v>5488.57</v>
      </c>
      <c r="Q259" s="139">
        <f t="shared" si="168"/>
        <v>0.6925170868347339</v>
      </c>
      <c r="R259" s="336">
        <v>35700</v>
      </c>
      <c r="S259" s="359" t="s">
        <v>1948</v>
      </c>
      <c r="T259" s="305">
        <v>0.6925170868347339</v>
      </c>
      <c r="U259" s="144"/>
      <c r="V259" s="100"/>
      <c r="W259" s="110">
        <f t="shared" si="169"/>
        <v>35700</v>
      </c>
      <c r="X259" s="110">
        <f t="shared" si="170"/>
        <v>133.57</v>
      </c>
      <c r="Y259" s="110">
        <f t="shared" si="171"/>
        <v>5355</v>
      </c>
      <c r="Z259" s="110">
        <f t="shared" si="172"/>
        <v>12361.43</v>
      </c>
      <c r="AA259" s="260">
        <f t="shared" si="173"/>
        <v>0.6925170868347339</v>
      </c>
      <c r="AB259" s="28">
        <f t="shared" si="155"/>
        <v>11.8</v>
      </c>
      <c r="AC259" s="261">
        <f t="shared" si="174"/>
        <v>0.6932851626459231</v>
      </c>
      <c r="AD259" s="111">
        <f t="shared" si="157"/>
        <v>3.8</v>
      </c>
      <c r="AE259" s="262">
        <f t="shared" si="175"/>
        <v>4.7569715584708579E-2</v>
      </c>
      <c r="AF259" s="100"/>
      <c r="AG259" s="111">
        <f t="shared" si="159"/>
        <v>6</v>
      </c>
      <c r="AH259" s="262">
        <f t="shared" si="176"/>
        <v>0.3967941532036488</v>
      </c>
      <c r="AI259" s="100"/>
      <c r="AJ259" s="111">
        <f t="shared" si="161"/>
        <v>5.6</v>
      </c>
      <c r="AK259" s="262">
        <f t="shared" si="177"/>
        <v>0.3537080212896237</v>
      </c>
      <c r="AL259" s="100"/>
      <c r="AM259" s="111">
        <f t="shared" si="163"/>
        <v>5.2</v>
      </c>
      <c r="AN259" s="262">
        <f t="shared" si="178"/>
        <v>0.30399325369651786</v>
      </c>
      <c r="AO259" s="100"/>
      <c r="AP259" s="24" t="e">
        <f>VLOOKUP(C259,#REF!,6,FALSE)</f>
        <v>#REF!</v>
      </c>
      <c r="AQ259" s="24" t="e">
        <f>VLOOKUP(C259,#REF!,7,FALSE)</f>
        <v>#REF!</v>
      </c>
      <c r="AR259" s="24" t="e">
        <f>VLOOKUP(C259,#REF!,12,FALSE)</f>
        <v>#REF!</v>
      </c>
      <c r="AS259" s="24" t="e">
        <f>VLOOKUP(C259,#REF!,13,FALSE)</f>
        <v>#REF!</v>
      </c>
      <c r="AT259" s="100"/>
      <c r="AU259" s="100"/>
      <c r="AV259" s="100">
        <v>248</v>
      </c>
      <c r="AW259" s="100"/>
      <c r="AY259" s="112">
        <v>35700</v>
      </c>
    </row>
    <row r="260" spans="1:51" s="2" customFormat="1" ht="12.75" customHeight="1" x14ac:dyDescent="0.2">
      <c r="A260" s="7" t="s">
        <v>1196</v>
      </c>
      <c r="B260" s="8">
        <v>9789500207294</v>
      </c>
      <c r="C260" s="8">
        <v>572863</v>
      </c>
      <c r="D260" s="25">
        <v>528</v>
      </c>
      <c r="E260" s="22" t="s">
        <v>156</v>
      </c>
      <c r="F260" s="6" t="s">
        <v>1197</v>
      </c>
      <c r="G260" s="107">
        <v>41609</v>
      </c>
      <c r="H260" s="108">
        <v>43282</v>
      </c>
      <c r="I260" s="24">
        <v>1983</v>
      </c>
      <c r="J260" s="28" t="s">
        <v>1946</v>
      </c>
      <c r="K260" s="28">
        <v>72.84</v>
      </c>
      <c r="L260" s="9">
        <v>26300</v>
      </c>
      <c r="M260" s="112"/>
      <c r="N260" s="9">
        <f t="shared" si="165"/>
        <v>13150</v>
      </c>
      <c r="O260" s="9">
        <f t="shared" si="166"/>
        <v>13077.16</v>
      </c>
      <c r="P260" s="9">
        <f t="shared" si="167"/>
        <v>72.84</v>
      </c>
      <c r="Q260" s="139">
        <f t="shared" si="168"/>
        <v>0.99446083650190109</v>
      </c>
      <c r="R260" s="336">
        <v>26300</v>
      </c>
      <c r="S260" s="359" t="s">
        <v>1948</v>
      </c>
      <c r="T260" s="305">
        <v>0.99446083650190109</v>
      </c>
      <c r="U260" s="157"/>
      <c r="V260" s="100"/>
      <c r="W260" s="110">
        <f t="shared" si="169"/>
        <v>26300</v>
      </c>
      <c r="X260" s="110">
        <f t="shared" si="170"/>
        <v>72.84</v>
      </c>
      <c r="Y260" s="110">
        <f t="shared" si="171"/>
        <v>0</v>
      </c>
      <c r="Z260" s="110">
        <f t="shared" si="172"/>
        <v>13077.16</v>
      </c>
      <c r="AA260" s="260">
        <f t="shared" si="173"/>
        <v>0.99446083650190109</v>
      </c>
      <c r="AB260" s="28">
        <f t="shared" si="155"/>
        <v>8.6999999999999993</v>
      </c>
      <c r="AC260" s="261">
        <f t="shared" si="174"/>
        <v>0.99447912047932507</v>
      </c>
      <c r="AD260" s="111">
        <f t="shared" si="157"/>
        <v>0.1</v>
      </c>
      <c r="AE260" s="262">
        <f t="shared" si="175"/>
        <v>0.51968348170128587</v>
      </c>
      <c r="AF260" s="100"/>
      <c r="AG260" s="111">
        <f t="shared" si="159"/>
        <v>0.1</v>
      </c>
      <c r="AH260" s="262">
        <f t="shared" si="176"/>
        <v>0.51968348170128587</v>
      </c>
      <c r="AI260" s="100"/>
      <c r="AJ260" s="111">
        <f t="shared" si="161"/>
        <v>0.1</v>
      </c>
      <c r="AK260" s="262">
        <f t="shared" si="177"/>
        <v>0.51968348170128587</v>
      </c>
      <c r="AL260" s="100"/>
      <c r="AM260" s="111">
        <f t="shared" si="163"/>
        <v>0.1</v>
      </c>
      <c r="AN260" s="262">
        <f t="shared" si="178"/>
        <v>0.51968348170128587</v>
      </c>
      <c r="AO260" s="100"/>
      <c r="AP260" s="24" t="e">
        <f>VLOOKUP(C260,#REF!,6,FALSE)</f>
        <v>#REF!</v>
      </c>
      <c r="AQ260" s="24" t="e">
        <f>VLOOKUP(C260,#REF!,7,FALSE)</f>
        <v>#REF!</v>
      </c>
      <c r="AR260" s="24" t="e">
        <f>VLOOKUP(C260,#REF!,12,FALSE)</f>
        <v>#REF!</v>
      </c>
      <c r="AS260" s="24" t="e">
        <f>VLOOKUP(C260,#REF!,13,FALSE)</f>
        <v>#REF!</v>
      </c>
      <c r="AT260" s="100"/>
      <c r="AU260" s="100"/>
      <c r="AV260" s="100">
        <v>249</v>
      </c>
      <c r="AW260" s="100"/>
      <c r="AY260" s="9">
        <v>26300</v>
      </c>
    </row>
    <row r="261" spans="1:51" s="2" customFormat="1" ht="12.75" customHeight="1" x14ac:dyDescent="0.2">
      <c r="A261" s="7" t="s">
        <v>1198</v>
      </c>
      <c r="B261" s="8">
        <v>9789500206969</v>
      </c>
      <c r="C261" s="8">
        <v>556085</v>
      </c>
      <c r="D261" s="25">
        <v>184</v>
      </c>
      <c r="E261" s="9" t="s">
        <v>148</v>
      </c>
      <c r="F261" s="7" t="s">
        <v>149</v>
      </c>
      <c r="G261" s="107">
        <v>38991</v>
      </c>
      <c r="H261" s="107">
        <v>41153</v>
      </c>
      <c r="I261" s="25">
        <v>4030</v>
      </c>
      <c r="J261" s="28" t="s">
        <v>1894</v>
      </c>
      <c r="K261" s="9">
        <v>8.32</v>
      </c>
      <c r="L261" s="9">
        <v>19000</v>
      </c>
      <c r="M261" s="112">
        <f>+L261*0.1</f>
        <v>1900</v>
      </c>
      <c r="N261" s="9">
        <f t="shared" si="165"/>
        <v>9500</v>
      </c>
      <c r="O261" s="9">
        <f t="shared" si="166"/>
        <v>7591.68</v>
      </c>
      <c r="P261" s="9">
        <f t="shared" si="167"/>
        <v>1908.32</v>
      </c>
      <c r="Q261" s="139">
        <f t="shared" si="168"/>
        <v>0.79912421052631577</v>
      </c>
      <c r="R261" s="336">
        <v>19000</v>
      </c>
      <c r="S261" s="359" t="s">
        <v>1948</v>
      </c>
      <c r="T261" s="305">
        <v>0.79912421052631577</v>
      </c>
      <c r="U261" s="142" t="s">
        <v>1192</v>
      </c>
      <c r="V261" s="100"/>
      <c r="W261" s="110">
        <f t="shared" si="169"/>
        <v>19000</v>
      </c>
      <c r="X261" s="110">
        <f t="shared" si="170"/>
        <v>8.32</v>
      </c>
      <c r="Y261" s="110">
        <f t="shared" si="171"/>
        <v>1900</v>
      </c>
      <c r="Z261" s="110">
        <f t="shared" si="172"/>
        <v>7591.68</v>
      </c>
      <c r="AA261" s="260">
        <f t="shared" si="173"/>
        <v>0.79912421052631577</v>
      </c>
      <c r="AB261" s="28">
        <f t="shared" si="155"/>
        <v>6.3</v>
      </c>
      <c r="AC261" s="261">
        <f t="shared" si="174"/>
        <v>0.80025853181144968</v>
      </c>
      <c r="AD261" s="111">
        <f t="shared" si="157"/>
        <v>1.3</v>
      </c>
      <c r="AE261" s="262">
        <f t="shared" si="175"/>
        <v>3.2022115701640978E-2</v>
      </c>
      <c r="AF261" s="100"/>
      <c r="AG261" s="111">
        <f t="shared" si="159"/>
        <v>2.1</v>
      </c>
      <c r="AH261" s="262">
        <f t="shared" si="176"/>
        <v>0.4007755954343491</v>
      </c>
      <c r="AI261" s="100"/>
      <c r="AJ261" s="111">
        <f t="shared" si="161"/>
        <v>1.9</v>
      </c>
      <c r="AK261" s="262">
        <f t="shared" si="177"/>
        <v>0.3376993423221753</v>
      </c>
      <c r="AL261" s="100"/>
      <c r="AM261" s="111">
        <f t="shared" si="163"/>
        <v>1.8</v>
      </c>
      <c r="AN261" s="262">
        <f t="shared" si="178"/>
        <v>0.30090486134007399</v>
      </c>
      <c r="AO261" s="100"/>
      <c r="AP261" s="24" t="e">
        <f>VLOOKUP(C261,#REF!,6,FALSE)</f>
        <v>#REF!</v>
      </c>
      <c r="AQ261" s="24" t="e">
        <f>VLOOKUP(C261,#REF!,7,FALSE)</f>
        <v>#REF!</v>
      </c>
      <c r="AR261" s="24" t="e">
        <f>VLOOKUP(C261,#REF!,12,FALSE)</f>
        <v>#REF!</v>
      </c>
      <c r="AS261" s="24" t="e">
        <f>VLOOKUP(C261,#REF!,13,FALSE)</f>
        <v>#REF!</v>
      </c>
      <c r="AT261" s="100"/>
      <c r="AU261" s="100"/>
      <c r="AV261" s="100">
        <v>250</v>
      </c>
      <c r="AW261" s="100"/>
      <c r="AY261" s="9">
        <v>19000</v>
      </c>
    </row>
    <row r="262" spans="1:51" s="2" customFormat="1" ht="12.75" customHeight="1" x14ac:dyDescent="0.2">
      <c r="A262" s="7" t="s">
        <v>1199</v>
      </c>
      <c r="B262" s="8">
        <v>9789500212786</v>
      </c>
      <c r="C262" s="8">
        <v>695679</v>
      </c>
      <c r="D262" s="25">
        <v>224</v>
      </c>
      <c r="E262" s="7" t="s">
        <v>479</v>
      </c>
      <c r="F262" s="7" t="s">
        <v>695</v>
      </c>
      <c r="G262" s="107">
        <v>44743</v>
      </c>
      <c r="H262" s="108">
        <v>45139</v>
      </c>
      <c r="I262" s="7">
        <v>2088</v>
      </c>
      <c r="J262" s="8" t="s">
        <v>2258</v>
      </c>
      <c r="K262" s="9">
        <v>1131.1600000000001</v>
      </c>
      <c r="L262" s="9">
        <v>12000</v>
      </c>
      <c r="M262" s="112">
        <f>+L262*0.08</f>
        <v>960</v>
      </c>
      <c r="N262" s="9">
        <f t="shared" si="165"/>
        <v>6000</v>
      </c>
      <c r="O262" s="9">
        <f t="shared" si="166"/>
        <v>3908.84</v>
      </c>
      <c r="P262" s="9">
        <f t="shared" si="167"/>
        <v>2091.16</v>
      </c>
      <c r="Q262" s="139">
        <f t="shared" si="168"/>
        <v>0.65147333333333335</v>
      </c>
      <c r="R262" s="313">
        <v>12000</v>
      </c>
      <c r="S262" s="359" t="s">
        <v>2474</v>
      </c>
      <c r="T262" s="305">
        <v>0.75589888475836431</v>
      </c>
      <c r="U262" s="144">
        <v>26900</v>
      </c>
      <c r="V262" s="100"/>
      <c r="W262" s="110">
        <f t="shared" si="169"/>
        <v>12000</v>
      </c>
      <c r="X262" s="110">
        <f t="shared" si="170"/>
        <v>1131.1600000000001</v>
      </c>
      <c r="Y262" s="110">
        <f t="shared" si="171"/>
        <v>960</v>
      </c>
      <c r="Z262" s="110">
        <f t="shared" si="172"/>
        <v>3908.84</v>
      </c>
      <c r="AA262" s="260">
        <f t="shared" si="173"/>
        <v>0.65147333333333335</v>
      </c>
      <c r="AB262" s="28">
        <f t="shared" si="155"/>
        <v>4</v>
      </c>
      <c r="AC262" s="261">
        <f t="shared" si="174"/>
        <v>0.65526541378173431</v>
      </c>
      <c r="AD262" s="111">
        <f t="shared" si="157"/>
        <v>1.5</v>
      </c>
      <c r="AE262" s="262">
        <f t="shared" si="175"/>
        <v>8.0707770084624653E-2</v>
      </c>
      <c r="AF262" s="100"/>
      <c r="AG262" s="111">
        <f t="shared" si="159"/>
        <v>2.2999999999999998</v>
      </c>
      <c r="AH262" s="262">
        <f t="shared" si="176"/>
        <v>0.4004615891856248</v>
      </c>
      <c r="AI262" s="100"/>
      <c r="AJ262" s="111">
        <f t="shared" si="161"/>
        <v>2.1</v>
      </c>
      <c r="AK262" s="262">
        <f t="shared" si="177"/>
        <v>0.34336269291758897</v>
      </c>
      <c r="AL262" s="100"/>
      <c r="AM262" s="111">
        <f t="shared" si="163"/>
        <v>2</v>
      </c>
      <c r="AN262" s="262">
        <f t="shared" si="178"/>
        <v>0.3105308275634685</v>
      </c>
      <c r="AO262" s="100"/>
      <c r="AP262" s="24" t="e">
        <f>VLOOKUP(C262,#REF!,6,FALSE)</f>
        <v>#REF!</v>
      </c>
      <c r="AQ262" s="24" t="e">
        <f>VLOOKUP(C262,#REF!,7,FALSE)</f>
        <v>#REF!</v>
      </c>
      <c r="AR262" s="24" t="e">
        <f>VLOOKUP(C262,#REF!,12,FALSE)</f>
        <v>#REF!</v>
      </c>
      <c r="AS262" s="24" t="e">
        <f>VLOOKUP(C262,#REF!,13,FALSE)</f>
        <v>#REF!</v>
      </c>
      <c r="AT262" s="100"/>
      <c r="AU262" s="100"/>
      <c r="AV262" s="100">
        <v>251</v>
      </c>
      <c r="AW262" s="100"/>
      <c r="AY262" s="9">
        <v>26900</v>
      </c>
    </row>
    <row r="263" spans="1:51" s="2" customFormat="1" ht="12.75" customHeight="1" x14ac:dyDescent="0.2">
      <c r="A263" s="6" t="s">
        <v>1200</v>
      </c>
      <c r="B263" s="8">
        <v>9789500207867</v>
      </c>
      <c r="C263" s="8">
        <v>579604</v>
      </c>
      <c r="D263" s="25">
        <v>168</v>
      </c>
      <c r="E263" s="22" t="s">
        <v>160</v>
      </c>
      <c r="F263" s="6" t="s">
        <v>1201</v>
      </c>
      <c r="G263" s="107">
        <v>41821</v>
      </c>
      <c r="H263" s="108">
        <v>41791</v>
      </c>
      <c r="I263" s="24">
        <v>3000</v>
      </c>
      <c r="J263" s="28" t="s">
        <v>2136</v>
      </c>
      <c r="K263" s="28">
        <v>44.66</v>
      </c>
      <c r="L263" s="128">
        <v>20800</v>
      </c>
      <c r="M263" s="112">
        <f>+L263*0.05</f>
        <v>1040</v>
      </c>
      <c r="N263" s="9">
        <f t="shared" si="165"/>
        <v>10400</v>
      </c>
      <c r="O263" s="9">
        <f t="shared" si="166"/>
        <v>9315.34</v>
      </c>
      <c r="P263" s="9">
        <f t="shared" si="167"/>
        <v>1084.6600000000001</v>
      </c>
      <c r="Q263" s="139">
        <f t="shared" si="168"/>
        <v>0.89570576923076928</v>
      </c>
      <c r="R263" s="336">
        <v>20800</v>
      </c>
      <c r="S263" s="359" t="s">
        <v>1948</v>
      </c>
      <c r="T263" s="305">
        <v>0.89570576923076928</v>
      </c>
      <c r="U263" s="144"/>
      <c r="V263" s="100"/>
      <c r="W263" s="110">
        <f t="shared" si="169"/>
        <v>20800</v>
      </c>
      <c r="X263" s="110">
        <f t="shared" si="170"/>
        <v>44.66</v>
      </c>
      <c r="Y263" s="110">
        <f t="shared" si="171"/>
        <v>1040</v>
      </c>
      <c r="Z263" s="110">
        <f t="shared" si="172"/>
        <v>9315.34</v>
      </c>
      <c r="AA263" s="260">
        <f t="shared" si="173"/>
        <v>0.89570576923076928</v>
      </c>
      <c r="AB263" s="28">
        <f t="shared" si="155"/>
        <v>6.9</v>
      </c>
      <c r="AC263" s="261">
        <f t="shared" si="174"/>
        <v>0.89634216851350124</v>
      </c>
      <c r="AD263" s="111">
        <f t="shared" si="157"/>
        <v>0.8</v>
      </c>
      <c r="AE263" s="262">
        <f t="shared" si="175"/>
        <v>0.1059512034289482</v>
      </c>
      <c r="AF263" s="100"/>
      <c r="AG263" s="111">
        <f t="shared" si="159"/>
        <v>1.2</v>
      </c>
      <c r="AH263" s="262">
        <f t="shared" si="176"/>
        <v>0.40396746895263208</v>
      </c>
      <c r="AI263" s="100"/>
      <c r="AJ263" s="111">
        <f t="shared" si="161"/>
        <v>1.1000000000000001</v>
      </c>
      <c r="AK263" s="262">
        <f t="shared" si="177"/>
        <v>0.34978269340287144</v>
      </c>
      <c r="AL263" s="100"/>
      <c r="AM263" s="111">
        <f t="shared" si="163"/>
        <v>1</v>
      </c>
      <c r="AN263" s="262">
        <f t="shared" si="178"/>
        <v>0.28476096274315854</v>
      </c>
      <c r="AO263" s="100"/>
      <c r="AP263" s="24" t="e">
        <f>VLOOKUP(C263,#REF!,6,FALSE)</f>
        <v>#REF!</v>
      </c>
      <c r="AQ263" s="24" t="e">
        <f>VLOOKUP(C263,#REF!,7,FALSE)</f>
        <v>#REF!</v>
      </c>
      <c r="AR263" s="24" t="e">
        <f>VLOOKUP(C263,#REF!,12,FALSE)</f>
        <v>#REF!</v>
      </c>
      <c r="AS263" s="24" t="e">
        <f>VLOOKUP(C263,#REF!,13,FALSE)</f>
        <v>#REF!</v>
      </c>
      <c r="AT263" s="100"/>
      <c r="AU263" s="100"/>
      <c r="AV263" s="100">
        <v>252</v>
      </c>
      <c r="AW263" s="100"/>
      <c r="AY263" s="128">
        <v>20800</v>
      </c>
    </row>
    <row r="264" spans="1:51" s="2" customFormat="1" ht="12.75" customHeight="1" x14ac:dyDescent="0.2">
      <c r="A264" s="7" t="s">
        <v>1202</v>
      </c>
      <c r="B264" s="8">
        <v>9789500207164</v>
      </c>
      <c r="C264" s="8">
        <v>567503</v>
      </c>
      <c r="D264" s="25">
        <v>208</v>
      </c>
      <c r="E264" s="22" t="s">
        <v>152</v>
      </c>
      <c r="F264" s="6" t="s">
        <v>153</v>
      </c>
      <c r="G264" s="107">
        <v>41487</v>
      </c>
      <c r="H264" s="108">
        <v>41456</v>
      </c>
      <c r="I264" s="24">
        <v>3031</v>
      </c>
      <c r="J264" s="28" t="s">
        <v>1894</v>
      </c>
      <c r="K264" s="28">
        <v>12.01</v>
      </c>
      <c r="L264" s="128">
        <v>16000</v>
      </c>
      <c r="M264" s="112">
        <f>+L264*0.08</f>
        <v>1280</v>
      </c>
      <c r="N264" s="9">
        <f t="shared" ref="N264:N281" si="179">+L264/2</f>
        <v>8000</v>
      </c>
      <c r="O264" s="9">
        <f t="shared" ref="O264:O281" si="180">+N264-M264-K264</f>
        <v>6707.99</v>
      </c>
      <c r="P264" s="9">
        <f t="shared" ref="P264:P281" si="181">+M264+K264</f>
        <v>1292.01</v>
      </c>
      <c r="Q264" s="139">
        <f t="shared" ref="Q264:Q281" si="182">+O264/N264</f>
        <v>0.83849874999999996</v>
      </c>
      <c r="R264" s="336">
        <v>16000</v>
      </c>
      <c r="S264" s="359" t="s">
        <v>1948</v>
      </c>
      <c r="T264" s="305">
        <v>0.83849874999999996</v>
      </c>
      <c r="U264" s="115" t="s">
        <v>1063</v>
      </c>
      <c r="V264" s="100"/>
      <c r="W264" s="110">
        <f t="shared" ref="W264:W281" si="183">+L264</f>
        <v>16000</v>
      </c>
      <c r="X264" s="110">
        <f t="shared" ref="X264:X281" si="184">+K264</f>
        <v>12.01</v>
      </c>
      <c r="Y264" s="110">
        <f t="shared" ref="Y264:Y281" si="185">+M264</f>
        <v>1280</v>
      </c>
      <c r="Z264" s="110">
        <f t="shared" ref="Z264:Z281" si="186">+W264/2-X264-Y264</f>
        <v>6707.99</v>
      </c>
      <c r="AA264" s="260">
        <f t="shared" ref="AA264:AA281" si="187">+Z264/(W264/2)</f>
        <v>0.83849874999999996</v>
      </c>
      <c r="AB264" s="28">
        <f t="shared" ref="AB264:AB281" si="188">ROUND($W264/2/$X$1,1)</f>
        <v>5.3</v>
      </c>
      <c r="AC264" s="261">
        <f t="shared" ref="AC264:AC281" si="189">+(AB264*$X$1-$X264-$Y264)/(AB264*$X$1)</f>
        <v>0.83925125506223985</v>
      </c>
      <c r="AD264" s="111">
        <f t="shared" ref="AD264:AD281" si="190">+IFERROR(ROUND(($X264+$Y264)/(1-$X$2)/$X$1,1),0)</f>
        <v>0.9</v>
      </c>
      <c r="AE264" s="262">
        <f t="shared" ref="AE264:AE281" si="191">+(AD264*$X$1-$X264-$Y264)/(AD264*$X$1)</f>
        <v>5.336850203319056E-2</v>
      </c>
      <c r="AF264" s="100"/>
      <c r="AG264" s="111">
        <f t="shared" ref="AG264:AG281" si="192">+IFERROR(ROUND(($X264+$Y264)/(1-$AG$2)/$X$1,1),0)</f>
        <v>1.4</v>
      </c>
      <c r="AH264" s="262">
        <f t="shared" ref="AH264:AH281" si="193">+(AG264*$X$1-$X264-$Y264)/(AG264*$X$1)</f>
        <v>0.39145117987847944</v>
      </c>
      <c r="AI264" s="100"/>
      <c r="AJ264" s="111">
        <f t="shared" ref="AJ264:AJ281" si="194">+IFERROR(ROUND(($X264+$Y264)/(1-$AJ$2)/$X$1,1),0)</f>
        <v>1.3</v>
      </c>
      <c r="AK264" s="262">
        <f t="shared" ref="AK264:AK281" si="195">+(AJ264*$X$1-$X264-$Y264)/(AJ264*$X$1)</f>
        <v>0.3446397321768242</v>
      </c>
      <c r="AL264" s="100"/>
      <c r="AM264" s="111">
        <f t="shared" ref="AM264:AM281" si="196">+IFERROR(ROUND(($X264+$Y264)/(1-$AM$2)/$X$1,1),0)</f>
        <v>1.2</v>
      </c>
      <c r="AN264" s="262">
        <f t="shared" ref="AN264:AN281" si="197">+(AM264*$X$1-$X264-$Y264)/(AM264*$X$1)</f>
        <v>0.29002637652489283</v>
      </c>
      <c r="AO264" s="100"/>
      <c r="AP264" s="24" t="e">
        <f>VLOOKUP(C264,#REF!,6,FALSE)</f>
        <v>#REF!</v>
      </c>
      <c r="AQ264" s="24" t="e">
        <f>VLOOKUP(C264,#REF!,7,FALSE)</f>
        <v>#REF!</v>
      </c>
      <c r="AR264" s="24" t="e">
        <f>VLOOKUP(C264,#REF!,12,FALSE)</f>
        <v>#REF!</v>
      </c>
      <c r="AS264" s="24" t="e">
        <f>VLOOKUP(C264,#REF!,13,FALSE)</f>
        <v>#REF!</v>
      </c>
      <c r="AT264" s="100"/>
      <c r="AU264" s="100"/>
      <c r="AV264" s="100">
        <v>253</v>
      </c>
      <c r="AW264" s="100"/>
      <c r="AY264" s="128">
        <v>16000</v>
      </c>
    </row>
    <row r="265" spans="1:51" s="2" customFormat="1" ht="12.75" customHeight="1" x14ac:dyDescent="0.2">
      <c r="A265" s="6" t="s">
        <v>1203</v>
      </c>
      <c r="B265" s="8">
        <v>9789500207874</v>
      </c>
      <c r="C265" s="21">
        <v>577625</v>
      </c>
      <c r="D265" s="25">
        <v>248</v>
      </c>
      <c r="E265" s="22" t="s">
        <v>156</v>
      </c>
      <c r="F265" s="6" t="s">
        <v>157</v>
      </c>
      <c r="G265" s="107">
        <v>41760</v>
      </c>
      <c r="H265" s="108">
        <v>41730</v>
      </c>
      <c r="I265" s="24">
        <v>3050</v>
      </c>
      <c r="J265" s="28" t="s">
        <v>1894</v>
      </c>
      <c r="K265" s="28">
        <v>19.38</v>
      </c>
      <c r="L265" s="112">
        <v>16000</v>
      </c>
      <c r="M265" s="112">
        <f>+L265*0.03</f>
        <v>480</v>
      </c>
      <c r="N265" s="9">
        <f t="shared" si="179"/>
        <v>8000</v>
      </c>
      <c r="O265" s="9">
        <f t="shared" si="180"/>
        <v>7500.62</v>
      </c>
      <c r="P265" s="9">
        <f t="shared" si="181"/>
        <v>499.38</v>
      </c>
      <c r="Q265" s="139">
        <f t="shared" si="182"/>
        <v>0.93757749999999995</v>
      </c>
      <c r="R265" s="336">
        <v>16000</v>
      </c>
      <c r="S265" s="359" t="s">
        <v>1948</v>
      </c>
      <c r="T265" s="305">
        <v>0.93757749999999995</v>
      </c>
      <c r="U265" s="157"/>
      <c r="V265" s="100"/>
      <c r="W265" s="110">
        <f t="shared" si="183"/>
        <v>16000</v>
      </c>
      <c r="X265" s="110">
        <f t="shared" si="184"/>
        <v>19.38</v>
      </c>
      <c r="Y265" s="110">
        <f t="shared" si="185"/>
        <v>480</v>
      </c>
      <c r="Z265" s="110">
        <f t="shared" si="186"/>
        <v>7500.62</v>
      </c>
      <c r="AA265" s="260">
        <f t="shared" si="187"/>
        <v>0.93757749999999995</v>
      </c>
      <c r="AB265" s="28">
        <f t="shared" si="188"/>
        <v>5.3</v>
      </c>
      <c r="AC265" s="261">
        <f t="shared" si="189"/>
        <v>0.93786835376891919</v>
      </c>
      <c r="AD265" s="111">
        <f t="shared" si="190"/>
        <v>0.3</v>
      </c>
      <c r="AE265" s="262">
        <f t="shared" si="191"/>
        <v>-9.765908341575999E-2</v>
      </c>
      <c r="AF265" s="100"/>
      <c r="AG265" s="111">
        <f t="shared" si="192"/>
        <v>0.5</v>
      </c>
      <c r="AH265" s="262">
        <f t="shared" si="193"/>
        <v>0.34140454995054403</v>
      </c>
      <c r="AI265" s="100"/>
      <c r="AJ265" s="111">
        <f t="shared" si="194"/>
        <v>0.5</v>
      </c>
      <c r="AK265" s="262">
        <f t="shared" si="195"/>
        <v>0.34140454995054403</v>
      </c>
      <c r="AL265" s="100"/>
      <c r="AM265" s="111">
        <f t="shared" si="196"/>
        <v>0.5</v>
      </c>
      <c r="AN265" s="262">
        <f t="shared" si="197"/>
        <v>0.34140454995054403</v>
      </c>
      <c r="AO265" s="100"/>
      <c r="AP265" s="24" t="e">
        <f>VLOOKUP(C265,#REF!,6,FALSE)</f>
        <v>#REF!</v>
      </c>
      <c r="AQ265" s="24" t="e">
        <f>VLOOKUP(C265,#REF!,7,FALSE)</f>
        <v>#REF!</v>
      </c>
      <c r="AR265" s="24" t="e">
        <f>VLOOKUP(C265,#REF!,12,FALSE)</f>
        <v>#REF!</v>
      </c>
      <c r="AS265" s="24" t="e">
        <f>VLOOKUP(C265,#REF!,13,FALSE)</f>
        <v>#REF!</v>
      </c>
      <c r="AT265" s="100"/>
      <c r="AU265" s="100"/>
      <c r="AV265" s="100">
        <v>254</v>
      </c>
      <c r="AW265" s="100"/>
      <c r="AY265" s="112">
        <v>16000</v>
      </c>
    </row>
    <row r="266" spans="1:51" s="2" customFormat="1" ht="12.75" customHeight="1" x14ac:dyDescent="0.2">
      <c r="A266" s="6" t="s">
        <v>1204</v>
      </c>
      <c r="B266" s="8">
        <v>9789500209199</v>
      </c>
      <c r="C266" s="8">
        <v>636946</v>
      </c>
      <c r="D266" s="7">
        <v>176</v>
      </c>
      <c r="E266" s="7" t="s">
        <v>155</v>
      </c>
      <c r="F266" s="7" t="s">
        <v>608</v>
      </c>
      <c r="G266" s="107">
        <v>43009</v>
      </c>
      <c r="H266" s="108">
        <v>43344</v>
      </c>
      <c r="I266" s="24">
        <v>1097</v>
      </c>
      <c r="J266" s="28" t="s">
        <v>2136</v>
      </c>
      <c r="K266" s="28">
        <v>54.43</v>
      </c>
      <c r="L266" s="112">
        <v>24000</v>
      </c>
      <c r="M266" s="112">
        <f>+L266*0.15</f>
        <v>3600</v>
      </c>
      <c r="N266" s="9">
        <f t="shared" si="179"/>
        <v>12000</v>
      </c>
      <c r="O266" s="9">
        <f t="shared" si="180"/>
        <v>8345.57</v>
      </c>
      <c r="P266" s="9">
        <f t="shared" si="181"/>
        <v>3654.43</v>
      </c>
      <c r="Q266" s="139">
        <f t="shared" si="182"/>
        <v>0.69546416666666666</v>
      </c>
      <c r="R266" s="336">
        <v>24000</v>
      </c>
      <c r="S266" s="359" t="s">
        <v>1948</v>
      </c>
      <c r="T266" s="305">
        <v>0.69546416666666666</v>
      </c>
      <c r="U266" s="140"/>
      <c r="V266" s="100"/>
      <c r="W266" s="110">
        <f t="shared" si="183"/>
        <v>24000</v>
      </c>
      <c r="X266" s="110">
        <f t="shared" si="184"/>
        <v>54.43</v>
      </c>
      <c r="Y266" s="110">
        <f t="shared" si="185"/>
        <v>3600</v>
      </c>
      <c r="Z266" s="110">
        <f t="shared" si="186"/>
        <v>8345.57</v>
      </c>
      <c r="AA266" s="260">
        <f t="shared" si="187"/>
        <v>0.69546416666666666</v>
      </c>
      <c r="AB266" s="28">
        <f t="shared" si="188"/>
        <v>7.9</v>
      </c>
      <c r="AC266" s="261">
        <f t="shared" si="189"/>
        <v>0.69496467131594652</v>
      </c>
      <c r="AD266" s="111">
        <f t="shared" si="190"/>
        <v>2.5</v>
      </c>
      <c r="AE266" s="262">
        <f t="shared" si="191"/>
        <v>3.6088361358391073E-2</v>
      </c>
      <c r="AF266" s="100"/>
      <c r="AG266" s="111">
        <f t="shared" si="192"/>
        <v>4</v>
      </c>
      <c r="AH266" s="262">
        <f t="shared" si="193"/>
        <v>0.39755522584899433</v>
      </c>
      <c r="AI266" s="100"/>
      <c r="AJ266" s="111">
        <f t="shared" si="194"/>
        <v>3.7</v>
      </c>
      <c r="AK266" s="262">
        <f t="shared" si="195"/>
        <v>0.34870835226918312</v>
      </c>
      <c r="AL266" s="100"/>
      <c r="AM266" s="111">
        <f t="shared" si="196"/>
        <v>3.4</v>
      </c>
      <c r="AN266" s="262">
        <f t="shared" si="197"/>
        <v>0.29124144217528741</v>
      </c>
      <c r="AO266" s="100"/>
      <c r="AP266" s="24" t="e">
        <f>VLOOKUP(C266,#REF!,6,FALSE)</f>
        <v>#REF!</v>
      </c>
      <c r="AQ266" s="24" t="e">
        <f>VLOOKUP(C266,#REF!,7,FALSE)</f>
        <v>#REF!</v>
      </c>
      <c r="AR266" s="24" t="e">
        <f>VLOOKUP(C266,#REF!,12,FALSE)</f>
        <v>#REF!</v>
      </c>
      <c r="AS266" s="24" t="e">
        <f>VLOOKUP(C266,#REF!,13,FALSE)</f>
        <v>#REF!</v>
      </c>
      <c r="AT266" s="100">
        <v>17</v>
      </c>
      <c r="AU266" s="100"/>
      <c r="AV266" s="100">
        <v>255</v>
      </c>
      <c r="AW266" s="100"/>
      <c r="AY266" s="112">
        <v>24000</v>
      </c>
    </row>
    <row r="267" spans="1:51" s="2" customFormat="1" ht="12.75" customHeight="1" x14ac:dyDescent="0.2">
      <c r="A267" s="7" t="s">
        <v>1205</v>
      </c>
      <c r="B267" s="8">
        <v>9789500210140</v>
      </c>
      <c r="C267" s="11">
        <v>668112</v>
      </c>
      <c r="D267" s="25">
        <v>176</v>
      </c>
      <c r="E267" s="7" t="s">
        <v>155</v>
      </c>
      <c r="F267" s="7" t="s">
        <v>1206</v>
      </c>
      <c r="G267" s="107">
        <v>43709</v>
      </c>
      <c r="H267" s="107">
        <v>45231</v>
      </c>
      <c r="I267" s="7">
        <v>3059</v>
      </c>
      <c r="J267" s="8" t="s">
        <v>2258</v>
      </c>
      <c r="K267" s="117">
        <v>858.93</v>
      </c>
      <c r="L267" s="9">
        <v>21900</v>
      </c>
      <c r="M267" s="9">
        <f>+L267*0.15</f>
        <v>3285</v>
      </c>
      <c r="N267" s="9">
        <f t="shared" si="179"/>
        <v>10950</v>
      </c>
      <c r="O267" s="9">
        <f t="shared" si="180"/>
        <v>6806.07</v>
      </c>
      <c r="P267" s="9">
        <f t="shared" si="181"/>
        <v>4143.93</v>
      </c>
      <c r="Q267" s="139">
        <f t="shared" si="182"/>
        <v>0.62155890410958903</v>
      </c>
      <c r="R267" s="335">
        <v>21900</v>
      </c>
      <c r="S267" s="359" t="s">
        <v>1948</v>
      </c>
      <c r="T267" s="305">
        <v>0.62155890410958903</v>
      </c>
      <c r="U267" s="140"/>
      <c r="V267" s="100"/>
      <c r="W267" s="110">
        <f t="shared" si="183"/>
        <v>21900</v>
      </c>
      <c r="X267" s="110">
        <f t="shared" si="184"/>
        <v>858.93</v>
      </c>
      <c r="Y267" s="110">
        <f t="shared" si="185"/>
        <v>3285</v>
      </c>
      <c r="Z267" s="110">
        <f t="shared" si="186"/>
        <v>6806.07</v>
      </c>
      <c r="AA267" s="260">
        <f t="shared" si="187"/>
        <v>0.62155890410958903</v>
      </c>
      <c r="AB267" s="28">
        <f t="shared" si="188"/>
        <v>7.2</v>
      </c>
      <c r="AC267" s="261">
        <f t="shared" si="189"/>
        <v>0.62047752500274755</v>
      </c>
      <c r="AD267" s="111">
        <f t="shared" si="190"/>
        <v>2.9</v>
      </c>
      <c r="AE267" s="262">
        <f t="shared" si="191"/>
        <v>5.7737303455097297E-2</v>
      </c>
      <c r="AF267" s="100"/>
      <c r="AG267" s="111">
        <f t="shared" si="192"/>
        <v>4.5999999999999996</v>
      </c>
      <c r="AH267" s="262">
        <f t="shared" si="193"/>
        <v>0.4059648217434309</v>
      </c>
      <c r="AI267" s="100"/>
      <c r="AJ267" s="111">
        <f t="shared" si="194"/>
        <v>4.2</v>
      </c>
      <c r="AK267" s="262">
        <f t="shared" si="195"/>
        <v>0.34939004286185293</v>
      </c>
      <c r="AL267" s="100"/>
      <c r="AM267" s="111">
        <f t="shared" si="196"/>
        <v>3.9</v>
      </c>
      <c r="AN267" s="262">
        <f t="shared" si="197"/>
        <v>0.2993431230819954</v>
      </c>
      <c r="AO267" s="100"/>
      <c r="AP267" s="24" t="e">
        <f>VLOOKUP(C267,#REF!,6,FALSE)</f>
        <v>#REF!</v>
      </c>
      <c r="AQ267" s="24" t="e">
        <f>VLOOKUP(C267,#REF!,7,FALSE)</f>
        <v>#REF!</v>
      </c>
      <c r="AR267" s="24" t="e">
        <f>VLOOKUP(C267,#REF!,12,FALSE)</f>
        <v>#REF!</v>
      </c>
      <c r="AS267" s="24" t="e">
        <f>VLOOKUP(C267,#REF!,13,FALSE)</f>
        <v>#REF!</v>
      </c>
      <c r="AT267" s="100"/>
      <c r="AU267" s="100"/>
      <c r="AV267" s="100">
        <v>256</v>
      </c>
      <c r="AW267" s="100"/>
      <c r="AY267" s="9">
        <v>21900</v>
      </c>
    </row>
    <row r="268" spans="1:51" s="2" customFormat="1" ht="12.75" customHeight="1" x14ac:dyDescent="0.2">
      <c r="A268" s="7" t="s">
        <v>1207</v>
      </c>
      <c r="B268" s="25">
        <v>9789500211086</v>
      </c>
      <c r="C268" s="8">
        <v>677839</v>
      </c>
      <c r="D268" s="25">
        <v>368</v>
      </c>
      <c r="E268" s="165" t="s">
        <v>503</v>
      </c>
      <c r="F268" s="165" t="s">
        <v>500</v>
      </c>
      <c r="G268" s="107">
        <v>44105</v>
      </c>
      <c r="H268" s="107">
        <v>46174</v>
      </c>
      <c r="I268" s="7">
        <v>500</v>
      </c>
      <c r="J268" s="7" t="s">
        <v>1867</v>
      </c>
      <c r="K268" s="148">
        <v>5144.3500000000004</v>
      </c>
      <c r="L268" s="9">
        <v>32000</v>
      </c>
      <c r="M268" s="9">
        <f>+L268*0.1</f>
        <v>3200</v>
      </c>
      <c r="N268" s="9">
        <f t="shared" si="179"/>
        <v>16000</v>
      </c>
      <c r="O268" s="9">
        <f t="shared" si="180"/>
        <v>7655.65</v>
      </c>
      <c r="P268" s="9">
        <f t="shared" si="181"/>
        <v>8344.35</v>
      </c>
      <c r="Q268" s="139">
        <f t="shared" si="182"/>
        <v>0.47847812499999998</v>
      </c>
      <c r="R268" s="335">
        <v>32000</v>
      </c>
      <c r="S268" s="359" t="s">
        <v>1948</v>
      </c>
      <c r="T268" s="305">
        <v>0.69595932203389832</v>
      </c>
      <c r="U268" s="144"/>
      <c r="V268" s="100"/>
      <c r="W268" s="110">
        <f t="shared" si="183"/>
        <v>32000</v>
      </c>
      <c r="X268" s="110">
        <f t="shared" si="184"/>
        <v>5144.3500000000004</v>
      </c>
      <c r="Y268" s="110">
        <f t="shared" si="185"/>
        <v>3200</v>
      </c>
      <c r="Z268" s="110">
        <f t="shared" si="186"/>
        <v>7655.65</v>
      </c>
      <c r="AA268" s="260">
        <f t="shared" si="187"/>
        <v>0.47847812499999998</v>
      </c>
      <c r="AB268" s="28">
        <f t="shared" si="188"/>
        <v>10.6</v>
      </c>
      <c r="AC268" s="261">
        <f t="shared" si="189"/>
        <v>0.48090812384524939</v>
      </c>
      <c r="AD268" s="111">
        <f t="shared" si="190"/>
        <v>5.8</v>
      </c>
      <c r="AE268" s="262">
        <f t="shared" si="191"/>
        <v>5.1314847027524653E-2</v>
      </c>
      <c r="AF268" s="100"/>
      <c r="AG268" s="111">
        <f t="shared" si="192"/>
        <v>9.1999999999999993</v>
      </c>
      <c r="AH268" s="262">
        <f t="shared" si="193"/>
        <v>0.40191588182170035</v>
      </c>
      <c r="AI268" s="100"/>
      <c r="AJ268" s="111">
        <f t="shared" si="194"/>
        <v>8.5</v>
      </c>
      <c r="AK268" s="262">
        <f t="shared" si="195"/>
        <v>0.35266189561878158</v>
      </c>
      <c r="AL268" s="100"/>
      <c r="AM268" s="111">
        <f t="shared" si="196"/>
        <v>7.9</v>
      </c>
      <c r="AN268" s="262">
        <f t="shared" si="197"/>
        <v>0.3034969762986891</v>
      </c>
      <c r="AO268" s="100"/>
      <c r="AP268" s="24" t="e">
        <f>VLOOKUP(C268,#REF!,6,FALSE)</f>
        <v>#REF!</v>
      </c>
      <c r="AQ268" s="24" t="e">
        <f>VLOOKUP(C268,#REF!,7,FALSE)</f>
        <v>#REF!</v>
      </c>
      <c r="AR268" s="24" t="e">
        <f>VLOOKUP(C268,#REF!,12,FALSE)</f>
        <v>#REF!</v>
      </c>
      <c r="AS268" s="24" t="e">
        <f>VLOOKUP(C268,#REF!,13,FALSE)</f>
        <v>#REF!</v>
      </c>
      <c r="AT268" s="100"/>
      <c r="AU268" s="100"/>
      <c r="AV268" s="100">
        <v>257</v>
      </c>
      <c r="AW268" s="100"/>
      <c r="AY268" s="9">
        <v>32000</v>
      </c>
    </row>
    <row r="269" spans="1:51" s="162" customFormat="1" ht="12.75" customHeight="1" x14ac:dyDescent="0.2">
      <c r="A269" s="6" t="s">
        <v>1208</v>
      </c>
      <c r="B269" s="8">
        <v>9789500213202</v>
      </c>
      <c r="C269" s="25">
        <v>699695</v>
      </c>
      <c r="D269" s="41">
        <v>192</v>
      </c>
      <c r="E269" s="7" t="s">
        <v>731</v>
      </c>
      <c r="F269" s="7" t="s">
        <v>730</v>
      </c>
      <c r="G269" s="107">
        <v>44562</v>
      </c>
      <c r="H269" s="108">
        <v>44835</v>
      </c>
      <c r="I269" s="7">
        <v>2550</v>
      </c>
      <c r="J269" s="8" t="s">
        <v>2258</v>
      </c>
      <c r="K269" s="9">
        <v>339.23</v>
      </c>
      <c r="L269" s="9">
        <v>17600</v>
      </c>
      <c r="M269" s="112">
        <f>+L269*0.1</f>
        <v>1760</v>
      </c>
      <c r="N269" s="9">
        <f t="shared" si="179"/>
        <v>8800</v>
      </c>
      <c r="O269" s="9">
        <f t="shared" si="180"/>
        <v>6700.77</v>
      </c>
      <c r="P269" s="9">
        <f t="shared" si="181"/>
        <v>2099.23</v>
      </c>
      <c r="Q269" s="139">
        <f t="shared" si="182"/>
        <v>0.76145113636363637</v>
      </c>
      <c r="R269" s="336">
        <v>17600</v>
      </c>
      <c r="S269" s="359" t="s">
        <v>1948</v>
      </c>
      <c r="T269" s="305">
        <v>0.76145113636363637</v>
      </c>
      <c r="U269" s="144"/>
      <c r="V269" s="100"/>
      <c r="W269" s="110">
        <f t="shared" si="183"/>
        <v>17600</v>
      </c>
      <c r="X269" s="110">
        <f t="shared" si="184"/>
        <v>339.23</v>
      </c>
      <c r="Y269" s="110">
        <f t="shared" si="185"/>
        <v>1760</v>
      </c>
      <c r="Z269" s="110">
        <f t="shared" si="186"/>
        <v>6700.77</v>
      </c>
      <c r="AA269" s="260">
        <f t="shared" si="187"/>
        <v>0.76145113636363637</v>
      </c>
      <c r="AB269" s="28">
        <f t="shared" si="188"/>
        <v>5.8</v>
      </c>
      <c r="AC269" s="261">
        <f t="shared" si="189"/>
        <v>0.7613345157292768</v>
      </c>
      <c r="AD269" s="111">
        <f t="shared" si="190"/>
        <v>1.5</v>
      </c>
      <c r="AE269" s="262">
        <f t="shared" si="191"/>
        <v>7.7160127486536972E-2</v>
      </c>
      <c r="AF269" s="100"/>
      <c r="AG269" s="111">
        <f t="shared" si="192"/>
        <v>2.2999999999999998</v>
      </c>
      <c r="AH269" s="262">
        <f t="shared" si="193"/>
        <v>0.39814790923035015</v>
      </c>
      <c r="AI269" s="100"/>
      <c r="AJ269" s="111">
        <f t="shared" si="194"/>
        <v>2.1</v>
      </c>
      <c r="AK269" s="262">
        <f t="shared" si="195"/>
        <v>0.34082866249038357</v>
      </c>
      <c r="AL269" s="100"/>
      <c r="AM269" s="111">
        <f t="shared" si="196"/>
        <v>2</v>
      </c>
      <c r="AN269" s="262">
        <f t="shared" si="197"/>
        <v>0.30787009561490275</v>
      </c>
      <c r="AO269" s="100"/>
      <c r="AP269" s="24" t="e">
        <f>VLOOKUP(C269,#REF!,6,FALSE)</f>
        <v>#REF!</v>
      </c>
      <c r="AQ269" s="24" t="e">
        <f>VLOOKUP(C269,#REF!,7,FALSE)</f>
        <v>#REF!</v>
      </c>
      <c r="AR269" s="24" t="e">
        <f>VLOOKUP(C269,#REF!,12,FALSE)</f>
        <v>#REF!</v>
      </c>
      <c r="AS269" s="24" t="e">
        <f>VLOOKUP(C269,#REF!,13,FALSE)</f>
        <v>#REF!</v>
      </c>
      <c r="AT269" s="100"/>
      <c r="AU269" s="100"/>
      <c r="AV269" s="100">
        <v>258</v>
      </c>
      <c r="AW269" s="100"/>
      <c r="AY269" s="9">
        <v>17600</v>
      </c>
    </row>
    <row r="270" spans="1:51" s="2" customFormat="1" ht="12.75" customHeight="1" x14ac:dyDescent="0.2">
      <c r="A270" s="7" t="s">
        <v>1209</v>
      </c>
      <c r="B270" s="8">
        <v>9789500210195</v>
      </c>
      <c r="C270" s="14">
        <v>669515</v>
      </c>
      <c r="D270" s="25">
        <v>256</v>
      </c>
      <c r="E270" s="7" t="s">
        <v>455</v>
      </c>
      <c r="F270" s="7" t="s">
        <v>456</v>
      </c>
      <c r="G270" s="107">
        <v>43739</v>
      </c>
      <c r="H270" s="108">
        <v>45231</v>
      </c>
      <c r="I270" s="24">
        <v>3063</v>
      </c>
      <c r="J270" s="7" t="s">
        <v>1762</v>
      </c>
      <c r="K270" s="28">
        <v>1045.2</v>
      </c>
      <c r="L270" s="9">
        <v>12000</v>
      </c>
      <c r="M270" s="112">
        <f>+L270*0.08</f>
        <v>960</v>
      </c>
      <c r="N270" s="9">
        <f t="shared" si="179"/>
        <v>6000</v>
      </c>
      <c r="O270" s="9">
        <f t="shared" si="180"/>
        <v>3994.8</v>
      </c>
      <c r="P270" s="9">
        <f t="shared" si="181"/>
        <v>2005.2</v>
      </c>
      <c r="Q270" s="139">
        <f t="shared" si="182"/>
        <v>0.66580000000000006</v>
      </c>
      <c r="R270" s="313">
        <v>12000</v>
      </c>
      <c r="S270" s="359" t="s">
        <v>2474</v>
      </c>
      <c r="T270" s="305">
        <v>0.75802352941176465</v>
      </c>
      <c r="U270" s="144">
        <v>25500</v>
      </c>
      <c r="V270" s="100"/>
      <c r="W270" s="110">
        <f t="shared" si="183"/>
        <v>12000</v>
      </c>
      <c r="X270" s="110">
        <f t="shared" si="184"/>
        <v>1045.2</v>
      </c>
      <c r="Y270" s="110">
        <f t="shared" si="185"/>
        <v>960</v>
      </c>
      <c r="Z270" s="110">
        <f t="shared" si="186"/>
        <v>3994.8</v>
      </c>
      <c r="AA270" s="260">
        <f t="shared" si="187"/>
        <v>0.66580000000000006</v>
      </c>
      <c r="AB270" s="28">
        <f t="shared" si="188"/>
        <v>4</v>
      </c>
      <c r="AC270" s="261">
        <f t="shared" si="189"/>
        <v>0.66943620178041541</v>
      </c>
      <c r="AD270" s="111">
        <f t="shared" si="190"/>
        <v>1.4</v>
      </c>
      <c r="AE270" s="262">
        <f t="shared" si="191"/>
        <v>5.5532005086901169E-2</v>
      </c>
      <c r="AF270" s="100"/>
      <c r="AG270" s="111">
        <f t="shared" si="192"/>
        <v>2.2000000000000002</v>
      </c>
      <c r="AH270" s="262">
        <f t="shared" si="193"/>
        <v>0.39897491232802812</v>
      </c>
      <c r="AI270" s="100"/>
      <c r="AJ270" s="111">
        <f t="shared" si="194"/>
        <v>2</v>
      </c>
      <c r="AK270" s="262">
        <f t="shared" si="195"/>
        <v>0.33887240356083087</v>
      </c>
      <c r="AL270" s="100"/>
      <c r="AM270" s="111">
        <f t="shared" si="196"/>
        <v>1.9</v>
      </c>
      <c r="AN270" s="262">
        <f t="shared" si="197"/>
        <v>0.30407621427455878</v>
      </c>
      <c r="AO270" s="100"/>
      <c r="AP270" s="24" t="e">
        <f>VLOOKUP(C270,#REF!,6,FALSE)</f>
        <v>#REF!</v>
      </c>
      <c r="AQ270" s="24" t="e">
        <f>VLOOKUP(C270,#REF!,7,FALSE)</f>
        <v>#REF!</v>
      </c>
      <c r="AR270" s="24" t="e">
        <f>VLOOKUP(C270,#REF!,12,FALSE)</f>
        <v>#REF!</v>
      </c>
      <c r="AS270" s="24" t="e">
        <f>VLOOKUP(C270,#REF!,13,FALSE)</f>
        <v>#REF!</v>
      </c>
      <c r="AT270" s="100"/>
      <c r="AU270" s="100"/>
      <c r="AV270" s="100">
        <v>259</v>
      </c>
      <c r="AW270" s="100"/>
      <c r="AY270" s="9">
        <v>25500</v>
      </c>
    </row>
    <row r="271" spans="1:51" s="2" customFormat="1" ht="12.75" customHeight="1" x14ac:dyDescent="0.2">
      <c r="A271" s="165" t="s">
        <v>1210</v>
      </c>
      <c r="B271" s="158">
        <v>9789500212427</v>
      </c>
      <c r="C271" s="8">
        <v>690477</v>
      </c>
      <c r="D271" s="25">
        <v>432</v>
      </c>
      <c r="E271" s="9" t="s">
        <v>638</v>
      </c>
      <c r="F271" s="7" t="s">
        <v>639</v>
      </c>
      <c r="G271" s="107">
        <v>44562</v>
      </c>
      <c r="H271" s="108">
        <v>45231</v>
      </c>
      <c r="I271" s="7">
        <v>3103</v>
      </c>
      <c r="J271" s="8" t="s">
        <v>2258</v>
      </c>
      <c r="K271" s="151">
        <v>1289.94</v>
      </c>
      <c r="L271" s="9">
        <v>12000</v>
      </c>
      <c r="M271" s="112">
        <f>+L271*0.1</f>
        <v>1200</v>
      </c>
      <c r="N271" s="9">
        <f t="shared" si="179"/>
        <v>6000</v>
      </c>
      <c r="O271" s="9">
        <f t="shared" si="180"/>
        <v>3510.06</v>
      </c>
      <c r="P271" s="9">
        <f t="shared" si="181"/>
        <v>2489.94</v>
      </c>
      <c r="Q271" s="139">
        <f t="shared" si="182"/>
        <v>0.58501000000000003</v>
      </c>
      <c r="R271" s="313">
        <v>12000</v>
      </c>
      <c r="S271" s="359" t="s">
        <v>2474</v>
      </c>
      <c r="T271" s="305">
        <v>0.70947789473684209</v>
      </c>
      <c r="U271" s="144">
        <v>28500</v>
      </c>
      <c r="V271" s="100"/>
      <c r="W271" s="110">
        <f t="shared" si="183"/>
        <v>12000</v>
      </c>
      <c r="X271" s="110">
        <f t="shared" si="184"/>
        <v>1289.94</v>
      </c>
      <c r="Y271" s="110">
        <f t="shared" si="185"/>
        <v>1200</v>
      </c>
      <c r="Z271" s="110">
        <f t="shared" si="186"/>
        <v>3510.0599999999995</v>
      </c>
      <c r="AA271" s="260">
        <f t="shared" si="187"/>
        <v>0.58500999999999992</v>
      </c>
      <c r="AB271" s="28">
        <f t="shared" si="188"/>
        <v>4</v>
      </c>
      <c r="AC271" s="261">
        <f t="shared" si="189"/>
        <v>0.58952522255192874</v>
      </c>
      <c r="AD271" s="111">
        <f t="shared" si="190"/>
        <v>1.7</v>
      </c>
      <c r="AE271" s="262">
        <f t="shared" si="191"/>
        <v>3.4176994239832309E-2</v>
      </c>
      <c r="AF271" s="100"/>
      <c r="AG271" s="111">
        <f t="shared" si="192"/>
        <v>2.7</v>
      </c>
      <c r="AH271" s="262">
        <f t="shared" si="193"/>
        <v>0.39188921859545006</v>
      </c>
      <c r="AI271" s="100"/>
      <c r="AJ271" s="111">
        <f t="shared" si="194"/>
        <v>2.5</v>
      </c>
      <c r="AK271" s="262">
        <f t="shared" si="195"/>
        <v>0.34324035608308606</v>
      </c>
      <c r="AL271" s="100"/>
      <c r="AM271" s="111">
        <f t="shared" si="196"/>
        <v>2.2999999999999998</v>
      </c>
      <c r="AN271" s="262">
        <f t="shared" si="197"/>
        <v>0.28613082182944133</v>
      </c>
      <c r="AO271" s="100"/>
      <c r="AP271" s="24" t="e">
        <f>VLOOKUP(C271,#REF!,6,FALSE)</f>
        <v>#REF!</v>
      </c>
      <c r="AQ271" s="24" t="e">
        <f>VLOOKUP(C271,#REF!,7,FALSE)</f>
        <v>#REF!</v>
      </c>
      <c r="AR271" s="24" t="e">
        <f>VLOOKUP(C271,#REF!,12,FALSE)</f>
        <v>#REF!</v>
      </c>
      <c r="AS271" s="24" t="e">
        <f>VLOOKUP(C271,#REF!,13,FALSE)</f>
        <v>#REF!</v>
      </c>
      <c r="AT271" s="100"/>
      <c r="AU271" s="100"/>
      <c r="AV271" s="100">
        <v>260</v>
      </c>
      <c r="AW271" s="100"/>
      <c r="AY271" s="9">
        <v>28500</v>
      </c>
    </row>
    <row r="272" spans="1:51" s="2" customFormat="1" ht="12.75" customHeight="1" x14ac:dyDescent="0.2">
      <c r="A272" s="7" t="s">
        <v>1211</v>
      </c>
      <c r="B272" s="8">
        <v>9789500210607</v>
      </c>
      <c r="C272" s="8">
        <v>677291</v>
      </c>
      <c r="D272" s="25">
        <v>192</v>
      </c>
      <c r="E272" s="7" t="s">
        <v>495</v>
      </c>
      <c r="F272" s="7" t="s">
        <v>493</v>
      </c>
      <c r="G272" s="107">
        <v>44075</v>
      </c>
      <c r="H272" s="108">
        <v>44044</v>
      </c>
      <c r="I272" s="24">
        <v>3047</v>
      </c>
      <c r="J272" s="8" t="s">
        <v>2258</v>
      </c>
      <c r="K272" s="28">
        <v>82.3</v>
      </c>
      <c r="L272" s="9">
        <v>12000</v>
      </c>
      <c r="M272" s="9">
        <f>+L272*0.1</f>
        <v>1200</v>
      </c>
      <c r="N272" s="9">
        <f t="shared" si="179"/>
        <v>6000</v>
      </c>
      <c r="O272" s="9">
        <f t="shared" si="180"/>
        <v>4717.7</v>
      </c>
      <c r="P272" s="9">
        <f t="shared" si="181"/>
        <v>1282.3</v>
      </c>
      <c r="Q272" s="139">
        <f t="shared" si="182"/>
        <v>0.78628333333333333</v>
      </c>
      <c r="R272" s="313">
        <v>12000</v>
      </c>
      <c r="S272" s="359" t="s">
        <v>2474</v>
      </c>
      <c r="T272" s="305">
        <v>0.79311297071129716</v>
      </c>
      <c r="U272" s="144">
        <v>23900</v>
      </c>
      <c r="V272" s="100"/>
      <c r="W272" s="110">
        <f t="shared" si="183"/>
        <v>12000</v>
      </c>
      <c r="X272" s="110">
        <f t="shared" si="184"/>
        <v>82.3</v>
      </c>
      <c r="Y272" s="110">
        <f t="shared" si="185"/>
        <v>1200</v>
      </c>
      <c r="Z272" s="110">
        <f t="shared" si="186"/>
        <v>4717.7</v>
      </c>
      <c r="AA272" s="260">
        <f t="shared" si="187"/>
        <v>0.78628333333333333</v>
      </c>
      <c r="AB272" s="28">
        <f t="shared" si="188"/>
        <v>4</v>
      </c>
      <c r="AC272" s="261">
        <f t="shared" si="189"/>
        <v>0.78860863831190242</v>
      </c>
      <c r="AD272" s="111">
        <f t="shared" si="190"/>
        <v>0.9</v>
      </c>
      <c r="AE272" s="262">
        <f t="shared" si="191"/>
        <v>6.0482836941788604E-2</v>
      </c>
      <c r="AF272" s="100"/>
      <c r="AG272" s="111">
        <f t="shared" si="192"/>
        <v>1.4</v>
      </c>
      <c r="AH272" s="262">
        <f t="shared" si="193"/>
        <v>0.39602468089114973</v>
      </c>
      <c r="AI272" s="100"/>
      <c r="AJ272" s="111">
        <f t="shared" si="194"/>
        <v>1.3</v>
      </c>
      <c r="AK272" s="262">
        <f t="shared" si="195"/>
        <v>0.34956504095969976</v>
      </c>
      <c r="AL272" s="100"/>
      <c r="AM272" s="111">
        <f t="shared" si="196"/>
        <v>1.2</v>
      </c>
      <c r="AN272" s="262">
        <f t="shared" si="197"/>
        <v>0.29536212770634135</v>
      </c>
      <c r="AO272" s="100"/>
      <c r="AP272" s="24" t="e">
        <f>VLOOKUP(C272,#REF!,6,FALSE)</f>
        <v>#REF!</v>
      </c>
      <c r="AQ272" s="24" t="e">
        <f>VLOOKUP(C272,#REF!,7,FALSE)</f>
        <v>#REF!</v>
      </c>
      <c r="AR272" s="24" t="e">
        <f>VLOOKUP(C272,#REF!,12,FALSE)</f>
        <v>#REF!</v>
      </c>
      <c r="AS272" s="24" t="e">
        <f>VLOOKUP(C272,#REF!,13,FALSE)</f>
        <v>#REF!</v>
      </c>
      <c r="AT272" s="100"/>
      <c r="AU272" s="100"/>
      <c r="AV272" s="100">
        <v>261</v>
      </c>
      <c r="AW272" s="100"/>
      <c r="AY272" s="9">
        <v>23900</v>
      </c>
    </row>
    <row r="273" spans="1:51" s="2" customFormat="1" ht="12.75" customHeight="1" x14ac:dyDescent="0.2">
      <c r="A273" s="7" t="s">
        <v>1212</v>
      </c>
      <c r="B273" s="8">
        <v>9789500230865</v>
      </c>
      <c r="C273" s="8">
        <v>440211</v>
      </c>
      <c r="D273" s="25">
        <v>416</v>
      </c>
      <c r="E273" s="9" t="s">
        <v>158</v>
      </c>
      <c r="F273" s="7" t="s">
        <v>159</v>
      </c>
      <c r="G273" s="107">
        <v>39022</v>
      </c>
      <c r="H273" s="108">
        <v>41395</v>
      </c>
      <c r="I273" s="24">
        <v>1092</v>
      </c>
      <c r="J273" s="28" t="s">
        <v>1894</v>
      </c>
      <c r="K273" s="28">
        <v>13.23</v>
      </c>
      <c r="L273" s="128">
        <v>13100</v>
      </c>
      <c r="M273" s="9">
        <f>+L273*0.1</f>
        <v>1310</v>
      </c>
      <c r="N273" s="9">
        <f t="shared" si="179"/>
        <v>6550</v>
      </c>
      <c r="O273" s="9">
        <f t="shared" si="180"/>
        <v>5226.7700000000004</v>
      </c>
      <c r="P273" s="9">
        <f t="shared" si="181"/>
        <v>1323.23</v>
      </c>
      <c r="Q273" s="139">
        <f t="shared" si="182"/>
        <v>0.79798015267175582</v>
      </c>
      <c r="R273" s="336">
        <v>13100</v>
      </c>
      <c r="S273" s="359" t="s">
        <v>1948</v>
      </c>
      <c r="T273" s="305">
        <v>0.79798015267175582</v>
      </c>
      <c r="U273" s="157"/>
      <c r="V273" s="100"/>
      <c r="W273" s="110">
        <f t="shared" si="183"/>
        <v>13100</v>
      </c>
      <c r="X273" s="110">
        <f t="shared" si="184"/>
        <v>13.23</v>
      </c>
      <c r="Y273" s="110">
        <f t="shared" si="185"/>
        <v>1310</v>
      </c>
      <c r="Z273" s="110">
        <f t="shared" si="186"/>
        <v>5226.7700000000004</v>
      </c>
      <c r="AA273" s="260">
        <f t="shared" si="187"/>
        <v>0.79798015267175582</v>
      </c>
      <c r="AB273" s="28">
        <f t="shared" si="188"/>
        <v>4.3</v>
      </c>
      <c r="AC273" s="261">
        <f t="shared" si="189"/>
        <v>0.7970801800351176</v>
      </c>
      <c r="AD273" s="111">
        <f t="shared" si="190"/>
        <v>0.9</v>
      </c>
      <c r="AE273" s="262">
        <f t="shared" si="191"/>
        <v>3.0494193501117421E-2</v>
      </c>
      <c r="AF273" s="100"/>
      <c r="AG273" s="111">
        <f t="shared" si="192"/>
        <v>1.5</v>
      </c>
      <c r="AH273" s="262">
        <f t="shared" si="193"/>
        <v>0.41829651610067037</v>
      </c>
      <c r="AI273" s="100"/>
      <c r="AJ273" s="111">
        <f t="shared" si="194"/>
        <v>1.3</v>
      </c>
      <c r="AK273" s="262">
        <f t="shared" si="195"/>
        <v>0.32880367242385045</v>
      </c>
      <c r="AL273" s="100"/>
      <c r="AM273" s="111">
        <f t="shared" si="196"/>
        <v>1.2</v>
      </c>
      <c r="AN273" s="262">
        <f t="shared" si="197"/>
        <v>0.27287064512583797</v>
      </c>
      <c r="AO273" s="100"/>
      <c r="AP273" s="24" t="e">
        <f>VLOOKUP(C273,#REF!,6,FALSE)</f>
        <v>#REF!</v>
      </c>
      <c r="AQ273" s="24" t="e">
        <f>VLOOKUP(C273,#REF!,7,FALSE)</f>
        <v>#REF!</v>
      </c>
      <c r="AR273" s="24" t="e">
        <f>VLOOKUP(C273,#REF!,12,FALSE)</f>
        <v>#REF!</v>
      </c>
      <c r="AS273" s="24" t="e">
        <f>VLOOKUP(C273,#REF!,13,FALSE)</f>
        <v>#REF!</v>
      </c>
      <c r="AT273" s="100">
        <v>18</v>
      </c>
      <c r="AU273" s="100"/>
      <c r="AV273" s="100">
        <v>262</v>
      </c>
      <c r="AW273" s="100"/>
      <c r="AY273" s="128">
        <v>13100</v>
      </c>
    </row>
    <row r="274" spans="1:51" s="2" customFormat="1" ht="12.75" customHeight="1" x14ac:dyDescent="0.2">
      <c r="A274" s="7" t="s">
        <v>1213</v>
      </c>
      <c r="B274" s="16">
        <v>9789500205290</v>
      </c>
      <c r="C274" s="8">
        <v>513074</v>
      </c>
      <c r="D274" s="25">
        <v>208</v>
      </c>
      <c r="E274" s="22" t="s">
        <v>154</v>
      </c>
      <c r="F274" s="7" t="s">
        <v>1214</v>
      </c>
      <c r="G274" s="107">
        <v>40360</v>
      </c>
      <c r="H274" s="108">
        <v>41791</v>
      </c>
      <c r="I274" s="24">
        <v>1963</v>
      </c>
      <c r="J274" s="28" t="s">
        <v>1894</v>
      </c>
      <c r="K274" s="28">
        <v>13.59</v>
      </c>
      <c r="L274" s="128">
        <v>15000</v>
      </c>
      <c r="M274" s="9">
        <f>+L274*0.1</f>
        <v>1500</v>
      </c>
      <c r="N274" s="9">
        <f t="shared" si="179"/>
        <v>7500</v>
      </c>
      <c r="O274" s="9">
        <f t="shared" si="180"/>
        <v>5986.41</v>
      </c>
      <c r="P274" s="9">
        <f t="shared" si="181"/>
        <v>1513.59</v>
      </c>
      <c r="Q274" s="139">
        <f t="shared" si="182"/>
        <v>0.79818800000000001</v>
      </c>
      <c r="R274" s="336">
        <v>15000</v>
      </c>
      <c r="S274" s="359" t="s">
        <v>1948</v>
      </c>
      <c r="T274" s="305">
        <v>0.79818800000000001</v>
      </c>
      <c r="U274" s="144"/>
      <c r="V274" s="100"/>
      <c r="W274" s="110">
        <f t="shared" si="183"/>
        <v>15000</v>
      </c>
      <c r="X274" s="110">
        <f t="shared" si="184"/>
        <v>13.59</v>
      </c>
      <c r="Y274" s="110">
        <f t="shared" si="185"/>
        <v>1500</v>
      </c>
      <c r="Z274" s="110">
        <f t="shared" si="186"/>
        <v>5986.41</v>
      </c>
      <c r="AA274" s="260">
        <f t="shared" si="187"/>
        <v>0.79818800000000001</v>
      </c>
      <c r="AB274" s="28">
        <f t="shared" si="188"/>
        <v>4.9000000000000004</v>
      </c>
      <c r="AC274" s="261">
        <f t="shared" si="189"/>
        <v>0.79630997799713354</v>
      </c>
      <c r="AD274" s="111">
        <f t="shared" si="190"/>
        <v>1.1000000000000001</v>
      </c>
      <c r="AE274" s="262">
        <f t="shared" si="191"/>
        <v>9.2653538350867828E-2</v>
      </c>
      <c r="AF274" s="100"/>
      <c r="AG274" s="111">
        <f t="shared" si="192"/>
        <v>1.7</v>
      </c>
      <c r="AH274" s="262">
        <f t="shared" si="193"/>
        <v>0.41289346599173782</v>
      </c>
      <c r="AI274" s="100"/>
      <c r="AJ274" s="111">
        <f t="shared" si="194"/>
        <v>1.5</v>
      </c>
      <c r="AK274" s="262">
        <f t="shared" si="195"/>
        <v>0.33461259479063626</v>
      </c>
      <c r="AL274" s="100"/>
      <c r="AM274" s="111">
        <f t="shared" si="196"/>
        <v>1.4</v>
      </c>
      <c r="AN274" s="262">
        <f t="shared" si="197"/>
        <v>0.28708492298996741</v>
      </c>
      <c r="AO274" s="100"/>
      <c r="AP274" s="24" t="e">
        <f>VLOOKUP(C274,#REF!,6,FALSE)</f>
        <v>#REF!</v>
      </c>
      <c r="AQ274" s="24" t="e">
        <f>VLOOKUP(C274,#REF!,7,FALSE)</f>
        <v>#REF!</v>
      </c>
      <c r="AR274" s="24" t="e">
        <f>VLOOKUP(C274,#REF!,12,FALSE)</f>
        <v>#REF!</v>
      </c>
      <c r="AS274" s="24" t="e">
        <f>VLOOKUP(C274,#REF!,13,FALSE)</f>
        <v>#REF!</v>
      </c>
      <c r="AT274" s="100"/>
      <c r="AU274" s="100"/>
      <c r="AV274" s="100">
        <v>263</v>
      </c>
      <c r="AW274" s="100"/>
      <c r="AY274" s="128">
        <v>15000</v>
      </c>
    </row>
    <row r="275" spans="1:51" s="2" customFormat="1" ht="12.75" customHeight="1" x14ac:dyDescent="0.2">
      <c r="A275" s="7" t="s">
        <v>1215</v>
      </c>
      <c r="B275" s="8">
        <v>9789500212526</v>
      </c>
      <c r="C275" s="8">
        <v>692878</v>
      </c>
      <c r="D275" s="25">
        <v>560</v>
      </c>
      <c r="E275" s="9" t="s">
        <v>678</v>
      </c>
      <c r="F275" s="7" t="s">
        <v>679</v>
      </c>
      <c r="G275" s="107">
        <v>44652</v>
      </c>
      <c r="H275" s="108">
        <v>45139</v>
      </c>
      <c r="I275" s="116">
        <v>3117</v>
      </c>
      <c r="J275" s="8" t="s">
        <v>2258</v>
      </c>
      <c r="K275" s="9">
        <v>1713.63</v>
      </c>
      <c r="L275" s="9">
        <v>43700</v>
      </c>
      <c r="M275" s="112">
        <f>+L275*0.12</f>
        <v>5244</v>
      </c>
      <c r="N275" s="9">
        <f t="shared" si="179"/>
        <v>21850</v>
      </c>
      <c r="O275" s="9">
        <f t="shared" si="180"/>
        <v>14892.369999999999</v>
      </c>
      <c r="P275" s="9">
        <f t="shared" si="181"/>
        <v>6957.63</v>
      </c>
      <c r="Q275" s="139">
        <f t="shared" si="182"/>
        <v>0.68157299771167046</v>
      </c>
      <c r="R275" s="335">
        <v>43700</v>
      </c>
      <c r="S275" s="359" t="s">
        <v>1948</v>
      </c>
      <c r="T275" s="305">
        <v>0.68157299771167046</v>
      </c>
      <c r="U275" s="144"/>
      <c r="V275" s="100"/>
      <c r="W275" s="110">
        <f t="shared" si="183"/>
        <v>43700</v>
      </c>
      <c r="X275" s="110">
        <f t="shared" si="184"/>
        <v>1713.63</v>
      </c>
      <c r="Y275" s="110">
        <f t="shared" si="185"/>
        <v>5244</v>
      </c>
      <c r="Z275" s="110">
        <f t="shared" si="186"/>
        <v>14892.369999999999</v>
      </c>
      <c r="AA275" s="260">
        <f t="shared" si="187"/>
        <v>0.68157299771167046</v>
      </c>
      <c r="AB275" s="28">
        <f t="shared" si="188"/>
        <v>14.4</v>
      </c>
      <c r="AC275" s="261">
        <f t="shared" si="189"/>
        <v>0.68139218595450046</v>
      </c>
      <c r="AD275" s="111">
        <f t="shared" si="190"/>
        <v>4.8</v>
      </c>
      <c r="AE275" s="262">
        <f t="shared" si="191"/>
        <v>4.4176557863501442E-2</v>
      </c>
      <c r="AF275" s="100"/>
      <c r="AG275" s="111">
        <f t="shared" si="192"/>
        <v>7.6</v>
      </c>
      <c r="AH275" s="262">
        <f t="shared" si="193"/>
        <v>0.3963220365453694</v>
      </c>
      <c r="AI275" s="100"/>
      <c r="AJ275" s="111">
        <f t="shared" si="194"/>
        <v>7.1</v>
      </c>
      <c r="AK275" s="262">
        <f t="shared" si="195"/>
        <v>0.35380950390771937</v>
      </c>
      <c r="AL275" s="100"/>
      <c r="AM275" s="111">
        <f t="shared" si="196"/>
        <v>6.6</v>
      </c>
      <c r="AN275" s="262">
        <f t="shared" si="197"/>
        <v>0.30485567844618294</v>
      </c>
      <c r="AO275" s="100"/>
      <c r="AP275" s="24" t="e">
        <f>VLOOKUP(C275,#REF!,6,FALSE)</f>
        <v>#REF!</v>
      </c>
      <c r="AQ275" s="24" t="e">
        <f>VLOOKUP(C275,#REF!,7,FALSE)</f>
        <v>#REF!</v>
      </c>
      <c r="AR275" s="24" t="e">
        <f>VLOOKUP(C275,#REF!,12,FALSE)</f>
        <v>#REF!</v>
      </c>
      <c r="AS275" s="24" t="e">
        <f>VLOOKUP(C275,#REF!,13,FALSE)</f>
        <v>#REF!</v>
      </c>
      <c r="AT275" s="100"/>
      <c r="AU275" s="100"/>
      <c r="AV275" s="100">
        <v>264</v>
      </c>
      <c r="AW275" s="100"/>
      <c r="AY275" s="9">
        <v>43700</v>
      </c>
    </row>
    <row r="276" spans="1:51" s="2" customFormat="1" ht="12.75" customHeight="1" x14ac:dyDescent="0.2">
      <c r="A276" s="7" t="s">
        <v>1216</v>
      </c>
      <c r="B276" s="8">
        <v>9789500210270</v>
      </c>
      <c r="C276" s="14">
        <v>671437</v>
      </c>
      <c r="D276" s="25">
        <v>192</v>
      </c>
      <c r="E276" s="7" t="s">
        <v>468</v>
      </c>
      <c r="F276" s="7" t="s">
        <v>469</v>
      </c>
      <c r="G276" s="107">
        <v>43800</v>
      </c>
      <c r="H276" s="108">
        <v>43770</v>
      </c>
      <c r="I276" s="24">
        <v>3064</v>
      </c>
      <c r="J276" s="8" t="s">
        <v>2258</v>
      </c>
      <c r="K276" s="150">
        <v>82.93</v>
      </c>
      <c r="L276" s="9">
        <v>21900</v>
      </c>
      <c r="M276" s="9">
        <f>+L276*0.08</f>
        <v>1752</v>
      </c>
      <c r="N276" s="9">
        <f t="shared" si="179"/>
        <v>10950</v>
      </c>
      <c r="O276" s="9">
        <f t="shared" si="180"/>
        <v>9115.07</v>
      </c>
      <c r="P276" s="9">
        <f t="shared" si="181"/>
        <v>1834.93</v>
      </c>
      <c r="Q276" s="139">
        <f t="shared" si="182"/>
        <v>0.8324264840182648</v>
      </c>
      <c r="R276" s="336">
        <v>21900</v>
      </c>
      <c r="S276" s="359" t="s">
        <v>1948</v>
      </c>
      <c r="T276" s="305">
        <v>0.8324264840182648</v>
      </c>
      <c r="U276" s="144"/>
      <c r="V276" s="100"/>
      <c r="W276" s="110">
        <f t="shared" si="183"/>
        <v>21900</v>
      </c>
      <c r="X276" s="110">
        <f t="shared" si="184"/>
        <v>82.93</v>
      </c>
      <c r="Y276" s="110">
        <f t="shared" si="185"/>
        <v>1752</v>
      </c>
      <c r="Z276" s="110">
        <f t="shared" si="186"/>
        <v>9115.07</v>
      </c>
      <c r="AA276" s="260">
        <f t="shared" si="187"/>
        <v>0.8324264840182648</v>
      </c>
      <c r="AB276" s="28">
        <f t="shared" si="188"/>
        <v>7.2</v>
      </c>
      <c r="AC276" s="261">
        <f t="shared" si="189"/>
        <v>0.83194764992490011</v>
      </c>
      <c r="AD276" s="111">
        <f t="shared" si="190"/>
        <v>1.3</v>
      </c>
      <c r="AE276" s="262">
        <f t="shared" si="191"/>
        <v>6.9248522660985565E-2</v>
      </c>
      <c r="AF276" s="100"/>
      <c r="AG276" s="111">
        <f t="shared" si="192"/>
        <v>2</v>
      </c>
      <c r="AH276" s="262">
        <f t="shared" si="193"/>
        <v>0.39501153972964065</v>
      </c>
      <c r="AI276" s="100"/>
      <c r="AJ276" s="111">
        <f t="shared" si="194"/>
        <v>1.9</v>
      </c>
      <c r="AK276" s="262">
        <f t="shared" si="195"/>
        <v>0.36317004182067436</v>
      </c>
      <c r="AL276" s="100"/>
      <c r="AM276" s="111">
        <f t="shared" si="196"/>
        <v>1.7</v>
      </c>
      <c r="AN276" s="262">
        <f t="shared" si="197"/>
        <v>0.28824887027016544</v>
      </c>
      <c r="AO276" s="100"/>
      <c r="AP276" s="24" t="e">
        <f>VLOOKUP(C276,#REF!,6,FALSE)</f>
        <v>#REF!</v>
      </c>
      <c r="AQ276" s="24" t="e">
        <f>VLOOKUP(C276,#REF!,7,FALSE)</f>
        <v>#REF!</v>
      </c>
      <c r="AR276" s="24" t="e">
        <f>VLOOKUP(C276,#REF!,12,FALSE)</f>
        <v>#REF!</v>
      </c>
      <c r="AS276" s="24" t="e">
        <f>VLOOKUP(C276,#REF!,13,FALSE)</f>
        <v>#REF!</v>
      </c>
      <c r="AT276" s="100"/>
      <c r="AU276" s="100"/>
      <c r="AV276" s="100">
        <v>265</v>
      </c>
      <c r="AW276" s="100"/>
      <c r="AY276" s="9">
        <v>21900</v>
      </c>
    </row>
    <row r="277" spans="1:51" s="2" customFormat="1" ht="12.75" customHeight="1" x14ac:dyDescent="0.2">
      <c r="A277" s="7" t="s">
        <v>1217</v>
      </c>
      <c r="B277" s="8">
        <v>9789500211383</v>
      </c>
      <c r="C277" s="8">
        <v>680634</v>
      </c>
      <c r="D277" s="25">
        <v>304</v>
      </c>
      <c r="E277" s="7" t="s">
        <v>479</v>
      </c>
      <c r="F277" s="7" t="s">
        <v>518</v>
      </c>
      <c r="G277" s="107">
        <v>44197</v>
      </c>
      <c r="H277" s="108">
        <v>45139</v>
      </c>
      <c r="I277" s="7">
        <v>2125</v>
      </c>
      <c r="J277" s="8" t="s">
        <v>2258</v>
      </c>
      <c r="K277" s="9">
        <v>785</v>
      </c>
      <c r="L277" s="9">
        <v>26900</v>
      </c>
      <c r="M277" s="9">
        <f>+L277*0.08</f>
        <v>2152</v>
      </c>
      <c r="N277" s="9">
        <f t="shared" si="179"/>
        <v>13450</v>
      </c>
      <c r="O277" s="9">
        <f t="shared" si="180"/>
        <v>10513</v>
      </c>
      <c r="P277" s="9">
        <f t="shared" si="181"/>
        <v>2937</v>
      </c>
      <c r="Q277" s="139">
        <f t="shared" si="182"/>
        <v>0.78163568773234204</v>
      </c>
      <c r="R277" s="336">
        <v>26900</v>
      </c>
      <c r="S277" s="359" t="s">
        <v>1948</v>
      </c>
      <c r="T277" s="305">
        <v>0.78163568773234204</v>
      </c>
      <c r="U277" s="144"/>
      <c r="V277" s="100"/>
      <c r="W277" s="110">
        <f t="shared" si="183"/>
        <v>26900</v>
      </c>
      <c r="X277" s="110">
        <f t="shared" si="184"/>
        <v>785</v>
      </c>
      <c r="Y277" s="110">
        <f t="shared" si="185"/>
        <v>2152</v>
      </c>
      <c r="Z277" s="110">
        <f t="shared" si="186"/>
        <v>10513</v>
      </c>
      <c r="AA277" s="260">
        <f t="shared" si="187"/>
        <v>0.78163568773234204</v>
      </c>
      <c r="AB277" s="28">
        <f t="shared" si="188"/>
        <v>8.9</v>
      </c>
      <c r="AC277" s="261">
        <f t="shared" si="189"/>
        <v>0.78239366963402568</v>
      </c>
      <c r="AD277" s="111">
        <f t="shared" si="190"/>
        <v>2</v>
      </c>
      <c r="AE277" s="262">
        <f t="shared" si="191"/>
        <v>3.165182987141444E-2</v>
      </c>
      <c r="AF277" s="100"/>
      <c r="AG277" s="111">
        <f t="shared" si="192"/>
        <v>3.2</v>
      </c>
      <c r="AH277" s="262">
        <f t="shared" si="193"/>
        <v>0.39478239366963402</v>
      </c>
      <c r="AI277" s="100"/>
      <c r="AJ277" s="111">
        <f t="shared" si="194"/>
        <v>3</v>
      </c>
      <c r="AK277" s="262">
        <f t="shared" si="195"/>
        <v>0.35443455324760964</v>
      </c>
      <c r="AL277" s="100"/>
      <c r="AM277" s="111">
        <f t="shared" si="196"/>
        <v>2.8</v>
      </c>
      <c r="AN277" s="262">
        <f t="shared" si="197"/>
        <v>0.30832273562243884</v>
      </c>
      <c r="AO277" s="100"/>
      <c r="AP277" s="24" t="e">
        <f>VLOOKUP(C277,#REF!,6,FALSE)</f>
        <v>#REF!</v>
      </c>
      <c r="AQ277" s="24" t="e">
        <f>VLOOKUP(C277,#REF!,7,FALSE)</f>
        <v>#REF!</v>
      </c>
      <c r="AR277" s="24" t="e">
        <f>VLOOKUP(C277,#REF!,12,FALSE)</f>
        <v>#REF!</v>
      </c>
      <c r="AS277" s="24" t="e">
        <f>VLOOKUP(C277,#REF!,13,FALSE)</f>
        <v>#REF!</v>
      </c>
      <c r="AT277" s="100"/>
      <c r="AU277" s="100"/>
      <c r="AV277" s="100">
        <v>266</v>
      </c>
      <c r="AW277" s="100"/>
      <c r="AY277" s="9">
        <v>26900</v>
      </c>
    </row>
    <row r="278" spans="1:51" s="2" customFormat="1" ht="12.75" customHeight="1" x14ac:dyDescent="0.2">
      <c r="A278" s="166" t="s">
        <v>1218</v>
      </c>
      <c r="B278" s="167">
        <v>9789500210027</v>
      </c>
      <c r="C278" s="8">
        <v>662546</v>
      </c>
      <c r="D278" s="25">
        <v>416</v>
      </c>
      <c r="E278" s="7" t="s">
        <v>439</v>
      </c>
      <c r="F278" s="7" t="s">
        <v>440</v>
      </c>
      <c r="G278" s="107">
        <v>43586</v>
      </c>
      <c r="H278" s="108">
        <v>44197</v>
      </c>
      <c r="I278" s="7">
        <v>3000</v>
      </c>
      <c r="J278" s="8" t="s">
        <v>2258</v>
      </c>
      <c r="K278" s="9">
        <v>134</v>
      </c>
      <c r="L278" s="9">
        <v>28500</v>
      </c>
      <c r="M278" s="9">
        <f>+L278*0.15</f>
        <v>4275</v>
      </c>
      <c r="N278" s="9">
        <f t="shared" si="179"/>
        <v>14250</v>
      </c>
      <c r="O278" s="9">
        <f t="shared" si="180"/>
        <v>9841</v>
      </c>
      <c r="P278" s="9">
        <f t="shared" si="181"/>
        <v>4409</v>
      </c>
      <c r="Q278" s="139">
        <f t="shared" si="182"/>
        <v>0.69059649122807021</v>
      </c>
      <c r="R278" s="336">
        <v>28500</v>
      </c>
      <c r="S278" s="359" t="s">
        <v>1948</v>
      </c>
      <c r="T278" s="305">
        <v>0.69059649122807021</v>
      </c>
      <c r="U278" s="144"/>
      <c r="V278" s="100"/>
      <c r="W278" s="110">
        <f t="shared" si="183"/>
        <v>28500</v>
      </c>
      <c r="X278" s="110">
        <f t="shared" si="184"/>
        <v>134</v>
      </c>
      <c r="Y278" s="110">
        <f t="shared" si="185"/>
        <v>4275</v>
      </c>
      <c r="Z278" s="110">
        <f t="shared" si="186"/>
        <v>9841</v>
      </c>
      <c r="AA278" s="260">
        <f t="shared" si="187"/>
        <v>0.69059649122807021</v>
      </c>
      <c r="AB278" s="28">
        <f t="shared" si="188"/>
        <v>9.4</v>
      </c>
      <c r="AC278" s="261">
        <f t="shared" si="189"/>
        <v>0.69070718549852339</v>
      </c>
      <c r="AD278" s="111">
        <f t="shared" si="190"/>
        <v>3.1</v>
      </c>
      <c r="AE278" s="262">
        <f t="shared" si="191"/>
        <v>6.2144368931006354E-2</v>
      </c>
      <c r="AF278" s="100"/>
      <c r="AG278" s="111">
        <f t="shared" si="192"/>
        <v>4.8</v>
      </c>
      <c r="AH278" s="262">
        <f t="shared" si="193"/>
        <v>0.39430157160127483</v>
      </c>
      <c r="AI278" s="100"/>
      <c r="AJ278" s="111">
        <f t="shared" si="194"/>
        <v>4.5</v>
      </c>
      <c r="AK278" s="262">
        <f t="shared" si="195"/>
        <v>0.35392167637469318</v>
      </c>
      <c r="AL278" s="100"/>
      <c r="AM278" s="111">
        <f t="shared" si="196"/>
        <v>4.2</v>
      </c>
      <c r="AN278" s="262">
        <f t="shared" si="197"/>
        <v>0.30777322468717128</v>
      </c>
      <c r="AO278" s="100"/>
      <c r="AP278" s="24" t="e">
        <f>VLOOKUP(C278,#REF!,6,FALSE)</f>
        <v>#REF!</v>
      </c>
      <c r="AQ278" s="24" t="e">
        <f>VLOOKUP(C278,#REF!,7,FALSE)</f>
        <v>#REF!</v>
      </c>
      <c r="AR278" s="24" t="e">
        <f>VLOOKUP(C278,#REF!,12,FALSE)</f>
        <v>#REF!</v>
      </c>
      <c r="AS278" s="24" t="e">
        <f>VLOOKUP(C278,#REF!,13,FALSE)</f>
        <v>#REF!</v>
      </c>
      <c r="AT278" s="100"/>
      <c r="AU278" s="100"/>
      <c r="AV278" s="100">
        <v>267</v>
      </c>
      <c r="AW278" s="100"/>
      <c r="AY278" s="9">
        <v>28500</v>
      </c>
    </row>
    <row r="279" spans="1:51" s="2" customFormat="1" ht="12.75" customHeight="1" x14ac:dyDescent="0.2">
      <c r="A279" s="6" t="s">
        <v>1219</v>
      </c>
      <c r="B279" s="8">
        <v>9789500212922</v>
      </c>
      <c r="C279" s="6">
        <v>697472</v>
      </c>
      <c r="D279" s="41">
        <v>320</v>
      </c>
      <c r="E279" s="7" t="s">
        <v>710</v>
      </c>
      <c r="F279" s="7" t="s">
        <v>711</v>
      </c>
      <c r="G279" s="107">
        <v>44805</v>
      </c>
      <c r="H279" s="108">
        <v>45231</v>
      </c>
      <c r="I279" s="7">
        <v>3090</v>
      </c>
      <c r="J279" s="8" t="s">
        <v>2258</v>
      </c>
      <c r="K279" s="9">
        <v>1079.97</v>
      </c>
      <c r="L279" s="9">
        <v>12000</v>
      </c>
      <c r="M279" s="112">
        <f>+L279*0.08</f>
        <v>960</v>
      </c>
      <c r="N279" s="9">
        <f t="shared" si="179"/>
        <v>6000</v>
      </c>
      <c r="O279" s="9">
        <f t="shared" si="180"/>
        <v>3960.0299999999997</v>
      </c>
      <c r="P279" s="9">
        <f t="shared" si="181"/>
        <v>2039.97</v>
      </c>
      <c r="Q279" s="139">
        <f t="shared" si="182"/>
        <v>0.66000499999999995</v>
      </c>
      <c r="R279" s="313">
        <v>12000</v>
      </c>
      <c r="S279" s="359" t="s">
        <v>2474</v>
      </c>
      <c r="T279" s="305">
        <v>0.75325542168674708</v>
      </c>
      <c r="U279" s="144">
        <v>24900</v>
      </c>
      <c r="V279" s="100"/>
      <c r="W279" s="110">
        <f t="shared" si="183"/>
        <v>12000</v>
      </c>
      <c r="X279" s="110">
        <f t="shared" si="184"/>
        <v>1079.97</v>
      </c>
      <c r="Y279" s="110">
        <f t="shared" si="185"/>
        <v>960</v>
      </c>
      <c r="Z279" s="110">
        <f t="shared" si="186"/>
        <v>3960.0299999999997</v>
      </c>
      <c r="AA279" s="260">
        <f t="shared" si="187"/>
        <v>0.66000499999999995</v>
      </c>
      <c r="AB279" s="28">
        <f t="shared" si="188"/>
        <v>4</v>
      </c>
      <c r="AC279" s="261">
        <f t="shared" si="189"/>
        <v>0.66370425321463888</v>
      </c>
      <c r="AD279" s="111">
        <f t="shared" si="190"/>
        <v>1.4</v>
      </c>
      <c r="AE279" s="262">
        <f t="shared" si="191"/>
        <v>3.9155009184682718E-2</v>
      </c>
      <c r="AF279" s="100"/>
      <c r="AG279" s="111">
        <f t="shared" si="192"/>
        <v>2.2000000000000002</v>
      </c>
      <c r="AH279" s="262">
        <f t="shared" si="193"/>
        <v>0.38855318766297992</v>
      </c>
      <c r="AI279" s="100"/>
      <c r="AJ279" s="111">
        <f t="shared" si="194"/>
        <v>2.1</v>
      </c>
      <c r="AK279" s="262">
        <f t="shared" si="195"/>
        <v>0.35943667278978858</v>
      </c>
      <c r="AL279" s="100"/>
      <c r="AM279" s="111">
        <f t="shared" si="196"/>
        <v>1.9</v>
      </c>
      <c r="AN279" s="262">
        <f t="shared" si="197"/>
        <v>0.29200895413608202</v>
      </c>
      <c r="AO279" s="100"/>
      <c r="AP279" s="24" t="e">
        <f>VLOOKUP(C279,#REF!,6,FALSE)</f>
        <v>#REF!</v>
      </c>
      <c r="AQ279" s="24" t="e">
        <f>VLOOKUP(C279,#REF!,7,FALSE)</f>
        <v>#REF!</v>
      </c>
      <c r="AR279" s="24" t="e">
        <f>VLOOKUP(C279,#REF!,12,FALSE)</f>
        <v>#REF!</v>
      </c>
      <c r="AS279" s="24" t="e">
        <f>VLOOKUP(C279,#REF!,13,FALSE)</f>
        <v>#REF!</v>
      </c>
      <c r="AT279" s="100"/>
      <c r="AU279" s="100"/>
      <c r="AV279" s="100">
        <v>268</v>
      </c>
      <c r="AW279" s="100"/>
      <c r="AY279" s="9">
        <v>24900</v>
      </c>
    </row>
    <row r="280" spans="1:51" s="2" customFormat="1" ht="12.75" customHeight="1" x14ac:dyDescent="0.2">
      <c r="A280" s="6" t="s">
        <v>1220</v>
      </c>
      <c r="B280" s="8">
        <v>9789500208369</v>
      </c>
      <c r="C280" s="21">
        <v>589611</v>
      </c>
      <c r="D280" s="7">
        <v>192</v>
      </c>
      <c r="E280" s="7" t="s">
        <v>150</v>
      </c>
      <c r="F280" s="7" t="s">
        <v>151</v>
      </c>
      <c r="G280" s="107">
        <v>42036</v>
      </c>
      <c r="H280" s="108">
        <v>42005</v>
      </c>
      <c r="I280" s="24">
        <v>3062</v>
      </c>
      <c r="J280" s="28" t="s">
        <v>1894</v>
      </c>
      <c r="K280" s="28">
        <v>16.600000000000001</v>
      </c>
      <c r="L280" s="112">
        <v>16000</v>
      </c>
      <c r="M280" s="112">
        <f>+L280*0.1</f>
        <v>1600</v>
      </c>
      <c r="N280" s="9">
        <f t="shared" si="179"/>
        <v>8000</v>
      </c>
      <c r="O280" s="9">
        <f t="shared" si="180"/>
        <v>6383.4</v>
      </c>
      <c r="P280" s="9">
        <f t="shared" si="181"/>
        <v>1616.6</v>
      </c>
      <c r="Q280" s="139">
        <f t="shared" si="182"/>
        <v>0.797925</v>
      </c>
      <c r="R280" s="336">
        <v>16000</v>
      </c>
      <c r="S280" s="359" t="s">
        <v>1948</v>
      </c>
      <c r="T280" s="305">
        <v>0.797925</v>
      </c>
      <c r="U280" s="115" t="s">
        <v>1063</v>
      </c>
      <c r="V280" s="100"/>
      <c r="W280" s="110">
        <f t="shared" si="183"/>
        <v>16000</v>
      </c>
      <c r="X280" s="110">
        <f t="shared" si="184"/>
        <v>16.600000000000001</v>
      </c>
      <c r="Y280" s="110">
        <f t="shared" si="185"/>
        <v>1600</v>
      </c>
      <c r="Z280" s="110">
        <f t="shared" si="186"/>
        <v>6383.4</v>
      </c>
      <c r="AA280" s="260">
        <f t="shared" si="187"/>
        <v>0.797925</v>
      </c>
      <c r="AB280" s="28">
        <f t="shared" si="188"/>
        <v>5.3</v>
      </c>
      <c r="AC280" s="261">
        <f t="shared" si="189"/>
        <v>0.79886655593502909</v>
      </c>
      <c r="AD280" s="111">
        <f t="shared" si="190"/>
        <v>1.1000000000000001</v>
      </c>
      <c r="AE280" s="262">
        <f t="shared" si="191"/>
        <v>3.0902496777867806E-2</v>
      </c>
      <c r="AF280" s="100"/>
      <c r="AG280" s="111">
        <f t="shared" si="192"/>
        <v>1.8</v>
      </c>
      <c r="AH280" s="262">
        <f t="shared" si="193"/>
        <v>0.40777374803091926</v>
      </c>
      <c r="AI280" s="100"/>
      <c r="AJ280" s="111">
        <f t="shared" si="194"/>
        <v>1.6</v>
      </c>
      <c r="AK280" s="262">
        <f t="shared" si="195"/>
        <v>0.3337454665347841</v>
      </c>
      <c r="AL280" s="100"/>
      <c r="AM280" s="111">
        <f t="shared" si="196"/>
        <v>1.5</v>
      </c>
      <c r="AN280" s="262">
        <f t="shared" si="197"/>
        <v>0.289328497637103</v>
      </c>
      <c r="AO280" s="100"/>
      <c r="AP280" s="24" t="e">
        <f>VLOOKUP(C280,#REF!,6,FALSE)</f>
        <v>#REF!</v>
      </c>
      <c r="AQ280" s="24" t="e">
        <f>VLOOKUP(C280,#REF!,7,FALSE)</f>
        <v>#REF!</v>
      </c>
      <c r="AR280" s="24" t="e">
        <f>VLOOKUP(C280,#REF!,12,FALSE)</f>
        <v>#REF!</v>
      </c>
      <c r="AS280" s="24" t="e">
        <f>VLOOKUP(C280,#REF!,13,FALSE)</f>
        <v>#REF!</v>
      </c>
      <c r="AT280" s="100"/>
      <c r="AU280" s="100"/>
      <c r="AV280" s="100">
        <v>269</v>
      </c>
      <c r="AW280" s="100"/>
      <c r="AY280" s="112">
        <v>16000</v>
      </c>
    </row>
    <row r="281" spans="1:51" s="2" customFormat="1" ht="12.75" customHeight="1" x14ac:dyDescent="0.2">
      <c r="A281" s="6" t="s">
        <v>1221</v>
      </c>
      <c r="B281" s="8">
        <v>9789500211871</v>
      </c>
      <c r="C281" s="8">
        <v>685396</v>
      </c>
      <c r="D281" s="7">
        <v>512</v>
      </c>
      <c r="E281" s="30" t="s">
        <v>557</v>
      </c>
      <c r="F281" s="7" t="s">
        <v>558</v>
      </c>
      <c r="G281" s="118">
        <v>44409</v>
      </c>
      <c r="H281" s="107">
        <v>45597</v>
      </c>
      <c r="I281" s="7">
        <v>2052</v>
      </c>
      <c r="J281" s="28" t="s">
        <v>2136</v>
      </c>
      <c r="K281" s="148">
        <v>3838.6500000000005</v>
      </c>
      <c r="L281" s="112">
        <v>32900</v>
      </c>
      <c r="M281" s="112">
        <f>+L281*0.1</f>
        <v>3290</v>
      </c>
      <c r="N281" s="9">
        <f t="shared" si="179"/>
        <v>16450</v>
      </c>
      <c r="O281" s="9">
        <f t="shared" si="180"/>
        <v>9321.3499999999985</v>
      </c>
      <c r="P281" s="9">
        <f t="shared" si="181"/>
        <v>7128.6500000000005</v>
      </c>
      <c r="Q281" s="139">
        <f t="shared" si="182"/>
        <v>0.56664741641337379</v>
      </c>
      <c r="R281" s="336">
        <v>32900</v>
      </c>
      <c r="S281" s="359" t="s">
        <v>1948</v>
      </c>
      <c r="T281" s="305">
        <v>0.56664741641337379</v>
      </c>
      <c r="U281" s="144"/>
      <c r="V281" s="100"/>
      <c r="W281" s="110">
        <f t="shared" si="183"/>
        <v>32900</v>
      </c>
      <c r="X281" s="110">
        <f t="shared" si="184"/>
        <v>3838.6500000000005</v>
      </c>
      <c r="Y281" s="110">
        <f t="shared" si="185"/>
        <v>3290</v>
      </c>
      <c r="Z281" s="110">
        <f t="shared" si="186"/>
        <v>9321.3499999999985</v>
      </c>
      <c r="AA281" s="260">
        <f t="shared" si="187"/>
        <v>0.56664741641337379</v>
      </c>
      <c r="AB281" s="28">
        <f t="shared" si="188"/>
        <v>10.8</v>
      </c>
      <c r="AC281" s="261">
        <f t="shared" si="189"/>
        <v>0.56474765236717095</v>
      </c>
      <c r="AD281" s="111">
        <f t="shared" si="190"/>
        <v>4.9000000000000004</v>
      </c>
      <c r="AE281" s="262">
        <f t="shared" si="191"/>
        <v>4.0668295013356455E-2</v>
      </c>
      <c r="AF281" s="100"/>
      <c r="AG281" s="111">
        <f t="shared" si="192"/>
        <v>7.8</v>
      </c>
      <c r="AH281" s="262">
        <f t="shared" si="193"/>
        <v>0.39734290327762128</v>
      </c>
      <c r="AI281" s="100"/>
      <c r="AJ281" s="111">
        <f t="shared" si="194"/>
        <v>7.2</v>
      </c>
      <c r="AK281" s="262">
        <f t="shared" si="195"/>
        <v>0.34712147855075653</v>
      </c>
      <c r="AL281" s="100"/>
      <c r="AM281" s="111">
        <f t="shared" si="196"/>
        <v>6.7</v>
      </c>
      <c r="AN281" s="262">
        <f t="shared" si="197"/>
        <v>0.29839920083066374</v>
      </c>
      <c r="AO281" s="100"/>
      <c r="AP281" s="24" t="e">
        <f>VLOOKUP(C281,#REF!,6,FALSE)</f>
        <v>#REF!</v>
      </c>
      <c r="AQ281" s="24" t="e">
        <f>VLOOKUP(C281,#REF!,7,FALSE)</f>
        <v>#REF!</v>
      </c>
      <c r="AR281" s="24" t="e">
        <f>VLOOKUP(C281,#REF!,12,FALSE)</f>
        <v>#REF!</v>
      </c>
      <c r="AS281" s="24" t="e">
        <f>VLOOKUP(C281,#REF!,13,FALSE)</f>
        <v>#REF!</v>
      </c>
      <c r="AT281" s="100"/>
      <c r="AU281" s="100"/>
      <c r="AV281" s="100">
        <v>270</v>
      </c>
      <c r="AW281" s="100"/>
      <c r="AY281" s="112">
        <v>32900</v>
      </c>
    </row>
    <row r="282" spans="1:51" s="2" customFormat="1" ht="12.75" customHeight="1" x14ac:dyDescent="0.25">
      <c r="B282" s="3"/>
      <c r="C282" s="3"/>
      <c r="H282" s="132"/>
      <c r="I282" s="132"/>
      <c r="J282" s="134"/>
      <c r="K282" s="132"/>
      <c r="L282" s="134"/>
      <c r="M282" s="132"/>
      <c r="N282" s="132"/>
      <c r="O282" s="132"/>
      <c r="P282" s="132"/>
      <c r="Q282" s="147"/>
      <c r="R282" s="356"/>
      <c r="S282" s="360"/>
      <c r="T282" s="307"/>
      <c r="U282" s="135"/>
      <c r="V282" s="100"/>
      <c r="W282"/>
      <c r="X282"/>
      <c r="Y282"/>
      <c r="Z282"/>
      <c r="AA282"/>
      <c r="AB282"/>
      <c r="AC282"/>
      <c r="AD282" s="263"/>
      <c r="AE282"/>
      <c r="AF282" s="100"/>
      <c r="AG282" s="263"/>
      <c r="AH282"/>
      <c r="AI282" s="100"/>
      <c r="AJ282" s="263"/>
      <c r="AK282"/>
      <c r="AL282" s="100"/>
      <c r="AM282" s="263"/>
      <c r="AN282"/>
      <c r="AO282" s="100"/>
      <c r="AP282" s="100"/>
      <c r="AQ282" s="100"/>
      <c r="AR282" s="100"/>
      <c r="AS282" s="100"/>
      <c r="AT282" s="100"/>
      <c r="AU282" s="100"/>
      <c r="AV282" s="100">
        <v>271</v>
      </c>
      <c r="AW282" s="100"/>
      <c r="AY282" s="134"/>
    </row>
    <row r="283" spans="1:51" s="2" customFormat="1" ht="12.75" customHeight="1" x14ac:dyDescent="0.25">
      <c r="A283" s="160" t="s">
        <v>660</v>
      </c>
      <c r="B283" s="168"/>
      <c r="C283" s="168"/>
      <c r="D283" s="169"/>
      <c r="E283" s="348"/>
      <c r="F283" s="348"/>
      <c r="G283" s="162"/>
      <c r="H283" s="132"/>
      <c r="I283" s="132"/>
      <c r="J283" s="134"/>
      <c r="K283" s="132"/>
      <c r="L283" s="134"/>
      <c r="M283" s="132"/>
      <c r="N283" s="132"/>
      <c r="O283" s="132"/>
      <c r="P283" s="132"/>
      <c r="Q283" s="147"/>
      <c r="R283" s="356"/>
      <c r="S283" s="360"/>
      <c r="T283" s="307"/>
      <c r="U283" s="135"/>
      <c r="V283" s="100"/>
      <c r="W283"/>
      <c r="X283"/>
      <c r="Y283"/>
      <c r="Z283"/>
      <c r="AA283"/>
      <c r="AB283"/>
      <c r="AC283"/>
      <c r="AD283" s="263"/>
      <c r="AE283"/>
      <c r="AF283" s="100"/>
      <c r="AG283" s="263"/>
      <c r="AH283"/>
      <c r="AI283" s="100"/>
      <c r="AJ283" s="263"/>
      <c r="AK283"/>
      <c r="AL283" s="100"/>
      <c r="AM283" s="263"/>
      <c r="AN283"/>
      <c r="AO283" s="100"/>
      <c r="AP283" s="100"/>
      <c r="AQ283" s="100"/>
      <c r="AR283" s="100"/>
      <c r="AS283" s="100"/>
      <c r="AT283" s="100"/>
      <c r="AU283" s="100"/>
      <c r="AV283" s="100">
        <v>272</v>
      </c>
      <c r="AW283" s="100"/>
      <c r="AY283" s="134"/>
    </row>
    <row r="284" spans="1:51" s="2" customFormat="1" ht="12.75" customHeight="1" x14ac:dyDescent="0.2">
      <c r="A284" s="7" t="s">
        <v>2400</v>
      </c>
      <c r="B284" s="8">
        <v>9789500217293</v>
      </c>
      <c r="C284" s="8">
        <v>748669</v>
      </c>
      <c r="D284" s="7">
        <v>416</v>
      </c>
      <c r="E284" s="7" t="s">
        <v>402</v>
      </c>
      <c r="F284" s="7" t="s">
        <v>2401</v>
      </c>
      <c r="G284" s="107">
        <v>46235</v>
      </c>
      <c r="H284" s="108">
        <v>46204</v>
      </c>
      <c r="I284" s="267">
        <v>3000</v>
      </c>
      <c r="J284" s="7" t="s">
        <v>1894</v>
      </c>
      <c r="K284" s="148">
        <v>2797.05</v>
      </c>
      <c r="L284" s="352">
        <v>17900</v>
      </c>
      <c r="M284" s="352"/>
      <c r="N284" s="9">
        <f t="shared" ref="N284:N296" si="198">+L284/2</f>
        <v>8950</v>
      </c>
      <c r="O284" s="9">
        <f t="shared" ref="O284:O296" si="199">+N284-M284-K284</f>
        <v>6152.95</v>
      </c>
      <c r="P284" s="9">
        <f t="shared" ref="P284:P296" si="200">+M284+K284</f>
        <v>2797.05</v>
      </c>
      <c r="Q284" s="139">
        <f t="shared" ref="Q284:Q296" si="201">+O284/N284</f>
        <v>0.68748044692737431</v>
      </c>
      <c r="R284" s="369">
        <v>17900</v>
      </c>
      <c r="S284" s="359" t="s">
        <v>1948</v>
      </c>
      <c r="T284" s="305">
        <v>0.726191061452514</v>
      </c>
      <c r="U284" s="144"/>
      <c r="V284" s="100"/>
      <c r="W284" s="110">
        <f t="shared" ref="W284:W296" si="202">+L284</f>
        <v>17900</v>
      </c>
      <c r="X284" s="110">
        <f t="shared" ref="X284:X296" si="203">+K284</f>
        <v>2797.05</v>
      </c>
      <c r="Y284" s="110">
        <f t="shared" ref="Y284:Y296" si="204">+M284</f>
        <v>0</v>
      </c>
      <c r="Z284" s="110">
        <f t="shared" ref="Z284:Z296" si="205">+W284/2-X284-Y284</f>
        <v>6152.95</v>
      </c>
      <c r="AA284" s="260">
        <f t="shared" ref="AA284:AA296" si="206">+Z284/(W284/2)</f>
        <v>0.68748044692737431</v>
      </c>
      <c r="AB284" s="28">
        <f t="shared" ref="AB284:AB296" si="207">ROUND($W284/2/$X$1,1)</f>
        <v>5.9</v>
      </c>
      <c r="AC284" s="261">
        <f t="shared" ref="AC284:AC296" si="208">+(AB284*$X$1-$X284-$Y284)/(AB284*$X$1)</f>
        <v>0.68738788579858845</v>
      </c>
      <c r="AD284" s="111">
        <f t="shared" ref="AD284:AD296" si="209">+IFERROR(ROUND(($X284+$Y284)/(1-$X$2)/$X$1,1),0)</f>
        <v>1.9</v>
      </c>
      <c r="AE284" s="262">
        <f t="shared" ref="AE284:AE296" si="210">+(AD284*$X$1-$X284-$Y284)/(AD284*$X$1)</f>
        <v>2.9257119058774438E-2</v>
      </c>
      <c r="AF284" s="100"/>
      <c r="AG284" s="111">
        <f t="shared" ref="AG284:AG296" si="211">+IFERROR(ROUND(($X284+$Y284)/(1-$AG$2)/$X$1,1),0)</f>
        <v>3.1</v>
      </c>
      <c r="AH284" s="262">
        <f t="shared" ref="AH284:AH296" si="212">+(AG284*$X$1-$X284-$Y284)/(AG284*$X$1)</f>
        <v>0.40502855684247474</v>
      </c>
      <c r="AI284" s="100"/>
      <c r="AJ284" s="111">
        <f t="shared" ref="AJ284:AJ296" si="213">+IFERROR(ROUND(($X284+$Y284)/(1-$AJ$2)/$X$1,1),0)</f>
        <v>2.8</v>
      </c>
      <c r="AK284" s="262">
        <f t="shared" ref="AK284:AK296" si="214">+(AJ284*$X$1-$X284-$Y284)/(AJ284*$X$1)</f>
        <v>0.34128161650416838</v>
      </c>
      <c r="AL284" s="100"/>
      <c r="AM284" s="111">
        <f t="shared" ref="AM284:AM296" si="215">+IFERROR(ROUND(($X284+$Y284)/(1-$AM$2)/$X$1,1),0)</f>
        <v>2.6</v>
      </c>
      <c r="AN284" s="262">
        <f t="shared" ref="AN284:AN296" si="216">+(AM284*$X$1-$X284-$Y284)/(AM284*$X$1)</f>
        <v>0.29061097161987365</v>
      </c>
      <c r="AO284" s="100"/>
      <c r="AP284" s="24" t="e">
        <f>VLOOKUP(C284,#REF!,6,FALSE)</f>
        <v>#REF!</v>
      </c>
      <c r="AQ284" s="24" t="e">
        <f>VLOOKUP(C284,#REF!,7,FALSE)</f>
        <v>#REF!</v>
      </c>
      <c r="AR284" s="24" t="e">
        <f>VLOOKUP(C284,#REF!,12,FALSE)</f>
        <v>#REF!</v>
      </c>
      <c r="AS284" s="24" t="e">
        <f>VLOOKUP(C284,#REF!,13,FALSE)</f>
        <v>#REF!</v>
      </c>
      <c r="AT284" s="100"/>
      <c r="AU284" s="3"/>
      <c r="AV284" s="100">
        <v>273</v>
      </c>
      <c r="AW284" s="100"/>
      <c r="AY284" s="352">
        <v>17900</v>
      </c>
    </row>
    <row r="285" spans="1:51" s="2" customFormat="1" ht="12.75" customHeight="1" x14ac:dyDescent="0.2">
      <c r="A285" s="7" t="s">
        <v>2365</v>
      </c>
      <c r="B285" s="8">
        <v>9789500217842</v>
      </c>
      <c r="C285" s="8">
        <v>747598</v>
      </c>
      <c r="D285" s="7">
        <v>224</v>
      </c>
      <c r="E285" s="6" t="s">
        <v>402</v>
      </c>
      <c r="F285" s="7" t="s">
        <v>877</v>
      </c>
      <c r="G285" s="107">
        <v>46204</v>
      </c>
      <c r="H285" s="108">
        <v>46174</v>
      </c>
      <c r="I285" s="116">
        <v>4049</v>
      </c>
      <c r="J285" s="315" t="s">
        <v>1867</v>
      </c>
      <c r="K285" s="148">
        <v>1225.3499999999999</v>
      </c>
      <c r="L285" s="352">
        <v>17900</v>
      </c>
      <c r="M285" s="112"/>
      <c r="N285" s="9">
        <f t="shared" si="198"/>
        <v>8950</v>
      </c>
      <c r="O285" s="9">
        <f t="shared" si="199"/>
        <v>7724.65</v>
      </c>
      <c r="P285" s="9">
        <f t="shared" si="200"/>
        <v>1225.3499999999999</v>
      </c>
      <c r="Q285" s="139">
        <f t="shared" si="201"/>
        <v>0.86308938547486025</v>
      </c>
      <c r="R285" s="369">
        <v>17900</v>
      </c>
      <c r="S285" s="359" t="s">
        <v>1948</v>
      </c>
      <c r="T285" s="305">
        <v>0.726191061452514</v>
      </c>
      <c r="U285" s="144"/>
      <c r="V285" s="100"/>
      <c r="W285" s="110">
        <f t="shared" si="202"/>
        <v>17900</v>
      </c>
      <c r="X285" s="110">
        <f t="shared" si="203"/>
        <v>1225.3499999999999</v>
      </c>
      <c r="Y285" s="110">
        <f t="shared" si="204"/>
        <v>0</v>
      </c>
      <c r="Z285" s="110">
        <f t="shared" si="205"/>
        <v>7724.65</v>
      </c>
      <c r="AA285" s="260">
        <f t="shared" si="206"/>
        <v>0.86308938547486025</v>
      </c>
      <c r="AB285" s="28">
        <f t="shared" si="207"/>
        <v>5.9</v>
      </c>
      <c r="AC285" s="261">
        <f t="shared" si="208"/>
        <v>0.86304883568877933</v>
      </c>
      <c r="AD285" s="111">
        <f t="shared" si="209"/>
        <v>0.9</v>
      </c>
      <c r="AE285" s="262">
        <f t="shared" si="210"/>
        <v>0.10220903395977596</v>
      </c>
      <c r="AF285" s="100"/>
      <c r="AG285" s="111">
        <f t="shared" si="211"/>
        <v>1.3</v>
      </c>
      <c r="AH285" s="262">
        <f t="shared" si="212"/>
        <v>0.37845240812599867</v>
      </c>
      <c r="AI285" s="100"/>
      <c r="AJ285" s="111">
        <f t="shared" si="213"/>
        <v>1.2</v>
      </c>
      <c r="AK285" s="262">
        <f t="shared" si="214"/>
        <v>0.32665677546983191</v>
      </c>
      <c r="AL285" s="100"/>
      <c r="AM285" s="111">
        <f t="shared" si="215"/>
        <v>1.2</v>
      </c>
      <c r="AN285" s="262">
        <f t="shared" si="216"/>
        <v>0.32665677546983191</v>
      </c>
      <c r="AO285" s="100"/>
      <c r="AP285" s="24" t="e">
        <f>VLOOKUP(C285,#REF!,6,FALSE)</f>
        <v>#REF!</v>
      </c>
      <c r="AQ285" s="24" t="e">
        <f>VLOOKUP(C285,#REF!,7,FALSE)</f>
        <v>#REF!</v>
      </c>
      <c r="AR285" s="24" t="e">
        <f>VLOOKUP(C285,#REF!,12,FALSE)</f>
        <v>#REF!</v>
      </c>
      <c r="AS285" s="24" t="e">
        <f>VLOOKUP(C285,#REF!,13,FALSE)</f>
        <v>#REF!</v>
      </c>
      <c r="AT285" s="100"/>
      <c r="AU285" s="3"/>
      <c r="AV285" s="100">
        <v>274</v>
      </c>
      <c r="AW285" s="100"/>
      <c r="AY285" s="352">
        <v>17900</v>
      </c>
    </row>
    <row r="286" spans="1:51" s="2" customFormat="1" ht="12.75" customHeight="1" x14ac:dyDescent="0.2">
      <c r="A286" s="6" t="s">
        <v>2345</v>
      </c>
      <c r="B286" s="8">
        <v>9789500217743</v>
      </c>
      <c r="C286" s="8">
        <v>745991</v>
      </c>
      <c r="D286" s="343">
        <v>304</v>
      </c>
      <c r="E286" s="6" t="s">
        <v>402</v>
      </c>
      <c r="F286" s="6" t="s">
        <v>2346</v>
      </c>
      <c r="G286" s="107">
        <v>46174</v>
      </c>
      <c r="H286" s="108">
        <v>46143</v>
      </c>
      <c r="I286" s="116">
        <v>4036</v>
      </c>
      <c r="J286" s="8" t="s">
        <v>1762</v>
      </c>
      <c r="K286" s="148">
        <v>2450.59</v>
      </c>
      <c r="L286" s="352">
        <v>17900</v>
      </c>
      <c r="M286" s="112"/>
      <c r="N286" s="9">
        <f t="shared" si="198"/>
        <v>8950</v>
      </c>
      <c r="O286" s="9">
        <f t="shared" si="199"/>
        <v>6499.41</v>
      </c>
      <c r="P286" s="9">
        <f t="shared" si="200"/>
        <v>2450.59</v>
      </c>
      <c r="Q286" s="139">
        <f t="shared" si="201"/>
        <v>0.726191061452514</v>
      </c>
      <c r="R286" s="345">
        <v>17900</v>
      </c>
      <c r="S286" s="359" t="s">
        <v>1948</v>
      </c>
      <c r="T286" s="305">
        <v>0.726191061452514</v>
      </c>
      <c r="U286" s="144"/>
      <c r="V286" s="100"/>
      <c r="W286" s="110">
        <f t="shared" si="202"/>
        <v>17900</v>
      </c>
      <c r="X286" s="110">
        <f t="shared" si="203"/>
        <v>2450.59</v>
      </c>
      <c r="Y286" s="110">
        <f t="shared" si="204"/>
        <v>0</v>
      </c>
      <c r="Z286" s="110">
        <f t="shared" si="205"/>
        <v>6499.41</v>
      </c>
      <c r="AA286" s="260">
        <f t="shared" si="206"/>
        <v>0.726191061452514</v>
      </c>
      <c r="AB286" s="28">
        <f t="shared" si="207"/>
        <v>5.9</v>
      </c>
      <c r="AC286" s="261">
        <f t="shared" si="208"/>
        <v>0.72610996552051721</v>
      </c>
      <c r="AD286" s="111">
        <f t="shared" si="209"/>
        <v>1.7</v>
      </c>
      <c r="AE286" s="262">
        <f t="shared" si="210"/>
        <v>4.9440468571206764E-2</v>
      </c>
      <c r="AF286" s="100"/>
      <c r="AG286" s="111">
        <f t="shared" si="211"/>
        <v>2.7</v>
      </c>
      <c r="AH286" s="262">
        <f t="shared" si="212"/>
        <v>0.40149955428557471</v>
      </c>
      <c r="AI286" s="100"/>
      <c r="AJ286" s="111">
        <f t="shared" si="213"/>
        <v>2.5</v>
      </c>
      <c r="AK286" s="262">
        <f t="shared" si="214"/>
        <v>0.35361951862842067</v>
      </c>
      <c r="AL286" s="100"/>
      <c r="AM286" s="111">
        <f t="shared" si="215"/>
        <v>2.2999999999999998</v>
      </c>
      <c r="AN286" s="262">
        <f t="shared" si="216"/>
        <v>0.2974125202482833</v>
      </c>
      <c r="AO286" s="100"/>
      <c r="AP286" s="24" t="e">
        <f>VLOOKUP(C286,#REF!,6,FALSE)</f>
        <v>#REF!</v>
      </c>
      <c r="AQ286" s="24" t="e">
        <f>VLOOKUP(C286,#REF!,7,FALSE)</f>
        <v>#REF!</v>
      </c>
      <c r="AR286" s="24" t="e">
        <f>VLOOKUP(C286,#REF!,12,FALSE)</f>
        <v>#REF!</v>
      </c>
      <c r="AS286" s="24" t="e">
        <f>VLOOKUP(C286,#REF!,13,FALSE)</f>
        <v>#REF!</v>
      </c>
      <c r="AT286" s="100"/>
      <c r="AU286" s="3"/>
      <c r="AV286" s="100">
        <v>275</v>
      </c>
      <c r="AW286" s="100"/>
      <c r="AY286" s="352">
        <v>17900</v>
      </c>
    </row>
    <row r="287" spans="1:51" s="2" customFormat="1" ht="12.75" customHeight="1" x14ac:dyDescent="0.2">
      <c r="A287" s="6" t="s">
        <v>2317</v>
      </c>
      <c r="B287" s="153">
        <v>9789500217651</v>
      </c>
      <c r="C287" s="6">
        <v>744137</v>
      </c>
      <c r="D287" s="41">
        <v>304</v>
      </c>
      <c r="E287" s="6" t="s">
        <v>402</v>
      </c>
      <c r="F287" s="7" t="s">
        <v>2318</v>
      </c>
      <c r="G287" s="107">
        <v>46143</v>
      </c>
      <c r="H287" s="108">
        <v>46113</v>
      </c>
      <c r="I287" s="7">
        <v>1988</v>
      </c>
      <c r="J287" s="7" t="s">
        <v>2329</v>
      </c>
      <c r="K287" s="148">
        <v>2900.78</v>
      </c>
      <c r="L287" s="9">
        <v>17900</v>
      </c>
      <c r="M287" s="112"/>
      <c r="N287" s="9">
        <f t="shared" si="198"/>
        <v>8950</v>
      </c>
      <c r="O287" s="9">
        <f t="shared" si="199"/>
        <v>6049.2199999999993</v>
      </c>
      <c r="P287" s="9">
        <f t="shared" si="200"/>
        <v>2900.78</v>
      </c>
      <c r="Q287" s="139">
        <f t="shared" si="201"/>
        <v>0.67589050279329599</v>
      </c>
      <c r="R287" s="336">
        <v>17900</v>
      </c>
      <c r="S287" s="359" t="s">
        <v>1948</v>
      </c>
      <c r="T287" s="305">
        <v>0.67589050279329599</v>
      </c>
      <c r="U287" s="144"/>
      <c r="V287" s="100"/>
      <c r="W287" s="110">
        <f t="shared" si="202"/>
        <v>17900</v>
      </c>
      <c r="X287" s="110">
        <f t="shared" si="203"/>
        <v>2900.78</v>
      </c>
      <c r="Y287" s="110">
        <f t="shared" si="204"/>
        <v>0</v>
      </c>
      <c r="Z287" s="110">
        <f t="shared" si="205"/>
        <v>6049.2199999999993</v>
      </c>
      <c r="AA287" s="260">
        <f t="shared" si="206"/>
        <v>0.67589050279329599</v>
      </c>
      <c r="AB287" s="28">
        <f t="shared" si="207"/>
        <v>5.9</v>
      </c>
      <c r="AC287" s="261">
        <f t="shared" si="208"/>
        <v>0.67579450898869486</v>
      </c>
      <c r="AD287" s="111">
        <f t="shared" si="209"/>
        <v>2</v>
      </c>
      <c r="AE287" s="262">
        <f t="shared" si="210"/>
        <v>4.3593801516650113E-2</v>
      </c>
      <c r="AF287" s="100"/>
      <c r="AG287" s="111">
        <f t="shared" si="211"/>
        <v>3.2</v>
      </c>
      <c r="AH287" s="262">
        <f t="shared" si="212"/>
        <v>0.40224612594790632</v>
      </c>
      <c r="AI287" s="100"/>
      <c r="AJ287" s="111">
        <f t="shared" si="213"/>
        <v>2.9</v>
      </c>
      <c r="AK287" s="262">
        <f t="shared" si="214"/>
        <v>0.34040951828734484</v>
      </c>
      <c r="AL287" s="100"/>
      <c r="AM287" s="111">
        <f t="shared" si="215"/>
        <v>2.7</v>
      </c>
      <c r="AN287" s="262">
        <f t="shared" si="216"/>
        <v>0.29155096408640752</v>
      </c>
      <c r="AO287" s="100"/>
      <c r="AP287" s="24" t="e">
        <f>VLOOKUP(C287,#REF!,6,FALSE)</f>
        <v>#REF!</v>
      </c>
      <c r="AQ287" s="24" t="e">
        <f>VLOOKUP(C287,#REF!,7,FALSE)</f>
        <v>#REF!</v>
      </c>
      <c r="AR287" s="24" t="e">
        <f>VLOOKUP(C287,#REF!,12,FALSE)</f>
        <v>#REF!</v>
      </c>
      <c r="AS287" s="24" t="e">
        <f>VLOOKUP(C287,#REF!,13,FALSE)</f>
        <v>#REF!</v>
      </c>
      <c r="AT287" s="100"/>
      <c r="AU287" s="100"/>
      <c r="AV287" s="100">
        <v>276</v>
      </c>
      <c r="AW287" s="100"/>
      <c r="AY287" s="9">
        <v>17900</v>
      </c>
    </row>
    <row r="288" spans="1:51" s="2" customFormat="1" ht="12.75" customHeight="1" x14ac:dyDescent="0.2">
      <c r="A288" s="6" t="s">
        <v>2292</v>
      </c>
      <c r="B288" s="153">
        <v>9789500217521</v>
      </c>
      <c r="C288" s="6">
        <v>743066</v>
      </c>
      <c r="D288" s="41">
        <v>480</v>
      </c>
      <c r="E288" s="6" t="s">
        <v>402</v>
      </c>
      <c r="F288" s="6" t="s">
        <v>2355</v>
      </c>
      <c r="G288" s="107">
        <v>46113</v>
      </c>
      <c r="H288" s="108">
        <v>46082</v>
      </c>
      <c r="I288" s="7">
        <v>3064</v>
      </c>
      <c r="J288" s="6" t="s">
        <v>1333</v>
      </c>
      <c r="K288" s="148">
        <v>2211.84</v>
      </c>
      <c r="L288" s="9">
        <v>17900</v>
      </c>
      <c r="M288" s="112"/>
      <c r="N288" s="9">
        <f t="shared" si="198"/>
        <v>8950</v>
      </c>
      <c r="O288" s="9">
        <f t="shared" si="199"/>
        <v>6738.16</v>
      </c>
      <c r="P288" s="9">
        <f t="shared" si="200"/>
        <v>2211.84</v>
      </c>
      <c r="Q288" s="139">
        <f t="shared" si="201"/>
        <v>0.75286703910614527</v>
      </c>
      <c r="R288" s="336">
        <v>17900</v>
      </c>
      <c r="S288" s="359" t="s">
        <v>1948</v>
      </c>
      <c r="T288" s="305">
        <v>0.75286703910614527</v>
      </c>
      <c r="U288" s="144"/>
      <c r="V288" s="100"/>
      <c r="W288" s="110">
        <f t="shared" si="202"/>
        <v>17900</v>
      </c>
      <c r="X288" s="110">
        <f t="shared" si="203"/>
        <v>2211.84</v>
      </c>
      <c r="Y288" s="110">
        <f t="shared" si="204"/>
        <v>0</v>
      </c>
      <c r="Z288" s="110">
        <f t="shared" si="205"/>
        <v>6738.16</v>
      </c>
      <c r="AA288" s="260">
        <f t="shared" si="206"/>
        <v>0.75286703910614527</v>
      </c>
      <c r="AB288" s="28">
        <f t="shared" si="207"/>
        <v>5.9</v>
      </c>
      <c r="AC288" s="261">
        <f t="shared" si="208"/>
        <v>0.75279384398732585</v>
      </c>
      <c r="AD288" s="111">
        <f t="shared" si="209"/>
        <v>1.5</v>
      </c>
      <c r="AE288" s="262">
        <f t="shared" si="210"/>
        <v>2.7655786350148304E-2</v>
      </c>
      <c r="AF288" s="100"/>
      <c r="AG288" s="111">
        <f t="shared" si="211"/>
        <v>2.4</v>
      </c>
      <c r="AH288" s="262">
        <f t="shared" si="212"/>
        <v>0.3922848664688427</v>
      </c>
      <c r="AI288" s="100"/>
      <c r="AJ288" s="111">
        <f t="shared" si="213"/>
        <v>2.2000000000000002</v>
      </c>
      <c r="AK288" s="262">
        <f t="shared" si="214"/>
        <v>0.3370380361478284</v>
      </c>
      <c r="AL288" s="100"/>
      <c r="AM288" s="111">
        <f t="shared" si="215"/>
        <v>2.1</v>
      </c>
      <c r="AN288" s="262">
        <f t="shared" si="216"/>
        <v>0.30546841882153453</v>
      </c>
      <c r="AO288" s="100"/>
      <c r="AP288" s="24" t="e">
        <f>VLOOKUP(C288,#REF!,6,FALSE)</f>
        <v>#REF!</v>
      </c>
      <c r="AQ288" s="24" t="e">
        <f>VLOOKUP(C288,#REF!,7,FALSE)</f>
        <v>#REF!</v>
      </c>
      <c r="AR288" s="24" t="e">
        <f>VLOOKUP(C288,#REF!,12,FALSE)</f>
        <v>#REF!</v>
      </c>
      <c r="AS288" s="24" t="e">
        <f>VLOOKUP(C288,#REF!,13,FALSE)</f>
        <v>#REF!</v>
      </c>
      <c r="AT288" s="100"/>
      <c r="AU288" s="100"/>
      <c r="AV288" s="100">
        <v>277</v>
      </c>
      <c r="AW288" s="100"/>
      <c r="AY288" s="9">
        <v>17900</v>
      </c>
    </row>
    <row r="289" spans="1:51" s="2" customFormat="1" ht="12.75" customHeight="1" x14ac:dyDescent="0.2">
      <c r="A289" s="36" t="s">
        <v>2259</v>
      </c>
      <c r="B289" s="37">
        <v>9789500217347</v>
      </c>
      <c r="C289" s="37">
        <v>741702</v>
      </c>
      <c r="D289" s="149">
        <v>224</v>
      </c>
      <c r="E289" s="38" t="s">
        <v>402</v>
      </c>
      <c r="F289" s="38" t="s">
        <v>2266</v>
      </c>
      <c r="G289" s="107">
        <v>46082</v>
      </c>
      <c r="H289" s="108">
        <v>46054</v>
      </c>
      <c r="I289" s="267">
        <v>6000</v>
      </c>
      <c r="J289" s="28" t="s">
        <v>2258</v>
      </c>
      <c r="K289" s="148">
        <v>1308.22</v>
      </c>
      <c r="L289" s="9">
        <v>17900</v>
      </c>
      <c r="M289" s="112"/>
      <c r="N289" s="9">
        <f t="shared" si="198"/>
        <v>8950</v>
      </c>
      <c r="O289" s="9">
        <f t="shared" si="199"/>
        <v>7641.78</v>
      </c>
      <c r="P289" s="9">
        <f t="shared" si="200"/>
        <v>1308.22</v>
      </c>
      <c r="Q289" s="139">
        <f t="shared" si="201"/>
        <v>0.85383016759776531</v>
      </c>
      <c r="R289" s="336">
        <v>17900</v>
      </c>
      <c r="S289" s="359" t="s">
        <v>1948</v>
      </c>
      <c r="T289" s="305">
        <v>0.85383016759776531</v>
      </c>
      <c r="U289" s="36"/>
      <c r="V289" s="100"/>
      <c r="W289" s="110">
        <f t="shared" si="202"/>
        <v>17900</v>
      </c>
      <c r="X289" s="110">
        <f t="shared" si="203"/>
        <v>1308.22</v>
      </c>
      <c r="Y289" s="110">
        <f t="shared" si="204"/>
        <v>0</v>
      </c>
      <c r="Z289" s="110">
        <f t="shared" si="205"/>
        <v>7641.78</v>
      </c>
      <c r="AA289" s="260">
        <f t="shared" si="206"/>
        <v>0.85383016759776531</v>
      </c>
      <c r="AB289" s="28">
        <f t="shared" si="207"/>
        <v>5.9</v>
      </c>
      <c r="AC289" s="261">
        <f t="shared" si="208"/>
        <v>0.85378687544356702</v>
      </c>
      <c r="AD289" s="111">
        <f t="shared" si="209"/>
        <v>0.9</v>
      </c>
      <c r="AE289" s="262">
        <f t="shared" si="210"/>
        <v>4.1491739018939884E-2</v>
      </c>
      <c r="AF289" s="100"/>
      <c r="AG289" s="111">
        <f t="shared" si="211"/>
        <v>1.4</v>
      </c>
      <c r="AH289" s="262">
        <f t="shared" si="212"/>
        <v>0.38381611794074699</v>
      </c>
      <c r="AI289" s="100"/>
      <c r="AJ289" s="111">
        <f t="shared" si="213"/>
        <v>1.3</v>
      </c>
      <c r="AK289" s="262">
        <f t="shared" si="214"/>
        <v>0.33641735778234294</v>
      </c>
      <c r="AL289" s="100"/>
      <c r="AM289" s="111">
        <f t="shared" si="215"/>
        <v>1.2</v>
      </c>
      <c r="AN289" s="262">
        <f t="shared" si="216"/>
        <v>0.28111880426420482</v>
      </c>
      <c r="AO289" s="100"/>
      <c r="AP289" s="24" t="e">
        <f>VLOOKUP(C289,#REF!,6,FALSE)</f>
        <v>#REF!</v>
      </c>
      <c r="AQ289" s="24" t="e">
        <f>VLOOKUP(C289,#REF!,7,FALSE)</f>
        <v>#REF!</v>
      </c>
      <c r="AR289" s="24" t="e">
        <f>VLOOKUP(C289,#REF!,12,FALSE)</f>
        <v>#REF!</v>
      </c>
      <c r="AS289" s="24" t="e">
        <f>VLOOKUP(C289,#REF!,13,FALSE)</f>
        <v>#REF!</v>
      </c>
      <c r="AT289" s="100"/>
      <c r="AU289" s="100"/>
      <c r="AV289" s="100">
        <v>278</v>
      </c>
      <c r="AW289" s="100"/>
      <c r="AY289" s="9">
        <v>17900</v>
      </c>
    </row>
    <row r="290" spans="1:51" s="2" customFormat="1" ht="12.75" customHeight="1" x14ac:dyDescent="0.2">
      <c r="A290" s="36" t="s">
        <v>1222</v>
      </c>
      <c r="B290" s="37">
        <v>9789500214704</v>
      </c>
      <c r="C290" s="37">
        <v>713084</v>
      </c>
      <c r="D290" s="149">
        <v>224</v>
      </c>
      <c r="E290" s="38" t="s">
        <v>402</v>
      </c>
      <c r="F290" s="38" t="s">
        <v>877</v>
      </c>
      <c r="G290" s="107">
        <v>45292</v>
      </c>
      <c r="H290" s="108">
        <v>45748</v>
      </c>
      <c r="I290" s="7">
        <v>3000</v>
      </c>
      <c r="J290" s="28" t="s">
        <v>2136</v>
      </c>
      <c r="K290" s="148">
        <v>1931.22</v>
      </c>
      <c r="L290" s="9">
        <v>39900</v>
      </c>
      <c r="M290" s="112"/>
      <c r="N290" s="9">
        <f t="shared" si="198"/>
        <v>19950</v>
      </c>
      <c r="O290" s="9">
        <f t="shared" si="199"/>
        <v>18018.78</v>
      </c>
      <c r="P290" s="9">
        <f t="shared" si="200"/>
        <v>1931.22</v>
      </c>
      <c r="Q290" s="139">
        <f t="shared" si="201"/>
        <v>0.903196992481203</v>
      </c>
      <c r="R290" s="336">
        <v>39900</v>
      </c>
      <c r="S290" s="359" t="s">
        <v>1948</v>
      </c>
      <c r="T290" s="305">
        <v>0.903196992481203</v>
      </c>
      <c r="U290" s="36"/>
      <c r="V290" s="100"/>
      <c r="W290" s="110">
        <f t="shared" si="202"/>
        <v>39900</v>
      </c>
      <c r="X290" s="110">
        <f t="shared" si="203"/>
        <v>1931.22</v>
      </c>
      <c r="Y290" s="110">
        <f t="shared" si="204"/>
        <v>0</v>
      </c>
      <c r="Z290" s="110">
        <f t="shared" si="205"/>
        <v>18018.78</v>
      </c>
      <c r="AA290" s="260">
        <f t="shared" si="206"/>
        <v>0.903196992481203</v>
      </c>
      <c r="AB290" s="28">
        <f t="shared" si="207"/>
        <v>13.2</v>
      </c>
      <c r="AC290" s="261">
        <f t="shared" si="208"/>
        <v>0.90352486287204381</v>
      </c>
      <c r="AD290" s="111">
        <f t="shared" si="209"/>
        <v>1.3</v>
      </c>
      <c r="AE290" s="262">
        <f t="shared" si="210"/>
        <v>2.0406299931522494E-2</v>
      </c>
      <c r="AF290" s="100"/>
      <c r="AG290" s="111">
        <f t="shared" si="211"/>
        <v>2.1</v>
      </c>
      <c r="AH290" s="262">
        <f t="shared" si="212"/>
        <v>0.39358485233856155</v>
      </c>
      <c r="AI290" s="100"/>
      <c r="AJ290" s="111">
        <f t="shared" si="213"/>
        <v>2</v>
      </c>
      <c r="AK290" s="262">
        <f t="shared" si="214"/>
        <v>0.36326409495548961</v>
      </c>
      <c r="AL290" s="100"/>
      <c r="AM290" s="111">
        <f t="shared" si="215"/>
        <v>1.8</v>
      </c>
      <c r="AN290" s="262">
        <f t="shared" si="216"/>
        <v>0.29251566106165516</v>
      </c>
      <c r="AO290" s="100"/>
      <c r="AP290" s="24" t="e">
        <f>VLOOKUP(C290,#REF!,6,FALSE)</f>
        <v>#REF!</v>
      </c>
      <c r="AQ290" s="24" t="e">
        <f>VLOOKUP(C290,#REF!,7,FALSE)</f>
        <v>#REF!</v>
      </c>
      <c r="AR290" s="24" t="e">
        <f>VLOOKUP(C290,#REF!,12,FALSE)</f>
        <v>#REF!</v>
      </c>
      <c r="AS290" s="24" t="e">
        <f>VLOOKUP(C290,#REF!,13,FALSE)</f>
        <v>#REF!</v>
      </c>
      <c r="AT290" s="100"/>
      <c r="AU290" s="100"/>
      <c r="AV290" s="100">
        <v>279</v>
      </c>
      <c r="AW290" s="100"/>
      <c r="AY290" s="9">
        <v>39900</v>
      </c>
    </row>
    <row r="291" spans="1:51" s="2" customFormat="1" ht="12.75" customHeight="1" x14ac:dyDescent="0.2">
      <c r="A291" s="6" t="s">
        <v>1223</v>
      </c>
      <c r="B291" s="8">
        <v>9789500213882</v>
      </c>
      <c r="C291" s="6">
        <v>707248</v>
      </c>
      <c r="D291" s="41">
        <v>304</v>
      </c>
      <c r="E291" s="7" t="s">
        <v>402</v>
      </c>
      <c r="F291" s="7" t="s">
        <v>619</v>
      </c>
      <c r="G291" s="107">
        <v>45108</v>
      </c>
      <c r="H291" s="108">
        <v>45748</v>
      </c>
      <c r="I291" s="7">
        <v>3024</v>
      </c>
      <c r="J291" s="28" t="s">
        <v>2136</v>
      </c>
      <c r="K291" s="9">
        <v>2385.63</v>
      </c>
      <c r="L291" s="9">
        <v>39900</v>
      </c>
      <c r="M291" s="9"/>
      <c r="N291" s="9">
        <f t="shared" si="198"/>
        <v>19950</v>
      </c>
      <c r="O291" s="9">
        <f t="shared" si="199"/>
        <v>17564.37</v>
      </c>
      <c r="P291" s="9">
        <f t="shared" si="200"/>
        <v>2385.63</v>
      </c>
      <c r="Q291" s="139">
        <f t="shared" si="201"/>
        <v>0.88041954887218044</v>
      </c>
      <c r="R291" s="336">
        <v>39900</v>
      </c>
      <c r="S291" s="359" t="s">
        <v>1948</v>
      </c>
      <c r="T291" s="305">
        <v>0.88041954887218044</v>
      </c>
      <c r="U291" s="140"/>
      <c r="V291" s="100"/>
      <c r="W291" s="110">
        <f t="shared" si="202"/>
        <v>39900</v>
      </c>
      <c r="X291" s="110">
        <f t="shared" si="203"/>
        <v>2385.63</v>
      </c>
      <c r="Y291" s="110">
        <f t="shared" si="204"/>
        <v>0</v>
      </c>
      <c r="Z291" s="110">
        <f t="shared" si="205"/>
        <v>17564.37</v>
      </c>
      <c r="AA291" s="260">
        <f t="shared" si="206"/>
        <v>0.88041954887218044</v>
      </c>
      <c r="AB291" s="28">
        <f t="shared" si="207"/>
        <v>13.2</v>
      </c>
      <c r="AC291" s="261">
        <f t="shared" si="208"/>
        <v>0.8808245661361388</v>
      </c>
      <c r="AD291" s="111">
        <f t="shared" si="209"/>
        <v>1.7</v>
      </c>
      <c r="AE291" s="262">
        <f t="shared" si="210"/>
        <v>7.4637807645313178E-2</v>
      </c>
      <c r="AF291" s="100"/>
      <c r="AG291" s="111">
        <f t="shared" si="211"/>
        <v>2.6</v>
      </c>
      <c r="AH291" s="262">
        <f t="shared" si="212"/>
        <v>0.39495548961424332</v>
      </c>
      <c r="AI291" s="100"/>
      <c r="AJ291" s="111">
        <f t="shared" si="213"/>
        <v>2.4</v>
      </c>
      <c r="AK291" s="262">
        <f t="shared" si="214"/>
        <v>0.34453511374876356</v>
      </c>
      <c r="AL291" s="100"/>
      <c r="AM291" s="111">
        <f t="shared" si="215"/>
        <v>2.2000000000000002</v>
      </c>
      <c r="AN291" s="262">
        <f t="shared" si="216"/>
        <v>0.28494739681683301</v>
      </c>
      <c r="AO291" s="100"/>
      <c r="AP291" s="24" t="e">
        <f>VLOOKUP(C291,#REF!,6,FALSE)</f>
        <v>#REF!</v>
      </c>
      <c r="AQ291" s="24" t="e">
        <f>VLOOKUP(C291,#REF!,7,FALSE)</f>
        <v>#REF!</v>
      </c>
      <c r="AR291" s="24" t="e">
        <f>VLOOKUP(C291,#REF!,12,FALSE)</f>
        <v>#REF!</v>
      </c>
      <c r="AS291" s="24" t="e">
        <f>VLOOKUP(C291,#REF!,13,FALSE)</f>
        <v>#REF!</v>
      </c>
      <c r="AT291" s="100"/>
      <c r="AU291" s="100"/>
      <c r="AV291" s="100">
        <v>280</v>
      </c>
      <c r="AW291" s="100"/>
      <c r="AY291" s="9">
        <v>39900</v>
      </c>
    </row>
    <row r="292" spans="1:51" s="2" customFormat="1" ht="12.75" customHeight="1" x14ac:dyDescent="0.2">
      <c r="A292" s="6" t="s">
        <v>1224</v>
      </c>
      <c r="B292" s="8">
        <v>9789500213059</v>
      </c>
      <c r="C292" s="6">
        <v>698752</v>
      </c>
      <c r="D292" s="41">
        <v>224</v>
      </c>
      <c r="E292" s="7" t="s">
        <v>402</v>
      </c>
      <c r="F292" s="7" t="s">
        <v>722</v>
      </c>
      <c r="G292" s="107">
        <v>44835</v>
      </c>
      <c r="H292" s="108">
        <v>45748</v>
      </c>
      <c r="I292" s="7">
        <v>3030</v>
      </c>
      <c r="J292" s="28" t="s">
        <v>2136</v>
      </c>
      <c r="K292" s="148">
        <v>1931.23</v>
      </c>
      <c r="L292" s="9">
        <v>39900</v>
      </c>
      <c r="M292" s="112"/>
      <c r="N292" s="9">
        <f t="shared" si="198"/>
        <v>19950</v>
      </c>
      <c r="O292" s="9">
        <f t="shared" si="199"/>
        <v>18018.77</v>
      </c>
      <c r="P292" s="9">
        <f t="shared" si="200"/>
        <v>1931.23</v>
      </c>
      <c r="Q292" s="139">
        <f t="shared" si="201"/>
        <v>0.90319649122807022</v>
      </c>
      <c r="R292" s="336">
        <v>39900</v>
      </c>
      <c r="S292" s="359" t="s">
        <v>1948</v>
      </c>
      <c r="T292" s="305">
        <v>0.90319649122807022</v>
      </c>
      <c r="U292" s="140"/>
      <c r="V292" s="100"/>
      <c r="W292" s="110">
        <f t="shared" si="202"/>
        <v>39900</v>
      </c>
      <c r="X292" s="110">
        <f t="shared" si="203"/>
        <v>1931.23</v>
      </c>
      <c r="Y292" s="110">
        <f t="shared" si="204"/>
        <v>0</v>
      </c>
      <c r="Z292" s="110">
        <f t="shared" si="205"/>
        <v>18018.77</v>
      </c>
      <c r="AA292" s="260">
        <f t="shared" si="206"/>
        <v>0.90319649122807022</v>
      </c>
      <c r="AB292" s="28">
        <f t="shared" si="207"/>
        <v>13.2</v>
      </c>
      <c r="AC292" s="261">
        <f t="shared" si="208"/>
        <v>0.9035243633166482</v>
      </c>
      <c r="AD292" s="111">
        <f t="shared" si="209"/>
        <v>1.3</v>
      </c>
      <c r="AE292" s="262">
        <f t="shared" si="210"/>
        <v>2.0401227522889257E-2</v>
      </c>
      <c r="AF292" s="100"/>
      <c r="AG292" s="111">
        <f t="shared" si="211"/>
        <v>2.1</v>
      </c>
      <c r="AH292" s="262">
        <f t="shared" si="212"/>
        <v>0.3935817122760743</v>
      </c>
      <c r="AI292" s="100"/>
      <c r="AJ292" s="111">
        <f t="shared" si="213"/>
        <v>2</v>
      </c>
      <c r="AK292" s="262">
        <f t="shared" si="214"/>
        <v>0.36326079788987803</v>
      </c>
      <c r="AL292" s="100"/>
      <c r="AM292" s="111">
        <f t="shared" si="215"/>
        <v>1.8</v>
      </c>
      <c r="AN292" s="262">
        <f t="shared" si="216"/>
        <v>0.29251199765542008</v>
      </c>
      <c r="AO292" s="100"/>
      <c r="AP292" s="24" t="e">
        <f>VLOOKUP(C292,#REF!,6,FALSE)</f>
        <v>#REF!</v>
      </c>
      <c r="AQ292" s="24" t="e">
        <f>VLOOKUP(C292,#REF!,7,FALSE)</f>
        <v>#REF!</v>
      </c>
      <c r="AR292" s="24" t="e">
        <f>VLOOKUP(C292,#REF!,12,FALSE)</f>
        <v>#REF!</v>
      </c>
      <c r="AS292" s="24" t="e">
        <f>VLOOKUP(C292,#REF!,13,FALSE)</f>
        <v>#REF!</v>
      </c>
      <c r="AT292" s="100"/>
      <c r="AU292" s="100"/>
      <c r="AV292" s="100">
        <v>281</v>
      </c>
      <c r="AW292" s="100"/>
      <c r="AY292" s="9">
        <v>39900</v>
      </c>
    </row>
    <row r="293" spans="1:51" s="2" customFormat="1" ht="12.75" customHeight="1" x14ac:dyDescent="0.2">
      <c r="A293" s="7" t="s">
        <v>1225</v>
      </c>
      <c r="B293" s="8">
        <v>9789500209816</v>
      </c>
      <c r="C293" s="6">
        <v>655251</v>
      </c>
      <c r="D293" s="7">
        <v>384</v>
      </c>
      <c r="E293" s="22" t="s">
        <v>402</v>
      </c>
      <c r="F293" s="7" t="s">
        <v>403</v>
      </c>
      <c r="G293" s="107">
        <v>43374</v>
      </c>
      <c r="H293" s="108">
        <v>44986</v>
      </c>
      <c r="I293" s="24">
        <v>2000</v>
      </c>
      <c r="J293" s="8" t="s">
        <v>2258</v>
      </c>
      <c r="K293" s="9">
        <v>860.25</v>
      </c>
      <c r="L293" s="9">
        <v>31300</v>
      </c>
      <c r="M293" s="112"/>
      <c r="N293" s="9">
        <f t="shared" si="198"/>
        <v>15650</v>
      </c>
      <c r="O293" s="9">
        <f t="shared" si="199"/>
        <v>14789.75</v>
      </c>
      <c r="P293" s="9">
        <f t="shared" si="200"/>
        <v>860.25</v>
      </c>
      <c r="Q293" s="139">
        <f t="shared" si="201"/>
        <v>0.9450319488817891</v>
      </c>
      <c r="R293" s="336">
        <v>31300</v>
      </c>
      <c r="S293" s="359" t="s">
        <v>1948</v>
      </c>
      <c r="T293" s="305">
        <v>0.9450319488817891</v>
      </c>
      <c r="U293" s="140"/>
      <c r="V293" s="100"/>
      <c r="W293" s="110">
        <f t="shared" si="202"/>
        <v>31300</v>
      </c>
      <c r="X293" s="110">
        <f t="shared" si="203"/>
        <v>860.25</v>
      </c>
      <c r="Y293" s="110">
        <f t="shared" si="204"/>
        <v>0</v>
      </c>
      <c r="Z293" s="110">
        <f t="shared" si="205"/>
        <v>14789.75</v>
      </c>
      <c r="AA293" s="260">
        <f t="shared" si="206"/>
        <v>0.9450319488817891</v>
      </c>
      <c r="AB293" s="28">
        <f t="shared" si="207"/>
        <v>10.3</v>
      </c>
      <c r="AC293" s="261">
        <f t="shared" si="208"/>
        <v>0.94492620014788775</v>
      </c>
      <c r="AD293" s="111">
        <f t="shared" si="209"/>
        <v>0.6</v>
      </c>
      <c r="AE293" s="262">
        <f t="shared" si="210"/>
        <v>5.4566435872073833E-2</v>
      </c>
      <c r="AF293" s="100"/>
      <c r="AG293" s="111">
        <f t="shared" si="211"/>
        <v>0.9</v>
      </c>
      <c r="AH293" s="262">
        <f t="shared" si="212"/>
        <v>0.36971095724804931</v>
      </c>
      <c r="AI293" s="100"/>
      <c r="AJ293" s="111">
        <f t="shared" si="213"/>
        <v>0.9</v>
      </c>
      <c r="AK293" s="262">
        <f t="shared" si="214"/>
        <v>0.36971095724804931</v>
      </c>
      <c r="AL293" s="100"/>
      <c r="AM293" s="111">
        <f t="shared" si="215"/>
        <v>0.8</v>
      </c>
      <c r="AN293" s="262">
        <f t="shared" si="216"/>
        <v>0.29092482690405541</v>
      </c>
      <c r="AO293" s="100"/>
      <c r="AP293" s="24" t="e">
        <f>VLOOKUP(C293,#REF!,6,FALSE)</f>
        <v>#REF!</v>
      </c>
      <c r="AQ293" s="24" t="e">
        <f>VLOOKUP(C293,#REF!,7,FALSE)</f>
        <v>#REF!</v>
      </c>
      <c r="AR293" s="24" t="e">
        <f>VLOOKUP(C293,#REF!,12,FALSE)</f>
        <v>#REF!</v>
      </c>
      <c r="AS293" s="24" t="e">
        <f>VLOOKUP(C293,#REF!,13,FALSE)</f>
        <v>#REF!</v>
      </c>
      <c r="AT293" s="100"/>
      <c r="AU293" s="100"/>
      <c r="AV293" s="100">
        <v>282</v>
      </c>
      <c r="AW293" s="100"/>
      <c r="AY293" s="9">
        <v>31300</v>
      </c>
    </row>
    <row r="294" spans="1:51" s="2" customFormat="1" ht="12.75" customHeight="1" x14ac:dyDescent="0.2">
      <c r="A294" s="6" t="s">
        <v>1226</v>
      </c>
      <c r="B294" s="8">
        <v>9789500209823</v>
      </c>
      <c r="C294" s="6">
        <v>655252</v>
      </c>
      <c r="D294" s="7">
        <v>416</v>
      </c>
      <c r="E294" s="22" t="s">
        <v>402</v>
      </c>
      <c r="F294" s="10" t="s">
        <v>404</v>
      </c>
      <c r="G294" s="107">
        <v>43374</v>
      </c>
      <c r="H294" s="108">
        <v>44986</v>
      </c>
      <c r="I294" s="24">
        <v>2000</v>
      </c>
      <c r="J294" s="28" t="s">
        <v>2136</v>
      </c>
      <c r="K294" s="9">
        <v>914.12</v>
      </c>
      <c r="L294" s="9">
        <v>31800</v>
      </c>
      <c r="M294" s="112"/>
      <c r="N294" s="9">
        <f t="shared" si="198"/>
        <v>15900</v>
      </c>
      <c r="O294" s="9">
        <f t="shared" si="199"/>
        <v>14985.88</v>
      </c>
      <c r="P294" s="9">
        <f t="shared" si="200"/>
        <v>914.12</v>
      </c>
      <c r="Q294" s="139">
        <f t="shared" si="201"/>
        <v>0.94250817610062887</v>
      </c>
      <c r="R294" s="336">
        <v>31800</v>
      </c>
      <c r="S294" s="359" t="s">
        <v>1948</v>
      </c>
      <c r="T294" s="305">
        <v>0.94250817610062887</v>
      </c>
      <c r="U294" s="140"/>
      <c r="V294" s="100"/>
      <c r="W294" s="110">
        <f t="shared" si="202"/>
        <v>31800</v>
      </c>
      <c r="X294" s="110">
        <f t="shared" si="203"/>
        <v>914.12</v>
      </c>
      <c r="Y294" s="110">
        <f t="shared" si="204"/>
        <v>0</v>
      </c>
      <c r="Z294" s="110">
        <f t="shared" si="205"/>
        <v>14985.88</v>
      </c>
      <c r="AA294" s="260">
        <f t="shared" si="206"/>
        <v>0.94250817610062887</v>
      </c>
      <c r="AB294" s="28">
        <f t="shared" si="207"/>
        <v>10.5</v>
      </c>
      <c r="AC294" s="261">
        <f t="shared" si="208"/>
        <v>0.94259212158321948</v>
      </c>
      <c r="AD294" s="111">
        <f t="shared" si="209"/>
        <v>0.6</v>
      </c>
      <c r="AE294" s="262">
        <f t="shared" si="210"/>
        <v>-4.6378722936586741E-3</v>
      </c>
      <c r="AF294" s="100"/>
      <c r="AG294" s="111">
        <f t="shared" si="211"/>
        <v>1</v>
      </c>
      <c r="AH294" s="262">
        <f t="shared" si="212"/>
        <v>0.39721727662380479</v>
      </c>
      <c r="AI294" s="100"/>
      <c r="AJ294" s="111">
        <f t="shared" si="213"/>
        <v>0.9</v>
      </c>
      <c r="AK294" s="262">
        <f t="shared" si="214"/>
        <v>0.33024141847089428</v>
      </c>
      <c r="AL294" s="100"/>
      <c r="AM294" s="111">
        <f t="shared" si="215"/>
        <v>0.9</v>
      </c>
      <c r="AN294" s="262">
        <f t="shared" si="216"/>
        <v>0.33024141847089428</v>
      </c>
      <c r="AO294" s="100"/>
      <c r="AP294" s="24" t="e">
        <f>VLOOKUP(C294,#REF!,6,FALSE)</f>
        <v>#REF!</v>
      </c>
      <c r="AQ294" s="24" t="e">
        <f>VLOOKUP(C294,#REF!,7,FALSE)</f>
        <v>#REF!</v>
      </c>
      <c r="AR294" s="24" t="e">
        <f>VLOOKUP(C294,#REF!,12,FALSE)</f>
        <v>#REF!</v>
      </c>
      <c r="AS294" s="24" t="e">
        <f>VLOOKUP(C294,#REF!,13,FALSE)</f>
        <v>#REF!</v>
      </c>
      <c r="AT294" s="100"/>
      <c r="AU294" s="100"/>
      <c r="AV294" s="100">
        <v>283</v>
      </c>
      <c r="AW294" s="100"/>
      <c r="AY294" s="9">
        <v>31800</v>
      </c>
    </row>
    <row r="295" spans="1:51" s="162" customFormat="1" ht="12.75" customHeight="1" x14ac:dyDescent="0.2">
      <c r="A295" s="11" t="s">
        <v>1227</v>
      </c>
      <c r="B295" s="13">
        <v>9789500209922</v>
      </c>
      <c r="C295" s="6">
        <v>657294</v>
      </c>
      <c r="D295" s="7">
        <v>608</v>
      </c>
      <c r="E295" s="22" t="s">
        <v>402</v>
      </c>
      <c r="F295" s="11" t="s">
        <v>1228</v>
      </c>
      <c r="G295" s="107">
        <v>43435</v>
      </c>
      <c r="H295" s="108">
        <v>44958</v>
      </c>
      <c r="I295" s="24">
        <v>2000</v>
      </c>
      <c r="J295" s="8" t="s">
        <v>2258</v>
      </c>
      <c r="K295" s="28">
        <v>1237.33</v>
      </c>
      <c r="L295" s="9">
        <v>41900</v>
      </c>
      <c r="M295" s="112"/>
      <c r="N295" s="9">
        <f t="shared" si="198"/>
        <v>20950</v>
      </c>
      <c r="O295" s="9">
        <f t="shared" si="199"/>
        <v>19712.669999999998</v>
      </c>
      <c r="P295" s="9">
        <f t="shared" si="200"/>
        <v>1237.33</v>
      </c>
      <c r="Q295" s="139">
        <f t="shared" si="201"/>
        <v>0.94093890214797127</v>
      </c>
      <c r="R295" s="336">
        <v>41900</v>
      </c>
      <c r="S295" s="359" t="s">
        <v>1948</v>
      </c>
      <c r="T295" s="305">
        <v>0.94093890214797127</v>
      </c>
      <c r="U295" s="140"/>
      <c r="V295" s="100"/>
      <c r="W295" s="110">
        <f t="shared" si="202"/>
        <v>41900</v>
      </c>
      <c r="X295" s="110">
        <f t="shared" si="203"/>
        <v>1237.33</v>
      </c>
      <c r="Y295" s="110">
        <f t="shared" si="204"/>
        <v>0</v>
      </c>
      <c r="Z295" s="110">
        <f t="shared" si="205"/>
        <v>19712.669999999998</v>
      </c>
      <c r="AA295" s="260">
        <f t="shared" si="206"/>
        <v>0.94093890214797127</v>
      </c>
      <c r="AB295" s="28">
        <f t="shared" si="207"/>
        <v>13.8</v>
      </c>
      <c r="AC295" s="261">
        <f t="shared" si="208"/>
        <v>0.94087596821437625</v>
      </c>
      <c r="AD295" s="111">
        <f t="shared" si="209"/>
        <v>0.9</v>
      </c>
      <c r="AE295" s="262">
        <f t="shared" si="210"/>
        <v>9.3431512620434629E-2</v>
      </c>
      <c r="AF295" s="100"/>
      <c r="AG295" s="111">
        <f t="shared" si="211"/>
        <v>1.4</v>
      </c>
      <c r="AH295" s="262">
        <f t="shared" si="212"/>
        <v>0.41720597239885077</v>
      </c>
      <c r="AI295" s="100"/>
      <c r="AJ295" s="111">
        <f t="shared" si="213"/>
        <v>1.3</v>
      </c>
      <c r="AK295" s="262">
        <f t="shared" si="214"/>
        <v>0.37237566258337779</v>
      </c>
      <c r="AL295" s="100"/>
      <c r="AM295" s="111">
        <f t="shared" si="215"/>
        <v>1.2</v>
      </c>
      <c r="AN295" s="262">
        <f t="shared" si="216"/>
        <v>0.32007363446532588</v>
      </c>
      <c r="AO295" s="100"/>
      <c r="AP295" s="24" t="e">
        <f>VLOOKUP(C295,#REF!,6,FALSE)</f>
        <v>#REF!</v>
      </c>
      <c r="AQ295" s="24" t="e">
        <f>VLOOKUP(C295,#REF!,7,FALSE)</f>
        <v>#REF!</v>
      </c>
      <c r="AR295" s="24" t="e">
        <f>VLOOKUP(C295,#REF!,12,FALSE)</f>
        <v>#REF!</v>
      </c>
      <c r="AS295" s="24" t="e">
        <f>VLOOKUP(C295,#REF!,13,FALSE)</f>
        <v>#REF!</v>
      </c>
      <c r="AT295" s="100"/>
      <c r="AU295" s="100"/>
      <c r="AV295" s="100">
        <v>284</v>
      </c>
      <c r="AW295" s="100"/>
      <c r="AY295" s="9">
        <v>41900</v>
      </c>
    </row>
    <row r="296" spans="1:51" s="2" customFormat="1" ht="12.75" customHeight="1" x14ac:dyDescent="0.2">
      <c r="A296" s="7" t="s">
        <v>1229</v>
      </c>
      <c r="B296" s="8">
        <v>9789500209977</v>
      </c>
      <c r="C296" s="145">
        <v>660112</v>
      </c>
      <c r="D296" s="7">
        <v>352</v>
      </c>
      <c r="E296" s="22" t="s">
        <v>402</v>
      </c>
      <c r="F296" s="11" t="s">
        <v>427</v>
      </c>
      <c r="G296" s="107">
        <v>43525</v>
      </c>
      <c r="H296" s="108">
        <v>44958</v>
      </c>
      <c r="I296" s="24">
        <v>2000</v>
      </c>
      <c r="J296" s="8" t="s">
        <v>2258</v>
      </c>
      <c r="K296" s="28">
        <v>806.38</v>
      </c>
      <c r="L296" s="9">
        <v>28500</v>
      </c>
      <c r="M296" s="112"/>
      <c r="N296" s="9">
        <f t="shared" si="198"/>
        <v>14250</v>
      </c>
      <c r="O296" s="9">
        <f t="shared" si="199"/>
        <v>13443.62</v>
      </c>
      <c r="P296" s="9">
        <f t="shared" si="200"/>
        <v>806.38</v>
      </c>
      <c r="Q296" s="139">
        <f t="shared" si="201"/>
        <v>0.94341192982456146</v>
      </c>
      <c r="R296" s="336">
        <v>28500</v>
      </c>
      <c r="S296" s="359" t="s">
        <v>1948</v>
      </c>
      <c r="T296" s="305">
        <v>0.94341192982456146</v>
      </c>
      <c r="U296" s="140"/>
      <c r="V296" s="100"/>
      <c r="W296" s="110">
        <f t="shared" si="202"/>
        <v>28500</v>
      </c>
      <c r="X296" s="110">
        <f t="shared" si="203"/>
        <v>806.38</v>
      </c>
      <c r="Y296" s="110">
        <f t="shared" si="204"/>
        <v>0</v>
      </c>
      <c r="Z296" s="110">
        <f t="shared" si="205"/>
        <v>13443.62</v>
      </c>
      <c r="AA296" s="260">
        <f t="shared" si="206"/>
        <v>0.94341192982456146</v>
      </c>
      <c r="AB296" s="28">
        <f t="shared" si="207"/>
        <v>9.4</v>
      </c>
      <c r="AC296" s="261">
        <f t="shared" si="208"/>
        <v>0.94343217515134936</v>
      </c>
      <c r="AD296" s="111">
        <f t="shared" si="209"/>
        <v>0.6</v>
      </c>
      <c r="AE296" s="262">
        <f t="shared" si="210"/>
        <v>0.11377074403780633</v>
      </c>
      <c r="AF296" s="100"/>
      <c r="AG296" s="111">
        <f t="shared" si="211"/>
        <v>0.9</v>
      </c>
      <c r="AH296" s="262">
        <f t="shared" si="212"/>
        <v>0.40918049602520429</v>
      </c>
      <c r="AI296" s="100"/>
      <c r="AJ296" s="111">
        <f t="shared" si="213"/>
        <v>0.8</v>
      </c>
      <c r="AK296" s="262">
        <f t="shared" si="214"/>
        <v>0.3353280580283548</v>
      </c>
      <c r="AL296" s="100"/>
      <c r="AM296" s="111">
        <f t="shared" si="215"/>
        <v>0.8</v>
      </c>
      <c r="AN296" s="262">
        <f t="shared" si="216"/>
        <v>0.3353280580283548</v>
      </c>
      <c r="AO296" s="100"/>
      <c r="AP296" s="24" t="e">
        <f>VLOOKUP(C296,#REF!,6,FALSE)</f>
        <v>#REF!</v>
      </c>
      <c r="AQ296" s="24" t="e">
        <f>VLOOKUP(C296,#REF!,7,FALSE)</f>
        <v>#REF!</v>
      </c>
      <c r="AR296" s="24" t="e">
        <f>VLOOKUP(C296,#REF!,12,FALSE)</f>
        <v>#REF!</v>
      </c>
      <c r="AS296" s="24" t="e">
        <f>VLOOKUP(C296,#REF!,13,FALSE)</f>
        <v>#REF!</v>
      </c>
      <c r="AT296" s="100"/>
      <c r="AU296" s="100"/>
      <c r="AV296" s="100">
        <v>285</v>
      </c>
      <c r="AW296" s="100"/>
      <c r="AY296" s="9">
        <v>28500</v>
      </c>
    </row>
    <row r="297" spans="1:51" s="2" customFormat="1" ht="12.75" customHeight="1" x14ac:dyDescent="0.25">
      <c r="B297" s="3"/>
      <c r="C297" s="3"/>
      <c r="H297" s="132"/>
      <c r="I297" s="132"/>
      <c r="J297" s="134"/>
      <c r="K297" s="132"/>
      <c r="L297" s="134"/>
      <c r="M297" s="132"/>
      <c r="N297" s="132"/>
      <c r="O297" s="132"/>
      <c r="P297" s="132"/>
      <c r="Q297" s="147"/>
      <c r="R297" s="356"/>
      <c r="S297" s="360"/>
      <c r="T297" s="307"/>
      <c r="U297" s="135"/>
      <c r="V297" s="100"/>
      <c r="W297"/>
      <c r="X297"/>
      <c r="Y297"/>
      <c r="Z297"/>
      <c r="AA297"/>
      <c r="AB297"/>
      <c r="AC297"/>
      <c r="AD297" s="263"/>
      <c r="AE297"/>
      <c r="AF297" s="100"/>
      <c r="AG297" s="263"/>
      <c r="AH297"/>
      <c r="AI297" s="100"/>
      <c r="AJ297" s="263"/>
      <c r="AK297"/>
      <c r="AL297" s="100"/>
      <c r="AM297" s="263"/>
      <c r="AN297"/>
      <c r="AO297" s="100"/>
      <c r="AP297" s="100"/>
      <c r="AQ297" s="100"/>
      <c r="AR297" s="100"/>
      <c r="AS297" s="100"/>
      <c r="AT297" s="100"/>
      <c r="AU297" s="100"/>
      <c r="AV297" s="100">
        <v>286</v>
      </c>
      <c r="AW297" s="100"/>
      <c r="AY297" s="134"/>
    </row>
    <row r="298" spans="1:51" s="2" customFormat="1" ht="12.75" customHeight="1" x14ac:dyDescent="0.25">
      <c r="A298" s="160" t="s">
        <v>1230</v>
      </c>
      <c r="B298" s="168"/>
      <c r="C298" s="161"/>
      <c r="D298" s="162"/>
      <c r="E298" s="162"/>
      <c r="F298" s="162"/>
      <c r="G298" s="162"/>
      <c r="H298" s="132"/>
      <c r="I298" s="132"/>
      <c r="J298" s="134"/>
      <c r="K298" s="132"/>
      <c r="L298" s="134"/>
      <c r="M298" s="132"/>
      <c r="N298" s="132"/>
      <c r="O298" s="132"/>
      <c r="P298" s="132"/>
      <c r="Q298" s="147"/>
      <c r="R298" s="356"/>
      <c r="S298" s="360"/>
      <c r="T298" s="307"/>
      <c r="U298" s="135"/>
      <c r="V298" s="100"/>
      <c r="W298"/>
      <c r="X298"/>
      <c r="Y298"/>
      <c r="Z298"/>
      <c r="AA298"/>
      <c r="AB298"/>
      <c r="AC298"/>
      <c r="AD298" s="263"/>
      <c r="AE298"/>
      <c r="AF298" s="100"/>
      <c r="AG298" s="263"/>
      <c r="AH298"/>
      <c r="AI298" s="100"/>
      <c r="AJ298" s="263"/>
      <c r="AK298"/>
      <c r="AL298" s="100"/>
      <c r="AM298" s="263"/>
      <c r="AN298"/>
      <c r="AO298" s="100"/>
      <c r="AP298" s="100"/>
      <c r="AQ298" s="100"/>
      <c r="AR298" s="100"/>
      <c r="AS298" s="100"/>
      <c r="AT298" s="100"/>
      <c r="AU298" s="100"/>
      <c r="AV298" s="100">
        <v>287</v>
      </c>
      <c r="AW298" s="100"/>
      <c r="AY298" s="134"/>
    </row>
    <row r="299" spans="1:51" s="2" customFormat="1" ht="12.75" customHeight="1" x14ac:dyDescent="0.2">
      <c r="A299" s="7" t="s">
        <v>1235</v>
      </c>
      <c r="B299" s="8">
        <v>9789500209311</v>
      </c>
      <c r="C299" s="6">
        <v>647069</v>
      </c>
      <c r="D299" s="7">
        <v>192</v>
      </c>
      <c r="E299" s="8" t="s">
        <v>366</v>
      </c>
      <c r="F299" s="7" t="s">
        <v>375</v>
      </c>
      <c r="G299" s="107">
        <v>43221</v>
      </c>
      <c r="H299" s="108">
        <v>43160</v>
      </c>
      <c r="I299" s="24">
        <v>3050</v>
      </c>
      <c r="J299" s="6" t="s">
        <v>2219</v>
      </c>
      <c r="K299" s="172">
        <v>35.78</v>
      </c>
      <c r="L299" s="112">
        <v>18900</v>
      </c>
      <c r="M299" s="112"/>
      <c r="N299" s="9">
        <f t="shared" ref="N299:N313" si="217">+L299/2</f>
        <v>9450</v>
      </c>
      <c r="O299" s="9">
        <f t="shared" ref="O299:O313" si="218">+N299-M299-K299</f>
        <v>9414.2199999999993</v>
      </c>
      <c r="P299" s="9">
        <f t="shared" ref="P299:P313" si="219">+M299+K299</f>
        <v>35.78</v>
      </c>
      <c r="Q299" s="139">
        <f t="shared" ref="Q299:Q313" si="220">+O299/N299</f>
        <v>0.99621375661375655</v>
      </c>
      <c r="R299" s="370">
        <v>18900</v>
      </c>
      <c r="S299" s="353" t="s">
        <v>2467</v>
      </c>
      <c r="T299" s="9">
        <v>0.99621375661375655</v>
      </c>
      <c r="U299" s="24"/>
      <c r="V299" s="100"/>
      <c r="W299" s="110">
        <f t="shared" ref="W299:W313" si="221">+L299</f>
        <v>18900</v>
      </c>
      <c r="X299" s="110">
        <f t="shared" ref="X299:X313" si="222">+K299</f>
        <v>35.78</v>
      </c>
      <c r="Y299" s="110">
        <f t="shared" ref="Y299:Y313" si="223">+M299</f>
        <v>0</v>
      </c>
      <c r="Z299" s="110">
        <f t="shared" ref="Z299:Z313" si="224">+W299/2-X299-Y299</f>
        <v>9414.2199999999993</v>
      </c>
      <c r="AA299" s="260">
        <f t="shared" ref="AA299:AA313" si="225">+Z299/(W299/2)</f>
        <v>0.99621375661375655</v>
      </c>
      <c r="AB299" s="28">
        <f t="shared" ref="AB299:AB313" si="226">ROUND($W299/2/$X$1,1)</f>
        <v>6.2</v>
      </c>
      <c r="AC299" s="261">
        <f t="shared" ref="AC299:AC313" si="227">+(AB299*$X$1-$X299-$Y299)/(AB299*$X$1)</f>
        <v>0.99619454814247566</v>
      </c>
      <c r="AD299" s="111">
        <f t="shared" ref="AD299:AD313" si="228">+IFERROR(ROUND(($X299+$Y299)/(1-$X$2)/$X$1,1),0)</f>
        <v>0</v>
      </c>
      <c r="AE299" s="262" t="e">
        <f t="shared" ref="AE299:AE313" si="229">+(AD299*$X$1-$X299-$Y299)/(AD299*$X$1)</f>
        <v>#DIV/0!</v>
      </c>
      <c r="AF299" s="100"/>
      <c r="AG299" s="111">
        <f t="shared" ref="AG299:AG313" si="230">+IFERROR(ROUND(($X299+$Y299)/(1-$AG$2)/$X$1,1),0)</f>
        <v>0</v>
      </c>
      <c r="AH299" s="262" t="e">
        <f t="shared" ref="AH299:AH313" si="231">+(AG299*$X$1-$X299-$Y299)/(AG299*$X$1)</f>
        <v>#DIV/0!</v>
      </c>
      <c r="AI299" s="100"/>
      <c r="AJ299" s="111">
        <f t="shared" ref="AJ299:AJ313" si="232">+IFERROR(ROUND(($X299+$Y299)/(1-$AJ$2)/$X$1,1),0)</f>
        <v>0</v>
      </c>
      <c r="AK299" s="262" t="e">
        <f t="shared" ref="AK299:AK313" si="233">+(AJ299*$X$1-$X299-$Y299)/(AJ299*$X$1)</f>
        <v>#DIV/0!</v>
      </c>
      <c r="AL299" s="100"/>
      <c r="AM299" s="111">
        <f t="shared" ref="AM299:AM313" si="234">+IFERROR(ROUND(($X299+$Y299)/(1-$AM$2)/$X$1,1),0)</f>
        <v>0</v>
      </c>
      <c r="AN299" s="262" t="e">
        <f t="shared" ref="AN299:AN313" si="235">+(AM299*$X$1-$X299-$Y299)/(AM299*$X$1)</f>
        <v>#DIV/0!</v>
      </c>
      <c r="AO299" s="100"/>
      <c r="AP299" s="24" t="e">
        <f>VLOOKUP(C299,#REF!,6,FALSE)</f>
        <v>#REF!</v>
      </c>
      <c r="AQ299" s="24" t="e">
        <f>VLOOKUP(C299,#REF!,7,FALSE)</f>
        <v>#REF!</v>
      </c>
      <c r="AR299" s="24" t="e">
        <f>VLOOKUP(C299,#REF!,12,FALSE)</f>
        <v>#REF!</v>
      </c>
      <c r="AS299" s="24" t="e">
        <f>VLOOKUP(C299,#REF!,13,FALSE)</f>
        <v>#REF!</v>
      </c>
      <c r="AT299" s="100"/>
      <c r="AU299" s="100"/>
      <c r="AV299" s="100">
        <v>288</v>
      </c>
      <c r="AW299" s="100"/>
      <c r="AY299" s="112">
        <v>18900</v>
      </c>
    </row>
    <row r="300" spans="1:51" s="162" customFormat="1" ht="12.75" customHeight="1" x14ac:dyDescent="0.2">
      <c r="A300" s="7" t="s">
        <v>1236</v>
      </c>
      <c r="B300" s="8">
        <v>9789500209328</v>
      </c>
      <c r="C300" s="6">
        <v>647076</v>
      </c>
      <c r="D300" s="7">
        <v>192</v>
      </c>
      <c r="E300" s="8" t="s">
        <v>366</v>
      </c>
      <c r="F300" s="7" t="s">
        <v>823</v>
      </c>
      <c r="G300" s="107">
        <v>43221</v>
      </c>
      <c r="H300" s="108">
        <v>43160</v>
      </c>
      <c r="I300" s="24">
        <v>3024</v>
      </c>
      <c r="J300" s="6" t="s">
        <v>2219</v>
      </c>
      <c r="K300" s="172">
        <v>35.79</v>
      </c>
      <c r="L300" s="112">
        <v>18900</v>
      </c>
      <c r="M300" s="112"/>
      <c r="N300" s="9">
        <f t="shared" si="217"/>
        <v>9450</v>
      </c>
      <c r="O300" s="9">
        <f t="shared" si="218"/>
        <v>9414.2099999999991</v>
      </c>
      <c r="P300" s="9">
        <f t="shared" si="219"/>
        <v>35.79</v>
      </c>
      <c r="Q300" s="139">
        <f t="shared" si="220"/>
        <v>0.99621269841269833</v>
      </c>
      <c r="R300" s="370">
        <v>18900</v>
      </c>
      <c r="S300" s="353" t="s">
        <v>2467</v>
      </c>
      <c r="T300" s="9">
        <v>0.99621269841269833</v>
      </c>
      <c r="U300" s="24"/>
      <c r="V300" s="100"/>
      <c r="W300" s="110">
        <f t="shared" si="221"/>
        <v>18900</v>
      </c>
      <c r="X300" s="110">
        <f t="shared" si="222"/>
        <v>35.79</v>
      </c>
      <c r="Y300" s="110">
        <f t="shared" si="223"/>
        <v>0</v>
      </c>
      <c r="Z300" s="110">
        <f t="shared" si="224"/>
        <v>9414.2099999999991</v>
      </c>
      <c r="AA300" s="260">
        <f t="shared" si="225"/>
        <v>0.99621269841269833</v>
      </c>
      <c r="AB300" s="28">
        <f t="shared" si="226"/>
        <v>6.2</v>
      </c>
      <c r="AC300" s="261">
        <f t="shared" si="227"/>
        <v>0.99619348457292356</v>
      </c>
      <c r="AD300" s="111">
        <f t="shared" si="228"/>
        <v>0</v>
      </c>
      <c r="AE300" s="262" t="e">
        <f t="shared" si="229"/>
        <v>#DIV/0!</v>
      </c>
      <c r="AF300" s="100"/>
      <c r="AG300" s="111">
        <f t="shared" si="230"/>
        <v>0</v>
      </c>
      <c r="AH300" s="262" t="e">
        <f t="shared" si="231"/>
        <v>#DIV/0!</v>
      </c>
      <c r="AI300" s="100"/>
      <c r="AJ300" s="111">
        <f t="shared" si="232"/>
        <v>0</v>
      </c>
      <c r="AK300" s="262" t="e">
        <f t="shared" si="233"/>
        <v>#DIV/0!</v>
      </c>
      <c r="AL300" s="100"/>
      <c r="AM300" s="111">
        <f t="shared" si="234"/>
        <v>0</v>
      </c>
      <c r="AN300" s="262" t="e">
        <f t="shared" si="235"/>
        <v>#DIV/0!</v>
      </c>
      <c r="AO300" s="100"/>
      <c r="AP300" s="24" t="e">
        <f>VLOOKUP(C300,#REF!,6,FALSE)</f>
        <v>#REF!</v>
      </c>
      <c r="AQ300" s="24" t="e">
        <f>VLOOKUP(C300,#REF!,7,FALSE)</f>
        <v>#REF!</v>
      </c>
      <c r="AR300" s="24" t="e">
        <f>VLOOKUP(C300,#REF!,12,FALSE)</f>
        <v>#REF!</v>
      </c>
      <c r="AS300" s="24" t="e">
        <f>VLOOKUP(C300,#REF!,13,FALSE)</f>
        <v>#REF!</v>
      </c>
      <c r="AT300" s="100"/>
      <c r="AU300" s="100"/>
      <c r="AV300" s="100">
        <v>289</v>
      </c>
      <c r="AW300" s="100"/>
      <c r="AY300" s="112">
        <v>18900</v>
      </c>
    </row>
    <row r="301" spans="1:51" s="2" customFormat="1" ht="12.75" customHeight="1" x14ac:dyDescent="0.2">
      <c r="A301" s="7" t="s">
        <v>1231</v>
      </c>
      <c r="B301" s="8">
        <v>9789500209366</v>
      </c>
      <c r="C301" s="170">
        <v>647077</v>
      </c>
      <c r="D301" s="7">
        <v>192</v>
      </c>
      <c r="E301" s="8" t="s">
        <v>366</v>
      </c>
      <c r="F301" s="7" t="s">
        <v>372</v>
      </c>
      <c r="G301" s="107">
        <v>43221</v>
      </c>
      <c r="H301" s="108">
        <v>45931</v>
      </c>
      <c r="I301" s="7">
        <v>4028</v>
      </c>
      <c r="J301" s="6" t="s">
        <v>2219</v>
      </c>
      <c r="K301" s="110">
        <v>2269.5500000000002</v>
      </c>
      <c r="L301" s="112">
        <v>18900</v>
      </c>
      <c r="M301" s="112"/>
      <c r="N301" s="9">
        <f t="shared" si="217"/>
        <v>9450</v>
      </c>
      <c r="O301" s="9">
        <f t="shared" si="218"/>
        <v>7180.45</v>
      </c>
      <c r="P301" s="9">
        <f t="shared" si="219"/>
        <v>2269.5500000000002</v>
      </c>
      <c r="Q301" s="139">
        <f t="shared" si="220"/>
        <v>0.75983597883597886</v>
      </c>
      <c r="R301" s="370">
        <v>18900</v>
      </c>
      <c r="S301" s="353" t="s">
        <v>2467</v>
      </c>
      <c r="T301" s="9">
        <v>0.75983597883597886</v>
      </c>
      <c r="U301" s="24"/>
      <c r="V301" s="100"/>
      <c r="W301" s="110">
        <f t="shared" si="221"/>
        <v>18900</v>
      </c>
      <c r="X301" s="110">
        <f t="shared" si="222"/>
        <v>2269.5500000000002</v>
      </c>
      <c r="Y301" s="110">
        <f t="shared" si="223"/>
        <v>0</v>
      </c>
      <c r="Z301" s="110">
        <f t="shared" si="224"/>
        <v>7180.45</v>
      </c>
      <c r="AA301" s="260">
        <f t="shared" si="225"/>
        <v>0.75983597883597886</v>
      </c>
      <c r="AB301" s="28">
        <f t="shared" si="226"/>
        <v>6.2</v>
      </c>
      <c r="AC301" s="261">
        <f t="shared" si="227"/>
        <v>0.75861757229614035</v>
      </c>
      <c r="AD301" s="111">
        <f t="shared" si="228"/>
        <v>1.6</v>
      </c>
      <c r="AE301" s="262">
        <f t="shared" si="229"/>
        <v>6.4643092647543643E-2</v>
      </c>
      <c r="AF301" s="100"/>
      <c r="AG301" s="111">
        <f t="shared" si="230"/>
        <v>2.5</v>
      </c>
      <c r="AH301" s="262">
        <f t="shared" si="231"/>
        <v>0.4013715792944279</v>
      </c>
      <c r="AI301" s="100"/>
      <c r="AJ301" s="111">
        <f t="shared" si="232"/>
        <v>2.2999999999999998</v>
      </c>
      <c r="AK301" s="262">
        <f t="shared" si="233"/>
        <v>0.34931693401568248</v>
      </c>
      <c r="AL301" s="100"/>
      <c r="AM301" s="111">
        <f t="shared" si="234"/>
        <v>2.1</v>
      </c>
      <c r="AN301" s="262">
        <f t="shared" si="235"/>
        <v>0.2873471182076523</v>
      </c>
      <c r="AO301" s="100"/>
      <c r="AP301" s="24" t="e">
        <f>VLOOKUP(C301,#REF!,6,FALSE)</f>
        <v>#REF!</v>
      </c>
      <c r="AQ301" s="24" t="e">
        <f>VLOOKUP(C301,#REF!,7,FALSE)</f>
        <v>#REF!</v>
      </c>
      <c r="AR301" s="24" t="e">
        <f>VLOOKUP(C301,#REF!,12,FALSE)</f>
        <v>#REF!</v>
      </c>
      <c r="AS301" s="24" t="e">
        <f>VLOOKUP(C301,#REF!,13,FALSE)</f>
        <v>#REF!</v>
      </c>
      <c r="AT301" s="100"/>
      <c r="AU301" s="100"/>
      <c r="AV301" s="100">
        <v>290</v>
      </c>
      <c r="AW301" s="100"/>
      <c r="AY301" s="112">
        <v>18900</v>
      </c>
    </row>
    <row r="302" spans="1:51" s="2" customFormat="1" ht="12.75" customHeight="1" x14ac:dyDescent="0.2">
      <c r="A302" s="7" t="s">
        <v>1232</v>
      </c>
      <c r="B302" s="8">
        <v>9789500209342</v>
      </c>
      <c r="C302" s="170">
        <v>647074</v>
      </c>
      <c r="D302" s="7">
        <v>192</v>
      </c>
      <c r="E302" s="8" t="s">
        <v>366</v>
      </c>
      <c r="F302" s="7" t="s">
        <v>373</v>
      </c>
      <c r="G302" s="107">
        <v>43221</v>
      </c>
      <c r="H302" s="108">
        <v>45931</v>
      </c>
      <c r="I302" s="7">
        <v>4028</v>
      </c>
      <c r="J302" s="6" t="s">
        <v>2219</v>
      </c>
      <c r="K302" s="110">
        <v>2269.5500000000002</v>
      </c>
      <c r="L302" s="112">
        <v>18900</v>
      </c>
      <c r="M302" s="112"/>
      <c r="N302" s="9">
        <f t="shared" si="217"/>
        <v>9450</v>
      </c>
      <c r="O302" s="9">
        <f t="shared" si="218"/>
        <v>7180.45</v>
      </c>
      <c r="P302" s="9">
        <f t="shared" si="219"/>
        <v>2269.5500000000002</v>
      </c>
      <c r="Q302" s="139">
        <f t="shared" si="220"/>
        <v>0.75983597883597886</v>
      </c>
      <c r="R302" s="370">
        <v>18900</v>
      </c>
      <c r="S302" s="353" t="s">
        <v>2467</v>
      </c>
      <c r="T302" s="9">
        <v>0.75983597883597886</v>
      </c>
      <c r="U302" s="24"/>
      <c r="V302" s="100"/>
      <c r="W302" s="110">
        <f t="shared" si="221"/>
        <v>18900</v>
      </c>
      <c r="X302" s="110">
        <f t="shared" si="222"/>
        <v>2269.5500000000002</v>
      </c>
      <c r="Y302" s="110">
        <f t="shared" si="223"/>
        <v>0</v>
      </c>
      <c r="Z302" s="110">
        <f t="shared" si="224"/>
        <v>7180.45</v>
      </c>
      <c r="AA302" s="260">
        <f t="shared" si="225"/>
        <v>0.75983597883597886</v>
      </c>
      <c r="AB302" s="28">
        <f t="shared" si="226"/>
        <v>6.2</v>
      </c>
      <c r="AC302" s="261">
        <f t="shared" si="227"/>
        <v>0.75861757229614035</v>
      </c>
      <c r="AD302" s="111">
        <f t="shared" si="228"/>
        <v>1.6</v>
      </c>
      <c r="AE302" s="262">
        <f t="shared" si="229"/>
        <v>6.4643092647543643E-2</v>
      </c>
      <c r="AF302" s="100"/>
      <c r="AG302" s="111">
        <f t="shared" si="230"/>
        <v>2.5</v>
      </c>
      <c r="AH302" s="262">
        <f t="shared" si="231"/>
        <v>0.4013715792944279</v>
      </c>
      <c r="AI302" s="100"/>
      <c r="AJ302" s="111">
        <f t="shared" si="232"/>
        <v>2.2999999999999998</v>
      </c>
      <c r="AK302" s="262">
        <f t="shared" si="233"/>
        <v>0.34931693401568248</v>
      </c>
      <c r="AL302" s="100"/>
      <c r="AM302" s="111">
        <f t="shared" si="234"/>
        <v>2.1</v>
      </c>
      <c r="AN302" s="262">
        <f t="shared" si="235"/>
        <v>0.2873471182076523</v>
      </c>
      <c r="AO302" s="100"/>
      <c r="AP302" s="24" t="e">
        <f>VLOOKUP(C302,#REF!,6,FALSE)</f>
        <v>#REF!</v>
      </c>
      <c r="AQ302" s="24" t="e">
        <f>VLOOKUP(C302,#REF!,7,FALSE)</f>
        <v>#REF!</v>
      </c>
      <c r="AR302" s="24" t="e">
        <f>VLOOKUP(C302,#REF!,12,FALSE)</f>
        <v>#REF!</v>
      </c>
      <c r="AS302" s="24" t="e">
        <f>VLOOKUP(C302,#REF!,13,FALSE)</f>
        <v>#REF!</v>
      </c>
      <c r="AT302" s="100"/>
      <c r="AU302" s="100"/>
      <c r="AV302" s="100">
        <v>291</v>
      </c>
      <c r="AW302" s="100"/>
      <c r="AY302" s="112">
        <v>18900</v>
      </c>
    </row>
    <row r="303" spans="1:51" s="2" customFormat="1" ht="12.75" customHeight="1" x14ac:dyDescent="0.2">
      <c r="A303" s="7" t="s">
        <v>1233</v>
      </c>
      <c r="B303" s="8">
        <v>9789500209335</v>
      </c>
      <c r="C303" s="6">
        <v>647071</v>
      </c>
      <c r="D303" s="7">
        <v>192</v>
      </c>
      <c r="E303" s="8" t="s">
        <v>366</v>
      </c>
      <c r="F303" s="7" t="s">
        <v>870</v>
      </c>
      <c r="G303" s="107">
        <v>43221</v>
      </c>
      <c r="H303" s="108">
        <v>45931</v>
      </c>
      <c r="I303" s="7">
        <v>3996</v>
      </c>
      <c r="J303" s="6" t="s">
        <v>2219</v>
      </c>
      <c r="K303" s="110">
        <v>2269.5500000000002</v>
      </c>
      <c r="L303" s="112">
        <v>18900</v>
      </c>
      <c r="M303" s="112"/>
      <c r="N303" s="9">
        <f t="shared" si="217"/>
        <v>9450</v>
      </c>
      <c r="O303" s="9">
        <f t="shared" si="218"/>
        <v>7180.45</v>
      </c>
      <c r="P303" s="9">
        <f t="shared" si="219"/>
        <v>2269.5500000000002</v>
      </c>
      <c r="Q303" s="139">
        <f t="shared" si="220"/>
        <v>0.75983597883597886</v>
      </c>
      <c r="R303" s="370">
        <v>18900</v>
      </c>
      <c r="S303" s="353" t="s">
        <v>2467</v>
      </c>
      <c r="T303" s="9">
        <v>0.75983597883597886</v>
      </c>
      <c r="U303" s="24"/>
      <c r="V303" s="100"/>
      <c r="W303" s="110">
        <f t="shared" si="221"/>
        <v>18900</v>
      </c>
      <c r="X303" s="110">
        <f t="shared" si="222"/>
        <v>2269.5500000000002</v>
      </c>
      <c r="Y303" s="110">
        <f t="shared" si="223"/>
        <v>0</v>
      </c>
      <c r="Z303" s="110">
        <f t="shared" si="224"/>
        <v>7180.45</v>
      </c>
      <c r="AA303" s="260">
        <f t="shared" si="225"/>
        <v>0.75983597883597886</v>
      </c>
      <c r="AB303" s="28">
        <f t="shared" si="226"/>
        <v>6.2</v>
      </c>
      <c r="AC303" s="261">
        <f t="shared" si="227"/>
        <v>0.75861757229614035</v>
      </c>
      <c r="AD303" s="111">
        <f t="shared" si="228"/>
        <v>1.6</v>
      </c>
      <c r="AE303" s="262">
        <f t="shared" si="229"/>
        <v>6.4643092647543643E-2</v>
      </c>
      <c r="AF303" s="100"/>
      <c r="AG303" s="111">
        <f t="shared" si="230"/>
        <v>2.5</v>
      </c>
      <c r="AH303" s="262">
        <f t="shared" si="231"/>
        <v>0.4013715792944279</v>
      </c>
      <c r="AI303" s="100"/>
      <c r="AJ303" s="111">
        <f t="shared" si="232"/>
        <v>2.2999999999999998</v>
      </c>
      <c r="AK303" s="262">
        <f t="shared" si="233"/>
        <v>0.34931693401568248</v>
      </c>
      <c r="AL303" s="100"/>
      <c r="AM303" s="111">
        <f t="shared" si="234"/>
        <v>2.1</v>
      </c>
      <c r="AN303" s="262">
        <f t="shared" si="235"/>
        <v>0.2873471182076523</v>
      </c>
      <c r="AO303" s="100"/>
      <c r="AP303" s="24" t="e">
        <f>VLOOKUP(C303,#REF!,6,FALSE)</f>
        <v>#REF!</v>
      </c>
      <c r="AQ303" s="24" t="e">
        <f>VLOOKUP(C303,#REF!,7,FALSE)</f>
        <v>#REF!</v>
      </c>
      <c r="AR303" s="24" t="e">
        <f>VLOOKUP(C303,#REF!,12,FALSE)</f>
        <v>#REF!</v>
      </c>
      <c r="AS303" s="24" t="e">
        <f>VLOOKUP(C303,#REF!,13,FALSE)</f>
        <v>#REF!</v>
      </c>
      <c r="AT303" s="100"/>
      <c r="AU303" s="100"/>
      <c r="AV303" s="100">
        <v>292</v>
      </c>
      <c r="AW303" s="100"/>
      <c r="AY303" s="112">
        <v>18900</v>
      </c>
    </row>
    <row r="304" spans="1:51" s="2" customFormat="1" ht="12.75" customHeight="1" x14ac:dyDescent="0.2">
      <c r="A304" s="7" t="s">
        <v>1234</v>
      </c>
      <c r="B304" s="8">
        <v>9789500209359</v>
      </c>
      <c r="C304" s="6">
        <v>647070</v>
      </c>
      <c r="D304" s="7">
        <v>192</v>
      </c>
      <c r="E304" s="8" t="s">
        <v>366</v>
      </c>
      <c r="F304" s="7" t="s">
        <v>374</v>
      </c>
      <c r="G304" s="107">
        <v>43221</v>
      </c>
      <c r="H304" s="108">
        <v>45931</v>
      </c>
      <c r="I304" s="7">
        <v>4028</v>
      </c>
      <c r="J304" s="6" t="s">
        <v>2219</v>
      </c>
      <c r="K304" s="110">
        <v>2269.5500000000002</v>
      </c>
      <c r="L304" s="112">
        <v>18900</v>
      </c>
      <c r="M304" s="112"/>
      <c r="N304" s="9">
        <f t="shared" si="217"/>
        <v>9450</v>
      </c>
      <c r="O304" s="9">
        <f t="shared" si="218"/>
        <v>7180.45</v>
      </c>
      <c r="P304" s="9">
        <f t="shared" si="219"/>
        <v>2269.5500000000002</v>
      </c>
      <c r="Q304" s="139">
        <f t="shared" si="220"/>
        <v>0.75983597883597886</v>
      </c>
      <c r="R304" s="370">
        <v>18900</v>
      </c>
      <c r="S304" s="353" t="s">
        <v>2467</v>
      </c>
      <c r="T304" s="9">
        <v>0.75983597883597886</v>
      </c>
      <c r="U304" s="24"/>
      <c r="V304" s="100"/>
      <c r="W304" s="110">
        <f t="shared" si="221"/>
        <v>18900</v>
      </c>
      <c r="X304" s="110">
        <f t="shared" si="222"/>
        <v>2269.5500000000002</v>
      </c>
      <c r="Y304" s="110">
        <f t="shared" si="223"/>
        <v>0</v>
      </c>
      <c r="Z304" s="110">
        <f t="shared" si="224"/>
        <v>7180.45</v>
      </c>
      <c r="AA304" s="260">
        <f t="shared" si="225"/>
        <v>0.75983597883597886</v>
      </c>
      <c r="AB304" s="28">
        <f t="shared" si="226"/>
        <v>6.2</v>
      </c>
      <c r="AC304" s="261">
        <f t="shared" si="227"/>
        <v>0.75861757229614035</v>
      </c>
      <c r="AD304" s="111">
        <f t="shared" si="228"/>
        <v>1.6</v>
      </c>
      <c r="AE304" s="262">
        <f t="shared" si="229"/>
        <v>6.4643092647543643E-2</v>
      </c>
      <c r="AF304" s="100"/>
      <c r="AG304" s="111">
        <f t="shared" si="230"/>
        <v>2.5</v>
      </c>
      <c r="AH304" s="262">
        <f t="shared" si="231"/>
        <v>0.4013715792944279</v>
      </c>
      <c r="AI304" s="100"/>
      <c r="AJ304" s="111">
        <f t="shared" si="232"/>
        <v>2.2999999999999998</v>
      </c>
      <c r="AK304" s="262">
        <f t="shared" si="233"/>
        <v>0.34931693401568248</v>
      </c>
      <c r="AL304" s="100"/>
      <c r="AM304" s="111">
        <f t="shared" si="234"/>
        <v>2.1</v>
      </c>
      <c r="AN304" s="262">
        <f t="shared" si="235"/>
        <v>0.2873471182076523</v>
      </c>
      <c r="AO304" s="100"/>
      <c r="AP304" s="24" t="e">
        <f>VLOOKUP(C304,#REF!,6,FALSE)</f>
        <v>#REF!</v>
      </c>
      <c r="AQ304" s="24" t="e">
        <f>VLOOKUP(C304,#REF!,7,FALSE)</f>
        <v>#REF!</v>
      </c>
      <c r="AR304" s="24" t="e">
        <f>VLOOKUP(C304,#REF!,12,FALSE)</f>
        <v>#REF!</v>
      </c>
      <c r="AS304" s="24" t="e">
        <f>VLOOKUP(C304,#REF!,13,FALSE)</f>
        <v>#REF!</v>
      </c>
      <c r="AT304" s="100"/>
      <c r="AU304" s="100"/>
      <c r="AV304" s="100">
        <v>293</v>
      </c>
      <c r="AW304" s="100"/>
      <c r="AY304" s="112">
        <v>18900</v>
      </c>
    </row>
    <row r="305" spans="1:51" s="2" customFormat="1" ht="12.75" customHeight="1" x14ac:dyDescent="0.2">
      <c r="A305" s="7" t="s">
        <v>1237</v>
      </c>
      <c r="B305" s="8">
        <v>9789500209304</v>
      </c>
      <c r="C305" s="6">
        <v>647075</v>
      </c>
      <c r="D305" s="7">
        <v>192</v>
      </c>
      <c r="E305" s="8" t="s">
        <v>367</v>
      </c>
      <c r="F305" s="7" t="s">
        <v>376</v>
      </c>
      <c r="G305" s="107">
        <v>43221</v>
      </c>
      <c r="H305" s="108">
        <v>45931</v>
      </c>
      <c r="I305" s="7">
        <v>4028</v>
      </c>
      <c r="J305" s="6" t="s">
        <v>2219</v>
      </c>
      <c r="K305" s="110">
        <v>2269.5500000000002</v>
      </c>
      <c r="L305" s="112">
        <v>18900</v>
      </c>
      <c r="M305" s="112"/>
      <c r="N305" s="9">
        <f t="shared" si="217"/>
        <v>9450</v>
      </c>
      <c r="O305" s="9">
        <f t="shared" si="218"/>
        <v>7180.45</v>
      </c>
      <c r="P305" s="9">
        <f t="shared" si="219"/>
        <v>2269.5500000000002</v>
      </c>
      <c r="Q305" s="139">
        <f t="shared" si="220"/>
        <v>0.75983597883597886</v>
      </c>
      <c r="R305" s="370">
        <v>18900</v>
      </c>
      <c r="S305" s="353" t="s">
        <v>2467</v>
      </c>
      <c r="T305" s="9">
        <v>0.75983597883597886</v>
      </c>
      <c r="U305" s="24"/>
      <c r="V305" s="100"/>
      <c r="W305" s="110">
        <f t="shared" si="221"/>
        <v>18900</v>
      </c>
      <c r="X305" s="110">
        <f t="shared" si="222"/>
        <v>2269.5500000000002</v>
      </c>
      <c r="Y305" s="110">
        <f t="shared" si="223"/>
        <v>0</v>
      </c>
      <c r="Z305" s="110">
        <f t="shared" si="224"/>
        <v>7180.45</v>
      </c>
      <c r="AA305" s="260">
        <f t="shared" si="225"/>
        <v>0.75983597883597886</v>
      </c>
      <c r="AB305" s="28">
        <f t="shared" si="226"/>
        <v>6.2</v>
      </c>
      <c r="AC305" s="261">
        <f t="shared" si="227"/>
        <v>0.75861757229614035</v>
      </c>
      <c r="AD305" s="111">
        <f t="shared" si="228"/>
        <v>1.6</v>
      </c>
      <c r="AE305" s="262">
        <f t="shared" si="229"/>
        <v>6.4643092647543643E-2</v>
      </c>
      <c r="AF305" s="100"/>
      <c r="AG305" s="111">
        <f t="shared" si="230"/>
        <v>2.5</v>
      </c>
      <c r="AH305" s="262">
        <f t="shared" si="231"/>
        <v>0.4013715792944279</v>
      </c>
      <c r="AI305" s="100"/>
      <c r="AJ305" s="111">
        <f t="shared" si="232"/>
        <v>2.2999999999999998</v>
      </c>
      <c r="AK305" s="262">
        <f t="shared" si="233"/>
        <v>0.34931693401568248</v>
      </c>
      <c r="AL305" s="100"/>
      <c r="AM305" s="111">
        <f t="shared" si="234"/>
        <v>2.1</v>
      </c>
      <c r="AN305" s="262">
        <f t="shared" si="235"/>
        <v>0.2873471182076523</v>
      </c>
      <c r="AO305" s="100"/>
      <c r="AP305" s="24" t="e">
        <f>VLOOKUP(C305,#REF!,6,FALSE)</f>
        <v>#REF!</v>
      </c>
      <c r="AQ305" s="24" t="e">
        <f>VLOOKUP(C305,#REF!,7,FALSE)</f>
        <v>#REF!</v>
      </c>
      <c r="AR305" s="24" t="e">
        <f>VLOOKUP(C305,#REF!,12,FALSE)</f>
        <v>#REF!</v>
      </c>
      <c r="AS305" s="24" t="e">
        <f>VLOOKUP(C305,#REF!,13,FALSE)</f>
        <v>#REF!</v>
      </c>
      <c r="AT305" s="100"/>
      <c r="AU305" s="100"/>
      <c r="AV305" s="100">
        <v>294</v>
      </c>
      <c r="AW305" s="100"/>
      <c r="AY305" s="112">
        <v>18900</v>
      </c>
    </row>
    <row r="306" spans="1:51" s="2" customFormat="1" ht="12.75" customHeight="1" x14ac:dyDescent="0.2">
      <c r="A306" s="7" t="s">
        <v>1238</v>
      </c>
      <c r="B306" s="8">
        <v>9789500209250</v>
      </c>
      <c r="C306" s="6">
        <v>647078</v>
      </c>
      <c r="D306" s="7">
        <v>256</v>
      </c>
      <c r="E306" s="8" t="s">
        <v>368</v>
      </c>
      <c r="F306" s="7" t="s">
        <v>377</v>
      </c>
      <c r="G306" s="107">
        <v>43221</v>
      </c>
      <c r="H306" s="108">
        <v>45931</v>
      </c>
      <c r="I306" s="7">
        <v>4021</v>
      </c>
      <c r="J306" s="6" t="s">
        <v>2219</v>
      </c>
      <c r="K306" s="172">
        <v>2492.61</v>
      </c>
      <c r="L306" s="112">
        <v>18900</v>
      </c>
      <c r="M306" s="112"/>
      <c r="N306" s="9">
        <f t="shared" si="217"/>
        <v>9450</v>
      </c>
      <c r="O306" s="9">
        <f t="shared" si="218"/>
        <v>6957.3899999999994</v>
      </c>
      <c r="P306" s="9">
        <f t="shared" si="219"/>
        <v>2492.61</v>
      </c>
      <c r="Q306" s="139">
        <f t="shared" si="220"/>
        <v>0.73623174603174601</v>
      </c>
      <c r="R306" s="370">
        <v>18900</v>
      </c>
      <c r="S306" s="353" t="s">
        <v>2467</v>
      </c>
      <c r="T306" s="9">
        <v>0.73623174603174601</v>
      </c>
      <c r="U306" s="24"/>
      <c r="V306" s="100"/>
      <c r="W306" s="110">
        <f t="shared" si="221"/>
        <v>18900</v>
      </c>
      <c r="X306" s="110">
        <f t="shared" si="222"/>
        <v>2492.61</v>
      </c>
      <c r="Y306" s="110">
        <f t="shared" si="223"/>
        <v>0</v>
      </c>
      <c r="Z306" s="110">
        <f t="shared" si="224"/>
        <v>6957.3899999999994</v>
      </c>
      <c r="AA306" s="260">
        <f t="shared" si="225"/>
        <v>0.73623174603174601</v>
      </c>
      <c r="AB306" s="28">
        <f t="shared" si="226"/>
        <v>6.2</v>
      </c>
      <c r="AC306" s="261">
        <f t="shared" si="227"/>
        <v>0.73489358986630926</v>
      </c>
      <c r="AD306" s="111">
        <f t="shared" si="228"/>
        <v>1.7</v>
      </c>
      <c r="AE306" s="262">
        <f t="shared" si="229"/>
        <v>3.3141327747716144E-2</v>
      </c>
      <c r="AF306" s="100"/>
      <c r="AG306" s="111">
        <f t="shared" si="230"/>
        <v>2.7</v>
      </c>
      <c r="AH306" s="262">
        <f t="shared" si="231"/>
        <v>0.39123713228559914</v>
      </c>
      <c r="AI306" s="100"/>
      <c r="AJ306" s="111">
        <f t="shared" si="232"/>
        <v>2.5</v>
      </c>
      <c r="AK306" s="262">
        <f t="shared" si="233"/>
        <v>0.34253610286844705</v>
      </c>
      <c r="AL306" s="100"/>
      <c r="AM306" s="111">
        <f t="shared" si="234"/>
        <v>2.2999999999999998</v>
      </c>
      <c r="AN306" s="262">
        <f t="shared" si="235"/>
        <v>0.28536532920483371</v>
      </c>
      <c r="AO306" s="100"/>
      <c r="AP306" s="24" t="e">
        <f>VLOOKUP(C306,#REF!,6,FALSE)</f>
        <v>#REF!</v>
      </c>
      <c r="AQ306" s="24" t="e">
        <f>VLOOKUP(C306,#REF!,7,FALSE)</f>
        <v>#REF!</v>
      </c>
      <c r="AR306" s="24" t="e">
        <f>VLOOKUP(C306,#REF!,12,FALSE)</f>
        <v>#REF!</v>
      </c>
      <c r="AS306" s="24" t="e">
        <f>VLOOKUP(C306,#REF!,13,FALSE)</f>
        <v>#REF!</v>
      </c>
      <c r="AT306" s="100"/>
      <c r="AU306" s="100"/>
      <c r="AV306" s="100">
        <v>295</v>
      </c>
      <c r="AW306" s="100"/>
      <c r="AY306" s="112">
        <v>18900</v>
      </c>
    </row>
    <row r="307" spans="1:51" s="2" customFormat="1" ht="12.75" customHeight="1" x14ac:dyDescent="0.2">
      <c r="A307" s="7" t="s">
        <v>1239</v>
      </c>
      <c r="B307" s="8">
        <v>9789500209274</v>
      </c>
      <c r="C307" s="6">
        <v>647073</v>
      </c>
      <c r="D307" s="7">
        <v>224</v>
      </c>
      <c r="E307" s="8" t="s">
        <v>369</v>
      </c>
      <c r="F307" s="7" t="s">
        <v>824</v>
      </c>
      <c r="G307" s="107">
        <v>43221</v>
      </c>
      <c r="H307" s="108">
        <v>43160</v>
      </c>
      <c r="I307" s="24">
        <v>3065</v>
      </c>
      <c r="J307" s="6" t="s">
        <v>2219</v>
      </c>
      <c r="K307" s="28">
        <v>39.07</v>
      </c>
      <c r="L307" s="112">
        <v>18900</v>
      </c>
      <c r="M307" s="141"/>
      <c r="N307" s="9">
        <f t="shared" si="217"/>
        <v>9450</v>
      </c>
      <c r="O307" s="9">
        <f t="shared" si="218"/>
        <v>9410.93</v>
      </c>
      <c r="P307" s="9">
        <f t="shared" si="219"/>
        <v>39.07</v>
      </c>
      <c r="Q307" s="139">
        <f t="shared" si="220"/>
        <v>0.99586560846560845</v>
      </c>
      <c r="R307" s="370">
        <v>18900</v>
      </c>
      <c r="S307" s="353" t="s">
        <v>2467</v>
      </c>
      <c r="T307" s="9">
        <v>0.99586560846560845</v>
      </c>
      <c r="U307" s="144"/>
      <c r="V307" s="100"/>
      <c r="W307" s="110">
        <f t="shared" si="221"/>
        <v>18900</v>
      </c>
      <c r="X307" s="110">
        <f t="shared" si="222"/>
        <v>39.07</v>
      </c>
      <c r="Y307" s="110">
        <f t="shared" si="223"/>
        <v>0</v>
      </c>
      <c r="Z307" s="110">
        <f t="shared" si="224"/>
        <v>9410.93</v>
      </c>
      <c r="AA307" s="260">
        <f t="shared" si="225"/>
        <v>0.99586560846560845</v>
      </c>
      <c r="AB307" s="28">
        <f t="shared" si="226"/>
        <v>6.2</v>
      </c>
      <c r="AC307" s="261">
        <f t="shared" si="227"/>
        <v>0.99584463375982479</v>
      </c>
      <c r="AD307" s="111">
        <f t="shared" si="228"/>
        <v>0</v>
      </c>
      <c r="AE307" s="262" t="e">
        <f t="shared" si="229"/>
        <v>#DIV/0!</v>
      </c>
      <c r="AF307" s="100"/>
      <c r="AG307" s="111">
        <f t="shared" si="230"/>
        <v>0</v>
      </c>
      <c r="AH307" s="262" t="e">
        <f t="shared" si="231"/>
        <v>#DIV/0!</v>
      </c>
      <c r="AI307" s="100"/>
      <c r="AJ307" s="111">
        <f t="shared" si="232"/>
        <v>0</v>
      </c>
      <c r="AK307" s="262" t="e">
        <f t="shared" si="233"/>
        <v>#DIV/0!</v>
      </c>
      <c r="AL307" s="100"/>
      <c r="AM307" s="111">
        <f t="shared" si="234"/>
        <v>0</v>
      </c>
      <c r="AN307" s="262" t="e">
        <f t="shared" si="235"/>
        <v>#DIV/0!</v>
      </c>
      <c r="AO307" s="100"/>
      <c r="AP307" s="24" t="e">
        <f>VLOOKUP(C307,#REF!,6,FALSE)</f>
        <v>#REF!</v>
      </c>
      <c r="AQ307" s="24" t="e">
        <f>VLOOKUP(C307,#REF!,7,FALSE)</f>
        <v>#REF!</v>
      </c>
      <c r="AR307" s="24" t="e">
        <f>VLOOKUP(C307,#REF!,12,FALSE)</f>
        <v>#REF!</v>
      </c>
      <c r="AS307" s="24" t="e">
        <f>VLOOKUP(C307,#REF!,13,FALSE)</f>
        <v>#REF!</v>
      </c>
      <c r="AT307" s="100"/>
      <c r="AU307" s="100"/>
      <c r="AV307" s="100">
        <v>296</v>
      </c>
      <c r="AW307" s="100"/>
      <c r="AY307" s="112">
        <v>18900</v>
      </c>
    </row>
    <row r="308" spans="1:51" s="2" customFormat="1" ht="12.75" customHeight="1" x14ac:dyDescent="0.2">
      <c r="A308" s="7" t="s">
        <v>1240</v>
      </c>
      <c r="B308" s="8">
        <v>9789500209267</v>
      </c>
      <c r="C308" s="6">
        <v>647072</v>
      </c>
      <c r="D308" s="7">
        <v>288</v>
      </c>
      <c r="E308" s="8" t="s">
        <v>272</v>
      </c>
      <c r="F308" s="7" t="s">
        <v>825</v>
      </c>
      <c r="G308" s="107">
        <v>43221</v>
      </c>
      <c r="H308" s="108">
        <v>43160</v>
      </c>
      <c r="I308" s="24">
        <v>3014</v>
      </c>
      <c r="J308" s="6" t="s">
        <v>2219</v>
      </c>
      <c r="K308" s="28">
        <v>41.63</v>
      </c>
      <c r="L308" s="112">
        <v>18900</v>
      </c>
      <c r="M308" s="112"/>
      <c r="N308" s="9">
        <f t="shared" si="217"/>
        <v>9450</v>
      </c>
      <c r="O308" s="9">
        <f t="shared" si="218"/>
        <v>9408.3700000000008</v>
      </c>
      <c r="P308" s="9">
        <f t="shared" si="219"/>
        <v>41.63</v>
      </c>
      <c r="Q308" s="139">
        <f t="shared" si="220"/>
        <v>0.99559470899470903</v>
      </c>
      <c r="R308" s="370">
        <v>18900</v>
      </c>
      <c r="S308" s="353" t="s">
        <v>2467</v>
      </c>
      <c r="T308" s="9">
        <v>0.99559470899470903</v>
      </c>
      <c r="U308" s="157"/>
      <c r="V308" s="100"/>
      <c r="W308" s="110">
        <f t="shared" si="221"/>
        <v>18900</v>
      </c>
      <c r="X308" s="110">
        <f t="shared" si="222"/>
        <v>41.63</v>
      </c>
      <c r="Y308" s="110">
        <f t="shared" si="223"/>
        <v>0</v>
      </c>
      <c r="Z308" s="110">
        <f t="shared" si="224"/>
        <v>9408.3700000000008</v>
      </c>
      <c r="AA308" s="260">
        <f t="shared" si="225"/>
        <v>0.99559470899470903</v>
      </c>
      <c r="AB308" s="28">
        <f t="shared" si="226"/>
        <v>6.2</v>
      </c>
      <c r="AC308" s="261">
        <f t="shared" si="227"/>
        <v>0.99557235995447935</v>
      </c>
      <c r="AD308" s="111">
        <f t="shared" si="228"/>
        <v>0</v>
      </c>
      <c r="AE308" s="262" t="e">
        <f t="shared" si="229"/>
        <v>#DIV/0!</v>
      </c>
      <c r="AF308" s="100"/>
      <c r="AG308" s="111">
        <f t="shared" si="230"/>
        <v>0</v>
      </c>
      <c r="AH308" s="262" t="e">
        <f t="shared" si="231"/>
        <v>#DIV/0!</v>
      </c>
      <c r="AI308" s="100"/>
      <c r="AJ308" s="111">
        <f t="shared" si="232"/>
        <v>0</v>
      </c>
      <c r="AK308" s="262" t="e">
        <f t="shared" si="233"/>
        <v>#DIV/0!</v>
      </c>
      <c r="AL308" s="100"/>
      <c r="AM308" s="111">
        <f t="shared" si="234"/>
        <v>0</v>
      </c>
      <c r="AN308" s="262" t="e">
        <f t="shared" si="235"/>
        <v>#DIV/0!</v>
      </c>
      <c r="AO308" s="100"/>
      <c r="AP308" s="24" t="e">
        <f>VLOOKUP(C308,#REF!,6,FALSE)</f>
        <v>#REF!</v>
      </c>
      <c r="AQ308" s="24" t="e">
        <f>VLOOKUP(C308,#REF!,7,FALSE)</f>
        <v>#REF!</v>
      </c>
      <c r="AR308" s="24" t="e">
        <f>VLOOKUP(C308,#REF!,12,FALSE)</f>
        <v>#REF!</v>
      </c>
      <c r="AS308" s="24" t="e">
        <f>VLOOKUP(C308,#REF!,13,FALSE)</f>
        <v>#REF!</v>
      </c>
      <c r="AT308" s="100"/>
      <c r="AU308" s="100"/>
      <c r="AV308" s="100">
        <v>297</v>
      </c>
      <c r="AW308" s="100"/>
      <c r="AY308" s="112">
        <v>18900</v>
      </c>
    </row>
    <row r="309" spans="1:51" s="2" customFormat="1" ht="12.75" customHeight="1" x14ac:dyDescent="0.2">
      <c r="A309" s="7" t="s">
        <v>1241</v>
      </c>
      <c r="B309" s="8">
        <v>9789500209298</v>
      </c>
      <c r="C309" s="6">
        <v>647068</v>
      </c>
      <c r="D309" s="7">
        <v>320</v>
      </c>
      <c r="E309" s="8" t="s">
        <v>370</v>
      </c>
      <c r="F309" s="7" t="s">
        <v>826</v>
      </c>
      <c r="G309" s="107">
        <v>43221</v>
      </c>
      <c r="H309" s="108">
        <v>43160</v>
      </c>
      <c r="I309" s="24">
        <v>3028</v>
      </c>
      <c r="J309" s="6" t="s">
        <v>2219</v>
      </c>
      <c r="K309" s="28">
        <v>42.17</v>
      </c>
      <c r="L309" s="112">
        <v>18900</v>
      </c>
      <c r="M309" s="112"/>
      <c r="N309" s="9">
        <f t="shared" si="217"/>
        <v>9450</v>
      </c>
      <c r="O309" s="9">
        <f t="shared" si="218"/>
        <v>9407.83</v>
      </c>
      <c r="P309" s="9">
        <f t="shared" si="219"/>
        <v>42.17</v>
      </c>
      <c r="Q309" s="139">
        <f t="shared" si="220"/>
        <v>0.99553756613756617</v>
      </c>
      <c r="R309" s="370">
        <v>18900</v>
      </c>
      <c r="S309" s="353" t="s">
        <v>2467</v>
      </c>
      <c r="T309" s="9">
        <v>0.99553756613756617</v>
      </c>
      <c r="U309" s="157"/>
      <c r="V309" s="100"/>
      <c r="W309" s="110">
        <f t="shared" si="221"/>
        <v>18900</v>
      </c>
      <c r="X309" s="110">
        <f t="shared" si="222"/>
        <v>42.17</v>
      </c>
      <c r="Y309" s="110">
        <f t="shared" si="223"/>
        <v>0</v>
      </c>
      <c r="Z309" s="110">
        <f t="shared" si="224"/>
        <v>9407.83</v>
      </c>
      <c r="AA309" s="260">
        <f t="shared" si="225"/>
        <v>0.99553756613756617</v>
      </c>
      <c r="AB309" s="28">
        <f t="shared" si="226"/>
        <v>6.2</v>
      </c>
      <c r="AC309" s="261">
        <f t="shared" si="227"/>
        <v>0.99551492719866419</v>
      </c>
      <c r="AD309" s="111">
        <f t="shared" si="228"/>
        <v>0</v>
      </c>
      <c r="AE309" s="262" t="e">
        <f t="shared" si="229"/>
        <v>#DIV/0!</v>
      </c>
      <c r="AF309" s="100"/>
      <c r="AG309" s="111">
        <f t="shared" si="230"/>
        <v>0</v>
      </c>
      <c r="AH309" s="262" t="e">
        <f t="shared" si="231"/>
        <v>#DIV/0!</v>
      </c>
      <c r="AI309" s="100"/>
      <c r="AJ309" s="111">
        <f t="shared" si="232"/>
        <v>0</v>
      </c>
      <c r="AK309" s="262" t="e">
        <f t="shared" si="233"/>
        <v>#DIV/0!</v>
      </c>
      <c r="AL309" s="100"/>
      <c r="AM309" s="111">
        <f t="shared" si="234"/>
        <v>0</v>
      </c>
      <c r="AN309" s="262" t="e">
        <f t="shared" si="235"/>
        <v>#DIV/0!</v>
      </c>
      <c r="AO309" s="100"/>
      <c r="AP309" s="24" t="e">
        <f>VLOOKUP(C309,#REF!,6,FALSE)</f>
        <v>#REF!</v>
      </c>
      <c r="AQ309" s="24" t="e">
        <f>VLOOKUP(C309,#REF!,7,FALSE)</f>
        <v>#REF!</v>
      </c>
      <c r="AR309" s="24" t="e">
        <f>VLOOKUP(C309,#REF!,12,FALSE)</f>
        <v>#REF!</v>
      </c>
      <c r="AS309" s="24" t="e">
        <f>VLOOKUP(C309,#REF!,13,FALSE)</f>
        <v>#REF!</v>
      </c>
      <c r="AT309" s="100"/>
      <c r="AU309" s="100"/>
      <c r="AV309" s="100">
        <v>298</v>
      </c>
      <c r="AW309" s="100"/>
      <c r="AY309" s="112">
        <v>18900</v>
      </c>
    </row>
    <row r="310" spans="1:51" s="2" customFormat="1" ht="12.75" customHeight="1" x14ac:dyDescent="0.2">
      <c r="A310" s="7" t="s">
        <v>1242</v>
      </c>
      <c r="B310" s="8">
        <v>9789500209281</v>
      </c>
      <c r="C310" s="6">
        <v>647079</v>
      </c>
      <c r="D310" s="7">
        <v>320</v>
      </c>
      <c r="E310" s="8" t="s">
        <v>371</v>
      </c>
      <c r="F310" s="7" t="s">
        <v>362</v>
      </c>
      <c r="G310" s="107">
        <v>43221</v>
      </c>
      <c r="H310" s="108">
        <v>43160</v>
      </c>
      <c r="I310" s="24">
        <v>3010</v>
      </c>
      <c r="J310" s="6" t="s">
        <v>2219</v>
      </c>
      <c r="K310" s="28">
        <v>42.19</v>
      </c>
      <c r="L310" s="112">
        <v>18900</v>
      </c>
      <c r="M310" s="112"/>
      <c r="N310" s="9">
        <f t="shared" si="217"/>
        <v>9450</v>
      </c>
      <c r="O310" s="9">
        <f t="shared" si="218"/>
        <v>9407.81</v>
      </c>
      <c r="P310" s="9">
        <f t="shared" si="219"/>
        <v>42.19</v>
      </c>
      <c r="Q310" s="139">
        <f t="shared" si="220"/>
        <v>0.99553544973544972</v>
      </c>
      <c r="R310" s="370">
        <v>18900</v>
      </c>
      <c r="S310" s="353" t="s">
        <v>2467</v>
      </c>
      <c r="T310" s="9">
        <v>0.99553544973544972</v>
      </c>
      <c r="U310" s="157"/>
      <c r="V310" s="100"/>
      <c r="W310" s="110">
        <f t="shared" si="221"/>
        <v>18900</v>
      </c>
      <c r="X310" s="110">
        <f t="shared" si="222"/>
        <v>42.19</v>
      </c>
      <c r="Y310" s="110">
        <f t="shared" si="223"/>
        <v>0</v>
      </c>
      <c r="Z310" s="110">
        <f t="shared" si="224"/>
        <v>9407.81</v>
      </c>
      <c r="AA310" s="260">
        <f t="shared" si="225"/>
        <v>0.99553544973544972</v>
      </c>
      <c r="AB310" s="28">
        <f t="shared" si="226"/>
        <v>6.2</v>
      </c>
      <c r="AC310" s="261">
        <f t="shared" si="227"/>
        <v>0.99551280005955989</v>
      </c>
      <c r="AD310" s="111">
        <f t="shared" si="228"/>
        <v>0</v>
      </c>
      <c r="AE310" s="262" t="e">
        <f t="shared" si="229"/>
        <v>#DIV/0!</v>
      </c>
      <c r="AF310" s="100"/>
      <c r="AG310" s="111">
        <f t="shared" si="230"/>
        <v>0</v>
      </c>
      <c r="AH310" s="262" t="e">
        <f t="shared" si="231"/>
        <v>#DIV/0!</v>
      </c>
      <c r="AI310" s="100"/>
      <c r="AJ310" s="111">
        <f t="shared" si="232"/>
        <v>0</v>
      </c>
      <c r="AK310" s="262" t="e">
        <f t="shared" si="233"/>
        <v>#DIV/0!</v>
      </c>
      <c r="AL310" s="100"/>
      <c r="AM310" s="111">
        <f t="shared" si="234"/>
        <v>0</v>
      </c>
      <c r="AN310" s="262" t="e">
        <f t="shared" si="235"/>
        <v>#DIV/0!</v>
      </c>
      <c r="AO310" s="100"/>
      <c r="AP310" s="24" t="e">
        <f>VLOOKUP(C310,#REF!,6,FALSE)</f>
        <v>#REF!</v>
      </c>
      <c r="AQ310" s="24" t="e">
        <f>VLOOKUP(C310,#REF!,7,FALSE)</f>
        <v>#REF!</v>
      </c>
      <c r="AR310" s="24" t="e">
        <f>VLOOKUP(C310,#REF!,12,FALSE)</f>
        <v>#REF!</v>
      </c>
      <c r="AS310" s="24" t="e">
        <f>VLOOKUP(C310,#REF!,13,FALSE)</f>
        <v>#REF!</v>
      </c>
      <c r="AT310" s="100"/>
      <c r="AU310" s="100"/>
      <c r="AV310" s="100">
        <v>299</v>
      </c>
      <c r="AW310" s="100"/>
      <c r="AY310" s="112">
        <v>18900</v>
      </c>
    </row>
    <row r="311" spans="1:51" s="2" customFormat="1" ht="12.75" customHeight="1" x14ac:dyDescent="0.2">
      <c r="A311" s="6" t="s">
        <v>2188</v>
      </c>
      <c r="B311" s="153">
        <v>9789500216371</v>
      </c>
      <c r="C311" s="6">
        <v>737450</v>
      </c>
      <c r="D311" s="41">
        <v>96</v>
      </c>
      <c r="E311" s="6" t="s">
        <v>2189</v>
      </c>
      <c r="F311" s="6" t="s">
        <v>2190</v>
      </c>
      <c r="G311" s="107">
        <v>46023</v>
      </c>
      <c r="H311" s="108">
        <v>45931</v>
      </c>
      <c r="I311" s="7">
        <v>4010</v>
      </c>
      <c r="J311" s="6" t="s">
        <v>2219</v>
      </c>
      <c r="K311" s="148">
        <v>1937.24</v>
      </c>
      <c r="L311" s="112">
        <v>18900</v>
      </c>
      <c r="M311" s="112"/>
      <c r="N311" s="9">
        <f t="shared" si="217"/>
        <v>9450</v>
      </c>
      <c r="O311" s="9">
        <f t="shared" si="218"/>
        <v>7512.76</v>
      </c>
      <c r="P311" s="9">
        <f t="shared" si="219"/>
        <v>1937.24</v>
      </c>
      <c r="Q311" s="139">
        <f t="shared" si="220"/>
        <v>0.79500105820105826</v>
      </c>
      <c r="R311" s="335">
        <v>18900</v>
      </c>
      <c r="S311" s="353" t="s">
        <v>2467</v>
      </c>
      <c r="T311" s="305">
        <v>0.79500105820105826</v>
      </c>
      <c r="U311" s="157"/>
      <c r="V311" s="100"/>
      <c r="W311" s="110">
        <f t="shared" si="221"/>
        <v>18900</v>
      </c>
      <c r="X311" s="110">
        <f t="shared" si="222"/>
        <v>1937.24</v>
      </c>
      <c r="Y311" s="110">
        <f t="shared" si="223"/>
        <v>0</v>
      </c>
      <c r="Z311" s="110">
        <f t="shared" si="224"/>
        <v>7512.76</v>
      </c>
      <c r="AA311" s="260">
        <f t="shared" si="225"/>
        <v>0.79500105820105826</v>
      </c>
      <c r="AB311" s="28">
        <f t="shared" si="226"/>
        <v>6.2</v>
      </c>
      <c r="AC311" s="261">
        <f t="shared" si="227"/>
        <v>0.79396105208300105</v>
      </c>
      <c r="AD311" s="111">
        <f t="shared" si="228"/>
        <v>1.3</v>
      </c>
      <c r="AE311" s="262">
        <f t="shared" si="229"/>
        <v>1.7352709934312326E-2</v>
      </c>
      <c r="AF311" s="100"/>
      <c r="AG311" s="111">
        <f t="shared" si="230"/>
        <v>2.1</v>
      </c>
      <c r="AH311" s="262">
        <f t="shared" si="231"/>
        <v>0.39169453472124099</v>
      </c>
      <c r="AI311" s="100"/>
      <c r="AJ311" s="111">
        <f t="shared" si="232"/>
        <v>2</v>
      </c>
      <c r="AK311" s="262">
        <f t="shared" si="233"/>
        <v>0.36127926145730299</v>
      </c>
      <c r="AL311" s="100"/>
      <c r="AM311" s="111">
        <f t="shared" si="234"/>
        <v>1.8</v>
      </c>
      <c r="AN311" s="262">
        <f t="shared" si="235"/>
        <v>0.29031029050811452</v>
      </c>
      <c r="AO311" s="100"/>
      <c r="AP311" s="24" t="e">
        <f>VLOOKUP(C311,#REF!,6,FALSE)</f>
        <v>#REF!</v>
      </c>
      <c r="AQ311" s="24" t="e">
        <f>VLOOKUP(C311,#REF!,7,FALSE)</f>
        <v>#REF!</v>
      </c>
      <c r="AR311" s="24" t="e">
        <f>VLOOKUP(C311,#REF!,12,FALSE)</f>
        <v>#REF!</v>
      </c>
      <c r="AS311" s="24" t="e">
        <f>VLOOKUP(C311,#REF!,13,FALSE)</f>
        <v>#REF!</v>
      </c>
      <c r="AT311" s="100"/>
      <c r="AU311" s="100"/>
      <c r="AV311" s="100">
        <v>300</v>
      </c>
      <c r="AW311" s="100"/>
      <c r="AY311" s="112">
        <v>18900</v>
      </c>
    </row>
    <row r="312" spans="1:51" s="2" customFormat="1" ht="12.75" customHeight="1" x14ac:dyDescent="0.2">
      <c r="A312" s="6" t="s">
        <v>2166</v>
      </c>
      <c r="B312" s="153">
        <v>9789500216388</v>
      </c>
      <c r="C312" s="6">
        <v>737451</v>
      </c>
      <c r="D312" s="41">
        <v>128</v>
      </c>
      <c r="E312" s="6" t="s">
        <v>2191</v>
      </c>
      <c r="F312" s="6" t="s">
        <v>2192</v>
      </c>
      <c r="G312" s="107">
        <v>46023</v>
      </c>
      <c r="H312" s="108">
        <v>45931</v>
      </c>
      <c r="I312" s="7">
        <v>4058</v>
      </c>
      <c r="J312" s="6" t="s">
        <v>2219</v>
      </c>
      <c r="K312" s="148">
        <v>2162.21</v>
      </c>
      <c r="L312" s="112">
        <v>18900</v>
      </c>
      <c r="M312" s="112"/>
      <c r="N312" s="9">
        <f t="shared" si="217"/>
        <v>9450</v>
      </c>
      <c r="O312" s="9">
        <f t="shared" si="218"/>
        <v>7287.79</v>
      </c>
      <c r="P312" s="9">
        <f t="shared" si="219"/>
        <v>2162.21</v>
      </c>
      <c r="Q312" s="139">
        <f t="shared" si="220"/>
        <v>0.77119470899470899</v>
      </c>
      <c r="R312" s="335">
        <v>18900</v>
      </c>
      <c r="S312" s="353" t="s">
        <v>2467</v>
      </c>
      <c r="T312" s="305">
        <v>0.77119470899470899</v>
      </c>
      <c r="U312" s="157"/>
      <c r="V312" s="100"/>
      <c r="W312" s="110">
        <f t="shared" si="221"/>
        <v>18900</v>
      </c>
      <c r="X312" s="110">
        <f t="shared" si="222"/>
        <v>2162.21</v>
      </c>
      <c r="Y312" s="110">
        <f t="shared" si="223"/>
        <v>0</v>
      </c>
      <c r="Z312" s="110">
        <f t="shared" si="224"/>
        <v>7287.79</v>
      </c>
      <c r="AA312" s="260">
        <f t="shared" si="225"/>
        <v>0.77119470899470899</v>
      </c>
      <c r="AB312" s="28">
        <f t="shared" si="226"/>
        <v>6.2</v>
      </c>
      <c r="AC312" s="261">
        <f t="shared" si="227"/>
        <v>0.77003392786871294</v>
      </c>
      <c r="AD312" s="111">
        <f t="shared" si="228"/>
        <v>1.5</v>
      </c>
      <c r="AE312" s="262">
        <f t="shared" si="229"/>
        <v>4.9473568524013613E-2</v>
      </c>
      <c r="AF312" s="100"/>
      <c r="AG312" s="111">
        <f t="shared" si="230"/>
        <v>2.4</v>
      </c>
      <c r="AH312" s="262">
        <f t="shared" si="231"/>
        <v>0.40592098032750851</v>
      </c>
      <c r="AI312" s="100"/>
      <c r="AJ312" s="111">
        <f t="shared" si="232"/>
        <v>2.2000000000000002</v>
      </c>
      <c r="AK312" s="262">
        <f t="shared" si="233"/>
        <v>0.35191379672091838</v>
      </c>
      <c r="AL312" s="100"/>
      <c r="AM312" s="111">
        <f t="shared" si="234"/>
        <v>2</v>
      </c>
      <c r="AN312" s="262">
        <f t="shared" si="235"/>
        <v>0.2871051763930102</v>
      </c>
      <c r="AO312" s="100"/>
      <c r="AP312" s="24" t="e">
        <f>VLOOKUP(C312,#REF!,6,FALSE)</f>
        <v>#REF!</v>
      </c>
      <c r="AQ312" s="24" t="e">
        <f>VLOOKUP(C312,#REF!,7,FALSE)</f>
        <v>#REF!</v>
      </c>
      <c r="AR312" s="24" t="e">
        <f>VLOOKUP(C312,#REF!,12,FALSE)</f>
        <v>#REF!</v>
      </c>
      <c r="AS312" s="24" t="e">
        <f>VLOOKUP(C312,#REF!,13,FALSE)</f>
        <v>#REF!</v>
      </c>
      <c r="AT312" s="100"/>
      <c r="AU312" s="100"/>
      <c r="AV312" s="100">
        <v>301</v>
      </c>
      <c r="AW312" s="100"/>
      <c r="AY312" s="112">
        <v>18900</v>
      </c>
    </row>
    <row r="313" spans="1:51" s="2" customFormat="1" ht="12.75" customHeight="1" x14ac:dyDescent="0.2">
      <c r="A313" s="6" t="s">
        <v>2193</v>
      </c>
      <c r="B313" s="153">
        <v>9789500216395</v>
      </c>
      <c r="C313" s="6">
        <v>737452</v>
      </c>
      <c r="D313" s="41">
        <v>128</v>
      </c>
      <c r="E313" s="6" t="s">
        <v>2194</v>
      </c>
      <c r="F313" s="6" t="s">
        <v>2195</v>
      </c>
      <c r="G313" s="107">
        <v>46023</v>
      </c>
      <c r="H313" s="108">
        <v>45931</v>
      </c>
      <c r="I313" s="7">
        <v>4058</v>
      </c>
      <c r="J313" s="6" t="s">
        <v>2219</v>
      </c>
      <c r="K313" s="292">
        <v>2162.21</v>
      </c>
      <c r="L313" s="112">
        <v>18900</v>
      </c>
      <c r="M313" s="112"/>
      <c r="N313" s="9">
        <f t="shared" si="217"/>
        <v>9450</v>
      </c>
      <c r="O313" s="9">
        <f t="shared" si="218"/>
        <v>7287.79</v>
      </c>
      <c r="P313" s="9">
        <f t="shared" si="219"/>
        <v>2162.21</v>
      </c>
      <c r="Q313" s="139">
        <f t="shared" si="220"/>
        <v>0.77119470899470899</v>
      </c>
      <c r="R313" s="335">
        <v>18900</v>
      </c>
      <c r="S313" s="353" t="s">
        <v>2467</v>
      </c>
      <c r="T313" s="305">
        <v>0.75841229050279324</v>
      </c>
      <c r="U313" s="157"/>
      <c r="V313" s="100"/>
      <c r="W313" s="110">
        <f t="shared" si="221"/>
        <v>18900</v>
      </c>
      <c r="X313" s="110">
        <f t="shared" si="222"/>
        <v>2162.21</v>
      </c>
      <c r="Y313" s="110">
        <f t="shared" si="223"/>
        <v>0</v>
      </c>
      <c r="Z313" s="110">
        <f t="shared" si="224"/>
        <v>7287.79</v>
      </c>
      <c r="AA313" s="260">
        <f t="shared" si="225"/>
        <v>0.77119470899470899</v>
      </c>
      <c r="AB313" s="28">
        <f t="shared" si="226"/>
        <v>6.2</v>
      </c>
      <c r="AC313" s="261">
        <f t="shared" si="227"/>
        <v>0.77003392786871294</v>
      </c>
      <c r="AD313" s="111">
        <f t="shared" si="228"/>
        <v>1.5</v>
      </c>
      <c r="AE313" s="262">
        <f t="shared" si="229"/>
        <v>4.9473568524013613E-2</v>
      </c>
      <c r="AF313" s="100"/>
      <c r="AG313" s="111">
        <f t="shared" si="230"/>
        <v>2.4</v>
      </c>
      <c r="AH313" s="262">
        <f t="shared" si="231"/>
        <v>0.40592098032750851</v>
      </c>
      <c r="AI313" s="100"/>
      <c r="AJ313" s="111">
        <f t="shared" si="232"/>
        <v>2.2000000000000002</v>
      </c>
      <c r="AK313" s="262">
        <f t="shared" si="233"/>
        <v>0.35191379672091838</v>
      </c>
      <c r="AL313" s="100"/>
      <c r="AM313" s="111">
        <f t="shared" si="234"/>
        <v>2</v>
      </c>
      <c r="AN313" s="262">
        <f t="shared" si="235"/>
        <v>0.2871051763930102</v>
      </c>
      <c r="AO313" s="100"/>
      <c r="AP313" s="24" t="e">
        <f>VLOOKUP(C313,#REF!,6,FALSE)</f>
        <v>#REF!</v>
      </c>
      <c r="AQ313" s="24" t="e">
        <f>VLOOKUP(C313,#REF!,7,FALSE)</f>
        <v>#REF!</v>
      </c>
      <c r="AR313" s="24" t="e">
        <f>VLOOKUP(C313,#REF!,12,FALSE)</f>
        <v>#REF!</v>
      </c>
      <c r="AS313" s="24" t="e">
        <f>VLOOKUP(C313,#REF!,13,FALSE)</f>
        <v>#REF!</v>
      </c>
      <c r="AT313" s="100"/>
      <c r="AU313" s="100"/>
      <c r="AV313" s="100">
        <v>302</v>
      </c>
      <c r="AW313" s="100"/>
      <c r="AY313" s="112">
        <v>18900</v>
      </c>
    </row>
    <row r="314" spans="1:51" s="2" customFormat="1" ht="12.75" customHeight="1" x14ac:dyDescent="0.25">
      <c r="B314" s="3"/>
      <c r="C314" s="3"/>
      <c r="H314" s="132"/>
      <c r="I314" s="132"/>
      <c r="J314" s="134"/>
      <c r="K314" s="132"/>
      <c r="L314" s="134"/>
      <c r="M314" s="132"/>
      <c r="N314" s="132"/>
      <c r="O314" s="132"/>
      <c r="P314" s="132"/>
      <c r="Q314" s="147"/>
      <c r="R314" s="356"/>
      <c r="S314" s="360"/>
      <c r="T314" s="307"/>
      <c r="U314" s="135"/>
      <c r="V314" s="100"/>
      <c r="W314"/>
      <c r="X314"/>
      <c r="Y314"/>
      <c r="Z314"/>
      <c r="AA314"/>
      <c r="AB314"/>
      <c r="AC314"/>
      <c r="AD314" s="263"/>
      <c r="AE314"/>
      <c r="AF314" s="100"/>
      <c r="AG314" s="263"/>
      <c r="AH314"/>
      <c r="AI314" s="100"/>
      <c r="AJ314" s="263"/>
      <c r="AK314"/>
      <c r="AL314" s="100"/>
      <c r="AM314" s="263"/>
      <c r="AN314"/>
      <c r="AO314" s="100"/>
      <c r="AP314" s="100"/>
      <c r="AQ314" s="100"/>
      <c r="AR314" s="100"/>
      <c r="AS314" s="100"/>
      <c r="AT314" s="100"/>
      <c r="AU314" s="100"/>
      <c r="AV314" s="100">
        <v>303</v>
      </c>
      <c r="AW314" s="100"/>
      <c r="AY314" s="134"/>
    </row>
    <row r="315" spans="1:51" s="2" customFormat="1" ht="12.75" customHeight="1" x14ac:dyDescent="0.25">
      <c r="A315" s="160" t="s">
        <v>661</v>
      </c>
      <c r="B315" s="168"/>
      <c r="C315" s="161"/>
      <c r="D315" s="162"/>
      <c r="E315" s="162"/>
      <c r="F315" s="162"/>
      <c r="G315" s="162"/>
      <c r="H315" s="132"/>
      <c r="I315" s="132"/>
      <c r="J315" s="134"/>
      <c r="K315" s="132"/>
      <c r="L315" s="134"/>
      <c r="M315" s="132"/>
      <c r="N315" s="132"/>
      <c r="O315" s="132"/>
      <c r="P315" s="132"/>
      <c r="Q315" s="147"/>
      <c r="R315" s="356"/>
      <c r="S315" s="360"/>
      <c r="T315" s="307"/>
      <c r="U315" s="135"/>
      <c r="V315" s="100"/>
      <c r="W315"/>
      <c r="X315"/>
      <c r="Y315"/>
      <c r="Z315"/>
      <c r="AA315"/>
      <c r="AB315"/>
      <c r="AC315"/>
      <c r="AD315" s="263"/>
      <c r="AE315"/>
      <c r="AF315" s="100"/>
      <c r="AG315" s="263"/>
      <c r="AH315"/>
      <c r="AI315" s="100"/>
      <c r="AJ315" s="263"/>
      <c r="AK315"/>
      <c r="AL315" s="100"/>
      <c r="AM315" s="263"/>
      <c r="AN315"/>
      <c r="AO315" s="100"/>
      <c r="AP315" s="100"/>
      <c r="AQ315" s="100"/>
      <c r="AR315" s="100"/>
      <c r="AS315" s="100"/>
      <c r="AT315" s="100"/>
      <c r="AU315" s="100"/>
      <c r="AV315" s="100">
        <v>304</v>
      </c>
      <c r="AW315" s="100"/>
      <c r="AY315" s="134"/>
    </row>
    <row r="316" spans="1:51" s="2" customFormat="1" ht="12.75" customHeight="1" x14ac:dyDescent="0.2">
      <c r="A316" s="7" t="s">
        <v>1243</v>
      </c>
      <c r="B316" s="8">
        <v>9789500207720</v>
      </c>
      <c r="C316" s="21">
        <v>572865</v>
      </c>
      <c r="D316" s="25">
        <v>400</v>
      </c>
      <c r="E316" s="22" t="s">
        <v>161</v>
      </c>
      <c r="F316" s="6" t="s">
        <v>1244</v>
      </c>
      <c r="G316" s="107">
        <v>41609</v>
      </c>
      <c r="H316" s="108">
        <v>42736</v>
      </c>
      <c r="I316" s="24">
        <v>1016</v>
      </c>
      <c r="J316" s="28" t="s">
        <v>1894</v>
      </c>
      <c r="K316" s="28">
        <v>46.6</v>
      </c>
      <c r="L316" s="9">
        <v>19300</v>
      </c>
      <c r="M316" s="112">
        <f t="shared" ref="M316:M322" si="236">+L316*0.15</f>
        <v>2895</v>
      </c>
      <c r="N316" s="9">
        <f t="shared" ref="N316:N325" si="237">+L316/2</f>
        <v>9650</v>
      </c>
      <c r="O316" s="9">
        <f t="shared" ref="O316:O325" si="238">+N316-M316-K316</f>
        <v>6708.4</v>
      </c>
      <c r="P316" s="9">
        <f t="shared" ref="P316:P325" si="239">+M316+K316</f>
        <v>2941.6</v>
      </c>
      <c r="Q316" s="139">
        <f t="shared" ref="Q316:Q325" si="240">+O316/N316</f>
        <v>0.69517098445595848</v>
      </c>
      <c r="R316" s="335">
        <v>19300</v>
      </c>
      <c r="S316" s="359" t="s">
        <v>1948</v>
      </c>
      <c r="T316" s="305">
        <v>0.69517098445595848</v>
      </c>
      <c r="U316" s="157"/>
      <c r="V316" s="100"/>
      <c r="W316" s="110">
        <f t="shared" ref="W316:W325" si="241">+L316</f>
        <v>19300</v>
      </c>
      <c r="X316" s="110">
        <f t="shared" ref="X316:X325" si="242">+K316</f>
        <v>46.6</v>
      </c>
      <c r="Y316" s="110">
        <f t="shared" ref="Y316:Y325" si="243">+M316</f>
        <v>2895</v>
      </c>
      <c r="Z316" s="110">
        <f t="shared" ref="Z316:Z325" si="244">+W316/2-X316-Y316</f>
        <v>6708.4</v>
      </c>
      <c r="AA316" s="260">
        <f t="shared" ref="AA316:AA325" si="245">+Z316/(W316/2)</f>
        <v>0.69517098445595848</v>
      </c>
      <c r="AB316" s="28">
        <f t="shared" ref="AB316:AB325" si="246">ROUND($W316/2/$X$1,1)</f>
        <v>6.4</v>
      </c>
      <c r="AC316" s="261">
        <f t="shared" ref="AC316:AC325" si="247">+(AB316*$X$1-$X316-$Y316)/(AB316*$X$1)</f>
        <v>0.69691724365314867</v>
      </c>
      <c r="AD316" s="111">
        <f t="shared" ref="AD316:AD325" si="248">+IFERROR(ROUND(($X316+$Y316)/(1-$X$2)/$X$1,1),0)</f>
        <v>2</v>
      </c>
      <c r="AE316" s="262">
        <f t="shared" ref="AE316:AE325" si="249">+(AD316*$X$1-$X316-$Y316)/(AD316*$X$1)</f>
        <v>3.0135179690075863E-2</v>
      </c>
      <c r="AF316" s="100"/>
      <c r="AG316" s="111">
        <f t="shared" ref="AG316:AG325" si="250">+IFERROR(ROUND(($X316+$Y316)/(1-$AG$2)/$X$1,1),0)</f>
        <v>3.2</v>
      </c>
      <c r="AH316" s="262">
        <f t="shared" ref="AH316:AH325" si="251">+(AG316*$X$1-$X316-$Y316)/(AG316*$X$1)</f>
        <v>0.39383448730629733</v>
      </c>
      <c r="AI316" s="100"/>
      <c r="AJ316" s="111">
        <f t="shared" ref="AJ316:AJ325" si="252">+IFERROR(ROUND(($X316+$Y316)/(1-$AJ$2)/$X$1,1),0)</f>
        <v>3</v>
      </c>
      <c r="AK316" s="262">
        <f t="shared" ref="AK316:AK325" si="253">+(AJ316*$X$1-$X316-$Y316)/(AJ316*$X$1)</f>
        <v>0.35342345312671714</v>
      </c>
      <c r="AL316" s="100"/>
      <c r="AM316" s="111">
        <f t="shared" ref="AM316:AM325" si="254">+IFERROR(ROUND(($X316+$Y316)/(1-$AM$2)/$X$1,1),0)</f>
        <v>2.8</v>
      </c>
      <c r="AN316" s="262">
        <f t="shared" ref="AN316:AN325" si="255">+(AM316*$X$1-$X316-$Y316)/(AM316*$X$1)</f>
        <v>0.30723941406433974</v>
      </c>
      <c r="AO316" s="100"/>
      <c r="AP316" s="24" t="e">
        <f>VLOOKUP(C316,#REF!,6,FALSE)</f>
        <v>#REF!</v>
      </c>
      <c r="AQ316" s="24" t="e">
        <f>VLOOKUP(C316,#REF!,7,FALSE)</f>
        <v>#REF!</v>
      </c>
      <c r="AR316" s="24" t="e">
        <f>VLOOKUP(C316,#REF!,12,FALSE)</f>
        <v>#REF!</v>
      </c>
      <c r="AS316" s="24" t="e">
        <f>VLOOKUP(C316,#REF!,13,FALSE)</f>
        <v>#REF!</v>
      </c>
      <c r="AT316" s="100"/>
      <c r="AU316" s="100"/>
      <c r="AV316" s="100">
        <v>305</v>
      </c>
      <c r="AW316" s="100"/>
      <c r="AY316" s="9">
        <v>19300</v>
      </c>
    </row>
    <row r="317" spans="1:51" s="2" customFormat="1" ht="12.75" customHeight="1" x14ac:dyDescent="0.2">
      <c r="A317" s="6" t="s">
        <v>1245</v>
      </c>
      <c r="B317" s="8">
        <v>9789500207799</v>
      </c>
      <c r="C317" s="21">
        <v>575175</v>
      </c>
      <c r="D317" s="25">
        <v>352</v>
      </c>
      <c r="E317" s="22" t="s">
        <v>161</v>
      </c>
      <c r="F317" s="6" t="s">
        <v>1246</v>
      </c>
      <c r="G317" s="107">
        <v>41699</v>
      </c>
      <c r="H317" s="108">
        <v>42736</v>
      </c>
      <c r="I317" s="24">
        <v>1008</v>
      </c>
      <c r="J317" s="28" t="s">
        <v>1894</v>
      </c>
      <c r="K317" s="28">
        <v>45.57</v>
      </c>
      <c r="L317" s="9">
        <v>19300</v>
      </c>
      <c r="M317" s="112">
        <f t="shared" si="236"/>
        <v>2895</v>
      </c>
      <c r="N317" s="9">
        <f t="shared" si="237"/>
        <v>9650</v>
      </c>
      <c r="O317" s="9">
        <f t="shared" si="238"/>
        <v>6709.43</v>
      </c>
      <c r="P317" s="9">
        <f t="shared" si="239"/>
        <v>2940.57</v>
      </c>
      <c r="Q317" s="139">
        <f t="shared" si="240"/>
        <v>0.69527772020725387</v>
      </c>
      <c r="R317" s="335">
        <v>19300</v>
      </c>
      <c r="S317" s="359" t="s">
        <v>1948</v>
      </c>
      <c r="T317" s="305">
        <v>0.69527772020725387</v>
      </c>
      <c r="U317" s="157"/>
      <c r="V317" s="100"/>
      <c r="W317" s="110">
        <f t="shared" si="241"/>
        <v>19300</v>
      </c>
      <c r="X317" s="110">
        <f t="shared" si="242"/>
        <v>45.57</v>
      </c>
      <c r="Y317" s="110">
        <f t="shared" si="243"/>
        <v>2895</v>
      </c>
      <c r="Z317" s="110">
        <f t="shared" si="244"/>
        <v>6709.43</v>
      </c>
      <c r="AA317" s="260">
        <f t="shared" si="245"/>
        <v>0.69527772020725387</v>
      </c>
      <c r="AB317" s="28">
        <f t="shared" si="246"/>
        <v>6.4</v>
      </c>
      <c r="AC317" s="261">
        <f t="shared" si="247"/>
        <v>0.69702336795252229</v>
      </c>
      <c r="AD317" s="111">
        <f t="shared" si="248"/>
        <v>2</v>
      </c>
      <c r="AE317" s="262">
        <f t="shared" si="249"/>
        <v>3.0474777448071162E-2</v>
      </c>
      <c r="AF317" s="100"/>
      <c r="AG317" s="111">
        <f t="shared" si="250"/>
        <v>3.2</v>
      </c>
      <c r="AH317" s="262">
        <f t="shared" si="251"/>
        <v>0.39404673590504458</v>
      </c>
      <c r="AI317" s="100"/>
      <c r="AJ317" s="111">
        <f t="shared" si="252"/>
        <v>3</v>
      </c>
      <c r="AK317" s="262">
        <f t="shared" si="253"/>
        <v>0.35364985163204754</v>
      </c>
      <c r="AL317" s="100"/>
      <c r="AM317" s="111">
        <f t="shared" si="254"/>
        <v>2.8</v>
      </c>
      <c r="AN317" s="262">
        <f t="shared" si="255"/>
        <v>0.30748198389147946</v>
      </c>
      <c r="AO317" s="100"/>
      <c r="AP317" s="24" t="e">
        <f>VLOOKUP(C317,#REF!,6,FALSE)</f>
        <v>#REF!</v>
      </c>
      <c r="AQ317" s="24" t="e">
        <f>VLOOKUP(C317,#REF!,7,FALSE)</f>
        <v>#REF!</v>
      </c>
      <c r="AR317" s="24" t="e">
        <f>VLOOKUP(C317,#REF!,12,FALSE)</f>
        <v>#REF!</v>
      </c>
      <c r="AS317" s="24" t="e">
        <f>VLOOKUP(C317,#REF!,13,FALSE)</f>
        <v>#REF!</v>
      </c>
      <c r="AT317" s="100"/>
      <c r="AU317" s="100"/>
      <c r="AV317" s="100">
        <v>306</v>
      </c>
      <c r="AW317" s="100"/>
      <c r="AY317" s="9">
        <v>19300</v>
      </c>
    </row>
    <row r="318" spans="1:51" s="2" customFormat="1" ht="12.75" customHeight="1" x14ac:dyDescent="0.2">
      <c r="A318" s="6" t="s">
        <v>1247</v>
      </c>
      <c r="B318" s="8">
        <v>9789500207805</v>
      </c>
      <c r="C318" s="21">
        <v>575176</v>
      </c>
      <c r="D318" s="25">
        <v>400</v>
      </c>
      <c r="E318" s="22" t="s">
        <v>161</v>
      </c>
      <c r="F318" s="6" t="s">
        <v>1248</v>
      </c>
      <c r="G318" s="107">
        <v>41699</v>
      </c>
      <c r="H318" s="108">
        <v>42491</v>
      </c>
      <c r="I318" s="24">
        <v>2027</v>
      </c>
      <c r="J318" s="28" t="s">
        <v>1894</v>
      </c>
      <c r="K318" s="28">
        <v>32.79</v>
      </c>
      <c r="L318" s="9">
        <v>19300</v>
      </c>
      <c r="M318" s="112">
        <f t="shared" si="236"/>
        <v>2895</v>
      </c>
      <c r="N318" s="9">
        <f t="shared" si="237"/>
        <v>9650</v>
      </c>
      <c r="O318" s="9">
        <f t="shared" si="238"/>
        <v>6722.21</v>
      </c>
      <c r="P318" s="9">
        <f t="shared" si="239"/>
        <v>2927.79</v>
      </c>
      <c r="Q318" s="139">
        <f t="shared" si="240"/>
        <v>0.69660207253886008</v>
      </c>
      <c r="R318" s="335">
        <v>19300</v>
      </c>
      <c r="S318" s="359" t="s">
        <v>1948</v>
      </c>
      <c r="T318" s="305">
        <v>0.69660207253886008</v>
      </c>
      <c r="U318" s="157"/>
      <c r="V318" s="100"/>
      <c r="W318" s="110">
        <f t="shared" si="241"/>
        <v>19300</v>
      </c>
      <c r="X318" s="110">
        <f t="shared" si="242"/>
        <v>32.79</v>
      </c>
      <c r="Y318" s="110">
        <f t="shared" si="243"/>
        <v>2895</v>
      </c>
      <c r="Z318" s="110">
        <f t="shared" si="244"/>
        <v>6722.2099999999991</v>
      </c>
      <c r="AA318" s="260">
        <f t="shared" si="245"/>
        <v>0.69660207253885997</v>
      </c>
      <c r="AB318" s="28">
        <f t="shared" si="246"/>
        <v>6.4</v>
      </c>
      <c r="AC318" s="261">
        <f t="shared" si="247"/>
        <v>0.6983401335311572</v>
      </c>
      <c r="AD318" s="111">
        <f t="shared" si="248"/>
        <v>2</v>
      </c>
      <c r="AE318" s="262">
        <f t="shared" si="249"/>
        <v>3.4688427299703277E-2</v>
      </c>
      <c r="AF318" s="100"/>
      <c r="AG318" s="111">
        <f t="shared" si="250"/>
        <v>3.2</v>
      </c>
      <c r="AH318" s="262">
        <f t="shared" si="251"/>
        <v>0.39668026706231457</v>
      </c>
      <c r="AI318" s="100"/>
      <c r="AJ318" s="111">
        <f t="shared" si="252"/>
        <v>3</v>
      </c>
      <c r="AK318" s="262">
        <f t="shared" si="253"/>
        <v>0.3564589515331355</v>
      </c>
      <c r="AL318" s="100"/>
      <c r="AM318" s="111">
        <f t="shared" si="254"/>
        <v>2.8</v>
      </c>
      <c r="AN318" s="262">
        <f t="shared" si="255"/>
        <v>0.31049173378550232</v>
      </c>
      <c r="AO318" s="100"/>
      <c r="AP318" s="24" t="e">
        <f>VLOOKUP(C318,#REF!,6,FALSE)</f>
        <v>#REF!</v>
      </c>
      <c r="AQ318" s="24" t="e">
        <f>VLOOKUP(C318,#REF!,7,FALSE)</f>
        <v>#REF!</v>
      </c>
      <c r="AR318" s="24" t="e">
        <f>VLOOKUP(C318,#REF!,12,FALSE)</f>
        <v>#REF!</v>
      </c>
      <c r="AS318" s="24" t="e">
        <f>VLOOKUP(C318,#REF!,13,FALSE)</f>
        <v>#REF!</v>
      </c>
      <c r="AT318" s="100"/>
      <c r="AU318" s="100"/>
      <c r="AV318" s="100">
        <v>307</v>
      </c>
      <c r="AW318" s="100"/>
      <c r="AY318" s="9">
        <v>19300</v>
      </c>
    </row>
    <row r="319" spans="1:51" s="2" customFormat="1" ht="12.75" customHeight="1" x14ac:dyDescent="0.2">
      <c r="A319" s="6" t="s">
        <v>1249</v>
      </c>
      <c r="B319" s="8">
        <v>9789500207836</v>
      </c>
      <c r="C319" s="21">
        <v>576584</v>
      </c>
      <c r="D319" s="25">
        <v>352</v>
      </c>
      <c r="E319" s="22" t="s">
        <v>161</v>
      </c>
      <c r="F319" s="6" t="s">
        <v>1250</v>
      </c>
      <c r="G319" s="107">
        <v>41730</v>
      </c>
      <c r="H319" s="108">
        <v>42583</v>
      </c>
      <c r="I319" s="24">
        <v>2030</v>
      </c>
      <c r="J319" s="28" t="s">
        <v>1894</v>
      </c>
      <c r="K319" s="28">
        <v>31.39</v>
      </c>
      <c r="L319" s="9">
        <v>19300</v>
      </c>
      <c r="M319" s="112">
        <f t="shared" si="236"/>
        <v>2895</v>
      </c>
      <c r="N319" s="9">
        <f t="shared" si="237"/>
        <v>9650</v>
      </c>
      <c r="O319" s="9">
        <f t="shared" si="238"/>
        <v>6723.61</v>
      </c>
      <c r="P319" s="9">
        <f t="shared" si="239"/>
        <v>2926.39</v>
      </c>
      <c r="Q319" s="139">
        <f t="shared" si="240"/>
        <v>0.6967471502590673</v>
      </c>
      <c r="R319" s="335">
        <v>19300</v>
      </c>
      <c r="S319" s="359" t="s">
        <v>1948</v>
      </c>
      <c r="T319" s="305">
        <v>0.6967471502590673</v>
      </c>
      <c r="U319" s="157"/>
      <c r="V319" s="100"/>
      <c r="W319" s="110">
        <f t="shared" si="241"/>
        <v>19300</v>
      </c>
      <c r="X319" s="110">
        <f t="shared" si="242"/>
        <v>31.39</v>
      </c>
      <c r="Y319" s="110">
        <f t="shared" si="243"/>
        <v>2895</v>
      </c>
      <c r="Z319" s="110">
        <f t="shared" si="244"/>
        <v>6723.6100000000006</v>
      </c>
      <c r="AA319" s="260">
        <f t="shared" si="245"/>
        <v>0.69674715025906742</v>
      </c>
      <c r="AB319" s="28">
        <f t="shared" si="246"/>
        <v>6.4</v>
      </c>
      <c r="AC319" s="261">
        <f t="shared" si="247"/>
        <v>0.69848438015166514</v>
      </c>
      <c r="AD319" s="111">
        <f t="shared" si="248"/>
        <v>2</v>
      </c>
      <c r="AE319" s="262">
        <f t="shared" si="249"/>
        <v>3.5150016485328103E-2</v>
      </c>
      <c r="AF319" s="100"/>
      <c r="AG319" s="111">
        <f t="shared" si="250"/>
        <v>3.2</v>
      </c>
      <c r="AH319" s="262">
        <f t="shared" si="251"/>
        <v>0.39696876030333</v>
      </c>
      <c r="AI319" s="100"/>
      <c r="AJ319" s="111">
        <f t="shared" si="252"/>
        <v>3</v>
      </c>
      <c r="AK319" s="262">
        <f t="shared" si="253"/>
        <v>0.3567666776568853</v>
      </c>
      <c r="AL319" s="100"/>
      <c r="AM319" s="111">
        <f t="shared" si="254"/>
        <v>2.8</v>
      </c>
      <c r="AN319" s="262">
        <f t="shared" si="255"/>
        <v>0.31082144034666281</v>
      </c>
      <c r="AO319" s="100"/>
      <c r="AP319" s="24" t="e">
        <f>VLOOKUP(C319,#REF!,6,FALSE)</f>
        <v>#REF!</v>
      </c>
      <c r="AQ319" s="24" t="e">
        <f>VLOOKUP(C319,#REF!,7,FALSE)</f>
        <v>#REF!</v>
      </c>
      <c r="AR319" s="24" t="e">
        <f>VLOOKUP(C319,#REF!,12,FALSE)</f>
        <v>#REF!</v>
      </c>
      <c r="AS319" s="24" t="e">
        <f>VLOOKUP(C319,#REF!,13,FALSE)</f>
        <v>#REF!</v>
      </c>
      <c r="AT319" s="100"/>
      <c r="AU319" s="100"/>
      <c r="AV319" s="100">
        <v>308</v>
      </c>
      <c r="AW319" s="100"/>
      <c r="AY319" s="9">
        <v>19300</v>
      </c>
    </row>
    <row r="320" spans="1:51" s="162" customFormat="1" ht="12.75" customHeight="1" x14ac:dyDescent="0.2">
      <c r="A320" s="6" t="s">
        <v>1251</v>
      </c>
      <c r="B320" s="8">
        <v>9789500299039</v>
      </c>
      <c r="C320" s="8">
        <v>613395</v>
      </c>
      <c r="D320" s="7">
        <v>392</v>
      </c>
      <c r="E320" s="22" t="s">
        <v>162</v>
      </c>
      <c r="F320" s="32" t="s">
        <v>1252</v>
      </c>
      <c r="G320" s="107">
        <v>42491</v>
      </c>
      <c r="H320" s="108">
        <v>42736</v>
      </c>
      <c r="I320" s="24">
        <v>1012</v>
      </c>
      <c r="J320" s="28" t="s">
        <v>1894</v>
      </c>
      <c r="K320" s="28">
        <v>48.05</v>
      </c>
      <c r="L320" s="9">
        <v>19300</v>
      </c>
      <c r="M320" s="112">
        <f t="shared" si="236"/>
        <v>2895</v>
      </c>
      <c r="N320" s="9">
        <f t="shared" si="237"/>
        <v>9650</v>
      </c>
      <c r="O320" s="9">
        <f t="shared" si="238"/>
        <v>6706.95</v>
      </c>
      <c r="P320" s="9">
        <f t="shared" si="239"/>
        <v>2943.05</v>
      </c>
      <c r="Q320" s="139">
        <f t="shared" si="240"/>
        <v>0.69502072538860105</v>
      </c>
      <c r="R320" s="335">
        <v>19300</v>
      </c>
      <c r="S320" s="359" t="s">
        <v>1948</v>
      </c>
      <c r="T320" s="305">
        <v>0.69502072538860105</v>
      </c>
      <c r="U320" s="157"/>
      <c r="V320" s="100"/>
      <c r="W320" s="110">
        <f t="shared" si="241"/>
        <v>19300</v>
      </c>
      <c r="X320" s="110">
        <f t="shared" si="242"/>
        <v>48.05</v>
      </c>
      <c r="Y320" s="110">
        <f t="shared" si="243"/>
        <v>2895</v>
      </c>
      <c r="Z320" s="110">
        <f t="shared" si="244"/>
        <v>6706.9500000000007</v>
      </c>
      <c r="AA320" s="260">
        <f t="shared" si="245"/>
        <v>0.69502072538860116</v>
      </c>
      <c r="AB320" s="28">
        <f t="shared" si="246"/>
        <v>6.4</v>
      </c>
      <c r="AC320" s="261">
        <f t="shared" si="247"/>
        <v>0.69676784536762293</v>
      </c>
      <c r="AD320" s="111">
        <f t="shared" si="248"/>
        <v>2</v>
      </c>
      <c r="AE320" s="262">
        <f t="shared" si="249"/>
        <v>2.9657105176392952E-2</v>
      </c>
      <c r="AF320" s="100"/>
      <c r="AG320" s="111">
        <f t="shared" si="250"/>
        <v>3.2</v>
      </c>
      <c r="AH320" s="262">
        <f t="shared" si="251"/>
        <v>0.39353569073524564</v>
      </c>
      <c r="AI320" s="100"/>
      <c r="AJ320" s="111">
        <f t="shared" si="252"/>
        <v>3</v>
      </c>
      <c r="AK320" s="262">
        <f t="shared" si="253"/>
        <v>0.35310473678426196</v>
      </c>
      <c r="AL320" s="100"/>
      <c r="AM320" s="111">
        <f t="shared" si="254"/>
        <v>2.8</v>
      </c>
      <c r="AN320" s="262">
        <f t="shared" si="255"/>
        <v>0.30689793226885209</v>
      </c>
      <c r="AO320" s="100"/>
      <c r="AP320" s="24" t="e">
        <f>VLOOKUP(C320,#REF!,6,FALSE)</f>
        <v>#REF!</v>
      </c>
      <c r="AQ320" s="24" t="e">
        <f>VLOOKUP(C320,#REF!,7,FALSE)</f>
        <v>#REF!</v>
      </c>
      <c r="AR320" s="24" t="e">
        <f>VLOOKUP(C320,#REF!,12,FALSE)</f>
        <v>#REF!</v>
      </c>
      <c r="AS320" s="24" t="e">
        <f>VLOOKUP(C320,#REF!,13,FALSE)</f>
        <v>#REF!</v>
      </c>
      <c r="AT320" s="100"/>
      <c r="AU320" s="100"/>
      <c r="AV320" s="100">
        <v>309</v>
      </c>
      <c r="AW320" s="100"/>
      <c r="AY320" s="9">
        <v>19300</v>
      </c>
    </row>
    <row r="321" spans="1:51" s="2" customFormat="1" ht="12.75" customHeight="1" x14ac:dyDescent="0.2">
      <c r="A321" s="6" t="s">
        <v>1253</v>
      </c>
      <c r="B321" s="8">
        <v>9789500298964</v>
      </c>
      <c r="C321" s="8">
        <v>614586</v>
      </c>
      <c r="D321" s="7">
        <v>432</v>
      </c>
      <c r="E321" s="22" t="s">
        <v>162</v>
      </c>
      <c r="F321" s="6" t="s">
        <v>1254</v>
      </c>
      <c r="G321" s="107">
        <v>42522</v>
      </c>
      <c r="H321" s="108">
        <v>42614</v>
      </c>
      <c r="I321" s="24">
        <v>1550</v>
      </c>
      <c r="J321" s="28" t="s">
        <v>1894</v>
      </c>
      <c r="K321" s="28">
        <v>39.630000000000003</v>
      </c>
      <c r="L321" s="9">
        <v>19300</v>
      </c>
      <c r="M321" s="112">
        <f t="shared" si="236"/>
        <v>2895</v>
      </c>
      <c r="N321" s="9">
        <f t="shared" si="237"/>
        <v>9650</v>
      </c>
      <c r="O321" s="9">
        <f t="shared" si="238"/>
        <v>6715.37</v>
      </c>
      <c r="P321" s="9">
        <f t="shared" si="239"/>
        <v>2934.63</v>
      </c>
      <c r="Q321" s="139">
        <f t="shared" si="240"/>
        <v>0.69589326424870468</v>
      </c>
      <c r="R321" s="335">
        <v>19300</v>
      </c>
      <c r="S321" s="359" t="s">
        <v>1948</v>
      </c>
      <c r="T321" s="305">
        <v>0.69589326424870468</v>
      </c>
      <c r="U321" s="157"/>
      <c r="V321" s="100"/>
      <c r="W321" s="110">
        <f t="shared" si="241"/>
        <v>19300</v>
      </c>
      <c r="X321" s="110">
        <f t="shared" si="242"/>
        <v>39.630000000000003</v>
      </c>
      <c r="Y321" s="110">
        <f t="shared" si="243"/>
        <v>2895</v>
      </c>
      <c r="Z321" s="110">
        <f t="shared" si="244"/>
        <v>6715.3700000000008</v>
      </c>
      <c r="AA321" s="260">
        <f t="shared" si="245"/>
        <v>0.69589326424870479</v>
      </c>
      <c r="AB321" s="28">
        <f t="shared" si="246"/>
        <v>6.4</v>
      </c>
      <c r="AC321" s="261">
        <f t="shared" si="247"/>
        <v>0.69763538575667661</v>
      </c>
      <c r="AD321" s="111">
        <f t="shared" si="248"/>
        <v>2</v>
      </c>
      <c r="AE321" s="262">
        <f t="shared" si="249"/>
        <v>3.2433234421364948E-2</v>
      </c>
      <c r="AF321" s="100"/>
      <c r="AG321" s="111">
        <f t="shared" si="250"/>
        <v>3.2</v>
      </c>
      <c r="AH321" s="262">
        <f t="shared" si="251"/>
        <v>0.3952707715133531</v>
      </c>
      <c r="AI321" s="100"/>
      <c r="AJ321" s="111">
        <f t="shared" si="252"/>
        <v>3</v>
      </c>
      <c r="AK321" s="262">
        <f t="shared" si="253"/>
        <v>0.35495548961424328</v>
      </c>
      <c r="AL321" s="100"/>
      <c r="AM321" s="111">
        <f t="shared" si="254"/>
        <v>2.8</v>
      </c>
      <c r="AN321" s="262">
        <f t="shared" si="255"/>
        <v>0.30888088172954636</v>
      </c>
      <c r="AO321" s="100"/>
      <c r="AP321" s="24" t="e">
        <f>VLOOKUP(C321,#REF!,6,FALSE)</f>
        <v>#REF!</v>
      </c>
      <c r="AQ321" s="24" t="e">
        <f>VLOOKUP(C321,#REF!,7,FALSE)</f>
        <v>#REF!</v>
      </c>
      <c r="AR321" s="24" t="e">
        <f>VLOOKUP(C321,#REF!,12,FALSE)</f>
        <v>#REF!</v>
      </c>
      <c r="AS321" s="24" t="e">
        <f>VLOOKUP(C321,#REF!,13,FALSE)</f>
        <v>#REF!</v>
      </c>
      <c r="AT321" s="100"/>
      <c r="AU321" s="100"/>
      <c r="AV321" s="100">
        <v>310</v>
      </c>
      <c r="AW321" s="100"/>
      <c r="AY321" s="9">
        <v>19300</v>
      </c>
    </row>
    <row r="322" spans="1:51" s="2" customFormat="1" ht="12.75" customHeight="1" x14ac:dyDescent="0.2">
      <c r="A322" s="6" t="s">
        <v>1255</v>
      </c>
      <c r="B322" s="8">
        <v>9789500299893</v>
      </c>
      <c r="C322" s="6">
        <v>631528</v>
      </c>
      <c r="D322" s="25">
        <v>416</v>
      </c>
      <c r="E322" s="22" t="s">
        <v>162</v>
      </c>
      <c r="F322" s="32" t="s">
        <v>163</v>
      </c>
      <c r="G322" s="107">
        <v>42979</v>
      </c>
      <c r="H322" s="108">
        <v>39234</v>
      </c>
      <c r="I322" s="24">
        <v>3008</v>
      </c>
      <c r="J322" s="28" t="s">
        <v>1894</v>
      </c>
      <c r="K322" s="28">
        <v>34.47</v>
      </c>
      <c r="L322" s="9">
        <v>19300</v>
      </c>
      <c r="M322" s="112">
        <f t="shared" si="236"/>
        <v>2895</v>
      </c>
      <c r="N322" s="9">
        <f t="shared" si="237"/>
        <v>9650</v>
      </c>
      <c r="O322" s="9">
        <f t="shared" si="238"/>
        <v>6720.53</v>
      </c>
      <c r="P322" s="9">
        <f t="shared" si="239"/>
        <v>2929.47</v>
      </c>
      <c r="Q322" s="139">
        <f t="shared" si="240"/>
        <v>0.69642797927461142</v>
      </c>
      <c r="R322" s="335">
        <v>19300</v>
      </c>
      <c r="S322" s="359" t="s">
        <v>1948</v>
      </c>
      <c r="T322" s="305">
        <v>0.69642797927461142</v>
      </c>
      <c r="U322" s="157"/>
      <c r="V322" s="100"/>
      <c r="W322" s="110">
        <f t="shared" si="241"/>
        <v>19300</v>
      </c>
      <c r="X322" s="110">
        <f t="shared" si="242"/>
        <v>34.47</v>
      </c>
      <c r="Y322" s="110">
        <f t="shared" si="243"/>
        <v>2895</v>
      </c>
      <c r="Z322" s="110">
        <f t="shared" si="244"/>
        <v>6720.5300000000007</v>
      </c>
      <c r="AA322" s="260">
        <f t="shared" si="245"/>
        <v>0.69642797927461142</v>
      </c>
      <c r="AB322" s="28">
        <f t="shared" si="246"/>
        <v>6.4</v>
      </c>
      <c r="AC322" s="261">
        <f t="shared" si="247"/>
        <v>0.69816703758654808</v>
      </c>
      <c r="AD322" s="111">
        <f t="shared" si="248"/>
        <v>2</v>
      </c>
      <c r="AE322" s="262">
        <f t="shared" si="249"/>
        <v>3.413452027695358E-2</v>
      </c>
      <c r="AF322" s="100"/>
      <c r="AG322" s="111">
        <f t="shared" si="250"/>
        <v>3.2</v>
      </c>
      <c r="AH322" s="262">
        <f t="shared" si="251"/>
        <v>0.39633407517309593</v>
      </c>
      <c r="AI322" s="100"/>
      <c r="AJ322" s="111">
        <f t="shared" si="252"/>
        <v>3</v>
      </c>
      <c r="AK322" s="262">
        <f t="shared" si="253"/>
        <v>0.3560896801846356</v>
      </c>
      <c r="AL322" s="100"/>
      <c r="AM322" s="111">
        <f t="shared" si="254"/>
        <v>2.8</v>
      </c>
      <c r="AN322" s="262">
        <f t="shared" si="255"/>
        <v>0.31009608591210958</v>
      </c>
      <c r="AO322" s="100"/>
      <c r="AP322" s="24" t="e">
        <f>VLOOKUP(C322,#REF!,6,FALSE)</f>
        <v>#REF!</v>
      </c>
      <c r="AQ322" s="24" t="e">
        <f>VLOOKUP(C322,#REF!,7,FALSE)</f>
        <v>#REF!</v>
      </c>
      <c r="AR322" s="24" t="e">
        <f>VLOOKUP(C322,#REF!,12,FALSE)</f>
        <v>#REF!</v>
      </c>
      <c r="AS322" s="24" t="e">
        <f>VLOOKUP(C322,#REF!,13,FALSE)</f>
        <v>#REF!</v>
      </c>
      <c r="AT322" s="100"/>
      <c r="AU322" s="100"/>
      <c r="AV322" s="100">
        <v>311</v>
      </c>
      <c r="AW322" s="100"/>
      <c r="AY322" s="9">
        <v>19300</v>
      </c>
    </row>
    <row r="323" spans="1:51" s="2" customFormat="1" ht="12.75" customHeight="1" x14ac:dyDescent="0.2">
      <c r="A323" s="6" t="s">
        <v>1256</v>
      </c>
      <c r="B323" s="8">
        <v>9789500209243</v>
      </c>
      <c r="C323" s="8">
        <v>640867</v>
      </c>
      <c r="D323" s="25">
        <v>368</v>
      </c>
      <c r="E323" s="11" t="s">
        <v>339</v>
      </c>
      <c r="F323" s="6" t="s">
        <v>1257</v>
      </c>
      <c r="G323" s="107">
        <v>43070</v>
      </c>
      <c r="H323" s="108">
        <v>43040</v>
      </c>
      <c r="I323" s="24">
        <v>3089</v>
      </c>
      <c r="J323" s="28" t="s">
        <v>1894</v>
      </c>
      <c r="K323" s="28">
        <v>33.26</v>
      </c>
      <c r="L323" s="9">
        <v>19300</v>
      </c>
      <c r="M323" s="141">
        <f>+L323*0.13</f>
        <v>2509</v>
      </c>
      <c r="N323" s="9">
        <f t="shared" si="237"/>
        <v>9650</v>
      </c>
      <c r="O323" s="9">
        <f t="shared" si="238"/>
        <v>7107.74</v>
      </c>
      <c r="P323" s="9">
        <f t="shared" si="239"/>
        <v>2542.2600000000002</v>
      </c>
      <c r="Q323" s="139">
        <f t="shared" si="240"/>
        <v>0.73655336787564762</v>
      </c>
      <c r="R323" s="335">
        <v>19300</v>
      </c>
      <c r="S323" s="359" t="s">
        <v>1948</v>
      </c>
      <c r="T323" s="305">
        <v>0.73655336787564762</v>
      </c>
      <c r="U323" s="144"/>
      <c r="V323" s="100"/>
      <c r="W323" s="110">
        <f t="shared" si="241"/>
        <v>19300</v>
      </c>
      <c r="X323" s="110">
        <f t="shared" si="242"/>
        <v>33.26</v>
      </c>
      <c r="Y323" s="110">
        <f t="shared" si="243"/>
        <v>2509</v>
      </c>
      <c r="Z323" s="110">
        <f t="shared" si="244"/>
        <v>7107.74</v>
      </c>
      <c r="AA323" s="260">
        <f t="shared" si="245"/>
        <v>0.73655336787564762</v>
      </c>
      <c r="AB323" s="28">
        <f t="shared" si="246"/>
        <v>6.4</v>
      </c>
      <c r="AC323" s="261">
        <f t="shared" si="247"/>
        <v>0.7380625618199802</v>
      </c>
      <c r="AD323" s="111">
        <f t="shared" si="248"/>
        <v>1.8</v>
      </c>
      <c r="AE323" s="262">
        <f t="shared" si="249"/>
        <v>6.8666886471040786E-2</v>
      </c>
      <c r="AF323" s="100"/>
      <c r="AG323" s="111">
        <f t="shared" si="250"/>
        <v>2.8</v>
      </c>
      <c r="AH323" s="262">
        <f t="shared" si="251"/>
        <v>0.40128585558852614</v>
      </c>
      <c r="AI323" s="100"/>
      <c r="AJ323" s="111">
        <f t="shared" si="252"/>
        <v>2.6</v>
      </c>
      <c r="AK323" s="262">
        <f t="shared" si="253"/>
        <v>0.3552309214030282</v>
      </c>
      <c r="AL323" s="100"/>
      <c r="AM323" s="111">
        <f t="shared" si="254"/>
        <v>2.4</v>
      </c>
      <c r="AN323" s="262">
        <f t="shared" si="255"/>
        <v>0.30150016485328052</v>
      </c>
      <c r="AO323" s="100"/>
      <c r="AP323" s="24" t="e">
        <f>VLOOKUP(C323,#REF!,6,FALSE)</f>
        <v>#REF!</v>
      </c>
      <c r="AQ323" s="24" t="e">
        <f>VLOOKUP(C323,#REF!,7,FALSE)</f>
        <v>#REF!</v>
      </c>
      <c r="AR323" s="24" t="e">
        <f>VLOOKUP(C323,#REF!,12,FALSE)</f>
        <v>#REF!</v>
      </c>
      <c r="AS323" s="24" t="e">
        <f>VLOOKUP(C323,#REF!,13,FALSE)</f>
        <v>#REF!</v>
      </c>
      <c r="AT323" s="100">
        <v>19</v>
      </c>
      <c r="AU323" s="100"/>
      <c r="AV323" s="100">
        <v>312</v>
      </c>
      <c r="AW323" s="100"/>
      <c r="AY323" s="9">
        <v>19300</v>
      </c>
    </row>
    <row r="324" spans="1:51" s="2" customFormat="1" ht="12.75" customHeight="1" x14ac:dyDescent="0.2">
      <c r="A324" s="6" t="s">
        <v>1258</v>
      </c>
      <c r="B324" s="8">
        <v>9788499709376</v>
      </c>
      <c r="C324" s="8">
        <v>614907</v>
      </c>
      <c r="D324" s="7">
        <v>144</v>
      </c>
      <c r="E324" s="31" t="s">
        <v>156</v>
      </c>
      <c r="F324" s="32" t="s">
        <v>164</v>
      </c>
      <c r="G324" s="107">
        <v>42522</v>
      </c>
      <c r="H324" s="108">
        <v>42491</v>
      </c>
      <c r="I324" s="24">
        <v>2600</v>
      </c>
      <c r="J324" s="28" t="s">
        <v>1894</v>
      </c>
      <c r="K324" s="28">
        <v>82.53</v>
      </c>
      <c r="L324" s="112">
        <v>23400</v>
      </c>
      <c r="M324" s="112"/>
      <c r="N324" s="9">
        <f t="shared" si="237"/>
        <v>11700</v>
      </c>
      <c r="O324" s="9">
        <f t="shared" si="238"/>
        <v>11617.47</v>
      </c>
      <c r="P324" s="9">
        <f t="shared" si="239"/>
        <v>82.53</v>
      </c>
      <c r="Q324" s="139">
        <f t="shared" si="240"/>
        <v>0.99294615384615381</v>
      </c>
      <c r="R324" s="335">
        <v>23400</v>
      </c>
      <c r="S324" s="359" t="s">
        <v>1948</v>
      </c>
      <c r="T324" s="305">
        <v>0.99294615384615381</v>
      </c>
      <c r="U324" s="157"/>
      <c r="V324" s="100"/>
      <c r="W324" s="110">
        <f t="shared" si="241"/>
        <v>23400</v>
      </c>
      <c r="X324" s="110">
        <f t="shared" si="242"/>
        <v>82.53</v>
      </c>
      <c r="Y324" s="110">
        <f t="shared" si="243"/>
        <v>0</v>
      </c>
      <c r="Z324" s="110">
        <f t="shared" si="244"/>
        <v>11617.47</v>
      </c>
      <c r="AA324" s="260">
        <f t="shared" si="245"/>
        <v>0.99294615384615381</v>
      </c>
      <c r="AB324" s="28">
        <f t="shared" si="246"/>
        <v>7.7</v>
      </c>
      <c r="AC324" s="261">
        <f t="shared" si="247"/>
        <v>0.99293229026166707</v>
      </c>
      <c r="AD324" s="111">
        <f t="shared" si="248"/>
        <v>0.1</v>
      </c>
      <c r="AE324" s="262">
        <f t="shared" si="249"/>
        <v>0.45578635014836799</v>
      </c>
      <c r="AF324" s="100"/>
      <c r="AG324" s="111">
        <f t="shared" si="250"/>
        <v>0.1</v>
      </c>
      <c r="AH324" s="262">
        <f t="shared" si="251"/>
        <v>0.45578635014836799</v>
      </c>
      <c r="AI324" s="100"/>
      <c r="AJ324" s="111">
        <f t="shared" si="252"/>
        <v>0.1</v>
      </c>
      <c r="AK324" s="262">
        <f t="shared" si="253"/>
        <v>0.45578635014836799</v>
      </c>
      <c r="AL324" s="100"/>
      <c r="AM324" s="111">
        <f t="shared" si="254"/>
        <v>0.1</v>
      </c>
      <c r="AN324" s="262">
        <f t="shared" si="255"/>
        <v>0.45578635014836799</v>
      </c>
      <c r="AO324" s="100"/>
      <c r="AP324" s="24" t="e">
        <f>VLOOKUP(C324,#REF!,6,FALSE)</f>
        <v>#REF!</v>
      </c>
      <c r="AQ324" s="24" t="e">
        <f>VLOOKUP(C324,#REF!,7,FALSE)</f>
        <v>#REF!</v>
      </c>
      <c r="AR324" s="24" t="e">
        <f>VLOOKUP(C324,#REF!,12,FALSE)</f>
        <v>#REF!</v>
      </c>
      <c r="AS324" s="24" t="e">
        <f>VLOOKUP(C324,#REF!,13,FALSE)</f>
        <v>#REF!</v>
      </c>
      <c r="AT324" s="100"/>
      <c r="AU324" s="100"/>
      <c r="AV324" s="100">
        <v>313</v>
      </c>
      <c r="AW324" s="100"/>
      <c r="AY324" s="112">
        <v>23400</v>
      </c>
    </row>
    <row r="325" spans="1:51" s="2" customFormat="1" ht="12.75" customHeight="1" x14ac:dyDescent="0.2">
      <c r="A325" s="6" t="s">
        <v>1259</v>
      </c>
      <c r="B325" s="8">
        <v>9788499709383</v>
      </c>
      <c r="C325" s="8">
        <v>614908</v>
      </c>
      <c r="D325" s="7">
        <v>192</v>
      </c>
      <c r="E325" s="31" t="s">
        <v>156</v>
      </c>
      <c r="F325" s="32" t="s">
        <v>1260</v>
      </c>
      <c r="G325" s="107">
        <v>42583</v>
      </c>
      <c r="H325" s="108">
        <v>42491</v>
      </c>
      <c r="I325" s="24">
        <v>1471</v>
      </c>
      <c r="J325" s="28" t="s">
        <v>1894</v>
      </c>
      <c r="K325" s="28">
        <v>106.11</v>
      </c>
      <c r="L325" s="9">
        <v>23400</v>
      </c>
      <c r="M325" s="112"/>
      <c r="N325" s="9">
        <f t="shared" si="237"/>
        <v>11700</v>
      </c>
      <c r="O325" s="9">
        <f t="shared" si="238"/>
        <v>11593.89</v>
      </c>
      <c r="P325" s="9">
        <f t="shared" si="239"/>
        <v>106.11</v>
      </c>
      <c r="Q325" s="139">
        <f t="shared" si="240"/>
        <v>0.99093076923076917</v>
      </c>
      <c r="R325" s="335">
        <v>23400</v>
      </c>
      <c r="S325" s="359" t="s">
        <v>1948</v>
      </c>
      <c r="T325" s="305">
        <v>0.99093076923076917</v>
      </c>
      <c r="U325" s="157"/>
      <c r="V325" s="100"/>
      <c r="W325" s="110">
        <f t="shared" si="241"/>
        <v>23400</v>
      </c>
      <c r="X325" s="110">
        <f t="shared" si="242"/>
        <v>106.11</v>
      </c>
      <c r="Y325" s="110">
        <f t="shared" si="243"/>
        <v>0</v>
      </c>
      <c r="Z325" s="110">
        <f t="shared" si="244"/>
        <v>11593.89</v>
      </c>
      <c r="AA325" s="260">
        <f t="shared" si="245"/>
        <v>0.99093076923076917</v>
      </c>
      <c r="AB325" s="28">
        <f t="shared" si="246"/>
        <v>7.7</v>
      </c>
      <c r="AC325" s="261">
        <f t="shared" si="247"/>
        <v>0.99091294462214341</v>
      </c>
      <c r="AD325" s="111">
        <f t="shared" si="248"/>
        <v>0.1</v>
      </c>
      <c r="AE325" s="262">
        <f t="shared" si="249"/>
        <v>0.30029673590504452</v>
      </c>
      <c r="AF325" s="100"/>
      <c r="AG325" s="111">
        <f t="shared" si="250"/>
        <v>0.1</v>
      </c>
      <c r="AH325" s="262">
        <f t="shared" si="251"/>
        <v>0.30029673590504452</v>
      </c>
      <c r="AI325" s="100"/>
      <c r="AJ325" s="111">
        <f t="shared" si="252"/>
        <v>0.1</v>
      </c>
      <c r="AK325" s="262">
        <f t="shared" si="253"/>
        <v>0.30029673590504452</v>
      </c>
      <c r="AL325" s="100"/>
      <c r="AM325" s="111">
        <f t="shared" si="254"/>
        <v>0.1</v>
      </c>
      <c r="AN325" s="262">
        <f t="shared" si="255"/>
        <v>0.30029673590504452</v>
      </c>
      <c r="AO325" s="100"/>
      <c r="AP325" s="24" t="e">
        <f>VLOOKUP(C325,#REF!,6,FALSE)</f>
        <v>#REF!</v>
      </c>
      <c r="AQ325" s="24" t="e">
        <f>VLOOKUP(C325,#REF!,7,FALSE)</f>
        <v>#REF!</v>
      </c>
      <c r="AR325" s="24" t="e">
        <f>VLOOKUP(C325,#REF!,12,FALSE)</f>
        <v>#REF!</v>
      </c>
      <c r="AS325" s="24" t="e">
        <f>VLOOKUP(C325,#REF!,13,FALSE)</f>
        <v>#REF!</v>
      </c>
      <c r="AT325" s="100"/>
      <c r="AU325" s="100"/>
      <c r="AV325" s="100">
        <v>314</v>
      </c>
      <c r="AW325" s="100"/>
      <c r="AY325" s="9">
        <v>23400</v>
      </c>
    </row>
    <row r="326" spans="1:51" s="2" customFormat="1" ht="12.75" customHeight="1" x14ac:dyDescent="0.25">
      <c r="B326" s="3"/>
      <c r="C326" s="3"/>
      <c r="H326" s="132"/>
      <c r="I326" s="132"/>
      <c r="J326" s="134"/>
      <c r="K326" s="132"/>
      <c r="L326" s="134"/>
      <c r="M326" s="132"/>
      <c r="N326" s="132"/>
      <c r="O326" s="132"/>
      <c r="P326" s="132"/>
      <c r="Q326" s="147"/>
      <c r="R326" s="356"/>
      <c r="S326" s="360"/>
      <c r="T326" s="307"/>
      <c r="U326" s="135"/>
      <c r="V326" s="100"/>
      <c r="W326"/>
      <c r="X326"/>
      <c r="Y326"/>
      <c r="Z326"/>
      <c r="AA326"/>
      <c r="AB326"/>
      <c r="AC326"/>
      <c r="AD326" s="263"/>
      <c r="AE326"/>
      <c r="AF326" s="100"/>
      <c r="AG326" s="263"/>
      <c r="AH326"/>
      <c r="AI326" s="100"/>
      <c r="AJ326" s="263"/>
      <c r="AK326"/>
      <c r="AL326" s="100"/>
      <c r="AM326" s="263"/>
      <c r="AN326"/>
      <c r="AO326" s="100"/>
      <c r="AP326" s="100"/>
      <c r="AQ326" s="100"/>
      <c r="AR326" s="100"/>
      <c r="AS326" s="100"/>
      <c r="AT326" s="100"/>
      <c r="AU326" s="100"/>
      <c r="AV326" s="100">
        <v>315</v>
      </c>
      <c r="AW326" s="100"/>
      <c r="AY326" s="134"/>
    </row>
    <row r="327" spans="1:51" s="2" customFormat="1" ht="12.75" customHeight="1" x14ac:dyDescent="0.25">
      <c r="A327" s="160" t="s">
        <v>1261</v>
      </c>
      <c r="B327" s="161"/>
      <c r="C327" s="168"/>
      <c r="D327" s="173"/>
      <c r="E327" s="174"/>
      <c r="F327" s="162"/>
      <c r="G327" s="162"/>
      <c r="H327" s="132"/>
      <c r="I327" s="132"/>
      <c r="J327" s="134"/>
      <c r="K327" s="132"/>
      <c r="L327" s="134"/>
      <c r="M327" s="132"/>
      <c r="N327" s="132"/>
      <c r="O327" s="132"/>
      <c r="P327" s="132"/>
      <c r="Q327" s="147"/>
      <c r="R327" s="356"/>
      <c r="S327" s="360"/>
      <c r="T327" s="307"/>
      <c r="U327" s="135"/>
      <c r="V327" s="100"/>
      <c r="W327"/>
      <c r="X327"/>
      <c r="Y327"/>
      <c r="Z327"/>
      <c r="AA327"/>
      <c r="AB327"/>
      <c r="AC327"/>
      <c r="AD327" s="263"/>
      <c r="AE327"/>
      <c r="AF327" s="100"/>
      <c r="AG327" s="263"/>
      <c r="AH327"/>
      <c r="AI327" s="100"/>
      <c r="AJ327" s="263"/>
      <c r="AK327"/>
      <c r="AL327" s="100"/>
      <c r="AM327" s="263"/>
      <c r="AN327"/>
      <c r="AO327" s="100"/>
      <c r="AP327" s="100"/>
      <c r="AQ327" s="100"/>
      <c r="AR327" s="100"/>
      <c r="AS327" s="100"/>
      <c r="AT327" s="100"/>
      <c r="AU327" s="100"/>
      <c r="AV327" s="100">
        <v>316</v>
      </c>
      <c r="AW327" s="100"/>
      <c r="AY327" s="134"/>
    </row>
    <row r="328" spans="1:51" s="2" customFormat="1" ht="12.75" customHeight="1" x14ac:dyDescent="0.2">
      <c r="A328" s="6" t="s">
        <v>1262</v>
      </c>
      <c r="B328" s="33">
        <v>9789500209625</v>
      </c>
      <c r="C328" s="145">
        <v>648589</v>
      </c>
      <c r="D328" s="7">
        <v>496</v>
      </c>
      <c r="E328" s="7" t="s">
        <v>165</v>
      </c>
      <c r="F328" s="11" t="s">
        <v>365</v>
      </c>
      <c r="G328" s="107">
        <v>43221</v>
      </c>
      <c r="H328" s="108">
        <v>43191</v>
      </c>
      <c r="I328" s="24">
        <v>2980</v>
      </c>
      <c r="J328" s="28" t="s">
        <v>1894</v>
      </c>
      <c r="K328" s="28">
        <v>83.77</v>
      </c>
      <c r="L328" s="28">
        <v>13900</v>
      </c>
      <c r="M328" s="9">
        <f>+L328*0.08</f>
        <v>1112</v>
      </c>
      <c r="N328" s="9">
        <f>+L328/2</f>
        <v>6950</v>
      </c>
      <c r="O328" s="9">
        <f>+N328-M328-K328</f>
        <v>5754.23</v>
      </c>
      <c r="P328" s="9">
        <f>+M328+K328</f>
        <v>1195.77</v>
      </c>
      <c r="Q328" s="139">
        <f>+O328/N328</f>
        <v>0.82794676258992794</v>
      </c>
      <c r="R328" s="335">
        <v>13900</v>
      </c>
      <c r="S328" s="359" t="s">
        <v>1948</v>
      </c>
      <c r="T328" s="305">
        <v>0.82794676258992794</v>
      </c>
      <c r="U328" s="157"/>
      <c r="V328" s="100"/>
      <c r="W328" s="110">
        <f>+L328</f>
        <v>13900</v>
      </c>
      <c r="X328" s="110">
        <f>+K328</f>
        <v>83.77</v>
      </c>
      <c r="Y328" s="110">
        <f>+M328</f>
        <v>1112</v>
      </c>
      <c r="Z328" s="110">
        <f>+W328/2-X328-Y328</f>
        <v>5754.23</v>
      </c>
      <c r="AA328" s="260">
        <f>+Z328/(W328/2)</f>
        <v>0.82794676258992794</v>
      </c>
      <c r="AB328" s="28">
        <f>ROUND($W328/2/$X$1,1)</f>
        <v>4.5999999999999996</v>
      </c>
      <c r="AC328" s="261">
        <f>+(AB328*$X$1-$X328-$Y328)/(AB328*$X$1)</f>
        <v>0.82858555885262108</v>
      </c>
      <c r="AD328" s="111">
        <f>+IFERROR(ROUND(($X328+$Y328)/(1-$X$2)/$X$1,1),0)</f>
        <v>0.8</v>
      </c>
      <c r="AE328" s="262">
        <f>+(AD328*$X$1-$X328-$Y328)/(AD328*$X$1)</f>
        <v>1.4366963402571762E-2</v>
      </c>
      <c r="AF328" s="100"/>
      <c r="AG328" s="111">
        <f>+IFERROR(ROUND(($X328+$Y328)/(1-$AG$2)/$X$1,1),0)</f>
        <v>1.3</v>
      </c>
      <c r="AH328" s="262">
        <f>+(AG328*$X$1-$X328-$Y328)/(AG328*$X$1)</f>
        <v>0.39345659286312107</v>
      </c>
      <c r="AI328" s="100"/>
      <c r="AJ328" s="111">
        <f>+IFERROR(ROUND(($X328+$Y328)/(1-$AJ$2)/$X$1,1),0)</f>
        <v>1.2</v>
      </c>
      <c r="AK328" s="262">
        <f>+(AJ328*$X$1-$X328-$Y328)/(AJ328*$X$1)</f>
        <v>0.34291130893504779</v>
      </c>
      <c r="AL328" s="100"/>
      <c r="AM328" s="111">
        <f>+IFERROR(ROUND(($X328+$Y328)/(1-$AM$2)/$X$1,1),0)</f>
        <v>1.1000000000000001</v>
      </c>
      <c r="AN328" s="262">
        <f>+(AM328*$X$1-$X328-$Y328)/(AM328*$X$1)</f>
        <v>0.28317597338368855</v>
      </c>
      <c r="AO328" s="100"/>
      <c r="AP328" s="24" t="e">
        <f>VLOOKUP(C328,#REF!,6,FALSE)</f>
        <v>#REF!</v>
      </c>
      <c r="AQ328" s="24" t="e">
        <f>VLOOKUP(C328,#REF!,7,FALSE)</f>
        <v>#REF!</v>
      </c>
      <c r="AR328" s="24" t="e">
        <f>VLOOKUP(C328,#REF!,12,FALSE)</f>
        <v>#REF!</v>
      </c>
      <c r="AS328" s="24" t="e">
        <f>VLOOKUP(C328,#REF!,13,FALSE)</f>
        <v>#REF!</v>
      </c>
      <c r="AT328" s="100">
        <v>20</v>
      </c>
      <c r="AU328" s="100"/>
      <c r="AV328" s="100">
        <v>317</v>
      </c>
      <c r="AW328" s="100"/>
      <c r="AY328" s="28">
        <v>13900</v>
      </c>
    </row>
    <row r="329" spans="1:51" s="162" customFormat="1" ht="12.75" customHeight="1" x14ac:dyDescent="0.2">
      <c r="A329" s="6" t="s">
        <v>1263</v>
      </c>
      <c r="B329" s="8">
        <v>9789500299886</v>
      </c>
      <c r="C329" s="6">
        <v>628865</v>
      </c>
      <c r="D329" s="25">
        <v>464</v>
      </c>
      <c r="E329" s="7" t="s">
        <v>1264</v>
      </c>
      <c r="F329" s="175" t="s">
        <v>166</v>
      </c>
      <c r="G329" s="107">
        <v>42856</v>
      </c>
      <c r="H329" s="108">
        <v>42826</v>
      </c>
      <c r="I329" s="24">
        <v>2991</v>
      </c>
      <c r="J329" s="28" t="s">
        <v>1894</v>
      </c>
      <c r="K329" s="28">
        <v>57.59</v>
      </c>
      <c r="L329" s="28">
        <v>13900</v>
      </c>
      <c r="M329" s="9">
        <f>+L329*0.08</f>
        <v>1112</v>
      </c>
      <c r="N329" s="9">
        <f>+L329/2</f>
        <v>6950</v>
      </c>
      <c r="O329" s="9">
        <f>+N329-M329-K329</f>
        <v>5780.41</v>
      </c>
      <c r="P329" s="9">
        <f>+M329+K329</f>
        <v>1169.5899999999999</v>
      </c>
      <c r="Q329" s="139">
        <f>+O329/N329</f>
        <v>0.8317136690647482</v>
      </c>
      <c r="R329" s="335">
        <v>13900</v>
      </c>
      <c r="S329" s="359" t="s">
        <v>1948</v>
      </c>
      <c r="T329" s="305">
        <v>0.8317136690647482</v>
      </c>
      <c r="U329" s="140"/>
      <c r="V329" s="100"/>
      <c r="W329" s="110">
        <f>+L329</f>
        <v>13900</v>
      </c>
      <c r="X329" s="110">
        <f>+K329</f>
        <v>57.59</v>
      </c>
      <c r="Y329" s="110">
        <f>+M329</f>
        <v>1112</v>
      </c>
      <c r="Z329" s="110">
        <f>+W329/2-X329-Y329</f>
        <v>5780.41</v>
      </c>
      <c r="AA329" s="260">
        <f>+Z329/(W329/2)</f>
        <v>0.8317136690647482</v>
      </c>
      <c r="AB329" s="28">
        <f>ROUND($W329/2/$X$1,1)</f>
        <v>4.5999999999999996</v>
      </c>
      <c r="AC329" s="261">
        <f>+(AB329*$X$1-$X329-$Y329)/(AB329*$X$1)</f>
        <v>0.83233847962270102</v>
      </c>
      <c r="AD329" s="111">
        <f>+IFERROR(ROUND(($X329+$Y329)/(1-$X$2)/$X$1,1),0)</f>
        <v>0.8</v>
      </c>
      <c r="AE329" s="262">
        <f>+(AD329*$X$1-$X329-$Y329)/(AD329*$X$1)</f>
        <v>3.5946257830530931E-2</v>
      </c>
      <c r="AF329" s="100"/>
      <c r="AG329" s="111">
        <f>+IFERROR(ROUND(($X329+$Y329)/(1-$AG$2)/$X$1,1),0)</f>
        <v>1.3</v>
      </c>
      <c r="AH329" s="262">
        <f>+(AG329*$X$1-$X329-$Y329)/(AG329*$X$1)</f>
        <v>0.40673615866494212</v>
      </c>
      <c r="AI329" s="100"/>
      <c r="AJ329" s="111">
        <f>+IFERROR(ROUND(($X329+$Y329)/(1-$AJ$2)/$X$1,1),0)</f>
        <v>1.2</v>
      </c>
      <c r="AK329" s="262">
        <f>+(AJ329*$X$1-$X329-$Y329)/(AJ329*$X$1)</f>
        <v>0.35729750522035392</v>
      </c>
      <c r="AL329" s="100"/>
      <c r="AM329" s="111">
        <f>+IFERROR(ROUND(($X329+$Y329)/(1-$AM$2)/$X$1,1),0)</f>
        <v>1.1000000000000001</v>
      </c>
      <c r="AN329" s="262">
        <f>+(AM329*$X$1-$X329-$Y329)/(AM329*$X$1)</f>
        <v>0.29887000569493161</v>
      </c>
      <c r="AO329" s="100"/>
      <c r="AP329" s="24" t="e">
        <f>VLOOKUP(C329,#REF!,6,FALSE)</f>
        <v>#REF!</v>
      </c>
      <c r="AQ329" s="24" t="e">
        <f>VLOOKUP(C329,#REF!,7,FALSE)</f>
        <v>#REF!</v>
      </c>
      <c r="AR329" s="24" t="e">
        <f>VLOOKUP(C329,#REF!,12,FALSE)</f>
        <v>#REF!</v>
      </c>
      <c r="AS329" s="24" t="e">
        <f>VLOOKUP(C329,#REF!,13,FALSE)</f>
        <v>#REF!</v>
      </c>
      <c r="AT329" s="100"/>
      <c r="AU329" s="100"/>
      <c r="AV329" s="100">
        <v>318</v>
      </c>
      <c r="AW329" s="100"/>
      <c r="AY329" s="28">
        <v>13900</v>
      </c>
    </row>
    <row r="330" spans="1:51" s="162" customFormat="1" ht="12.75" customHeight="1" x14ac:dyDescent="0.25">
      <c r="A330" s="2"/>
      <c r="B330" s="3"/>
      <c r="C330" s="3"/>
      <c r="D330" s="2"/>
      <c r="E330" s="2"/>
      <c r="F330" s="2"/>
      <c r="G330" s="2"/>
      <c r="H330" s="132"/>
      <c r="I330" s="132"/>
      <c r="J330" s="134"/>
      <c r="K330" s="132"/>
      <c r="L330" s="134"/>
      <c r="M330" s="132"/>
      <c r="N330" s="132"/>
      <c r="O330" s="132"/>
      <c r="P330" s="132"/>
      <c r="Q330" s="147"/>
      <c r="R330" s="356"/>
      <c r="S330" s="360"/>
      <c r="T330" s="307"/>
      <c r="U330" s="135"/>
      <c r="V330" s="100"/>
      <c r="W330"/>
      <c r="X330"/>
      <c r="Y330"/>
      <c r="Z330"/>
      <c r="AA330"/>
      <c r="AB330"/>
      <c r="AC330"/>
      <c r="AD330" s="263"/>
      <c r="AE330"/>
      <c r="AF330" s="100"/>
      <c r="AG330" s="263"/>
      <c r="AH330"/>
      <c r="AI330" s="100"/>
      <c r="AJ330" s="263"/>
      <c r="AK330"/>
      <c r="AL330" s="100"/>
      <c r="AM330" s="263"/>
      <c r="AN330"/>
      <c r="AO330" s="100"/>
      <c r="AP330" s="100"/>
      <c r="AQ330" s="100"/>
      <c r="AR330" s="100"/>
      <c r="AS330" s="100"/>
      <c r="AT330" s="100"/>
      <c r="AU330" s="100"/>
      <c r="AV330" s="100">
        <v>319</v>
      </c>
      <c r="AW330" s="100"/>
      <c r="AY330" s="134"/>
    </row>
    <row r="331" spans="1:51" s="2" customFormat="1" ht="12.75" customHeight="1" x14ac:dyDescent="0.25">
      <c r="A331" s="160" t="s">
        <v>1265</v>
      </c>
      <c r="B331" s="161"/>
      <c r="C331" s="168"/>
      <c r="D331" s="173"/>
      <c r="E331" s="174"/>
      <c r="F331" s="162"/>
      <c r="G331" s="162"/>
      <c r="H331" s="132"/>
      <c r="I331" s="132"/>
      <c r="J331" s="134"/>
      <c r="K331" s="132"/>
      <c r="L331" s="134"/>
      <c r="M331" s="132"/>
      <c r="N331" s="132"/>
      <c r="O331" s="132"/>
      <c r="P331" s="132"/>
      <c r="Q331" s="147"/>
      <c r="R331" s="356"/>
      <c r="S331" s="360"/>
      <c r="T331" s="307"/>
      <c r="U331" s="135"/>
      <c r="V331" s="100"/>
      <c r="W331"/>
      <c r="X331"/>
      <c r="Y331"/>
      <c r="Z331"/>
      <c r="AA331"/>
      <c r="AB331"/>
      <c r="AC331"/>
      <c r="AD331" s="263"/>
      <c r="AE331"/>
      <c r="AF331" s="100"/>
      <c r="AG331" s="263"/>
      <c r="AH331"/>
      <c r="AI331" s="100"/>
      <c r="AJ331" s="263"/>
      <c r="AK331"/>
      <c r="AL331" s="100"/>
      <c r="AM331" s="263"/>
      <c r="AN331"/>
      <c r="AO331" s="100"/>
      <c r="AP331" s="100"/>
      <c r="AQ331" s="100"/>
      <c r="AR331" s="100"/>
      <c r="AS331" s="100"/>
      <c r="AT331" s="100"/>
      <c r="AU331" s="100"/>
      <c r="AV331" s="100">
        <v>320</v>
      </c>
      <c r="AW331" s="100"/>
      <c r="AY331" s="134"/>
    </row>
    <row r="332" spans="1:51" s="2" customFormat="1" ht="12.75" customHeight="1" x14ac:dyDescent="0.2">
      <c r="A332" s="6" t="s">
        <v>1978</v>
      </c>
      <c r="B332" s="8">
        <v>9789500215848</v>
      </c>
      <c r="C332" s="6">
        <v>725692</v>
      </c>
      <c r="D332" s="41">
        <v>512</v>
      </c>
      <c r="E332" s="288" t="s">
        <v>165</v>
      </c>
      <c r="F332" s="6" t="s">
        <v>170</v>
      </c>
      <c r="G332" s="107">
        <v>45689</v>
      </c>
      <c r="H332" s="108">
        <v>45658</v>
      </c>
      <c r="I332" s="264">
        <v>1980</v>
      </c>
      <c r="J332" s="28" t="s">
        <v>2136</v>
      </c>
      <c r="K332" s="292">
        <v>4152.3</v>
      </c>
      <c r="L332" s="9">
        <v>35700</v>
      </c>
      <c r="M332" s="9">
        <f>+L332*0.08</f>
        <v>2856</v>
      </c>
      <c r="N332" s="9">
        <f t="shared" ref="N332:N339" si="256">+L332/2</f>
        <v>17850</v>
      </c>
      <c r="O332" s="9">
        <f t="shared" ref="O332:O339" si="257">+N332-M332-K332</f>
        <v>10841.7</v>
      </c>
      <c r="P332" s="9">
        <f t="shared" ref="P332:P339" si="258">+M332+K332</f>
        <v>7008.3</v>
      </c>
      <c r="Q332" s="109">
        <f t="shared" ref="Q332:Q339" si="259">+O332/N332</f>
        <v>0.60737815126050421</v>
      </c>
      <c r="R332" s="335">
        <v>35700</v>
      </c>
      <c r="S332" s="359" t="s">
        <v>1948</v>
      </c>
      <c r="T332" s="305">
        <v>0.60737815126050421</v>
      </c>
      <c r="U332" s="12"/>
      <c r="V332" s="100"/>
      <c r="W332" s="110">
        <f t="shared" ref="W332:W339" si="260">+L332</f>
        <v>35700</v>
      </c>
      <c r="X332" s="110">
        <f t="shared" ref="X332:X339" si="261">+K332</f>
        <v>4152.3</v>
      </c>
      <c r="Y332" s="110">
        <f t="shared" ref="Y332:Y339" si="262">+M332</f>
        <v>2856</v>
      </c>
      <c r="Z332" s="110">
        <f t="shared" ref="Z332:Z339" si="263">+W332/2-X332-Y332</f>
        <v>10841.7</v>
      </c>
      <c r="AA332" s="260">
        <f t="shared" ref="AA332:AA339" si="264">+Z332/(W332/2)</f>
        <v>0.60737815126050421</v>
      </c>
      <c r="AB332" s="28">
        <f t="shared" ref="AB332:AB339" si="265">ROUND($W332/2/$X$1,1)</f>
        <v>11.8</v>
      </c>
      <c r="AC332" s="261">
        <f t="shared" ref="AC332:AC339" si="266">+(AB332*$X$1-$X332-$Y332)/(AB332*$X$1)</f>
        <v>0.60835889956244038</v>
      </c>
      <c r="AD332" s="111">
        <f t="shared" ref="AD332:AD339" si="267">+IFERROR(ROUND(($X332+$Y332)/(1-$X$2)/$X$1,1),0)</f>
        <v>4.9000000000000004</v>
      </c>
      <c r="AE332" s="262">
        <f t="shared" ref="AE332:AE339" si="268">+(AD332*$X$1-$X332-$Y332)/(AD332*$X$1)</f>
        <v>5.6864288742203131E-2</v>
      </c>
      <c r="AF332" s="100"/>
      <c r="AG332" s="111">
        <f t="shared" ref="AG332:AG339" si="269">+IFERROR(ROUND(($X332+$Y332)/(1-$AG$2)/$X$1,1),0)</f>
        <v>7.7</v>
      </c>
      <c r="AH332" s="262">
        <f t="shared" ref="AH332:AH339" si="270">+(AG332*$X$1-$X332-$Y332)/(AG332*$X$1)</f>
        <v>0.39982272919958384</v>
      </c>
      <c r="AI332" s="100"/>
      <c r="AJ332" s="111">
        <f t="shared" ref="AJ332:AJ339" si="271">+IFERROR(ROUND(($X332+$Y332)/(1-$AJ$2)/$X$1,1),0)</f>
        <v>7.1</v>
      </c>
      <c r="AK332" s="262">
        <f t="shared" ref="AK332:AK339" si="272">+(AJ332*$X$1-$X332-$Y332)/(AJ332*$X$1)</f>
        <v>0.34910352321645</v>
      </c>
      <c r="AL332" s="100"/>
      <c r="AM332" s="111">
        <f t="shared" ref="AM332:AM339" si="273">+IFERROR(ROUND(($X332+$Y332)/(1-$AM$2)/$X$1,1),0)</f>
        <v>6.6</v>
      </c>
      <c r="AN332" s="262">
        <f t="shared" ref="AN332:AN339" si="274">+(AM332*$X$1-$X332-$Y332)/(AM332*$X$1)</f>
        <v>0.29979318406618105</v>
      </c>
      <c r="AO332" s="100"/>
      <c r="AP332" s="24" t="e">
        <f>VLOOKUP(C332,#REF!,6,FALSE)</f>
        <v>#REF!</v>
      </c>
      <c r="AQ332" s="24" t="e">
        <f>VLOOKUP(C332,#REF!,7,FALSE)</f>
        <v>#REF!</v>
      </c>
      <c r="AR332" s="24" t="e">
        <f>VLOOKUP(C332,#REF!,12,FALSE)</f>
        <v>#REF!</v>
      </c>
      <c r="AS332" s="24" t="e">
        <f>VLOOKUP(C332,#REF!,13,FALSE)</f>
        <v>#REF!</v>
      </c>
      <c r="AT332" s="100"/>
      <c r="AU332" s="100"/>
      <c r="AV332" s="100">
        <v>321</v>
      </c>
      <c r="AW332" s="100"/>
      <c r="AY332" s="9">
        <v>35700</v>
      </c>
    </row>
    <row r="333" spans="1:51" s="2" customFormat="1" ht="12.75" customHeight="1" x14ac:dyDescent="0.2">
      <c r="A333" s="6" t="s">
        <v>1890</v>
      </c>
      <c r="B333" s="8">
        <v>9789500215404</v>
      </c>
      <c r="C333" s="8">
        <v>718918</v>
      </c>
      <c r="D333" s="25">
        <v>480</v>
      </c>
      <c r="E333" s="6" t="s">
        <v>165</v>
      </c>
      <c r="F333" s="25" t="s">
        <v>167</v>
      </c>
      <c r="G333" s="118">
        <v>45505</v>
      </c>
      <c r="H333" s="107">
        <v>46266</v>
      </c>
      <c r="I333" s="239" t="s">
        <v>2435</v>
      </c>
      <c r="J333" s="6" t="s">
        <v>2136</v>
      </c>
      <c r="K333" s="148">
        <v>4164.62</v>
      </c>
      <c r="L333" s="9">
        <v>35700</v>
      </c>
      <c r="M333" s="12">
        <f>+L333*0.1</f>
        <v>3570</v>
      </c>
      <c r="N333" s="9">
        <f t="shared" si="256"/>
        <v>17850</v>
      </c>
      <c r="O333" s="9">
        <f t="shared" si="257"/>
        <v>10115.380000000001</v>
      </c>
      <c r="P333" s="9">
        <f t="shared" si="258"/>
        <v>7734.62</v>
      </c>
      <c r="Q333" s="139">
        <f t="shared" si="259"/>
        <v>0.56668795518207293</v>
      </c>
      <c r="R333" s="335">
        <v>35700</v>
      </c>
      <c r="S333" s="359" t="s">
        <v>1948</v>
      </c>
      <c r="T333" s="305">
        <v>0.60492549019607844</v>
      </c>
      <c r="U333" s="157"/>
      <c r="V333" s="100"/>
      <c r="W333" s="110">
        <f t="shared" si="260"/>
        <v>35700</v>
      </c>
      <c r="X333" s="110">
        <f t="shared" si="261"/>
        <v>4164.62</v>
      </c>
      <c r="Y333" s="110">
        <f t="shared" si="262"/>
        <v>3570</v>
      </c>
      <c r="Z333" s="110">
        <f t="shared" si="263"/>
        <v>10115.380000000001</v>
      </c>
      <c r="AA333" s="260">
        <f t="shared" si="264"/>
        <v>0.56668795518207293</v>
      </c>
      <c r="AB333" s="28">
        <f t="shared" si="265"/>
        <v>11.8</v>
      </c>
      <c r="AC333" s="261">
        <f t="shared" si="266"/>
        <v>0.56777034540953475</v>
      </c>
      <c r="AD333" s="111">
        <f t="shared" si="267"/>
        <v>5.4</v>
      </c>
      <c r="AE333" s="262">
        <f t="shared" si="268"/>
        <v>5.5498162191205437E-2</v>
      </c>
      <c r="AF333" s="100"/>
      <c r="AG333" s="111">
        <f t="shared" si="269"/>
        <v>8.5</v>
      </c>
      <c r="AH333" s="262">
        <f t="shared" si="270"/>
        <v>0.39996353833323645</v>
      </c>
      <c r="AI333" s="100"/>
      <c r="AJ333" s="111">
        <f t="shared" si="271"/>
        <v>7.8</v>
      </c>
      <c r="AK333" s="262">
        <f t="shared" si="272"/>
        <v>0.34611411228621908</v>
      </c>
      <c r="AL333" s="100"/>
      <c r="AM333" s="111">
        <f t="shared" si="273"/>
        <v>7.3</v>
      </c>
      <c r="AN333" s="262">
        <f t="shared" si="274"/>
        <v>0.30132740764828886</v>
      </c>
      <c r="AO333" s="100"/>
      <c r="AP333" s="24" t="e">
        <f>VLOOKUP(C333,#REF!,6,FALSE)</f>
        <v>#REF!</v>
      </c>
      <c r="AQ333" s="24" t="e">
        <f>VLOOKUP(C333,#REF!,7,FALSE)</f>
        <v>#REF!</v>
      </c>
      <c r="AR333" s="24" t="e">
        <f>VLOOKUP(C333,#REF!,12,FALSE)</f>
        <v>#REF!</v>
      </c>
      <c r="AS333" s="24" t="e">
        <f>VLOOKUP(C333,#REF!,13,FALSE)</f>
        <v>#REF!</v>
      </c>
      <c r="AT333" s="100"/>
      <c r="AU333" s="100"/>
      <c r="AV333" s="100">
        <v>322</v>
      </c>
      <c r="AW333" s="100"/>
      <c r="AY333" s="9">
        <v>35700</v>
      </c>
    </row>
    <row r="334" spans="1:51" s="2" customFormat="1" ht="12.75" customHeight="1" x14ac:dyDescent="0.2">
      <c r="A334" s="6" t="s">
        <v>1266</v>
      </c>
      <c r="B334" s="8">
        <v>9789500298544</v>
      </c>
      <c r="C334" s="8">
        <v>598209</v>
      </c>
      <c r="D334" s="7">
        <v>480</v>
      </c>
      <c r="E334" s="7" t="s">
        <v>165</v>
      </c>
      <c r="F334" s="6" t="s">
        <v>167</v>
      </c>
      <c r="G334" s="107">
        <v>42309</v>
      </c>
      <c r="H334" s="108">
        <v>42795</v>
      </c>
      <c r="I334" s="24">
        <v>1531</v>
      </c>
      <c r="J334" s="28" t="s">
        <v>1894</v>
      </c>
      <c r="K334" s="28">
        <v>46.27</v>
      </c>
      <c r="L334" s="28">
        <v>13900</v>
      </c>
      <c r="M334" s="12">
        <f>+L334*0.1</f>
        <v>1390</v>
      </c>
      <c r="N334" s="9">
        <f t="shared" si="256"/>
        <v>6950</v>
      </c>
      <c r="O334" s="9">
        <f t="shared" si="257"/>
        <v>5513.73</v>
      </c>
      <c r="P334" s="9">
        <f t="shared" si="258"/>
        <v>1436.27</v>
      </c>
      <c r="Q334" s="139">
        <f t="shared" si="259"/>
        <v>0.79334244604316539</v>
      </c>
      <c r="R334" s="335">
        <v>13900</v>
      </c>
      <c r="S334" s="359" t="s">
        <v>1948</v>
      </c>
      <c r="T334" s="305">
        <v>0.79334244604316539</v>
      </c>
      <c r="U334" s="157"/>
      <c r="V334" s="100"/>
      <c r="W334" s="110">
        <f t="shared" si="260"/>
        <v>13900</v>
      </c>
      <c r="X334" s="110">
        <f t="shared" si="261"/>
        <v>46.27</v>
      </c>
      <c r="Y334" s="110">
        <f t="shared" si="262"/>
        <v>1390</v>
      </c>
      <c r="Z334" s="110">
        <f t="shared" si="263"/>
        <v>5513.73</v>
      </c>
      <c r="AA334" s="260">
        <f t="shared" si="264"/>
        <v>0.79334244604316539</v>
      </c>
      <c r="AB334" s="28">
        <f t="shared" si="265"/>
        <v>4.5999999999999996</v>
      </c>
      <c r="AC334" s="261">
        <f t="shared" si="266"/>
        <v>0.794109720609527</v>
      </c>
      <c r="AD334" s="111">
        <f t="shared" si="267"/>
        <v>1</v>
      </c>
      <c r="AE334" s="262">
        <f t="shared" si="268"/>
        <v>5.290471480382461E-2</v>
      </c>
      <c r="AF334" s="100"/>
      <c r="AG334" s="111">
        <f t="shared" si="269"/>
        <v>1.6</v>
      </c>
      <c r="AH334" s="262">
        <f t="shared" si="270"/>
        <v>0.40806544675239043</v>
      </c>
      <c r="AI334" s="100"/>
      <c r="AJ334" s="111">
        <f t="shared" si="271"/>
        <v>1.5</v>
      </c>
      <c r="AK334" s="262">
        <f t="shared" si="272"/>
        <v>0.36860314320254972</v>
      </c>
      <c r="AL334" s="100"/>
      <c r="AM334" s="111">
        <f t="shared" si="273"/>
        <v>1.4</v>
      </c>
      <c r="AN334" s="262">
        <f t="shared" si="274"/>
        <v>0.32350336771701754</v>
      </c>
      <c r="AO334" s="100"/>
      <c r="AP334" s="24" t="e">
        <f>VLOOKUP(C334,#REF!,6,FALSE)</f>
        <v>#REF!</v>
      </c>
      <c r="AQ334" s="24" t="e">
        <f>VLOOKUP(C334,#REF!,7,FALSE)</f>
        <v>#REF!</v>
      </c>
      <c r="AR334" s="24" t="e">
        <f>VLOOKUP(C334,#REF!,12,FALSE)</f>
        <v>#REF!</v>
      </c>
      <c r="AS334" s="24" t="e">
        <f>VLOOKUP(C334,#REF!,13,FALSE)</f>
        <v>#REF!</v>
      </c>
      <c r="AT334" s="100">
        <v>21</v>
      </c>
      <c r="AU334" s="100"/>
      <c r="AV334" s="100">
        <v>323</v>
      </c>
      <c r="AW334" s="100"/>
      <c r="AY334" s="28">
        <v>13900</v>
      </c>
    </row>
    <row r="335" spans="1:51" s="162" customFormat="1" ht="12.75" customHeight="1" x14ac:dyDescent="0.2">
      <c r="A335" s="7" t="s">
        <v>1904</v>
      </c>
      <c r="B335" s="8">
        <v>9789500215480</v>
      </c>
      <c r="C335" s="8">
        <v>719961</v>
      </c>
      <c r="D335" s="25">
        <v>480</v>
      </c>
      <c r="E335" s="6" t="s">
        <v>165</v>
      </c>
      <c r="F335" s="25" t="s">
        <v>168</v>
      </c>
      <c r="G335" s="107">
        <v>45536</v>
      </c>
      <c r="H335" s="108">
        <v>45505</v>
      </c>
      <c r="I335" s="267">
        <v>3065</v>
      </c>
      <c r="J335" s="28" t="s">
        <v>2136</v>
      </c>
      <c r="K335" s="9">
        <v>3354.42</v>
      </c>
      <c r="L335" s="9">
        <v>35700</v>
      </c>
      <c r="M335" s="9">
        <f>+L335*0.08</f>
        <v>2856</v>
      </c>
      <c r="N335" s="9">
        <f t="shared" si="256"/>
        <v>17850</v>
      </c>
      <c r="O335" s="9">
        <f t="shared" si="257"/>
        <v>11639.58</v>
      </c>
      <c r="P335" s="9">
        <f t="shared" si="258"/>
        <v>6210.42</v>
      </c>
      <c r="Q335" s="139">
        <f t="shared" si="259"/>
        <v>0.65207731092436971</v>
      </c>
      <c r="R335" s="335">
        <v>35700</v>
      </c>
      <c r="S335" s="359" t="s">
        <v>1948</v>
      </c>
      <c r="T335" s="305">
        <v>0.65207731092436971</v>
      </c>
      <c r="U335" s="140"/>
      <c r="V335" s="100"/>
      <c r="W335" s="110">
        <f t="shared" si="260"/>
        <v>35700</v>
      </c>
      <c r="X335" s="110">
        <f t="shared" si="261"/>
        <v>3354.42</v>
      </c>
      <c r="Y335" s="110">
        <f t="shared" si="262"/>
        <v>2856</v>
      </c>
      <c r="Z335" s="110">
        <f t="shared" si="263"/>
        <v>11639.58</v>
      </c>
      <c r="AA335" s="260">
        <f t="shared" si="264"/>
        <v>0.65207731092436971</v>
      </c>
      <c r="AB335" s="28">
        <f t="shared" si="265"/>
        <v>11.8</v>
      </c>
      <c r="AC335" s="261">
        <f t="shared" si="266"/>
        <v>0.65294640312494767</v>
      </c>
      <c r="AD335" s="111">
        <f t="shared" si="267"/>
        <v>4.3</v>
      </c>
      <c r="AE335" s="262">
        <f t="shared" si="268"/>
        <v>4.7620362063809686E-2</v>
      </c>
      <c r="AF335" s="100"/>
      <c r="AG335" s="111">
        <f t="shared" si="269"/>
        <v>6.8</v>
      </c>
      <c r="AH335" s="262">
        <f t="shared" si="270"/>
        <v>0.39775993483446787</v>
      </c>
      <c r="AI335" s="100"/>
      <c r="AJ335" s="111">
        <f t="shared" si="271"/>
        <v>6.3</v>
      </c>
      <c r="AK335" s="262">
        <f t="shared" si="272"/>
        <v>0.34996310426577482</v>
      </c>
      <c r="AL335" s="100"/>
      <c r="AM335" s="111">
        <f t="shared" si="273"/>
        <v>5.9</v>
      </c>
      <c r="AN335" s="262">
        <f t="shared" si="274"/>
        <v>0.30589280624989523</v>
      </c>
      <c r="AO335" s="100"/>
      <c r="AP335" s="24" t="e">
        <f>VLOOKUP(C335,#REF!,6,FALSE)</f>
        <v>#REF!</v>
      </c>
      <c r="AQ335" s="24" t="e">
        <f>VLOOKUP(C335,#REF!,7,FALSE)</f>
        <v>#REF!</v>
      </c>
      <c r="AR335" s="24" t="e">
        <f>VLOOKUP(C335,#REF!,12,FALSE)</f>
        <v>#REF!</v>
      </c>
      <c r="AS335" s="24" t="e">
        <f>VLOOKUP(C335,#REF!,13,FALSE)</f>
        <v>#REF!</v>
      </c>
      <c r="AT335" s="100"/>
      <c r="AU335" s="100"/>
      <c r="AV335" s="100">
        <v>324</v>
      </c>
      <c r="AW335" s="100"/>
      <c r="AY335" s="9">
        <v>35700</v>
      </c>
    </row>
    <row r="336" spans="1:51" s="162" customFormat="1" ht="12.75" customHeight="1" x14ac:dyDescent="0.2">
      <c r="A336" s="6" t="s">
        <v>1267</v>
      </c>
      <c r="B336" s="8">
        <v>9789500298636</v>
      </c>
      <c r="C336" s="8">
        <v>599839</v>
      </c>
      <c r="D336" s="7">
        <v>496</v>
      </c>
      <c r="E336" s="7" t="s">
        <v>165</v>
      </c>
      <c r="F336" s="6" t="s">
        <v>168</v>
      </c>
      <c r="G336" s="107">
        <v>42339</v>
      </c>
      <c r="H336" s="108">
        <v>42309</v>
      </c>
      <c r="I336" s="24">
        <v>3045</v>
      </c>
      <c r="J336" s="28" t="s">
        <v>1894</v>
      </c>
      <c r="K336" s="28">
        <v>42.66</v>
      </c>
      <c r="L336" s="28">
        <v>13900</v>
      </c>
      <c r="M336" s="9">
        <f>+L336*0.08</f>
        <v>1112</v>
      </c>
      <c r="N336" s="9">
        <f t="shared" si="256"/>
        <v>6950</v>
      </c>
      <c r="O336" s="9">
        <f t="shared" si="257"/>
        <v>5795.34</v>
      </c>
      <c r="P336" s="9">
        <f t="shared" si="258"/>
        <v>1154.6600000000001</v>
      </c>
      <c r="Q336" s="139">
        <f t="shared" si="259"/>
        <v>0.83386187050359717</v>
      </c>
      <c r="R336" s="335">
        <v>13900</v>
      </c>
      <c r="S336" s="359" t="s">
        <v>1948</v>
      </c>
      <c r="T336" s="305">
        <v>0.83386187050359717</v>
      </c>
      <c r="U336" s="140"/>
      <c r="V336" s="100"/>
      <c r="W336" s="110">
        <f t="shared" si="260"/>
        <v>13900</v>
      </c>
      <c r="X336" s="110">
        <f t="shared" si="261"/>
        <v>42.66</v>
      </c>
      <c r="Y336" s="110">
        <f t="shared" si="262"/>
        <v>1112</v>
      </c>
      <c r="Z336" s="110">
        <f t="shared" si="263"/>
        <v>5795.34</v>
      </c>
      <c r="AA336" s="260">
        <f t="shared" si="264"/>
        <v>0.83386187050359717</v>
      </c>
      <c r="AB336" s="28">
        <f t="shared" si="265"/>
        <v>4.5999999999999996</v>
      </c>
      <c r="AC336" s="261">
        <f t="shared" si="266"/>
        <v>0.83447870525666945</v>
      </c>
      <c r="AD336" s="111">
        <f t="shared" si="267"/>
        <v>0.8</v>
      </c>
      <c r="AE336" s="262">
        <f t="shared" si="268"/>
        <v>4.825255522584896E-2</v>
      </c>
      <c r="AF336" s="100"/>
      <c r="AG336" s="111">
        <f t="shared" si="269"/>
        <v>1.3</v>
      </c>
      <c r="AH336" s="262">
        <f t="shared" si="270"/>
        <v>0.41430926475436858</v>
      </c>
      <c r="AI336" s="100"/>
      <c r="AJ336" s="111">
        <f t="shared" si="271"/>
        <v>1.2</v>
      </c>
      <c r="AK336" s="262">
        <f t="shared" si="272"/>
        <v>0.36550170348389927</v>
      </c>
      <c r="AL336" s="100"/>
      <c r="AM336" s="111">
        <f t="shared" si="273"/>
        <v>1.1000000000000001</v>
      </c>
      <c r="AN336" s="262">
        <f t="shared" si="274"/>
        <v>0.30782004016425379</v>
      </c>
      <c r="AO336" s="100"/>
      <c r="AP336" s="24" t="e">
        <f>VLOOKUP(C336,#REF!,6,FALSE)</f>
        <v>#REF!</v>
      </c>
      <c r="AQ336" s="24" t="e">
        <f>VLOOKUP(C336,#REF!,7,FALSE)</f>
        <v>#REF!</v>
      </c>
      <c r="AR336" s="24" t="e">
        <f>VLOOKUP(C336,#REF!,12,FALSE)</f>
        <v>#REF!</v>
      </c>
      <c r="AS336" s="24" t="e">
        <f>VLOOKUP(C336,#REF!,13,FALSE)</f>
        <v>#REF!</v>
      </c>
      <c r="AT336" s="100"/>
      <c r="AU336" s="100"/>
      <c r="AV336" s="100">
        <v>325</v>
      </c>
      <c r="AW336" s="100"/>
      <c r="AY336" s="28">
        <v>13900</v>
      </c>
    </row>
    <row r="337" spans="1:51" s="2" customFormat="1" ht="12.75" customHeight="1" x14ac:dyDescent="0.2">
      <c r="A337" s="6" t="s">
        <v>1958</v>
      </c>
      <c r="B337" s="279">
        <v>9789500215572</v>
      </c>
      <c r="C337" s="8">
        <v>725181</v>
      </c>
      <c r="D337" s="41">
        <v>496</v>
      </c>
      <c r="E337" s="8" t="s">
        <v>165</v>
      </c>
      <c r="F337" s="6" t="s">
        <v>169</v>
      </c>
      <c r="G337" s="107">
        <v>45658</v>
      </c>
      <c r="H337" s="108">
        <v>45627</v>
      </c>
      <c r="I337" s="264">
        <v>2000</v>
      </c>
      <c r="J337" s="28" t="s">
        <v>2136</v>
      </c>
      <c r="K337" s="148">
        <v>4561.5</v>
      </c>
      <c r="L337" s="9">
        <v>35700</v>
      </c>
      <c r="M337" s="9">
        <f>+L337*0.08</f>
        <v>2856</v>
      </c>
      <c r="N337" s="9">
        <f t="shared" si="256"/>
        <v>17850</v>
      </c>
      <c r="O337" s="9">
        <f t="shared" si="257"/>
        <v>10432.5</v>
      </c>
      <c r="P337" s="9">
        <f t="shared" si="258"/>
        <v>7417.5</v>
      </c>
      <c r="Q337" s="139">
        <f t="shared" si="259"/>
        <v>0.58445378151260508</v>
      </c>
      <c r="R337" s="335">
        <v>35700</v>
      </c>
      <c r="S337" s="359" t="s">
        <v>1948</v>
      </c>
      <c r="T337" s="305">
        <v>0.58445378151260508</v>
      </c>
      <c r="U337" s="140"/>
      <c r="V337" s="100"/>
      <c r="W337" s="110">
        <f t="shared" si="260"/>
        <v>35700</v>
      </c>
      <c r="X337" s="110">
        <f t="shared" si="261"/>
        <v>4561.5</v>
      </c>
      <c r="Y337" s="110">
        <f t="shared" si="262"/>
        <v>2856</v>
      </c>
      <c r="Z337" s="110">
        <f t="shared" si="263"/>
        <v>10432.5</v>
      </c>
      <c r="AA337" s="260">
        <f t="shared" si="264"/>
        <v>0.58445378151260508</v>
      </c>
      <c r="AB337" s="28">
        <f t="shared" si="265"/>
        <v>11.8</v>
      </c>
      <c r="AC337" s="261">
        <f t="shared" si="266"/>
        <v>0.58549179365957515</v>
      </c>
      <c r="AD337" s="111">
        <f t="shared" si="267"/>
        <v>5.0999999999999996</v>
      </c>
      <c r="AE337" s="262">
        <f t="shared" si="268"/>
        <v>4.0941797094703317E-2</v>
      </c>
      <c r="AF337" s="100"/>
      <c r="AG337" s="111">
        <f t="shared" si="269"/>
        <v>8.1999999999999993</v>
      </c>
      <c r="AH337" s="262">
        <f t="shared" si="270"/>
        <v>0.40351258111987642</v>
      </c>
      <c r="AI337" s="100"/>
      <c r="AJ337" s="111">
        <f t="shared" si="271"/>
        <v>7.5</v>
      </c>
      <c r="AK337" s="262">
        <f t="shared" si="272"/>
        <v>0.3478404220243983</v>
      </c>
      <c r="AL337" s="100"/>
      <c r="AM337" s="111">
        <f t="shared" si="273"/>
        <v>7</v>
      </c>
      <c r="AN337" s="262">
        <f t="shared" si="274"/>
        <v>0.30125759502614102</v>
      </c>
      <c r="AO337" s="100"/>
      <c r="AP337" s="24" t="e">
        <f>VLOOKUP(C337,#REF!,6,FALSE)</f>
        <v>#REF!</v>
      </c>
      <c r="AQ337" s="24" t="e">
        <f>VLOOKUP(C337,#REF!,7,FALSE)</f>
        <v>#REF!</v>
      </c>
      <c r="AR337" s="24" t="e">
        <f>VLOOKUP(C337,#REF!,12,FALSE)</f>
        <v>#REF!</v>
      </c>
      <c r="AS337" s="24" t="e">
        <f>VLOOKUP(C337,#REF!,13,FALSE)</f>
        <v>#REF!</v>
      </c>
      <c r="AT337" s="100"/>
      <c r="AU337" s="100"/>
      <c r="AV337" s="100">
        <v>326</v>
      </c>
      <c r="AW337" s="100"/>
      <c r="AY337" s="9">
        <v>35700</v>
      </c>
    </row>
    <row r="338" spans="1:51" s="2" customFormat="1" ht="12.75" customHeight="1" x14ac:dyDescent="0.2">
      <c r="A338" s="6" t="s">
        <v>1268</v>
      </c>
      <c r="B338" s="8">
        <v>9789500298773</v>
      </c>
      <c r="C338" s="8">
        <v>609575</v>
      </c>
      <c r="D338" s="25">
        <v>512</v>
      </c>
      <c r="E338" s="7" t="s">
        <v>165</v>
      </c>
      <c r="F338" s="6" t="s">
        <v>169</v>
      </c>
      <c r="G338" s="107">
        <v>42430</v>
      </c>
      <c r="H338" s="108">
        <v>42401</v>
      </c>
      <c r="I338" s="24">
        <v>3059</v>
      </c>
      <c r="J338" s="28" t="s">
        <v>1894</v>
      </c>
      <c r="K338" s="28">
        <v>47.01</v>
      </c>
      <c r="L338" s="28">
        <v>13900</v>
      </c>
      <c r="M338" s="9">
        <f>+L338*0.08</f>
        <v>1112</v>
      </c>
      <c r="N338" s="9">
        <f t="shared" si="256"/>
        <v>6950</v>
      </c>
      <c r="O338" s="9">
        <f t="shared" si="257"/>
        <v>5790.99</v>
      </c>
      <c r="P338" s="9">
        <f t="shared" si="258"/>
        <v>1159.01</v>
      </c>
      <c r="Q338" s="139">
        <f t="shared" si="259"/>
        <v>0.83323597122302151</v>
      </c>
      <c r="R338" s="335">
        <v>13900</v>
      </c>
      <c r="S338" s="359" t="s">
        <v>1948</v>
      </c>
      <c r="T338" s="305">
        <v>0.83323597122302151</v>
      </c>
      <c r="U338" s="140"/>
      <c r="V338" s="100"/>
      <c r="W338" s="110">
        <f t="shared" si="260"/>
        <v>13900</v>
      </c>
      <c r="X338" s="110">
        <f t="shared" si="261"/>
        <v>47.01</v>
      </c>
      <c r="Y338" s="110">
        <f t="shared" si="262"/>
        <v>1112</v>
      </c>
      <c r="Z338" s="110">
        <f t="shared" si="263"/>
        <v>5790.99</v>
      </c>
      <c r="AA338" s="260">
        <f t="shared" si="264"/>
        <v>0.83323597122302151</v>
      </c>
      <c r="AB338" s="28">
        <f t="shared" si="265"/>
        <v>4.5999999999999996</v>
      </c>
      <c r="AC338" s="261">
        <f t="shared" si="266"/>
        <v>0.83385512980403953</v>
      </c>
      <c r="AD338" s="111">
        <f t="shared" si="267"/>
        <v>0.8</v>
      </c>
      <c r="AE338" s="262">
        <f t="shared" si="268"/>
        <v>4.4666996373227873E-2</v>
      </c>
      <c r="AF338" s="100"/>
      <c r="AG338" s="111">
        <f t="shared" si="269"/>
        <v>1.3</v>
      </c>
      <c r="AH338" s="262">
        <f t="shared" si="270"/>
        <v>0.41210276699890946</v>
      </c>
      <c r="AI338" s="100"/>
      <c r="AJ338" s="111">
        <f t="shared" si="271"/>
        <v>1.2</v>
      </c>
      <c r="AK338" s="262">
        <f t="shared" si="272"/>
        <v>0.3631113309154852</v>
      </c>
      <c r="AL338" s="100"/>
      <c r="AM338" s="111">
        <f t="shared" si="273"/>
        <v>1.1000000000000001</v>
      </c>
      <c r="AN338" s="262">
        <f t="shared" si="274"/>
        <v>0.30521236099871119</v>
      </c>
      <c r="AO338" s="100"/>
      <c r="AP338" s="24" t="e">
        <f>VLOOKUP(C338,#REF!,6,FALSE)</f>
        <v>#REF!</v>
      </c>
      <c r="AQ338" s="24" t="e">
        <f>VLOOKUP(C338,#REF!,7,FALSE)</f>
        <v>#REF!</v>
      </c>
      <c r="AR338" s="24" t="e">
        <f>VLOOKUP(C338,#REF!,12,FALSE)</f>
        <v>#REF!</v>
      </c>
      <c r="AS338" s="24" t="e">
        <f>VLOOKUP(C338,#REF!,13,FALSE)</f>
        <v>#REF!</v>
      </c>
      <c r="AT338" s="100"/>
      <c r="AU338" s="100"/>
      <c r="AV338" s="100">
        <v>327</v>
      </c>
      <c r="AW338" s="100"/>
      <c r="AY338" s="28">
        <v>13900</v>
      </c>
    </row>
    <row r="339" spans="1:51" s="2" customFormat="1" ht="12.75" customHeight="1" x14ac:dyDescent="0.2">
      <c r="A339" s="6" t="s">
        <v>1269</v>
      </c>
      <c r="B339" s="8">
        <v>9789500299442</v>
      </c>
      <c r="C339" s="8">
        <v>620183</v>
      </c>
      <c r="D339" s="7">
        <v>528</v>
      </c>
      <c r="E339" s="7" t="s">
        <v>165</v>
      </c>
      <c r="F339" s="7" t="s">
        <v>170</v>
      </c>
      <c r="G339" s="107">
        <v>42644</v>
      </c>
      <c r="H339" s="108">
        <v>42614</v>
      </c>
      <c r="I339" s="24">
        <v>3008</v>
      </c>
      <c r="J339" s="28" t="s">
        <v>1894</v>
      </c>
      <c r="K339" s="28">
        <v>52.97</v>
      </c>
      <c r="L339" s="28">
        <v>13900</v>
      </c>
      <c r="M339" s="9">
        <f>+L339*0.08</f>
        <v>1112</v>
      </c>
      <c r="N339" s="9">
        <f t="shared" si="256"/>
        <v>6950</v>
      </c>
      <c r="O339" s="9">
        <f t="shared" si="257"/>
        <v>5785.03</v>
      </c>
      <c r="P339" s="9">
        <f t="shared" si="258"/>
        <v>1164.97</v>
      </c>
      <c r="Q339" s="139">
        <f t="shared" si="259"/>
        <v>0.832378417266187</v>
      </c>
      <c r="R339" s="335">
        <v>13900</v>
      </c>
      <c r="S339" s="359" t="s">
        <v>1948</v>
      </c>
      <c r="T339" s="305">
        <v>0.832378417266187</v>
      </c>
      <c r="U339" s="140"/>
      <c r="V339" s="100"/>
      <c r="W339" s="110">
        <f t="shared" si="260"/>
        <v>13900</v>
      </c>
      <c r="X339" s="110">
        <f t="shared" si="261"/>
        <v>52.97</v>
      </c>
      <c r="Y339" s="110">
        <f t="shared" si="262"/>
        <v>1112</v>
      </c>
      <c r="Z339" s="110">
        <f t="shared" si="263"/>
        <v>5785.03</v>
      </c>
      <c r="AA339" s="260">
        <f t="shared" si="264"/>
        <v>0.832378417266187</v>
      </c>
      <c r="AB339" s="28">
        <f t="shared" si="265"/>
        <v>4.5999999999999996</v>
      </c>
      <c r="AC339" s="261">
        <f t="shared" si="266"/>
        <v>0.83300075975859744</v>
      </c>
      <c r="AD339" s="111">
        <f t="shared" si="267"/>
        <v>0.8</v>
      </c>
      <c r="AE339" s="262">
        <f t="shared" si="268"/>
        <v>3.975436861193539E-2</v>
      </c>
      <c r="AF339" s="100"/>
      <c r="AG339" s="111">
        <f t="shared" si="269"/>
        <v>1.3</v>
      </c>
      <c r="AH339" s="262">
        <f t="shared" si="270"/>
        <v>0.40907961145349869</v>
      </c>
      <c r="AI339" s="100"/>
      <c r="AJ339" s="111">
        <f t="shared" si="271"/>
        <v>1.2</v>
      </c>
      <c r="AK339" s="262">
        <f t="shared" si="272"/>
        <v>0.35983624574129019</v>
      </c>
      <c r="AL339" s="100"/>
      <c r="AM339" s="111">
        <f t="shared" si="273"/>
        <v>1.1000000000000001</v>
      </c>
      <c r="AN339" s="262">
        <f t="shared" si="274"/>
        <v>0.30163954080868027</v>
      </c>
      <c r="AO339" s="100"/>
      <c r="AP339" s="24" t="e">
        <f>VLOOKUP(C339,#REF!,6,FALSE)</f>
        <v>#REF!</v>
      </c>
      <c r="AQ339" s="24" t="e">
        <f>VLOOKUP(C339,#REF!,7,FALSE)</f>
        <v>#REF!</v>
      </c>
      <c r="AR339" s="24" t="e">
        <f>VLOOKUP(C339,#REF!,12,FALSE)</f>
        <v>#REF!</v>
      </c>
      <c r="AS339" s="24" t="e">
        <f>VLOOKUP(C339,#REF!,13,FALSE)</f>
        <v>#REF!</v>
      </c>
      <c r="AT339" s="100">
        <v>22</v>
      </c>
      <c r="AU339" s="100"/>
      <c r="AV339" s="100">
        <v>328</v>
      </c>
      <c r="AW339" s="100"/>
      <c r="AY339" s="28">
        <v>13900</v>
      </c>
    </row>
    <row r="340" spans="1:51" s="2" customFormat="1" ht="12.75" customHeight="1" x14ac:dyDescent="0.25">
      <c r="B340" s="3"/>
      <c r="C340" s="3"/>
      <c r="H340" s="132"/>
      <c r="I340" s="132"/>
      <c r="J340" s="134"/>
      <c r="K340" s="132"/>
      <c r="L340" s="134"/>
      <c r="M340" s="132"/>
      <c r="N340" s="132"/>
      <c r="O340" s="132"/>
      <c r="P340" s="132"/>
      <c r="Q340" s="147"/>
      <c r="R340" s="356"/>
      <c r="S340" s="360"/>
      <c r="T340" s="307"/>
      <c r="U340" s="135"/>
      <c r="V340" s="100"/>
      <c r="W340"/>
      <c r="X340"/>
      <c r="Y340"/>
      <c r="Z340"/>
      <c r="AA340"/>
      <c r="AB340"/>
      <c r="AC340"/>
      <c r="AD340" s="263"/>
      <c r="AE340"/>
      <c r="AF340" s="100"/>
      <c r="AG340" s="263"/>
      <c r="AH340"/>
      <c r="AI340" s="100"/>
      <c r="AJ340" s="263"/>
      <c r="AK340"/>
      <c r="AL340" s="100"/>
      <c r="AM340" s="263"/>
      <c r="AN340"/>
      <c r="AO340" s="100"/>
      <c r="AP340" s="100"/>
      <c r="AQ340" s="100"/>
      <c r="AR340" s="100"/>
      <c r="AS340" s="100"/>
      <c r="AT340" s="100"/>
      <c r="AU340" s="100"/>
      <c r="AV340" s="100">
        <v>329</v>
      </c>
      <c r="AW340" s="100"/>
      <c r="AY340" s="134"/>
    </row>
    <row r="341" spans="1:51" s="162" customFormat="1" ht="12.75" customHeight="1" x14ac:dyDescent="0.25">
      <c r="A341" s="160" t="s">
        <v>662</v>
      </c>
      <c r="B341" s="161"/>
      <c r="C341" s="375"/>
      <c r="D341" s="376"/>
      <c r="H341" s="132"/>
      <c r="I341" s="132"/>
      <c r="J341" s="134"/>
      <c r="K341" s="132"/>
      <c r="L341" s="134"/>
      <c r="M341" s="132"/>
      <c r="N341" s="132"/>
      <c r="O341" s="132"/>
      <c r="P341" s="132"/>
      <c r="Q341" s="147"/>
      <c r="R341" s="356"/>
      <c r="S341" s="360"/>
      <c r="T341" s="307"/>
      <c r="U341" s="135"/>
      <c r="V341" s="100"/>
      <c r="W341"/>
      <c r="X341"/>
      <c r="Y341"/>
      <c r="Z341"/>
      <c r="AA341"/>
      <c r="AB341"/>
      <c r="AC341"/>
      <c r="AD341" s="263"/>
      <c r="AE341"/>
      <c r="AF341" s="100"/>
      <c r="AG341" s="263"/>
      <c r="AH341"/>
      <c r="AI341" s="100"/>
      <c r="AJ341" s="263"/>
      <c r="AK341"/>
      <c r="AL341" s="100"/>
      <c r="AM341" s="263"/>
      <c r="AN341"/>
      <c r="AO341" s="100"/>
      <c r="AP341" s="100"/>
      <c r="AQ341" s="100"/>
      <c r="AR341" s="100"/>
      <c r="AS341" s="100"/>
      <c r="AT341" s="100"/>
      <c r="AU341" s="100"/>
      <c r="AV341" s="100">
        <v>330</v>
      </c>
      <c r="AW341" s="100"/>
      <c r="AY341" s="134"/>
    </row>
    <row r="342" spans="1:51" s="2" customFormat="1" ht="12.75" customHeight="1" x14ac:dyDescent="0.2">
      <c r="A342" s="6" t="s">
        <v>1271</v>
      </c>
      <c r="B342" s="8">
        <v>9789500209038</v>
      </c>
      <c r="C342" s="8">
        <v>595691</v>
      </c>
      <c r="D342" s="25">
        <v>352</v>
      </c>
      <c r="E342" s="22" t="s">
        <v>1270</v>
      </c>
      <c r="F342" s="6" t="s">
        <v>171</v>
      </c>
      <c r="G342" s="107">
        <v>42248</v>
      </c>
      <c r="H342" s="108">
        <v>42217</v>
      </c>
      <c r="I342" s="24">
        <v>3020</v>
      </c>
      <c r="J342" s="28" t="s">
        <v>1894</v>
      </c>
      <c r="K342" s="28">
        <v>31.52</v>
      </c>
      <c r="L342" s="128">
        <v>13900</v>
      </c>
      <c r="M342" s="9">
        <f>+L342*0.08</f>
        <v>1112</v>
      </c>
      <c r="N342" s="9">
        <f>+L342/2</f>
        <v>6950</v>
      </c>
      <c r="O342" s="9">
        <f>+N342-M342-K342</f>
        <v>5806.48</v>
      </c>
      <c r="P342" s="9">
        <f>+M342+K342</f>
        <v>1143.52</v>
      </c>
      <c r="Q342" s="139">
        <f>+O342/N342</f>
        <v>0.83546474820143879</v>
      </c>
      <c r="R342" s="335">
        <v>13900</v>
      </c>
      <c r="S342" s="359" t="s">
        <v>1948</v>
      </c>
      <c r="T342" s="305">
        <v>0.83546474820143879</v>
      </c>
      <c r="U342" s="140"/>
      <c r="V342" s="100"/>
      <c r="W342" s="110">
        <f>+L342</f>
        <v>13900</v>
      </c>
      <c r="X342" s="110">
        <f>+K342</f>
        <v>31.52</v>
      </c>
      <c r="Y342" s="110">
        <f>+M342</f>
        <v>1112</v>
      </c>
      <c r="Z342" s="110">
        <f>+W342/2-X342-Y342</f>
        <v>5806.48</v>
      </c>
      <c r="AA342" s="260">
        <f>+Z342/(W342/2)</f>
        <v>0.83546474820143879</v>
      </c>
      <c r="AB342" s="28">
        <f>ROUND($W342/2/$X$1,1)</f>
        <v>4.5999999999999996</v>
      </c>
      <c r="AC342" s="261">
        <f>+(AB342*$X$1-$X342-$Y342)/(AB342*$X$1)</f>
        <v>0.83607563181811662</v>
      </c>
      <c r="AD342" s="111">
        <f>+IFERROR(ROUND(($X342+$Y342)/(1-$X$2)/$X$1,1),0)</f>
        <v>0.8</v>
      </c>
      <c r="AE342" s="262">
        <f>+(AD342*$X$1-$X342-$Y342)/(AD342*$X$1)</f>
        <v>5.7434882954170839E-2</v>
      </c>
      <c r="AF342" s="100"/>
      <c r="AG342" s="111">
        <f>+IFERROR(ROUND(($X342+$Y342)/(1-$AG$2)/$X$1,1),0)</f>
        <v>1.3</v>
      </c>
      <c r="AH342" s="262">
        <f>+(AG342*$X$1-$X342-$Y342)/(AG342*$X$1)</f>
        <v>0.41995992797179743</v>
      </c>
      <c r="AI342" s="100"/>
      <c r="AJ342" s="111">
        <f>+IFERROR(ROUND(($X342+$Y342)/(1-$AJ$2)/$X$1,1),0)</f>
        <v>1.2</v>
      </c>
      <c r="AK342" s="262">
        <f>+(AJ342*$X$1-$X342-$Y342)/(AJ342*$X$1)</f>
        <v>0.37162325530278051</v>
      </c>
      <c r="AL342" s="100"/>
      <c r="AM342" s="111">
        <f>+IFERROR(ROUND(($X342+$Y342)/(1-$AM$2)/$X$1,1),0)</f>
        <v>1.1000000000000001</v>
      </c>
      <c r="AN342" s="262">
        <f>+(AM342*$X$1-$X342-$Y342)/(AM342*$X$1)</f>
        <v>0.31449809669394246</v>
      </c>
      <c r="AO342" s="100"/>
      <c r="AP342" s="24" t="e">
        <f>VLOOKUP(C342,#REF!,6,FALSE)</f>
        <v>#REF!</v>
      </c>
      <c r="AQ342" s="24" t="e">
        <f>VLOOKUP(C342,#REF!,7,FALSE)</f>
        <v>#REF!</v>
      </c>
      <c r="AR342" s="24" t="e">
        <f>VLOOKUP(C342,#REF!,12,FALSE)</f>
        <v>#REF!</v>
      </c>
      <c r="AS342" s="24" t="e">
        <f>VLOOKUP(C342,#REF!,13,FALSE)</f>
        <v>#REF!</v>
      </c>
      <c r="AT342" s="100"/>
      <c r="AU342" s="100"/>
      <c r="AV342" s="100">
        <v>331</v>
      </c>
      <c r="AW342" s="100"/>
      <c r="AY342" s="128">
        <v>13900</v>
      </c>
    </row>
    <row r="343" spans="1:51" s="2" customFormat="1" ht="12.75" customHeight="1" x14ac:dyDescent="0.2">
      <c r="A343" s="6" t="s">
        <v>1272</v>
      </c>
      <c r="B343" s="8">
        <v>9789500298520</v>
      </c>
      <c r="C343" s="8">
        <v>596842</v>
      </c>
      <c r="D343" s="25">
        <v>336</v>
      </c>
      <c r="E343" s="22" t="s">
        <v>1270</v>
      </c>
      <c r="F343" s="6" t="s">
        <v>172</v>
      </c>
      <c r="G343" s="107">
        <v>42278</v>
      </c>
      <c r="H343" s="108">
        <v>42248</v>
      </c>
      <c r="I343" s="24">
        <v>3025</v>
      </c>
      <c r="J343" s="28" t="s">
        <v>1894</v>
      </c>
      <c r="K343" s="28">
        <v>30.87</v>
      </c>
      <c r="L343" s="128">
        <v>13900</v>
      </c>
      <c r="M343" s="9">
        <f>+L343*0.08</f>
        <v>1112</v>
      </c>
      <c r="N343" s="9">
        <f>+L343/2</f>
        <v>6950</v>
      </c>
      <c r="O343" s="9">
        <f>+N343-M343-K343</f>
        <v>5807.13</v>
      </c>
      <c r="P343" s="9">
        <f>+M343+K343</f>
        <v>1142.8699999999999</v>
      </c>
      <c r="Q343" s="139">
        <f>+O343/N343</f>
        <v>0.83555827338129496</v>
      </c>
      <c r="R343" s="335">
        <v>13900</v>
      </c>
      <c r="S343" s="359" t="s">
        <v>1948</v>
      </c>
      <c r="T343" s="305">
        <v>0.83555827338129496</v>
      </c>
      <c r="U343" s="140"/>
      <c r="V343" s="100"/>
      <c r="W343" s="110">
        <f>+L343</f>
        <v>13900</v>
      </c>
      <c r="X343" s="110">
        <f>+K343</f>
        <v>30.87</v>
      </c>
      <c r="Y343" s="110">
        <f>+M343</f>
        <v>1112</v>
      </c>
      <c r="Z343" s="110">
        <f>+W343/2-X343-Y343</f>
        <v>5807.13</v>
      </c>
      <c r="AA343" s="260">
        <f>+Z343/(W343/2)</f>
        <v>0.83555827338129496</v>
      </c>
      <c r="AB343" s="28">
        <f>ROUND($W343/2/$X$1,1)</f>
        <v>4.5999999999999996</v>
      </c>
      <c r="AC343" s="261">
        <f>+(AB343*$X$1-$X343-$Y343)/(AB343*$X$1)</f>
        <v>0.83616880975931418</v>
      </c>
      <c r="AD343" s="111">
        <f>+IFERROR(ROUND(($X343+$Y343)/(1-$X$2)/$X$1,1),0)</f>
        <v>0.8</v>
      </c>
      <c r="AE343" s="262">
        <f>+(AD343*$X$1-$X343-$Y343)/(AD343*$X$1)</f>
        <v>5.7970656116056833E-2</v>
      </c>
      <c r="AF343" s="100"/>
      <c r="AG343" s="111">
        <f>+IFERROR(ROUND(($X343+$Y343)/(1-$AG$2)/$X$1,1),0)</f>
        <v>1.3</v>
      </c>
      <c r="AH343" s="262">
        <f>+(AG343*$X$1-$X343-$Y343)/(AG343*$X$1)</f>
        <v>0.42028963453295803</v>
      </c>
      <c r="AI343" s="100"/>
      <c r="AJ343" s="111">
        <f>+IFERROR(ROUND(($X343+$Y343)/(1-$AJ$2)/$X$1,1),0)</f>
        <v>1.2</v>
      </c>
      <c r="AK343" s="262">
        <f>+(AJ343*$X$1-$X343-$Y343)/(AJ343*$X$1)</f>
        <v>0.37198043741070452</v>
      </c>
      <c r="AL343" s="100"/>
      <c r="AM343" s="111">
        <f>+IFERROR(ROUND(($X343+$Y343)/(1-$AM$2)/$X$1,1),0)</f>
        <v>1.1000000000000001</v>
      </c>
      <c r="AN343" s="262">
        <f>+(AM343*$X$1-$X343-$Y343)/(AM343*$X$1)</f>
        <v>0.31488774990258678</v>
      </c>
      <c r="AO343" s="100"/>
      <c r="AP343" s="24" t="e">
        <f>VLOOKUP(C343,#REF!,6,FALSE)</f>
        <v>#REF!</v>
      </c>
      <c r="AQ343" s="24" t="e">
        <f>VLOOKUP(C343,#REF!,7,FALSE)</f>
        <v>#REF!</v>
      </c>
      <c r="AR343" s="24" t="e">
        <f>VLOOKUP(C343,#REF!,12,FALSE)</f>
        <v>#REF!</v>
      </c>
      <c r="AS343" s="24" t="e">
        <f>VLOOKUP(C343,#REF!,13,FALSE)</f>
        <v>#REF!</v>
      </c>
      <c r="AT343" s="100"/>
      <c r="AU343" s="100"/>
      <c r="AV343" s="100">
        <v>332</v>
      </c>
      <c r="AW343" s="100"/>
      <c r="AY343" s="128">
        <v>13900</v>
      </c>
    </row>
    <row r="344" spans="1:51" s="2" customFormat="1" ht="12.75" customHeight="1" x14ac:dyDescent="0.25">
      <c r="B344" s="3"/>
      <c r="C344" s="3"/>
      <c r="H344" s="132"/>
      <c r="I344" s="132"/>
      <c r="J344" s="134"/>
      <c r="K344" s="132"/>
      <c r="L344" s="134"/>
      <c r="M344" s="132"/>
      <c r="N344" s="132"/>
      <c r="O344" s="132"/>
      <c r="P344" s="132"/>
      <c r="Q344" s="147"/>
      <c r="R344" s="356"/>
      <c r="S344" s="360"/>
      <c r="T344" s="307"/>
      <c r="U344" s="135"/>
      <c r="V344" s="100"/>
      <c r="W344"/>
      <c r="X344"/>
      <c r="Y344"/>
      <c r="Z344"/>
      <c r="AA344"/>
      <c r="AB344"/>
      <c r="AC344"/>
      <c r="AD344" s="263"/>
      <c r="AE344"/>
      <c r="AF344" s="100"/>
      <c r="AG344" s="263"/>
      <c r="AH344"/>
      <c r="AI344" s="100"/>
      <c r="AJ344" s="263"/>
      <c r="AK344"/>
      <c r="AL344" s="100"/>
      <c r="AM344" s="263"/>
      <c r="AN344"/>
      <c r="AO344" s="100"/>
      <c r="AP344" s="100"/>
      <c r="AQ344" s="100"/>
      <c r="AR344" s="100"/>
      <c r="AS344" s="100"/>
      <c r="AT344" s="100"/>
      <c r="AU344" s="100"/>
      <c r="AV344" s="100">
        <v>333</v>
      </c>
      <c r="AW344" s="100"/>
      <c r="AY344" s="134"/>
    </row>
    <row r="345" spans="1:51" s="2" customFormat="1" ht="12.75" customHeight="1" thickBot="1" x14ac:dyDescent="0.3">
      <c r="B345" s="3"/>
      <c r="C345" s="3"/>
      <c r="H345" s="132"/>
      <c r="J345" s="134"/>
      <c r="K345" s="132"/>
      <c r="L345" s="134"/>
      <c r="M345" s="132"/>
      <c r="N345" s="132"/>
      <c r="O345" s="132"/>
      <c r="P345" s="132"/>
      <c r="Q345" s="147"/>
      <c r="R345" s="356"/>
      <c r="S345" s="360"/>
      <c r="T345" s="307"/>
      <c r="U345" s="135"/>
      <c r="V345" s="100"/>
      <c r="W345"/>
      <c r="X345"/>
      <c r="Y345"/>
      <c r="Z345"/>
      <c r="AA345"/>
      <c r="AB345"/>
      <c r="AC345"/>
      <c r="AD345" s="263"/>
      <c r="AE345"/>
      <c r="AF345" s="100"/>
      <c r="AG345" s="263"/>
      <c r="AH345"/>
      <c r="AI345" s="100"/>
      <c r="AJ345" s="263"/>
      <c r="AK345"/>
      <c r="AL345" s="100"/>
      <c r="AM345" s="263"/>
      <c r="AN345"/>
      <c r="AO345" s="100"/>
      <c r="AP345" s="100"/>
      <c r="AQ345" s="100"/>
      <c r="AR345" s="100"/>
      <c r="AS345" s="100"/>
      <c r="AT345" s="100"/>
      <c r="AU345" s="100"/>
      <c r="AV345" s="100">
        <v>334</v>
      </c>
      <c r="AW345" s="100"/>
      <c r="AY345" s="134"/>
    </row>
    <row r="346" spans="1:51" s="162" customFormat="1" ht="12.75" customHeight="1" x14ac:dyDescent="0.25">
      <c r="A346" s="132"/>
      <c r="B346" s="133"/>
      <c r="C346" s="133"/>
      <c r="D346" s="154"/>
      <c r="E346" s="155" t="s">
        <v>593</v>
      </c>
      <c r="F346" s="156"/>
      <c r="G346" s="132"/>
      <c r="H346" s="132"/>
      <c r="I346" s="132"/>
      <c r="J346" s="134"/>
      <c r="K346" s="132"/>
      <c r="L346" s="134"/>
      <c r="M346" s="132"/>
      <c r="N346" s="132"/>
      <c r="O346" s="132"/>
      <c r="P346" s="132"/>
      <c r="Q346" s="147"/>
      <c r="R346" s="356"/>
      <c r="S346" s="360"/>
      <c r="T346" s="307"/>
      <c r="U346" s="135"/>
      <c r="V346" s="100"/>
      <c r="W346"/>
      <c r="X346"/>
      <c r="Y346"/>
      <c r="Z346"/>
      <c r="AA346"/>
      <c r="AB346"/>
      <c r="AC346"/>
      <c r="AD346" s="263"/>
      <c r="AE346"/>
      <c r="AF346" s="100"/>
      <c r="AG346" s="263"/>
      <c r="AH346"/>
      <c r="AI346" s="100"/>
      <c r="AJ346" s="263"/>
      <c r="AK346"/>
      <c r="AL346" s="100"/>
      <c r="AM346" s="263"/>
      <c r="AN346"/>
      <c r="AO346" s="100"/>
      <c r="AP346" s="100"/>
      <c r="AQ346" s="100"/>
      <c r="AR346" s="100"/>
      <c r="AS346" s="100"/>
      <c r="AT346" s="100"/>
      <c r="AU346" s="100"/>
      <c r="AV346" s="100">
        <v>335</v>
      </c>
      <c r="AW346" s="100"/>
      <c r="AY346" s="134"/>
    </row>
    <row r="347" spans="1:51" s="2" customFormat="1" ht="12.75" customHeight="1" x14ac:dyDescent="0.2">
      <c r="A347" s="7" t="s">
        <v>2446</v>
      </c>
      <c r="B347" s="8">
        <v>9789500218269</v>
      </c>
      <c r="C347" s="8">
        <v>751234</v>
      </c>
      <c r="D347" s="7">
        <v>160</v>
      </c>
      <c r="E347" s="7" t="s">
        <v>686</v>
      </c>
      <c r="F347" s="7" t="s">
        <v>2447</v>
      </c>
      <c r="G347" s="107">
        <v>46296</v>
      </c>
      <c r="H347" s="108">
        <v>46266</v>
      </c>
      <c r="I347" s="116">
        <v>5130</v>
      </c>
      <c r="J347" s="6" t="s">
        <v>2160</v>
      </c>
      <c r="K347" s="148">
        <v>1482.07</v>
      </c>
      <c r="L347" s="9">
        <v>22900</v>
      </c>
      <c r="M347" s="9">
        <f>+L347*0.11</f>
        <v>2519</v>
      </c>
      <c r="N347" s="9">
        <f t="shared" ref="N347" si="275">+L347/2</f>
        <v>11450</v>
      </c>
      <c r="O347" s="9">
        <f t="shared" ref="O347" si="276">+N347-M347-K347</f>
        <v>7448.93</v>
      </c>
      <c r="P347" s="9">
        <f t="shared" ref="P347" si="277">+M347+K347</f>
        <v>4001.0699999999997</v>
      </c>
      <c r="Q347" s="139">
        <f t="shared" ref="Q347" si="278">+O347/N347</f>
        <v>0.65056157205240173</v>
      </c>
      <c r="R347" s="313">
        <v>22900</v>
      </c>
      <c r="S347" s="359" t="s">
        <v>2140</v>
      </c>
      <c r="T347" s="305">
        <v>0.67468829431438126</v>
      </c>
      <c r="U347" s="6"/>
      <c r="V347" s="100"/>
      <c r="W347" s="110">
        <f t="shared" ref="W347" si="279">+L347</f>
        <v>22900</v>
      </c>
      <c r="X347" s="110">
        <f t="shared" ref="X347" si="280">+K347</f>
        <v>1482.07</v>
      </c>
      <c r="Y347" s="110">
        <f t="shared" ref="Y347" si="281">+M347</f>
        <v>2519</v>
      </c>
      <c r="Z347" s="110">
        <f t="shared" ref="Z347" si="282">+W347/2-X347-Y347</f>
        <v>7448.93</v>
      </c>
      <c r="AA347" s="260">
        <f t="shared" ref="AA347" si="283">+Z347/(W347/2)</f>
        <v>0.65056157205240173</v>
      </c>
      <c r="AB347" s="28">
        <f t="shared" ref="AB347:AB391" si="284">ROUND($W347/2/$X$1,1)</f>
        <v>7.6</v>
      </c>
      <c r="AC347" s="261">
        <f t="shared" ref="AC347" si="285">+(AB347*$X$1-$X347-$Y347)/(AB347*$X$1)</f>
        <v>0.65284762350981307</v>
      </c>
      <c r="AD347" s="111">
        <f t="shared" ref="AD347:AD391" si="286">+IFERROR(ROUND(($X347+$Y347)/(1-$X$2)/$X$1,1),0)</f>
        <v>2.8</v>
      </c>
      <c r="AE347" s="262">
        <f t="shared" ref="AE347" si="287">+(AD347*$X$1-$X347-$Y347)/(AD347*$X$1)</f>
        <v>5.7729263812349892E-2</v>
      </c>
      <c r="AF347" s="100"/>
      <c r="AG347" s="111">
        <f t="shared" ref="AG347:AG391" si="288">+IFERROR(ROUND(($X347+$Y347)/(1-$AG$2)/$X$1,1),0)</f>
        <v>4.4000000000000004</v>
      </c>
      <c r="AH347" s="262">
        <f t="shared" ref="AH347" si="289">+(AG347*$X$1-$X347-$Y347)/(AG347*$X$1)</f>
        <v>0.40037316788058636</v>
      </c>
      <c r="AI347" s="100"/>
      <c r="AJ347" s="111">
        <f t="shared" ref="AJ347:AJ391" si="290">+IFERROR(ROUND(($X347+$Y347)/(1-$AJ$2)/$X$1,1),0)</f>
        <v>4.0999999999999996</v>
      </c>
      <c r="AK347" s="262">
        <f t="shared" ref="AK347" si="291">+(AJ347*$X$1-$X347-$Y347)/(AJ347*$X$1)</f>
        <v>0.35649803382306822</v>
      </c>
      <c r="AL347" s="100"/>
      <c r="AM347" s="111">
        <f t="shared" ref="AM347:AM391" si="292">+IFERROR(ROUND(($X347+$Y347)/(1-$AM$2)/$X$1,1),0)</f>
        <v>3.8</v>
      </c>
      <c r="AN347" s="262">
        <f t="shared" ref="AN347" si="293">+(AM347*$X$1-$X347-$Y347)/(AM347*$X$1)</f>
        <v>0.30569524701962625</v>
      </c>
      <c r="AO347" s="100"/>
      <c r="AP347" s="24" t="e">
        <f>VLOOKUP(C347,#REF!,6,FALSE)</f>
        <v>#REF!</v>
      </c>
      <c r="AQ347" s="24" t="e">
        <f>VLOOKUP(C347,#REF!,7,FALSE)</f>
        <v>#REF!</v>
      </c>
      <c r="AR347" s="24" t="e">
        <f>VLOOKUP(C347,#REF!,12,FALSE)</f>
        <v>#REF!</v>
      </c>
      <c r="AS347" s="24" t="e">
        <f>VLOOKUP(C347,#REF!,13,FALSE)</f>
        <v>#REF!</v>
      </c>
      <c r="AT347" s="100"/>
      <c r="AU347" s="100"/>
      <c r="AV347" s="100">
        <v>336</v>
      </c>
      <c r="AW347" s="100"/>
      <c r="AY347" s="352">
        <v>25900</v>
      </c>
    </row>
    <row r="348" spans="1:51" s="2" customFormat="1" ht="12.75" customHeight="1" x14ac:dyDescent="0.2">
      <c r="A348" s="7" t="s">
        <v>2388</v>
      </c>
      <c r="B348" s="8">
        <v>9789500218030</v>
      </c>
      <c r="C348" s="8">
        <v>748665</v>
      </c>
      <c r="D348" s="7">
        <v>192</v>
      </c>
      <c r="E348" s="7" t="s">
        <v>2389</v>
      </c>
      <c r="F348" s="7" t="s">
        <v>2390</v>
      </c>
      <c r="G348" s="107">
        <v>46235</v>
      </c>
      <c r="H348" s="108">
        <v>46204</v>
      </c>
      <c r="I348" s="116">
        <v>4053</v>
      </c>
      <c r="J348" s="7" t="s">
        <v>1894</v>
      </c>
      <c r="K348" s="148">
        <v>2031.09</v>
      </c>
      <c r="L348" s="352">
        <v>25900</v>
      </c>
      <c r="M348" s="9">
        <f>+L348*0.08</f>
        <v>2072</v>
      </c>
      <c r="N348" s="9">
        <f t="shared" ref="N348:N365" si="294">+L348/2</f>
        <v>12950</v>
      </c>
      <c r="O348" s="9">
        <f t="shared" ref="O348:O391" si="295">+N348-M348-K348</f>
        <v>8846.91</v>
      </c>
      <c r="P348" s="9">
        <f t="shared" ref="P348:P391" si="296">+M348+K348</f>
        <v>4103.09</v>
      </c>
      <c r="Q348" s="139">
        <f t="shared" ref="Q348:Q391" si="297">+O348/N348</f>
        <v>0.68315907335907333</v>
      </c>
      <c r="R348" s="335">
        <v>25900</v>
      </c>
      <c r="S348" s="359" t="s">
        <v>1948</v>
      </c>
      <c r="T348" s="305">
        <v>0.67468829431438126</v>
      </c>
      <c r="U348" s="6"/>
      <c r="V348" s="100"/>
      <c r="W348" s="110">
        <f t="shared" ref="W348:W391" si="298">+L348</f>
        <v>25900</v>
      </c>
      <c r="X348" s="110">
        <f t="shared" ref="X348:X391" si="299">+K348</f>
        <v>2031.09</v>
      </c>
      <c r="Y348" s="110">
        <f t="shared" ref="Y348:Y391" si="300">+M348</f>
        <v>2072</v>
      </c>
      <c r="Z348" s="110">
        <f t="shared" ref="Z348:Z391" si="301">+W348/2-X348-Y348</f>
        <v>8846.91</v>
      </c>
      <c r="AA348" s="260">
        <f t="shared" ref="AA348:AA391" si="302">+Z348/(W348/2)</f>
        <v>0.68315907335907333</v>
      </c>
      <c r="AB348" s="28">
        <f t="shared" si="284"/>
        <v>8.5</v>
      </c>
      <c r="AC348" s="261">
        <f t="shared" ref="AC348:AC391" si="303">+(AB348*$X$1-$X348-$Y348)/(AB348*$X$1)</f>
        <v>0.68169042493357379</v>
      </c>
      <c r="AD348" s="111">
        <f t="shared" si="286"/>
        <v>2.8</v>
      </c>
      <c r="AE348" s="262">
        <f t="shared" ref="AE348:AE391" si="304">+(AD348*$X$1-$X348-$Y348)/(AD348*$X$1)</f>
        <v>3.3703075691206182E-2</v>
      </c>
      <c r="AF348" s="100"/>
      <c r="AG348" s="111">
        <f t="shared" si="288"/>
        <v>4.5</v>
      </c>
      <c r="AH348" s="262">
        <f t="shared" ref="AH348:AH391" si="305">+(AG348*$X$1-$X348-$Y348)/(AG348*$X$1)</f>
        <v>0.39874858043008388</v>
      </c>
      <c r="AI348" s="100"/>
      <c r="AJ348" s="111">
        <f t="shared" si="290"/>
        <v>4.2</v>
      </c>
      <c r="AK348" s="262">
        <f t="shared" ref="AK348:AK391" si="306">+(AJ348*$X$1-$X348-$Y348)/(AJ348*$X$1)</f>
        <v>0.35580205046080415</v>
      </c>
      <c r="AL348" s="100"/>
      <c r="AM348" s="111">
        <f t="shared" si="292"/>
        <v>3.9</v>
      </c>
      <c r="AN348" s="262">
        <f t="shared" ref="AN348:AN391" si="307">+(AM348*$X$1-$X348-$Y348)/(AM348*$X$1)</f>
        <v>0.30624836203471212</v>
      </c>
      <c r="AO348" s="100"/>
      <c r="AP348" s="24" t="e">
        <f>VLOOKUP(C348,#REF!,6,FALSE)</f>
        <v>#REF!</v>
      </c>
      <c r="AQ348" s="24" t="e">
        <f>VLOOKUP(C348,#REF!,7,FALSE)</f>
        <v>#REF!</v>
      </c>
      <c r="AR348" s="24" t="e">
        <f>VLOOKUP(C348,#REF!,12,FALSE)</f>
        <v>#REF!</v>
      </c>
      <c r="AS348" s="24" t="e">
        <f>VLOOKUP(C348,#REF!,13,FALSE)</f>
        <v>#REF!</v>
      </c>
      <c r="AT348" s="100"/>
      <c r="AU348" s="100"/>
      <c r="AV348" s="100">
        <v>336</v>
      </c>
      <c r="AW348" s="100"/>
      <c r="AY348" s="352">
        <v>25900</v>
      </c>
    </row>
    <row r="349" spans="1:51" s="2" customFormat="1" ht="12.75" customHeight="1" x14ac:dyDescent="0.2">
      <c r="A349" s="7" t="s">
        <v>2391</v>
      </c>
      <c r="B349" s="8">
        <v>9789500218016</v>
      </c>
      <c r="C349" s="8">
        <v>748666</v>
      </c>
      <c r="D349" s="7">
        <v>144</v>
      </c>
      <c r="E349" s="7" t="s">
        <v>2392</v>
      </c>
      <c r="F349" s="7" t="s">
        <v>2393</v>
      </c>
      <c r="G349" s="107">
        <v>46235</v>
      </c>
      <c r="H349" s="108">
        <v>46204</v>
      </c>
      <c r="I349" s="116">
        <v>4000</v>
      </c>
      <c r="J349" s="7" t="s">
        <v>1894</v>
      </c>
      <c r="K349" s="148">
        <v>2056.89</v>
      </c>
      <c r="L349" s="352">
        <v>22500</v>
      </c>
      <c r="M349" s="9">
        <f>+L349*0.08</f>
        <v>1800</v>
      </c>
      <c r="N349" s="9">
        <f t="shared" si="294"/>
        <v>11250</v>
      </c>
      <c r="O349" s="9">
        <f t="shared" si="295"/>
        <v>7393.1100000000006</v>
      </c>
      <c r="P349" s="9">
        <f t="shared" si="296"/>
        <v>3856.89</v>
      </c>
      <c r="Q349" s="139">
        <f t="shared" si="297"/>
        <v>0.65716533333333338</v>
      </c>
      <c r="R349" s="335">
        <v>22500</v>
      </c>
      <c r="S349" s="359" t="s">
        <v>1948</v>
      </c>
      <c r="T349" s="305">
        <v>0.67468829431438126</v>
      </c>
      <c r="U349" s="6"/>
      <c r="V349" s="100"/>
      <c r="W349" s="110">
        <f t="shared" si="298"/>
        <v>22500</v>
      </c>
      <c r="X349" s="110">
        <f t="shared" si="299"/>
        <v>2056.89</v>
      </c>
      <c r="Y349" s="110">
        <f t="shared" si="300"/>
        <v>1800</v>
      </c>
      <c r="Z349" s="110">
        <f t="shared" si="301"/>
        <v>7393.1100000000006</v>
      </c>
      <c r="AA349" s="260">
        <f t="shared" si="302"/>
        <v>0.65716533333333338</v>
      </c>
      <c r="AB349" s="28">
        <f t="shared" si="284"/>
        <v>7.4</v>
      </c>
      <c r="AC349" s="261">
        <f t="shared" si="303"/>
        <v>0.65631298954741102</v>
      </c>
      <c r="AD349" s="111">
        <f t="shared" si="286"/>
        <v>2.7</v>
      </c>
      <c r="AE349" s="262">
        <f t="shared" si="304"/>
        <v>5.8043008389200353E-2</v>
      </c>
      <c r="AF349" s="100"/>
      <c r="AG349" s="111">
        <f t="shared" si="288"/>
        <v>4.2</v>
      </c>
      <c r="AH349" s="262">
        <f t="shared" si="305"/>
        <v>0.39445621967877159</v>
      </c>
      <c r="AI349" s="100"/>
      <c r="AJ349" s="111">
        <f t="shared" si="290"/>
        <v>3.9</v>
      </c>
      <c r="AK349" s="262">
        <f t="shared" si="306"/>
        <v>0.34787592888483093</v>
      </c>
      <c r="AL349" s="100"/>
      <c r="AM349" s="111">
        <f t="shared" si="292"/>
        <v>3.6</v>
      </c>
      <c r="AN349" s="262">
        <f t="shared" si="307"/>
        <v>0.29353225629190033</v>
      </c>
      <c r="AO349" s="100"/>
      <c r="AP349" s="24" t="e">
        <f>VLOOKUP(C349,#REF!,6,FALSE)</f>
        <v>#REF!</v>
      </c>
      <c r="AQ349" s="24" t="e">
        <f>VLOOKUP(C349,#REF!,7,FALSE)</f>
        <v>#REF!</v>
      </c>
      <c r="AR349" s="24" t="e">
        <f>VLOOKUP(C349,#REF!,12,FALSE)</f>
        <v>#REF!</v>
      </c>
      <c r="AS349" s="24" t="e">
        <f>VLOOKUP(C349,#REF!,13,FALSE)</f>
        <v>#REF!</v>
      </c>
      <c r="AT349" s="100"/>
      <c r="AU349" s="100"/>
      <c r="AV349" s="100">
        <v>337</v>
      </c>
      <c r="AW349" s="100"/>
      <c r="AY349" s="352">
        <v>22500</v>
      </c>
    </row>
    <row r="350" spans="1:51" s="2" customFormat="1" ht="12.75" customHeight="1" x14ac:dyDescent="0.2">
      <c r="A350" s="7" t="s">
        <v>2356</v>
      </c>
      <c r="B350" s="8">
        <v>9789500217866</v>
      </c>
      <c r="C350" s="8">
        <v>747595</v>
      </c>
      <c r="D350" s="7">
        <v>176</v>
      </c>
      <c r="E350" s="7" t="s">
        <v>2357</v>
      </c>
      <c r="F350" s="7" t="s">
        <v>2358</v>
      </c>
      <c r="G350" s="107">
        <v>46204</v>
      </c>
      <c r="H350" s="108">
        <v>46204</v>
      </c>
      <c r="I350" s="7">
        <v>3057</v>
      </c>
      <c r="J350" s="7" t="s">
        <v>1867</v>
      </c>
      <c r="K350" s="148">
        <v>1592.99</v>
      </c>
      <c r="L350" s="9">
        <v>34500</v>
      </c>
      <c r="M350" s="9">
        <f>+L350*0.1</f>
        <v>3450</v>
      </c>
      <c r="N350" s="9">
        <f t="shared" si="294"/>
        <v>17250</v>
      </c>
      <c r="O350" s="9">
        <f t="shared" si="295"/>
        <v>12207.01</v>
      </c>
      <c r="P350" s="9">
        <f t="shared" si="296"/>
        <v>5042.99</v>
      </c>
      <c r="Q350" s="139">
        <f t="shared" si="297"/>
        <v>0.70765275362318847</v>
      </c>
      <c r="R350" s="335">
        <v>34500</v>
      </c>
      <c r="S350" s="359" t="s">
        <v>1948</v>
      </c>
      <c r="T350" s="305">
        <v>0.67468829431438126</v>
      </c>
      <c r="U350" s="6"/>
      <c r="V350" s="100"/>
      <c r="W350" s="110">
        <f t="shared" si="298"/>
        <v>34500</v>
      </c>
      <c r="X350" s="110">
        <f t="shared" si="299"/>
        <v>1592.99</v>
      </c>
      <c r="Y350" s="110">
        <f t="shared" si="300"/>
        <v>3450</v>
      </c>
      <c r="Z350" s="110">
        <f t="shared" si="301"/>
        <v>12207.01</v>
      </c>
      <c r="AA350" s="260">
        <f t="shared" si="302"/>
        <v>0.70765275362318847</v>
      </c>
      <c r="AB350" s="28">
        <f t="shared" si="284"/>
        <v>11.4</v>
      </c>
      <c r="AC350" s="261">
        <f t="shared" si="303"/>
        <v>0.70829703668997757</v>
      </c>
      <c r="AD350" s="111">
        <f t="shared" si="286"/>
        <v>3.5</v>
      </c>
      <c r="AE350" s="262">
        <f t="shared" si="304"/>
        <v>4.9881776647355325E-2</v>
      </c>
      <c r="AF350" s="100"/>
      <c r="AG350" s="111">
        <f t="shared" si="288"/>
        <v>5.5</v>
      </c>
      <c r="AH350" s="262">
        <f t="shared" si="305"/>
        <v>0.3953793124119534</v>
      </c>
      <c r="AI350" s="100"/>
      <c r="AJ350" s="111">
        <f t="shared" si="290"/>
        <v>5.0999999999999996</v>
      </c>
      <c r="AK350" s="262">
        <f t="shared" si="306"/>
        <v>0.34795808201289086</v>
      </c>
      <c r="AL350" s="100"/>
      <c r="AM350" s="111">
        <f t="shared" si="292"/>
        <v>4.8</v>
      </c>
      <c r="AN350" s="262">
        <f t="shared" si="307"/>
        <v>0.30720546213869659</v>
      </c>
      <c r="AO350" s="100"/>
      <c r="AP350" s="24" t="e">
        <f>VLOOKUP(C350,#REF!,6,FALSE)</f>
        <v>#REF!</v>
      </c>
      <c r="AQ350" s="24" t="e">
        <f>VLOOKUP(C350,#REF!,7,FALSE)</f>
        <v>#REF!</v>
      </c>
      <c r="AR350" s="24" t="e">
        <f>VLOOKUP(C350,#REF!,12,FALSE)</f>
        <v>#REF!</v>
      </c>
      <c r="AS350" s="24" t="e">
        <f>VLOOKUP(C350,#REF!,13,FALSE)</f>
        <v>#REF!</v>
      </c>
      <c r="AT350" s="100"/>
      <c r="AU350" s="100"/>
      <c r="AV350" s="100">
        <v>338</v>
      </c>
      <c r="AW350" s="100"/>
      <c r="AY350" s="9">
        <v>34500</v>
      </c>
    </row>
    <row r="351" spans="1:51" s="2" customFormat="1" ht="12.75" customHeight="1" x14ac:dyDescent="0.2">
      <c r="A351" s="6" t="s">
        <v>2016</v>
      </c>
      <c r="B351" s="279">
        <v>9789500216128</v>
      </c>
      <c r="C351" s="6">
        <v>728113</v>
      </c>
      <c r="D351" s="41">
        <v>176</v>
      </c>
      <c r="E351" s="6" t="s">
        <v>750</v>
      </c>
      <c r="F351" s="6" t="s">
        <v>2017</v>
      </c>
      <c r="G351" s="107">
        <v>45748</v>
      </c>
      <c r="H351" s="108">
        <v>45931</v>
      </c>
      <c r="I351" s="264">
        <v>2000</v>
      </c>
      <c r="J351" s="7" t="s">
        <v>1762</v>
      </c>
      <c r="K351" s="292">
        <v>1224.1600000000001</v>
      </c>
      <c r="L351" s="9">
        <v>29900</v>
      </c>
      <c r="M351" s="9">
        <f>+L351*0.08</f>
        <v>2392</v>
      </c>
      <c r="N351" s="9">
        <f t="shared" si="294"/>
        <v>14950</v>
      </c>
      <c r="O351" s="9">
        <f t="shared" si="295"/>
        <v>11333.84</v>
      </c>
      <c r="P351" s="9">
        <f t="shared" si="296"/>
        <v>3616.16</v>
      </c>
      <c r="Q351" s="109">
        <f t="shared" si="297"/>
        <v>0.75811638795986624</v>
      </c>
      <c r="R351" s="335">
        <v>29900</v>
      </c>
      <c r="S351" s="359" t="s">
        <v>1948</v>
      </c>
      <c r="T351" s="305">
        <v>0.75811638795986624</v>
      </c>
      <c r="U351" s="12"/>
      <c r="V351" s="100"/>
      <c r="W351" s="110">
        <f t="shared" si="298"/>
        <v>29900</v>
      </c>
      <c r="X351" s="110">
        <f t="shared" si="299"/>
        <v>1224.1600000000001</v>
      </c>
      <c r="Y351" s="110">
        <f t="shared" si="300"/>
        <v>2392</v>
      </c>
      <c r="Z351" s="110">
        <f t="shared" si="301"/>
        <v>11333.84</v>
      </c>
      <c r="AA351" s="260">
        <f t="shared" si="302"/>
        <v>0.75811638795986624</v>
      </c>
      <c r="AB351" s="28">
        <f t="shared" si="284"/>
        <v>9.9</v>
      </c>
      <c r="AC351" s="261">
        <f t="shared" si="303"/>
        <v>0.75913703470577854</v>
      </c>
      <c r="AD351" s="111">
        <f t="shared" si="286"/>
        <v>2.5</v>
      </c>
      <c r="AE351" s="262">
        <f t="shared" si="304"/>
        <v>4.6182657434882993E-2</v>
      </c>
      <c r="AF351" s="100"/>
      <c r="AG351" s="111">
        <f t="shared" si="288"/>
        <v>4</v>
      </c>
      <c r="AH351" s="262">
        <f t="shared" si="305"/>
        <v>0.40386416089680188</v>
      </c>
      <c r="AI351" s="100"/>
      <c r="AJ351" s="111">
        <f t="shared" si="290"/>
        <v>3.7</v>
      </c>
      <c r="AK351" s="262">
        <f t="shared" si="306"/>
        <v>0.35552882259113716</v>
      </c>
      <c r="AL351" s="100"/>
      <c r="AM351" s="111">
        <f t="shared" si="292"/>
        <v>3.4</v>
      </c>
      <c r="AN351" s="262">
        <f t="shared" si="307"/>
        <v>0.29866371870211977</v>
      </c>
      <c r="AO351" s="100"/>
      <c r="AP351" s="24" t="e">
        <f>VLOOKUP(C351,#REF!,6,FALSE)</f>
        <v>#REF!</v>
      </c>
      <c r="AQ351" s="24" t="e">
        <f>VLOOKUP(C351,#REF!,7,FALSE)</f>
        <v>#REF!</v>
      </c>
      <c r="AR351" s="24" t="e">
        <f>VLOOKUP(C351,#REF!,12,FALSE)</f>
        <v>#REF!</v>
      </c>
      <c r="AS351" s="24" t="e">
        <f>VLOOKUP(C351,#REF!,13,FALSE)</f>
        <v>#REF!</v>
      </c>
      <c r="AT351" s="100"/>
      <c r="AU351" s="100"/>
      <c r="AV351" s="100">
        <v>339</v>
      </c>
      <c r="AW351" s="100"/>
      <c r="AY351" s="9">
        <v>29900</v>
      </c>
    </row>
    <row r="352" spans="1:51" s="2" customFormat="1" ht="12.75" customHeight="1" x14ac:dyDescent="0.2">
      <c r="A352" s="6" t="s">
        <v>1970</v>
      </c>
      <c r="B352" s="8">
        <v>9789500215855</v>
      </c>
      <c r="C352" s="6">
        <v>725690</v>
      </c>
      <c r="D352" s="41">
        <v>176</v>
      </c>
      <c r="E352" s="288" t="s">
        <v>686</v>
      </c>
      <c r="F352" s="6" t="s">
        <v>1971</v>
      </c>
      <c r="G352" s="107">
        <v>45689</v>
      </c>
      <c r="H352" s="108">
        <v>46082</v>
      </c>
      <c r="I352" s="264">
        <v>2061</v>
      </c>
      <c r="J352" s="7" t="s">
        <v>1762</v>
      </c>
      <c r="K352" s="292">
        <v>1454.58</v>
      </c>
      <c r="L352" s="9">
        <v>22500</v>
      </c>
      <c r="M352" s="9">
        <f>+L352*0.12</f>
        <v>2700</v>
      </c>
      <c r="N352" s="9">
        <f t="shared" si="294"/>
        <v>11250</v>
      </c>
      <c r="O352" s="9">
        <f t="shared" si="295"/>
        <v>7095.42</v>
      </c>
      <c r="P352" s="9">
        <f t="shared" si="296"/>
        <v>4154.58</v>
      </c>
      <c r="Q352" s="109">
        <f t="shared" si="297"/>
        <v>0.63070400000000004</v>
      </c>
      <c r="R352" s="335">
        <v>22500</v>
      </c>
      <c r="S352" s="359" t="s">
        <v>1948</v>
      </c>
      <c r="T352" s="305">
        <v>0.63070400000000004</v>
      </c>
      <c r="U352" s="12"/>
      <c r="V352" s="100"/>
      <c r="W352" s="110">
        <f t="shared" si="298"/>
        <v>22500</v>
      </c>
      <c r="X352" s="110">
        <f t="shared" si="299"/>
        <v>1454.58</v>
      </c>
      <c r="Y352" s="110">
        <f t="shared" si="300"/>
        <v>2700</v>
      </c>
      <c r="Z352" s="110">
        <f t="shared" si="301"/>
        <v>7095.42</v>
      </c>
      <c r="AA352" s="260">
        <f t="shared" si="302"/>
        <v>0.63070400000000004</v>
      </c>
      <c r="AB352" s="28">
        <f t="shared" si="284"/>
        <v>7.4</v>
      </c>
      <c r="AC352" s="261">
        <f t="shared" si="303"/>
        <v>0.62978586895500843</v>
      </c>
      <c r="AD352" s="111">
        <f t="shared" si="286"/>
        <v>2.9</v>
      </c>
      <c r="AE352" s="262">
        <f t="shared" si="304"/>
        <v>5.5315665609331731E-2</v>
      </c>
      <c r="AF352" s="100"/>
      <c r="AG352" s="111">
        <f t="shared" si="288"/>
        <v>4.5999999999999996</v>
      </c>
      <c r="AH352" s="262">
        <f t="shared" si="305"/>
        <v>0.40443813701457876</v>
      </c>
      <c r="AI352" s="100"/>
      <c r="AJ352" s="111">
        <f t="shared" si="290"/>
        <v>4.2</v>
      </c>
      <c r="AK352" s="262">
        <f t="shared" si="306"/>
        <v>0.34771795958739582</v>
      </c>
      <c r="AL352" s="100"/>
      <c r="AM352" s="111">
        <f t="shared" si="292"/>
        <v>3.9</v>
      </c>
      <c r="AN352" s="262">
        <f t="shared" si="307"/>
        <v>0.29754241801719539</v>
      </c>
      <c r="AO352" s="100"/>
      <c r="AP352" s="24" t="e">
        <f>VLOOKUP(C352,#REF!,6,FALSE)</f>
        <v>#REF!</v>
      </c>
      <c r="AQ352" s="24" t="e">
        <f>VLOOKUP(C352,#REF!,7,FALSE)</f>
        <v>#REF!</v>
      </c>
      <c r="AR352" s="24" t="e">
        <f>VLOOKUP(C352,#REF!,12,FALSE)</f>
        <v>#REF!</v>
      </c>
      <c r="AS352" s="24" t="e">
        <f>VLOOKUP(C352,#REF!,13,FALSE)</f>
        <v>#REF!</v>
      </c>
      <c r="AT352" s="100"/>
      <c r="AU352" s="100"/>
      <c r="AV352" s="100">
        <v>340</v>
      </c>
      <c r="AW352" s="100"/>
      <c r="AY352" s="9">
        <v>22500</v>
      </c>
    </row>
    <row r="353" spans="1:51" s="2" customFormat="1" ht="12.75" customHeight="1" x14ac:dyDescent="0.2">
      <c r="A353" s="6" t="s">
        <v>1831</v>
      </c>
      <c r="B353" s="8">
        <v>9789500215053</v>
      </c>
      <c r="C353" s="8">
        <v>715421</v>
      </c>
      <c r="D353" s="41">
        <v>192</v>
      </c>
      <c r="E353" s="25" t="s">
        <v>1832</v>
      </c>
      <c r="F353" s="25" t="s">
        <v>1814</v>
      </c>
      <c r="G353" s="107">
        <v>45566</v>
      </c>
      <c r="H353" s="108">
        <v>45658</v>
      </c>
      <c r="I353" s="264">
        <v>2032</v>
      </c>
      <c r="J353" s="28" t="s">
        <v>2136</v>
      </c>
      <c r="K353" s="148">
        <v>1150.1500000000001</v>
      </c>
      <c r="L353" s="9">
        <v>28500</v>
      </c>
      <c r="M353" s="112">
        <f>+L353*0.08</f>
        <v>2280</v>
      </c>
      <c r="N353" s="9">
        <f t="shared" si="294"/>
        <v>14250</v>
      </c>
      <c r="O353" s="9">
        <f t="shared" si="295"/>
        <v>10819.85</v>
      </c>
      <c r="P353" s="9">
        <f t="shared" si="296"/>
        <v>3430.15</v>
      </c>
      <c r="Q353" s="139">
        <f t="shared" si="297"/>
        <v>0.75928771929824568</v>
      </c>
      <c r="R353" s="335">
        <v>28500</v>
      </c>
      <c r="S353" s="359" t="s">
        <v>1948</v>
      </c>
      <c r="T353" s="305">
        <v>0.75928771929824568</v>
      </c>
      <c r="U353" s="6"/>
      <c r="V353" s="100"/>
      <c r="W353" s="110">
        <f t="shared" si="298"/>
        <v>28500</v>
      </c>
      <c r="X353" s="110">
        <f t="shared" si="299"/>
        <v>1150.1500000000001</v>
      </c>
      <c r="Y353" s="110">
        <f t="shared" si="300"/>
        <v>2280</v>
      </c>
      <c r="Z353" s="110">
        <f t="shared" si="301"/>
        <v>10819.85</v>
      </c>
      <c r="AA353" s="260">
        <f t="shared" si="302"/>
        <v>0.75928771929824568</v>
      </c>
      <c r="AB353" s="28">
        <f t="shared" si="284"/>
        <v>9.4</v>
      </c>
      <c r="AC353" s="261">
        <f t="shared" si="303"/>
        <v>0.7593738381351236</v>
      </c>
      <c r="AD353" s="111">
        <f t="shared" si="286"/>
        <v>2.4</v>
      </c>
      <c r="AE353" s="262">
        <f t="shared" si="304"/>
        <v>5.7547532695900599E-2</v>
      </c>
      <c r="AF353" s="100"/>
      <c r="AG353" s="111">
        <f t="shared" si="288"/>
        <v>3.8</v>
      </c>
      <c r="AH353" s="262">
        <f t="shared" si="305"/>
        <v>0.40476686275530555</v>
      </c>
      <c r="AI353" s="100"/>
      <c r="AJ353" s="111">
        <f t="shared" si="290"/>
        <v>3.5</v>
      </c>
      <c r="AK353" s="262">
        <f t="shared" si="306"/>
        <v>0.35374687956290335</v>
      </c>
      <c r="AL353" s="100"/>
      <c r="AM353" s="111">
        <f t="shared" si="292"/>
        <v>3.2</v>
      </c>
      <c r="AN353" s="262">
        <f t="shared" si="307"/>
        <v>0.2931606495219255</v>
      </c>
      <c r="AO353" s="100"/>
      <c r="AP353" s="24" t="e">
        <f>VLOOKUP(C353,#REF!,6,FALSE)</f>
        <v>#REF!</v>
      </c>
      <c r="AQ353" s="24" t="e">
        <f>VLOOKUP(C353,#REF!,7,FALSE)</f>
        <v>#REF!</v>
      </c>
      <c r="AR353" s="24" t="e">
        <f>VLOOKUP(C353,#REF!,12,FALSE)</f>
        <v>#REF!</v>
      </c>
      <c r="AS353" s="24" t="e">
        <f>VLOOKUP(C353,#REF!,13,FALSE)</f>
        <v>#REF!</v>
      </c>
      <c r="AT353" s="100"/>
      <c r="AU353" s="100"/>
      <c r="AV353" s="100">
        <v>341</v>
      </c>
      <c r="AW353" s="100"/>
      <c r="AY353" s="9">
        <v>28500</v>
      </c>
    </row>
    <row r="354" spans="1:51" s="2" customFormat="1" ht="12.75" customHeight="1" x14ac:dyDescent="0.2">
      <c r="A354" s="7" t="s">
        <v>1887</v>
      </c>
      <c r="B354" s="8">
        <v>9789500215428</v>
      </c>
      <c r="C354" s="8">
        <v>718921</v>
      </c>
      <c r="D354" s="41">
        <v>224</v>
      </c>
      <c r="E354" s="7" t="s">
        <v>1888</v>
      </c>
      <c r="F354" s="25" t="s">
        <v>1889</v>
      </c>
      <c r="G354" s="118">
        <v>45505</v>
      </c>
      <c r="H354" s="107">
        <v>45474</v>
      </c>
      <c r="I354" s="267">
        <v>3006</v>
      </c>
      <c r="J354" s="28" t="s">
        <v>2136</v>
      </c>
      <c r="K354" s="148">
        <v>2226.5700000000002</v>
      </c>
      <c r="L354" s="9">
        <v>25900</v>
      </c>
      <c r="M354" s="112">
        <f>+L354*0.08</f>
        <v>2072</v>
      </c>
      <c r="N354" s="9">
        <f t="shared" si="294"/>
        <v>12950</v>
      </c>
      <c r="O354" s="9">
        <f t="shared" si="295"/>
        <v>8651.43</v>
      </c>
      <c r="P354" s="9">
        <f t="shared" si="296"/>
        <v>4298.57</v>
      </c>
      <c r="Q354" s="139">
        <f t="shared" si="297"/>
        <v>0.66806409266409272</v>
      </c>
      <c r="R354" s="335">
        <v>25900</v>
      </c>
      <c r="S354" s="359" t="s">
        <v>1948</v>
      </c>
      <c r="T354" s="305">
        <v>0.66806409266409272</v>
      </c>
      <c r="U354" s="6"/>
      <c r="V354" s="100"/>
      <c r="W354" s="110">
        <f t="shared" si="298"/>
        <v>25900</v>
      </c>
      <c r="X354" s="110">
        <f t="shared" si="299"/>
        <v>2226.5700000000002</v>
      </c>
      <c r="Y354" s="110">
        <f t="shared" si="300"/>
        <v>2072</v>
      </c>
      <c r="Z354" s="110">
        <f t="shared" si="301"/>
        <v>8651.43</v>
      </c>
      <c r="AA354" s="260">
        <f t="shared" si="302"/>
        <v>0.66806409266409272</v>
      </c>
      <c r="AB354" s="28">
        <f t="shared" si="284"/>
        <v>8.5</v>
      </c>
      <c r="AC354" s="261">
        <f t="shared" si="303"/>
        <v>0.66652547468047563</v>
      </c>
      <c r="AD354" s="111">
        <f t="shared" si="286"/>
        <v>3</v>
      </c>
      <c r="AE354" s="262">
        <f t="shared" si="304"/>
        <v>5.5155511594680698E-2</v>
      </c>
      <c r="AF354" s="100"/>
      <c r="AG354" s="111">
        <f t="shared" si="288"/>
        <v>4.7</v>
      </c>
      <c r="AH354" s="262">
        <f t="shared" si="305"/>
        <v>0.39690777335830679</v>
      </c>
      <c r="AI354" s="100"/>
      <c r="AJ354" s="111">
        <f t="shared" si="290"/>
        <v>4.4000000000000004</v>
      </c>
      <c r="AK354" s="262">
        <f t="shared" si="306"/>
        <v>0.35578784881455511</v>
      </c>
      <c r="AL354" s="100"/>
      <c r="AM354" s="111">
        <f t="shared" si="292"/>
        <v>4</v>
      </c>
      <c r="AN354" s="262">
        <f t="shared" si="307"/>
        <v>0.29136663369601051</v>
      </c>
      <c r="AO354" s="100"/>
      <c r="AP354" s="24" t="e">
        <f>VLOOKUP(C354,#REF!,6,FALSE)</f>
        <v>#REF!</v>
      </c>
      <c r="AQ354" s="24" t="e">
        <f>VLOOKUP(C354,#REF!,7,FALSE)</f>
        <v>#REF!</v>
      </c>
      <c r="AR354" s="24" t="e">
        <f>VLOOKUP(C354,#REF!,12,FALSE)</f>
        <v>#REF!</v>
      </c>
      <c r="AS354" s="24" t="e">
        <f>VLOOKUP(C354,#REF!,13,FALSE)</f>
        <v>#REF!</v>
      </c>
      <c r="AT354" s="100"/>
      <c r="AU354" s="100"/>
      <c r="AV354" s="100">
        <v>342</v>
      </c>
      <c r="AW354" s="100"/>
      <c r="AY354" s="9">
        <v>25900</v>
      </c>
    </row>
    <row r="355" spans="1:51" s="2" customFormat="1" ht="12.75" customHeight="1" x14ac:dyDescent="0.2">
      <c r="A355" s="6" t="s">
        <v>1819</v>
      </c>
      <c r="B355" s="8">
        <v>9789500215015</v>
      </c>
      <c r="C355" s="8">
        <v>715419</v>
      </c>
      <c r="D355" s="41">
        <v>320</v>
      </c>
      <c r="E355" s="7" t="s">
        <v>1820</v>
      </c>
      <c r="F355" s="7" t="s">
        <v>1815</v>
      </c>
      <c r="G355" s="107">
        <v>45413</v>
      </c>
      <c r="H355" s="108">
        <v>46174</v>
      </c>
      <c r="I355" s="264">
        <v>2107</v>
      </c>
      <c r="J355" s="25" t="s">
        <v>2219</v>
      </c>
      <c r="K355" s="148">
        <v>2668.12</v>
      </c>
      <c r="L355" s="9">
        <v>29900</v>
      </c>
      <c r="M355" s="112">
        <f>+L355*0.08</f>
        <v>2392</v>
      </c>
      <c r="N355" s="9">
        <f t="shared" si="294"/>
        <v>14950</v>
      </c>
      <c r="O355" s="9">
        <f t="shared" si="295"/>
        <v>9889.880000000001</v>
      </c>
      <c r="P355" s="9">
        <f t="shared" si="296"/>
        <v>5060.12</v>
      </c>
      <c r="Q355" s="139">
        <f t="shared" si="297"/>
        <v>0.66153043478260876</v>
      </c>
      <c r="R355" s="335">
        <v>29900</v>
      </c>
      <c r="S355" s="359" t="s">
        <v>1948</v>
      </c>
      <c r="T355" s="305">
        <v>0.68524548494983273</v>
      </c>
      <c r="U355" s="6"/>
      <c r="V355" s="100"/>
      <c r="W355" s="110">
        <f t="shared" si="298"/>
        <v>29900</v>
      </c>
      <c r="X355" s="110">
        <f t="shared" si="299"/>
        <v>2668.12</v>
      </c>
      <c r="Y355" s="110">
        <f t="shared" si="300"/>
        <v>2392</v>
      </c>
      <c r="Z355" s="110">
        <f t="shared" si="301"/>
        <v>9889.880000000001</v>
      </c>
      <c r="AA355" s="260">
        <f t="shared" si="302"/>
        <v>0.66153043478260876</v>
      </c>
      <c r="AB355" s="28">
        <f t="shared" si="284"/>
        <v>9.9</v>
      </c>
      <c r="AC355" s="261">
        <f t="shared" si="303"/>
        <v>0.66295863348286688</v>
      </c>
      <c r="AD355" s="111">
        <f t="shared" si="286"/>
        <v>3.5</v>
      </c>
      <c r="AE355" s="262">
        <f t="shared" si="304"/>
        <v>4.6654420422966435E-2</v>
      </c>
      <c r="AF355" s="100"/>
      <c r="AG355" s="111">
        <f t="shared" si="288"/>
        <v>5.6</v>
      </c>
      <c r="AH355" s="262">
        <f t="shared" si="305"/>
        <v>0.40415901276435401</v>
      </c>
      <c r="AI355" s="100"/>
      <c r="AJ355" s="111">
        <f t="shared" si="290"/>
        <v>5.0999999999999996</v>
      </c>
      <c r="AK355" s="262">
        <f t="shared" si="306"/>
        <v>0.34574322970203575</v>
      </c>
      <c r="AL355" s="100"/>
      <c r="AM355" s="111">
        <f t="shared" si="292"/>
        <v>4.8</v>
      </c>
      <c r="AN355" s="262">
        <f t="shared" si="307"/>
        <v>0.30485218155841298</v>
      </c>
      <c r="AO355" s="100"/>
      <c r="AP355" s="24" t="e">
        <f>VLOOKUP(C355,#REF!,6,FALSE)</f>
        <v>#REF!</v>
      </c>
      <c r="AQ355" s="24" t="e">
        <f>VLOOKUP(C355,#REF!,7,FALSE)</f>
        <v>#REF!</v>
      </c>
      <c r="AR355" s="24" t="e">
        <f>VLOOKUP(C355,#REF!,12,FALSE)</f>
        <v>#REF!</v>
      </c>
      <c r="AS355" s="24" t="e">
        <f>VLOOKUP(C355,#REF!,13,FALSE)</f>
        <v>#REF!</v>
      </c>
      <c r="AT355" s="100"/>
      <c r="AU355" s="100"/>
      <c r="AV355" s="100">
        <v>343</v>
      </c>
      <c r="AW355" s="100"/>
      <c r="AY355" s="9">
        <v>29900</v>
      </c>
    </row>
    <row r="356" spans="1:51" s="2" customFormat="1" ht="12.75" customHeight="1" x14ac:dyDescent="0.2">
      <c r="A356" s="6" t="s">
        <v>1821</v>
      </c>
      <c r="B356" s="8">
        <v>9789500215077</v>
      </c>
      <c r="C356" s="8">
        <v>715420</v>
      </c>
      <c r="D356" s="41">
        <v>288</v>
      </c>
      <c r="E356" s="7" t="s">
        <v>1822</v>
      </c>
      <c r="F356" s="7" t="s">
        <v>1816</v>
      </c>
      <c r="G356" s="107">
        <v>45413</v>
      </c>
      <c r="H356" s="108">
        <v>46054</v>
      </c>
      <c r="I356" s="264">
        <v>2072</v>
      </c>
      <c r="J356" s="28" t="s">
        <v>2258</v>
      </c>
      <c r="K356" s="292">
        <v>3141</v>
      </c>
      <c r="L356" s="9">
        <v>32900</v>
      </c>
      <c r="M356" s="112">
        <f>+L356*0.08</f>
        <v>2632</v>
      </c>
      <c r="N356" s="9">
        <f t="shared" si="294"/>
        <v>16450</v>
      </c>
      <c r="O356" s="9">
        <f t="shared" si="295"/>
        <v>10677</v>
      </c>
      <c r="P356" s="9">
        <f t="shared" si="296"/>
        <v>5773</v>
      </c>
      <c r="Q356" s="139">
        <f t="shared" si="297"/>
        <v>0.64905775075987837</v>
      </c>
      <c r="R356" s="335">
        <v>32900</v>
      </c>
      <c r="S356" s="359" t="s">
        <v>1948</v>
      </c>
      <c r="T356" s="305">
        <v>0.64905775075987837</v>
      </c>
      <c r="U356" s="6"/>
      <c r="V356" s="100"/>
      <c r="W356" s="110">
        <f t="shared" si="298"/>
        <v>32900</v>
      </c>
      <c r="X356" s="110">
        <f t="shared" si="299"/>
        <v>3141</v>
      </c>
      <c r="Y356" s="110">
        <f t="shared" si="300"/>
        <v>2632</v>
      </c>
      <c r="Z356" s="110">
        <f t="shared" si="301"/>
        <v>10677</v>
      </c>
      <c r="AA356" s="260">
        <f t="shared" si="302"/>
        <v>0.64905775075987837</v>
      </c>
      <c r="AB356" s="28">
        <f t="shared" si="284"/>
        <v>10.8</v>
      </c>
      <c r="AC356" s="261">
        <f t="shared" si="303"/>
        <v>0.64751926341111965</v>
      </c>
      <c r="AD356" s="111">
        <f t="shared" si="286"/>
        <v>4</v>
      </c>
      <c r="AE356" s="262">
        <f t="shared" si="304"/>
        <v>4.8302011210023081E-2</v>
      </c>
      <c r="AF356" s="100"/>
      <c r="AG356" s="111">
        <f t="shared" si="288"/>
        <v>6.3</v>
      </c>
      <c r="AH356" s="262">
        <f t="shared" si="305"/>
        <v>0.39574730870477648</v>
      </c>
      <c r="AI356" s="100"/>
      <c r="AJ356" s="111">
        <f t="shared" si="290"/>
        <v>5.9</v>
      </c>
      <c r="AK356" s="262">
        <f t="shared" si="306"/>
        <v>0.35478102454916821</v>
      </c>
      <c r="AL356" s="100"/>
      <c r="AM356" s="111">
        <f t="shared" si="292"/>
        <v>5.4</v>
      </c>
      <c r="AN356" s="262">
        <f t="shared" si="307"/>
        <v>0.29503852682223936</v>
      </c>
      <c r="AO356" s="100"/>
      <c r="AP356" s="24" t="e">
        <f>VLOOKUP(C356,#REF!,6,FALSE)</f>
        <v>#REF!</v>
      </c>
      <c r="AQ356" s="24" t="e">
        <f>VLOOKUP(C356,#REF!,7,FALSE)</f>
        <v>#REF!</v>
      </c>
      <c r="AR356" s="24" t="e">
        <f>VLOOKUP(C356,#REF!,12,FALSE)</f>
        <v>#REF!</v>
      </c>
      <c r="AS356" s="24" t="e">
        <f>VLOOKUP(C356,#REF!,13,FALSE)</f>
        <v>#REF!</v>
      </c>
      <c r="AT356" s="100"/>
      <c r="AU356" s="100"/>
      <c r="AV356" s="100">
        <v>344</v>
      </c>
      <c r="AW356" s="100"/>
      <c r="AY356" s="9">
        <v>32900</v>
      </c>
    </row>
    <row r="357" spans="1:51" s="2" customFormat="1" ht="12.75" customHeight="1" x14ac:dyDescent="0.2">
      <c r="A357" s="6" t="s">
        <v>1778</v>
      </c>
      <c r="B357" s="8">
        <v>9789500214933</v>
      </c>
      <c r="C357" s="8">
        <v>714586</v>
      </c>
      <c r="D357" s="41">
        <v>208</v>
      </c>
      <c r="E357" s="7" t="s">
        <v>1779</v>
      </c>
      <c r="F357" s="7" t="s">
        <v>1780</v>
      </c>
      <c r="G357" s="107">
        <v>45383</v>
      </c>
      <c r="H357" s="108">
        <v>45962</v>
      </c>
      <c r="I357" s="7">
        <v>3082</v>
      </c>
      <c r="J357" s="7" t="s">
        <v>1762</v>
      </c>
      <c r="K357" s="148">
        <v>1307.0999999999999</v>
      </c>
      <c r="L357" s="9">
        <v>22500</v>
      </c>
      <c r="M357" s="112">
        <f>+L357*0.12</f>
        <v>2700</v>
      </c>
      <c r="N357" s="9">
        <f t="shared" si="294"/>
        <v>11250</v>
      </c>
      <c r="O357" s="9">
        <f t="shared" si="295"/>
        <v>7242.9</v>
      </c>
      <c r="P357" s="9">
        <f t="shared" si="296"/>
        <v>4007.1</v>
      </c>
      <c r="Q357" s="139">
        <f t="shared" si="297"/>
        <v>0.64381333333333335</v>
      </c>
      <c r="R357" s="335">
        <v>22500</v>
      </c>
      <c r="S357" s="359" t="s">
        <v>1948</v>
      </c>
      <c r="T357" s="305">
        <v>0.64381333333333335</v>
      </c>
      <c r="U357" s="6"/>
      <c r="V357" s="100"/>
      <c r="W357" s="110">
        <f t="shared" si="298"/>
        <v>22500</v>
      </c>
      <c r="X357" s="110">
        <f t="shared" si="299"/>
        <v>1307.0999999999999</v>
      </c>
      <c r="Y357" s="110">
        <f t="shared" si="300"/>
        <v>2700</v>
      </c>
      <c r="Z357" s="110">
        <f t="shared" si="301"/>
        <v>7242.9</v>
      </c>
      <c r="AA357" s="260">
        <f t="shared" si="302"/>
        <v>0.64381333333333335</v>
      </c>
      <c r="AB357" s="28">
        <f t="shared" si="284"/>
        <v>7.4</v>
      </c>
      <c r="AC357" s="261">
        <f t="shared" si="303"/>
        <v>0.64292779426310587</v>
      </c>
      <c r="AD357" s="111">
        <f t="shared" si="286"/>
        <v>2.8</v>
      </c>
      <c r="AE357" s="262">
        <f t="shared" si="304"/>
        <v>5.6309170552493973E-2</v>
      </c>
      <c r="AF357" s="100"/>
      <c r="AG357" s="111">
        <f t="shared" si="288"/>
        <v>4.4000000000000004</v>
      </c>
      <c r="AH357" s="262">
        <f t="shared" si="305"/>
        <v>0.39946947216976886</v>
      </c>
      <c r="AI357" s="100"/>
      <c r="AJ357" s="111">
        <f t="shared" si="290"/>
        <v>4.0999999999999996</v>
      </c>
      <c r="AK357" s="262">
        <f t="shared" si="306"/>
        <v>0.35552821403584944</v>
      </c>
      <c r="AL357" s="100"/>
      <c r="AM357" s="111">
        <f t="shared" si="292"/>
        <v>3.8</v>
      </c>
      <c r="AN357" s="262">
        <f t="shared" si="307"/>
        <v>0.30464886251236406</v>
      </c>
      <c r="AO357" s="100"/>
      <c r="AP357" s="24" t="e">
        <f>VLOOKUP(C357,#REF!,6,FALSE)</f>
        <v>#REF!</v>
      </c>
      <c r="AQ357" s="24" t="e">
        <f>VLOOKUP(C357,#REF!,7,FALSE)</f>
        <v>#REF!</v>
      </c>
      <c r="AR357" s="24" t="e">
        <f>VLOOKUP(C357,#REF!,12,FALSE)</f>
        <v>#REF!</v>
      </c>
      <c r="AS357" s="24" t="e">
        <f>VLOOKUP(C357,#REF!,13,FALSE)</f>
        <v>#REF!</v>
      </c>
      <c r="AT357" s="100"/>
      <c r="AU357" s="100"/>
      <c r="AV357" s="100">
        <v>345</v>
      </c>
      <c r="AW357" s="100"/>
      <c r="AY357" s="9">
        <v>22500</v>
      </c>
    </row>
    <row r="358" spans="1:51" s="132" customFormat="1" ht="12.75" customHeight="1" x14ac:dyDescent="0.2">
      <c r="A358" s="6" t="s">
        <v>1784</v>
      </c>
      <c r="B358" s="8">
        <v>9789500214926</v>
      </c>
      <c r="C358" s="8">
        <v>714588</v>
      </c>
      <c r="D358" s="41">
        <v>320</v>
      </c>
      <c r="E358" s="7" t="s">
        <v>1785</v>
      </c>
      <c r="F358" s="25" t="s">
        <v>1786</v>
      </c>
      <c r="G358" s="107">
        <v>45383</v>
      </c>
      <c r="H358" s="108">
        <v>45717</v>
      </c>
      <c r="I358" s="293">
        <v>2088</v>
      </c>
      <c r="J358" s="8" t="s">
        <v>2136</v>
      </c>
      <c r="K358" s="148">
        <v>3465.81</v>
      </c>
      <c r="L358" s="295">
        <v>35900</v>
      </c>
      <c r="M358" s="112">
        <f>+L358*0.08</f>
        <v>2872</v>
      </c>
      <c r="N358" s="9">
        <f t="shared" si="294"/>
        <v>17950</v>
      </c>
      <c r="O358" s="9">
        <f t="shared" si="295"/>
        <v>11612.19</v>
      </c>
      <c r="P358" s="9">
        <f t="shared" si="296"/>
        <v>6337.8099999999995</v>
      </c>
      <c r="Q358" s="139">
        <f t="shared" si="297"/>
        <v>0.64691866295264622</v>
      </c>
      <c r="R358" s="335">
        <v>35900</v>
      </c>
      <c r="S358" s="359" t="s">
        <v>1948</v>
      </c>
      <c r="T358" s="305">
        <v>0.64691866295264622</v>
      </c>
      <c r="U358" s="6"/>
      <c r="V358" s="100"/>
      <c r="W358" s="110">
        <f t="shared" si="298"/>
        <v>35900</v>
      </c>
      <c r="X358" s="110">
        <f t="shared" si="299"/>
        <v>3465.81</v>
      </c>
      <c r="Y358" s="110">
        <f t="shared" si="300"/>
        <v>2872</v>
      </c>
      <c r="Z358" s="110">
        <f t="shared" si="301"/>
        <v>11612.19</v>
      </c>
      <c r="AA358" s="260">
        <f t="shared" si="302"/>
        <v>0.64691866295264622</v>
      </c>
      <c r="AB358" s="28">
        <f t="shared" si="284"/>
        <v>11.8</v>
      </c>
      <c r="AC358" s="261">
        <f t="shared" si="303"/>
        <v>0.64582753552727912</v>
      </c>
      <c r="AD358" s="111">
        <f t="shared" si="286"/>
        <v>4.4000000000000004</v>
      </c>
      <c r="AE358" s="262">
        <f t="shared" si="304"/>
        <v>5.0173845277702904E-2</v>
      </c>
      <c r="AF358" s="100"/>
      <c r="AG358" s="111">
        <f t="shared" si="288"/>
        <v>7</v>
      </c>
      <c r="AH358" s="262">
        <f t="shared" si="305"/>
        <v>0.402966417031699</v>
      </c>
      <c r="AI358" s="100"/>
      <c r="AJ358" s="111">
        <f t="shared" si="290"/>
        <v>6.4</v>
      </c>
      <c r="AK358" s="262">
        <f t="shared" si="306"/>
        <v>0.34699451862842079</v>
      </c>
      <c r="AL358" s="100"/>
      <c r="AM358" s="111">
        <f t="shared" si="292"/>
        <v>6</v>
      </c>
      <c r="AN358" s="262">
        <f t="shared" si="307"/>
        <v>0.30346081987031548</v>
      </c>
      <c r="AO358" s="100"/>
      <c r="AP358" s="24" t="e">
        <f>VLOOKUP(C358,#REF!,6,FALSE)</f>
        <v>#REF!</v>
      </c>
      <c r="AQ358" s="24" t="e">
        <f>VLOOKUP(C358,#REF!,7,FALSE)</f>
        <v>#REF!</v>
      </c>
      <c r="AR358" s="24" t="e">
        <f>VLOOKUP(C358,#REF!,12,FALSE)</f>
        <v>#REF!</v>
      </c>
      <c r="AS358" s="24" t="e">
        <f>VLOOKUP(C358,#REF!,13,FALSE)</f>
        <v>#REF!</v>
      </c>
      <c r="AT358" s="100"/>
      <c r="AU358" s="100"/>
      <c r="AV358" s="100">
        <v>346</v>
      </c>
      <c r="AW358" s="100"/>
      <c r="AY358" s="295">
        <v>35900</v>
      </c>
    </row>
    <row r="359" spans="1:51" s="2" customFormat="1" ht="12.75" customHeight="1" x14ac:dyDescent="0.2">
      <c r="A359" s="7" t="s">
        <v>1787</v>
      </c>
      <c r="B359" s="8">
        <v>9789500214988</v>
      </c>
      <c r="C359" s="8">
        <v>714589</v>
      </c>
      <c r="D359" s="25">
        <v>224</v>
      </c>
      <c r="E359" s="7" t="s">
        <v>580</v>
      </c>
      <c r="F359" s="25" t="s">
        <v>1788</v>
      </c>
      <c r="G359" s="107">
        <v>45383</v>
      </c>
      <c r="H359" s="108">
        <v>45474</v>
      </c>
      <c r="I359" s="264">
        <v>2097</v>
      </c>
      <c r="J359" s="28" t="s">
        <v>2136</v>
      </c>
      <c r="K359" s="117">
        <v>1873.41</v>
      </c>
      <c r="L359" s="9">
        <v>29900</v>
      </c>
      <c r="M359" s="9">
        <f>+L359*0.1</f>
        <v>2990</v>
      </c>
      <c r="N359" s="9">
        <f t="shared" si="294"/>
        <v>14950</v>
      </c>
      <c r="O359" s="9">
        <f t="shared" si="295"/>
        <v>10086.59</v>
      </c>
      <c r="P359" s="9">
        <f t="shared" si="296"/>
        <v>4863.41</v>
      </c>
      <c r="Q359" s="139">
        <f t="shared" si="297"/>
        <v>0.67468829431438126</v>
      </c>
      <c r="R359" s="335">
        <v>29900</v>
      </c>
      <c r="S359" s="359" t="s">
        <v>1948</v>
      </c>
      <c r="T359" s="305">
        <v>0.67468829431438126</v>
      </c>
      <c r="U359" s="6"/>
      <c r="V359" s="100"/>
      <c r="W359" s="110">
        <f t="shared" si="298"/>
        <v>29900</v>
      </c>
      <c r="X359" s="110">
        <f t="shared" si="299"/>
        <v>1873.41</v>
      </c>
      <c r="Y359" s="110">
        <f t="shared" si="300"/>
        <v>2990</v>
      </c>
      <c r="Z359" s="110">
        <f t="shared" si="301"/>
        <v>10086.59</v>
      </c>
      <c r="AA359" s="260">
        <f t="shared" si="302"/>
        <v>0.67468829431438126</v>
      </c>
      <c r="AB359" s="28">
        <f t="shared" si="284"/>
        <v>9.9</v>
      </c>
      <c r="AC359" s="261">
        <f t="shared" si="303"/>
        <v>0.67606097240122964</v>
      </c>
      <c r="AD359" s="111">
        <f t="shared" si="286"/>
        <v>3.4</v>
      </c>
      <c r="AE359" s="262">
        <f t="shared" si="304"/>
        <v>5.6765772580050743E-2</v>
      </c>
      <c r="AF359" s="100"/>
      <c r="AG359" s="111">
        <f t="shared" si="288"/>
        <v>5.3</v>
      </c>
      <c r="AH359" s="262">
        <f t="shared" si="305"/>
        <v>0.39490634467399488</v>
      </c>
      <c r="AI359" s="100"/>
      <c r="AJ359" s="111">
        <f t="shared" si="290"/>
        <v>4.9000000000000004</v>
      </c>
      <c r="AK359" s="262">
        <f t="shared" si="306"/>
        <v>0.34551094423921896</v>
      </c>
      <c r="AL359" s="100"/>
      <c r="AM359" s="111">
        <f t="shared" si="292"/>
        <v>4.5999999999999996</v>
      </c>
      <c r="AN359" s="262">
        <f t="shared" si="307"/>
        <v>0.30282687538525493</v>
      </c>
      <c r="AO359" s="100"/>
      <c r="AP359" s="24" t="e">
        <f>VLOOKUP(C359,#REF!,6,FALSE)</f>
        <v>#REF!</v>
      </c>
      <c r="AQ359" s="24" t="e">
        <f>VLOOKUP(C359,#REF!,7,FALSE)</f>
        <v>#REF!</v>
      </c>
      <c r="AR359" s="24" t="e">
        <f>VLOOKUP(C359,#REF!,12,FALSE)</f>
        <v>#REF!</v>
      </c>
      <c r="AS359" s="24" t="e">
        <f>VLOOKUP(C359,#REF!,13,FALSE)</f>
        <v>#REF!</v>
      </c>
      <c r="AT359" s="100"/>
      <c r="AU359" s="100"/>
      <c r="AV359" s="100">
        <v>347</v>
      </c>
      <c r="AW359" s="100"/>
      <c r="AY359" s="9">
        <v>29900</v>
      </c>
    </row>
    <row r="360" spans="1:51" s="2" customFormat="1" ht="12.75" customHeight="1" x14ac:dyDescent="0.2">
      <c r="A360" s="6" t="s">
        <v>1273</v>
      </c>
      <c r="B360" s="8">
        <v>9789500214278</v>
      </c>
      <c r="C360" s="8">
        <v>710537</v>
      </c>
      <c r="D360" s="41">
        <v>256</v>
      </c>
      <c r="E360" s="7" t="s">
        <v>854</v>
      </c>
      <c r="F360" s="6" t="s">
        <v>855</v>
      </c>
      <c r="G360" s="107">
        <v>45231</v>
      </c>
      <c r="H360" s="108">
        <v>45200</v>
      </c>
      <c r="I360" s="7">
        <v>4112</v>
      </c>
      <c r="J360" s="7" t="s">
        <v>1762</v>
      </c>
      <c r="K360" s="117">
        <v>755.8</v>
      </c>
      <c r="L360" s="9">
        <v>30500</v>
      </c>
      <c r="M360" s="9">
        <f>+L360*0.08</f>
        <v>2440</v>
      </c>
      <c r="N360" s="9">
        <f t="shared" si="294"/>
        <v>15250</v>
      </c>
      <c r="O360" s="9">
        <f t="shared" si="295"/>
        <v>12054.2</v>
      </c>
      <c r="P360" s="9">
        <f t="shared" si="296"/>
        <v>3195.8</v>
      </c>
      <c r="Q360" s="139">
        <f t="shared" si="297"/>
        <v>0.79043934426229512</v>
      </c>
      <c r="R360" s="335">
        <v>30500</v>
      </c>
      <c r="S360" s="359" t="s">
        <v>1948</v>
      </c>
      <c r="T360" s="305">
        <v>0.79043934426229512</v>
      </c>
      <c r="U360" s="144"/>
      <c r="V360" s="100"/>
      <c r="W360" s="110">
        <f t="shared" si="298"/>
        <v>30500</v>
      </c>
      <c r="X360" s="110">
        <f t="shared" si="299"/>
        <v>755.8</v>
      </c>
      <c r="Y360" s="110">
        <f t="shared" si="300"/>
        <v>2440</v>
      </c>
      <c r="Z360" s="110">
        <f t="shared" si="301"/>
        <v>12054.2</v>
      </c>
      <c r="AA360" s="260">
        <f t="shared" si="302"/>
        <v>0.79043934426229512</v>
      </c>
      <c r="AB360" s="28">
        <f t="shared" si="284"/>
        <v>10.1</v>
      </c>
      <c r="AC360" s="261">
        <f t="shared" si="303"/>
        <v>0.79135124194912077</v>
      </c>
      <c r="AD360" s="111">
        <f t="shared" si="286"/>
        <v>2.2000000000000002</v>
      </c>
      <c r="AE360" s="262">
        <f t="shared" si="304"/>
        <v>4.2112519857326974E-2</v>
      </c>
      <c r="AF360" s="100"/>
      <c r="AG360" s="111">
        <f t="shared" si="288"/>
        <v>3.5</v>
      </c>
      <c r="AH360" s="262">
        <f t="shared" si="305"/>
        <v>0.39789929819603409</v>
      </c>
      <c r="AI360" s="100"/>
      <c r="AJ360" s="111">
        <f t="shared" si="290"/>
        <v>3.2</v>
      </c>
      <c r="AK360" s="262">
        <f t="shared" si="306"/>
        <v>0.34145235740191227</v>
      </c>
      <c r="AL360" s="100"/>
      <c r="AM360" s="111">
        <f t="shared" si="292"/>
        <v>3</v>
      </c>
      <c r="AN360" s="262">
        <f t="shared" si="307"/>
        <v>0.29754918122870644</v>
      </c>
      <c r="AO360" s="100"/>
      <c r="AP360" s="24" t="e">
        <f>VLOOKUP(C360,#REF!,6,FALSE)</f>
        <v>#REF!</v>
      </c>
      <c r="AQ360" s="24" t="e">
        <f>VLOOKUP(C360,#REF!,7,FALSE)</f>
        <v>#REF!</v>
      </c>
      <c r="AR360" s="24" t="e">
        <f>VLOOKUP(C360,#REF!,12,FALSE)</f>
        <v>#REF!</v>
      </c>
      <c r="AS360" s="24" t="e">
        <f>VLOOKUP(C360,#REF!,13,FALSE)</f>
        <v>#REF!</v>
      </c>
      <c r="AT360" s="100"/>
      <c r="AU360" s="100"/>
      <c r="AV360" s="100">
        <v>348</v>
      </c>
      <c r="AW360" s="100"/>
      <c r="AY360" s="9">
        <v>30500</v>
      </c>
    </row>
    <row r="361" spans="1:51" s="2" customFormat="1" ht="12.75" customHeight="1" x14ac:dyDescent="0.2">
      <c r="A361" s="6" t="s">
        <v>1274</v>
      </c>
      <c r="B361" s="8">
        <v>9789500213332</v>
      </c>
      <c r="C361" s="8">
        <v>702715</v>
      </c>
      <c r="D361" s="41">
        <v>160</v>
      </c>
      <c r="E361" s="7" t="s">
        <v>749</v>
      </c>
      <c r="F361" s="7" t="s">
        <v>746</v>
      </c>
      <c r="G361" s="107">
        <v>44927</v>
      </c>
      <c r="H361" s="108">
        <v>46082</v>
      </c>
      <c r="I361" s="7">
        <v>2094</v>
      </c>
      <c r="J361" s="28" t="s">
        <v>2136</v>
      </c>
      <c r="K361" s="9">
        <v>1571.19</v>
      </c>
      <c r="L361" s="9">
        <v>25900</v>
      </c>
      <c r="M361" s="112">
        <f>+L361*0.08</f>
        <v>2072</v>
      </c>
      <c r="N361" s="9">
        <f t="shared" si="294"/>
        <v>12950</v>
      </c>
      <c r="O361" s="9">
        <f t="shared" si="295"/>
        <v>9306.81</v>
      </c>
      <c r="P361" s="9">
        <f t="shared" si="296"/>
        <v>3643.19</v>
      </c>
      <c r="Q361" s="139">
        <f t="shared" si="297"/>
        <v>0.71867258687258684</v>
      </c>
      <c r="R361" s="335">
        <v>25900</v>
      </c>
      <c r="S361" s="359" t="s">
        <v>1948</v>
      </c>
      <c r="T361" s="305">
        <v>0.71867258687258684</v>
      </c>
      <c r="U361" s="144"/>
      <c r="V361" s="100"/>
      <c r="W361" s="110">
        <f t="shared" si="298"/>
        <v>25900</v>
      </c>
      <c r="X361" s="110">
        <f t="shared" si="299"/>
        <v>1571.19</v>
      </c>
      <c r="Y361" s="110">
        <f t="shared" si="300"/>
        <v>2072</v>
      </c>
      <c r="Z361" s="110">
        <f t="shared" si="301"/>
        <v>9306.81</v>
      </c>
      <c r="AA361" s="260">
        <f t="shared" si="302"/>
        <v>0.71867258687258684</v>
      </c>
      <c r="AB361" s="28">
        <f t="shared" si="284"/>
        <v>8.5</v>
      </c>
      <c r="AC361" s="261">
        <f t="shared" si="303"/>
        <v>0.7173685537518667</v>
      </c>
      <c r="AD361" s="111">
        <f t="shared" si="286"/>
        <v>2.5</v>
      </c>
      <c r="AE361" s="262">
        <f t="shared" si="304"/>
        <v>3.9053082756346835E-2</v>
      </c>
      <c r="AF361" s="100"/>
      <c r="AG361" s="111">
        <f t="shared" si="288"/>
        <v>4</v>
      </c>
      <c r="AH361" s="262">
        <f t="shared" si="305"/>
        <v>0.39940817672271672</v>
      </c>
      <c r="AI361" s="100"/>
      <c r="AJ361" s="111">
        <f t="shared" si="290"/>
        <v>3.7</v>
      </c>
      <c r="AK361" s="262">
        <f t="shared" si="306"/>
        <v>0.35071154240293706</v>
      </c>
      <c r="AL361" s="100"/>
      <c r="AM361" s="111">
        <f t="shared" si="292"/>
        <v>3.4</v>
      </c>
      <c r="AN361" s="262">
        <f t="shared" si="307"/>
        <v>0.29342138437966669</v>
      </c>
      <c r="AO361" s="100"/>
      <c r="AP361" s="24" t="e">
        <f>VLOOKUP(C361,#REF!,6,FALSE)</f>
        <v>#REF!</v>
      </c>
      <c r="AQ361" s="24" t="e">
        <f>VLOOKUP(C361,#REF!,7,FALSE)</f>
        <v>#REF!</v>
      </c>
      <c r="AR361" s="24" t="e">
        <f>VLOOKUP(C361,#REF!,12,FALSE)</f>
        <v>#REF!</v>
      </c>
      <c r="AS361" s="24" t="e">
        <f>VLOOKUP(C361,#REF!,13,FALSE)</f>
        <v>#REF!</v>
      </c>
      <c r="AT361" s="100"/>
      <c r="AU361" s="100"/>
      <c r="AV361" s="100">
        <v>349</v>
      </c>
      <c r="AW361" s="100"/>
      <c r="AY361" s="9">
        <v>25900</v>
      </c>
    </row>
    <row r="362" spans="1:51" s="2" customFormat="1" ht="12.75" customHeight="1" x14ac:dyDescent="0.2">
      <c r="A362" s="6" t="s">
        <v>1275</v>
      </c>
      <c r="B362" s="8">
        <v>9789500213943</v>
      </c>
      <c r="C362" s="8">
        <v>707943</v>
      </c>
      <c r="D362" s="41">
        <v>208</v>
      </c>
      <c r="E362" s="7" t="s">
        <v>798</v>
      </c>
      <c r="F362" s="6" t="s">
        <v>793</v>
      </c>
      <c r="G362" s="107">
        <v>45139</v>
      </c>
      <c r="H362" s="108">
        <v>45108</v>
      </c>
      <c r="I362" s="116">
        <v>4125</v>
      </c>
      <c r="J362" s="28" t="s">
        <v>2136</v>
      </c>
      <c r="K362" s="117">
        <v>562.97</v>
      </c>
      <c r="L362" s="9">
        <v>26900</v>
      </c>
      <c r="M362" s="112">
        <f>+L362*0.08</f>
        <v>2152</v>
      </c>
      <c r="N362" s="9">
        <f t="shared" si="294"/>
        <v>13450</v>
      </c>
      <c r="O362" s="9">
        <f t="shared" si="295"/>
        <v>10735.03</v>
      </c>
      <c r="P362" s="9">
        <f t="shared" si="296"/>
        <v>2714.9700000000003</v>
      </c>
      <c r="Q362" s="139">
        <f t="shared" si="297"/>
        <v>0.79814349442379184</v>
      </c>
      <c r="R362" s="335">
        <v>26900</v>
      </c>
      <c r="S362" s="359" t="s">
        <v>1948</v>
      </c>
      <c r="T362" s="305">
        <v>0.79814349442379184</v>
      </c>
      <c r="U362" s="144"/>
      <c r="V362" s="100"/>
      <c r="W362" s="110">
        <f t="shared" si="298"/>
        <v>26900</v>
      </c>
      <c r="X362" s="110">
        <f t="shared" si="299"/>
        <v>562.97</v>
      </c>
      <c r="Y362" s="110">
        <f t="shared" si="300"/>
        <v>2152</v>
      </c>
      <c r="Z362" s="110">
        <f t="shared" si="301"/>
        <v>10735.03</v>
      </c>
      <c r="AA362" s="260">
        <f t="shared" si="302"/>
        <v>0.79814349442379184</v>
      </c>
      <c r="AB362" s="28">
        <f t="shared" si="284"/>
        <v>8.9</v>
      </c>
      <c r="AC362" s="261">
        <f t="shared" si="303"/>
        <v>0.79884417475188663</v>
      </c>
      <c r="AD362" s="111">
        <f t="shared" si="286"/>
        <v>1.9</v>
      </c>
      <c r="AE362" s="262">
        <f t="shared" si="304"/>
        <v>5.7743765943047566E-2</v>
      </c>
      <c r="AF362" s="100"/>
      <c r="AG362" s="111">
        <f t="shared" si="288"/>
        <v>3</v>
      </c>
      <c r="AH362" s="262">
        <f t="shared" si="305"/>
        <v>0.40323771843059669</v>
      </c>
      <c r="AI362" s="100"/>
      <c r="AJ362" s="111">
        <f t="shared" si="290"/>
        <v>2.8</v>
      </c>
      <c r="AK362" s="262">
        <f t="shared" si="306"/>
        <v>0.36061184117563932</v>
      </c>
      <c r="AL362" s="100"/>
      <c r="AM362" s="111">
        <f t="shared" si="292"/>
        <v>2.6</v>
      </c>
      <c r="AN362" s="262">
        <f t="shared" si="307"/>
        <v>0.31142813665068864</v>
      </c>
      <c r="AO362" s="100"/>
      <c r="AP362" s="24" t="e">
        <f>VLOOKUP(C362,#REF!,6,FALSE)</f>
        <v>#REF!</v>
      </c>
      <c r="AQ362" s="24" t="e">
        <f>VLOOKUP(C362,#REF!,7,FALSE)</f>
        <v>#REF!</v>
      </c>
      <c r="AR362" s="24" t="e">
        <f>VLOOKUP(C362,#REF!,12,FALSE)</f>
        <v>#REF!</v>
      </c>
      <c r="AS362" s="24" t="e">
        <f>VLOOKUP(C362,#REF!,13,FALSE)</f>
        <v>#REF!</v>
      </c>
      <c r="AT362" s="100"/>
      <c r="AU362" s="100"/>
      <c r="AV362" s="100">
        <v>350</v>
      </c>
      <c r="AW362" s="100"/>
      <c r="AY362" s="9">
        <v>26900</v>
      </c>
    </row>
    <row r="363" spans="1:51" s="2" customFormat="1" ht="12.75" customHeight="1" x14ac:dyDescent="0.2">
      <c r="A363" s="6" t="s">
        <v>1276</v>
      </c>
      <c r="B363" s="8">
        <v>9789500213349</v>
      </c>
      <c r="C363" s="6">
        <v>702716</v>
      </c>
      <c r="D363" s="41">
        <v>256</v>
      </c>
      <c r="E363" s="7" t="s">
        <v>750</v>
      </c>
      <c r="F363" s="7" t="s">
        <v>747</v>
      </c>
      <c r="G363" s="107">
        <v>44927</v>
      </c>
      <c r="H363" s="108">
        <v>46143</v>
      </c>
      <c r="I363" s="7">
        <v>2060</v>
      </c>
      <c r="J363" s="108" t="s">
        <v>1946</v>
      </c>
      <c r="K363" s="148">
        <v>4594.6099999999997</v>
      </c>
      <c r="L363" s="9">
        <v>36500</v>
      </c>
      <c r="M363" s="112">
        <f>+L363*0.08</f>
        <v>2920</v>
      </c>
      <c r="N363" s="9">
        <f t="shared" si="294"/>
        <v>18250</v>
      </c>
      <c r="O363" s="9">
        <f t="shared" si="295"/>
        <v>10735.39</v>
      </c>
      <c r="P363" s="9">
        <f t="shared" si="296"/>
        <v>7514.61</v>
      </c>
      <c r="Q363" s="139">
        <f t="shared" si="297"/>
        <v>0.58824054794520542</v>
      </c>
      <c r="R363" s="335">
        <v>36500</v>
      </c>
      <c r="S363" s="359" t="s">
        <v>1948</v>
      </c>
      <c r="T363" s="305">
        <v>0.58824054794520542</v>
      </c>
      <c r="U363" s="144"/>
      <c r="V363" s="100"/>
      <c r="W363" s="110">
        <f t="shared" si="298"/>
        <v>36500</v>
      </c>
      <c r="X363" s="110">
        <f t="shared" si="299"/>
        <v>4594.6099999999997</v>
      </c>
      <c r="Y363" s="110">
        <f t="shared" si="300"/>
        <v>2920</v>
      </c>
      <c r="Z363" s="110">
        <f t="shared" si="301"/>
        <v>10735.39</v>
      </c>
      <c r="AA363" s="260">
        <f t="shared" si="302"/>
        <v>0.58824054794520542</v>
      </c>
      <c r="AB363" s="28">
        <f t="shared" si="284"/>
        <v>12</v>
      </c>
      <c r="AC363" s="261">
        <f t="shared" si="303"/>
        <v>0.58706396307286512</v>
      </c>
      <c r="AD363" s="111">
        <f t="shared" si="286"/>
        <v>5.2</v>
      </c>
      <c r="AE363" s="262">
        <f t="shared" si="304"/>
        <v>4.7070684014304254E-2</v>
      </c>
      <c r="AF363" s="100"/>
      <c r="AG363" s="111">
        <f t="shared" si="288"/>
        <v>8.3000000000000007</v>
      </c>
      <c r="AH363" s="262">
        <f t="shared" si="305"/>
        <v>0.40298404299691354</v>
      </c>
      <c r="AI363" s="100"/>
      <c r="AJ363" s="111">
        <f t="shared" si="290"/>
        <v>7.6</v>
      </c>
      <c r="AK363" s="262">
        <f t="shared" si="306"/>
        <v>0.34799573116768184</v>
      </c>
      <c r="AL363" s="100"/>
      <c r="AM363" s="111">
        <f t="shared" si="292"/>
        <v>7.1</v>
      </c>
      <c r="AN363" s="262">
        <f t="shared" si="307"/>
        <v>0.30207993758794111</v>
      </c>
      <c r="AO363" s="100"/>
      <c r="AP363" s="24" t="e">
        <f>VLOOKUP(C363,#REF!,6,FALSE)</f>
        <v>#REF!</v>
      </c>
      <c r="AQ363" s="24" t="e">
        <f>VLOOKUP(C363,#REF!,7,FALSE)</f>
        <v>#REF!</v>
      </c>
      <c r="AR363" s="24" t="e">
        <f>VLOOKUP(C363,#REF!,12,FALSE)</f>
        <v>#REF!</v>
      </c>
      <c r="AS363" s="24" t="e">
        <f>VLOOKUP(C363,#REF!,13,FALSE)</f>
        <v>#REF!</v>
      </c>
      <c r="AT363" s="100"/>
      <c r="AU363" s="100"/>
      <c r="AV363" s="100">
        <v>351</v>
      </c>
      <c r="AW363" s="100"/>
      <c r="AY363" s="9">
        <v>36500</v>
      </c>
    </row>
    <row r="364" spans="1:51" s="2" customFormat="1" ht="12.75" customHeight="1" x14ac:dyDescent="0.2">
      <c r="A364" s="6" t="s">
        <v>1007</v>
      </c>
      <c r="B364" s="8">
        <v>9789500299923</v>
      </c>
      <c r="C364" s="6">
        <v>631530</v>
      </c>
      <c r="D364" s="7">
        <v>224</v>
      </c>
      <c r="E364" s="7" t="s">
        <v>106</v>
      </c>
      <c r="F364" s="11" t="s">
        <v>107</v>
      </c>
      <c r="G364" s="107">
        <v>42917</v>
      </c>
      <c r="H364" s="108">
        <v>42887</v>
      </c>
      <c r="I364" s="24">
        <v>2980</v>
      </c>
      <c r="J364" s="28" t="s">
        <v>1894</v>
      </c>
      <c r="K364" s="28">
        <v>22.19</v>
      </c>
      <c r="L364" s="9">
        <v>18400</v>
      </c>
      <c r="M364" s="112">
        <f>+L364*0.13</f>
        <v>2392</v>
      </c>
      <c r="N364" s="9">
        <f t="shared" si="294"/>
        <v>9200</v>
      </c>
      <c r="O364" s="9">
        <f t="shared" si="295"/>
        <v>6785.81</v>
      </c>
      <c r="P364" s="9">
        <f t="shared" si="296"/>
        <v>2414.19</v>
      </c>
      <c r="Q364" s="139">
        <f t="shared" si="297"/>
        <v>0.7375880434782609</v>
      </c>
      <c r="R364" s="335">
        <v>18400</v>
      </c>
      <c r="S364" s="359" t="s">
        <v>1948</v>
      </c>
      <c r="T364" s="305">
        <v>0.7375880434782609</v>
      </c>
      <c r="U364" s="157"/>
      <c r="V364" s="100"/>
      <c r="W364" s="110">
        <f t="shared" si="298"/>
        <v>18400</v>
      </c>
      <c r="X364" s="110">
        <f t="shared" si="299"/>
        <v>22.19</v>
      </c>
      <c r="Y364" s="110">
        <f t="shared" si="300"/>
        <v>2392</v>
      </c>
      <c r="Z364" s="110">
        <f t="shared" si="301"/>
        <v>6785.8099999999995</v>
      </c>
      <c r="AA364" s="260">
        <f t="shared" si="302"/>
        <v>0.73758804347826079</v>
      </c>
      <c r="AB364" s="28">
        <f t="shared" si="284"/>
        <v>6.1</v>
      </c>
      <c r="AC364" s="261">
        <f t="shared" si="303"/>
        <v>0.73902482528254765</v>
      </c>
      <c r="AD364" s="111">
        <f t="shared" si="286"/>
        <v>1.7</v>
      </c>
      <c r="AE364" s="262">
        <f t="shared" si="304"/>
        <v>6.355966719031815E-2</v>
      </c>
      <c r="AF364" s="100"/>
      <c r="AG364" s="111">
        <f t="shared" si="288"/>
        <v>2.7</v>
      </c>
      <c r="AH364" s="262">
        <f t="shared" si="305"/>
        <v>0.410389420082793</v>
      </c>
      <c r="AI364" s="100"/>
      <c r="AJ364" s="111">
        <f t="shared" si="290"/>
        <v>2.4</v>
      </c>
      <c r="AK364" s="262">
        <f t="shared" si="306"/>
        <v>0.33668809759314205</v>
      </c>
      <c r="AL364" s="100"/>
      <c r="AM364" s="111">
        <f t="shared" si="292"/>
        <v>2.2999999999999998</v>
      </c>
      <c r="AN364" s="262">
        <f t="shared" si="307"/>
        <v>0.3078484496624091</v>
      </c>
      <c r="AO364" s="100"/>
      <c r="AP364" s="24" t="e">
        <f>VLOOKUP(C364,#REF!,6,FALSE)</f>
        <v>#REF!</v>
      </c>
      <c r="AQ364" s="24" t="e">
        <f>VLOOKUP(C364,#REF!,7,FALSE)</f>
        <v>#REF!</v>
      </c>
      <c r="AR364" s="24" t="e">
        <f>VLOOKUP(C364,#REF!,12,FALSE)</f>
        <v>#REF!</v>
      </c>
      <c r="AS364" s="24" t="e">
        <f>VLOOKUP(C364,#REF!,13,FALSE)</f>
        <v>#REF!</v>
      </c>
      <c r="AT364" s="100"/>
      <c r="AU364" s="100"/>
      <c r="AV364" s="100">
        <v>352</v>
      </c>
      <c r="AW364" s="100"/>
      <c r="AY364" s="9">
        <v>18400</v>
      </c>
    </row>
    <row r="365" spans="1:51" s="2" customFormat="1" ht="12.75" customHeight="1" x14ac:dyDescent="0.2">
      <c r="A365" s="6" t="s">
        <v>1277</v>
      </c>
      <c r="B365" s="8">
        <v>9789500211444</v>
      </c>
      <c r="C365" s="8">
        <v>682011</v>
      </c>
      <c r="D365" s="7">
        <v>224</v>
      </c>
      <c r="E365" s="7" t="s">
        <v>536</v>
      </c>
      <c r="F365" s="7" t="s">
        <v>1278</v>
      </c>
      <c r="G365" s="107">
        <v>44256</v>
      </c>
      <c r="H365" s="108">
        <v>44228</v>
      </c>
      <c r="I365" s="7">
        <v>1373</v>
      </c>
      <c r="J365" s="28" t="s">
        <v>1894</v>
      </c>
      <c r="K365" s="7">
        <v>85.63</v>
      </c>
      <c r="L365" s="9">
        <v>18400</v>
      </c>
      <c r="M365" s="9">
        <f>+L365*0.13</f>
        <v>2392</v>
      </c>
      <c r="N365" s="9">
        <f t="shared" si="294"/>
        <v>9200</v>
      </c>
      <c r="O365" s="9">
        <f t="shared" si="295"/>
        <v>6722.37</v>
      </c>
      <c r="P365" s="9">
        <f t="shared" si="296"/>
        <v>2477.63</v>
      </c>
      <c r="Q365" s="139">
        <f t="shared" si="297"/>
        <v>0.73069239130434782</v>
      </c>
      <c r="R365" s="335">
        <v>18400</v>
      </c>
      <c r="S365" s="359" t="s">
        <v>1948</v>
      </c>
      <c r="T365" s="305">
        <v>0.73069239130434782</v>
      </c>
      <c r="U365" s="157"/>
      <c r="V365" s="100"/>
      <c r="W365" s="110">
        <f t="shared" si="298"/>
        <v>18400</v>
      </c>
      <c r="X365" s="110">
        <f t="shared" si="299"/>
        <v>85.63</v>
      </c>
      <c r="Y365" s="110">
        <f t="shared" si="300"/>
        <v>2392</v>
      </c>
      <c r="Z365" s="110">
        <f t="shared" si="301"/>
        <v>6722.3700000000008</v>
      </c>
      <c r="AA365" s="260">
        <f t="shared" si="302"/>
        <v>0.73069239130434793</v>
      </c>
      <c r="AB365" s="28">
        <f t="shared" si="284"/>
        <v>6.1</v>
      </c>
      <c r="AC365" s="261">
        <f t="shared" si="303"/>
        <v>0.73216692881040801</v>
      </c>
      <c r="AD365" s="111">
        <f t="shared" si="286"/>
        <v>1.7</v>
      </c>
      <c r="AE365" s="262">
        <f t="shared" si="304"/>
        <v>3.8951921025581204E-2</v>
      </c>
      <c r="AF365" s="100"/>
      <c r="AG365" s="111">
        <f t="shared" si="288"/>
        <v>2.7</v>
      </c>
      <c r="AH365" s="262">
        <f t="shared" si="305"/>
        <v>0.39489565397906973</v>
      </c>
      <c r="AI365" s="100"/>
      <c r="AJ365" s="111">
        <f t="shared" si="290"/>
        <v>2.5</v>
      </c>
      <c r="AK365" s="262">
        <f t="shared" si="306"/>
        <v>0.34648730629739527</v>
      </c>
      <c r="AL365" s="100"/>
      <c r="AM365" s="111">
        <f t="shared" si="292"/>
        <v>2.2999999999999998</v>
      </c>
      <c r="AN365" s="262">
        <f t="shared" si="307"/>
        <v>0.28966011554064702</v>
      </c>
      <c r="AO365" s="100"/>
      <c r="AP365" s="24" t="e">
        <f>VLOOKUP(C365,#REF!,6,FALSE)</f>
        <v>#REF!</v>
      </c>
      <c r="AQ365" s="24" t="e">
        <f>VLOOKUP(C365,#REF!,7,FALSE)</f>
        <v>#REF!</v>
      </c>
      <c r="AR365" s="24" t="e">
        <f>VLOOKUP(C365,#REF!,12,FALSE)</f>
        <v>#REF!</v>
      </c>
      <c r="AS365" s="24" t="e">
        <f>VLOOKUP(C365,#REF!,13,FALSE)</f>
        <v>#REF!</v>
      </c>
      <c r="AT365" s="100"/>
      <c r="AU365" s="100"/>
      <c r="AV365" s="100">
        <v>353</v>
      </c>
      <c r="AW365" s="100"/>
      <c r="AY365" s="9">
        <v>18400</v>
      </c>
    </row>
    <row r="366" spans="1:51" s="2" customFormat="1" ht="12.75" customHeight="1" x14ac:dyDescent="0.2">
      <c r="A366" s="7" t="s">
        <v>928</v>
      </c>
      <c r="B366" s="8">
        <v>9789500205320</v>
      </c>
      <c r="C366" s="8">
        <v>511852</v>
      </c>
      <c r="D366" s="25">
        <v>288</v>
      </c>
      <c r="E366" s="9" t="s">
        <v>20</v>
      </c>
      <c r="F366" s="266" t="s">
        <v>378</v>
      </c>
      <c r="G366" s="107">
        <v>40330</v>
      </c>
      <c r="H366" s="108">
        <v>44986</v>
      </c>
      <c r="I366" s="24">
        <v>500</v>
      </c>
      <c r="J366" s="7" t="s">
        <v>1762</v>
      </c>
      <c r="K366" s="28">
        <v>817.97</v>
      </c>
      <c r="L366" s="112">
        <v>38900</v>
      </c>
      <c r="M366" s="112">
        <f>+L366*0.1</f>
        <v>3890</v>
      </c>
      <c r="N366" s="9">
        <f>+L366*0.55</f>
        <v>21395</v>
      </c>
      <c r="O366" s="9">
        <f t="shared" si="295"/>
        <v>16687.03</v>
      </c>
      <c r="P366" s="9">
        <f t="shared" si="296"/>
        <v>4707.97</v>
      </c>
      <c r="Q366" s="139">
        <f t="shared" si="297"/>
        <v>0.77994998831502682</v>
      </c>
      <c r="R366" s="335">
        <v>38900</v>
      </c>
      <c r="S366" s="359" t="s">
        <v>1948</v>
      </c>
      <c r="T366" s="305">
        <v>0.77994998831502682</v>
      </c>
      <c r="U366" s="113" t="s">
        <v>1192</v>
      </c>
      <c r="V366" s="100"/>
      <c r="W366" s="110">
        <f t="shared" si="298"/>
        <v>38900</v>
      </c>
      <c r="X366" s="110">
        <f t="shared" si="299"/>
        <v>817.97</v>
      </c>
      <c r="Y366" s="110">
        <f t="shared" si="300"/>
        <v>3890</v>
      </c>
      <c r="Z366" s="110">
        <f t="shared" si="301"/>
        <v>14742.029999999999</v>
      </c>
      <c r="AA366" s="260">
        <f t="shared" si="302"/>
        <v>0.75794498714652947</v>
      </c>
      <c r="AB366" s="28">
        <f t="shared" si="284"/>
        <v>12.8</v>
      </c>
      <c r="AC366" s="261">
        <f t="shared" si="303"/>
        <v>0.75746115644576317</v>
      </c>
      <c r="AD366" s="111">
        <f t="shared" si="286"/>
        <v>3.3</v>
      </c>
      <c r="AE366" s="262">
        <f t="shared" si="304"/>
        <v>5.9243273486596845E-2</v>
      </c>
      <c r="AF366" s="100"/>
      <c r="AG366" s="111">
        <f t="shared" si="288"/>
        <v>5.2</v>
      </c>
      <c r="AH366" s="262">
        <f t="shared" si="305"/>
        <v>0.40298130817418648</v>
      </c>
      <c r="AI366" s="100"/>
      <c r="AJ366" s="111">
        <f t="shared" si="290"/>
        <v>4.8</v>
      </c>
      <c r="AK366" s="262">
        <f t="shared" si="306"/>
        <v>0.35322975052203531</v>
      </c>
      <c r="AL366" s="100"/>
      <c r="AM366" s="111">
        <f t="shared" si="292"/>
        <v>4.4000000000000004</v>
      </c>
      <c r="AN366" s="262">
        <f t="shared" si="307"/>
        <v>0.2944324551149477</v>
      </c>
      <c r="AO366" s="100"/>
      <c r="AP366" s="24" t="e">
        <f>VLOOKUP(C366,#REF!,6,FALSE)</f>
        <v>#REF!</v>
      </c>
      <c r="AQ366" s="24" t="e">
        <f>VLOOKUP(C366,#REF!,7,FALSE)</f>
        <v>#REF!</v>
      </c>
      <c r="AR366" s="24" t="e">
        <f>VLOOKUP(C366,#REF!,12,FALSE)</f>
        <v>#REF!</v>
      </c>
      <c r="AS366" s="24" t="e">
        <f>VLOOKUP(C366,#REF!,13,FALSE)</f>
        <v>#REF!</v>
      </c>
      <c r="AT366" s="100"/>
      <c r="AU366" s="100"/>
      <c r="AV366" s="100">
        <v>354</v>
      </c>
      <c r="AW366" s="100"/>
      <c r="AY366" s="112">
        <v>38900</v>
      </c>
    </row>
    <row r="367" spans="1:51" s="2" customFormat="1" ht="12.75" customHeight="1" x14ac:dyDescent="0.2">
      <c r="A367" s="7" t="s">
        <v>1279</v>
      </c>
      <c r="B367" s="8">
        <v>9789500298322</v>
      </c>
      <c r="C367" s="8">
        <v>414107</v>
      </c>
      <c r="D367" s="25">
        <v>360</v>
      </c>
      <c r="E367" s="9" t="s">
        <v>183</v>
      </c>
      <c r="F367" s="7" t="s">
        <v>184</v>
      </c>
      <c r="G367" s="107">
        <v>38626</v>
      </c>
      <c r="H367" s="108">
        <v>38596</v>
      </c>
      <c r="I367" s="24">
        <v>4980</v>
      </c>
      <c r="J367" s="28" t="s">
        <v>1894</v>
      </c>
      <c r="K367" s="28">
        <v>5.18</v>
      </c>
      <c r="L367" s="112">
        <v>16000</v>
      </c>
      <c r="M367" s="112">
        <f>+L367*0.08</f>
        <v>1280</v>
      </c>
      <c r="N367" s="9">
        <f t="shared" ref="N367:N391" si="308">+L367/2</f>
        <v>8000</v>
      </c>
      <c r="O367" s="9">
        <f t="shared" si="295"/>
        <v>6714.82</v>
      </c>
      <c r="P367" s="9">
        <f t="shared" si="296"/>
        <v>1285.18</v>
      </c>
      <c r="Q367" s="139">
        <f t="shared" si="297"/>
        <v>0.83935249999999995</v>
      </c>
      <c r="R367" s="335">
        <v>16000</v>
      </c>
      <c r="S367" s="359" t="s">
        <v>1948</v>
      </c>
      <c r="T367" s="305">
        <v>0.83935249999999995</v>
      </c>
      <c r="U367" s="115" t="s">
        <v>1063</v>
      </c>
      <c r="V367" s="100"/>
      <c r="W367" s="110">
        <f t="shared" si="298"/>
        <v>16000</v>
      </c>
      <c r="X367" s="110">
        <f t="shared" si="299"/>
        <v>5.18</v>
      </c>
      <c r="Y367" s="110">
        <f t="shared" si="300"/>
        <v>1280</v>
      </c>
      <c r="Z367" s="110">
        <f t="shared" si="301"/>
        <v>6714.82</v>
      </c>
      <c r="AA367" s="260">
        <f t="shared" si="302"/>
        <v>0.83935249999999995</v>
      </c>
      <c r="AB367" s="28">
        <f t="shared" si="284"/>
        <v>5.3</v>
      </c>
      <c r="AC367" s="261">
        <f t="shared" si="303"/>
        <v>0.84010102706704237</v>
      </c>
      <c r="AD367" s="111">
        <f t="shared" si="286"/>
        <v>0.9</v>
      </c>
      <c r="AE367" s="262">
        <f t="shared" si="304"/>
        <v>5.8372714950360893E-2</v>
      </c>
      <c r="AF367" s="100"/>
      <c r="AG367" s="111">
        <f t="shared" si="288"/>
        <v>1.4</v>
      </c>
      <c r="AH367" s="262">
        <f t="shared" si="305"/>
        <v>0.39466817389666059</v>
      </c>
      <c r="AI367" s="100"/>
      <c r="AJ367" s="111">
        <f t="shared" si="290"/>
        <v>1.3</v>
      </c>
      <c r="AK367" s="262">
        <f t="shared" si="306"/>
        <v>0.3481041872733267</v>
      </c>
      <c r="AL367" s="100"/>
      <c r="AM367" s="111">
        <f t="shared" si="292"/>
        <v>1.2</v>
      </c>
      <c r="AN367" s="262">
        <f t="shared" si="307"/>
        <v>0.29377953621277059</v>
      </c>
      <c r="AO367" s="100"/>
      <c r="AP367" s="24" t="e">
        <f>VLOOKUP(C367,#REF!,6,FALSE)</f>
        <v>#REF!</v>
      </c>
      <c r="AQ367" s="24" t="e">
        <f>VLOOKUP(C367,#REF!,7,FALSE)</f>
        <v>#REF!</v>
      </c>
      <c r="AR367" s="24" t="e">
        <f>VLOOKUP(C367,#REF!,12,FALSE)</f>
        <v>#REF!</v>
      </c>
      <c r="AS367" s="24" t="e">
        <f>VLOOKUP(C367,#REF!,13,FALSE)</f>
        <v>#REF!</v>
      </c>
      <c r="AT367" s="100"/>
      <c r="AU367" s="100"/>
      <c r="AV367" s="100">
        <v>355</v>
      </c>
      <c r="AW367" s="100"/>
      <c r="AY367" s="112">
        <v>16000</v>
      </c>
    </row>
    <row r="368" spans="1:51" s="2" customFormat="1" ht="12.75" customHeight="1" x14ac:dyDescent="0.2">
      <c r="A368" s="7" t="s">
        <v>1280</v>
      </c>
      <c r="B368" s="8">
        <v>9789500207577</v>
      </c>
      <c r="C368" s="21">
        <v>569644</v>
      </c>
      <c r="D368" s="25">
        <v>272</v>
      </c>
      <c r="E368" s="22" t="s">
        <v>181</v>
      </c>
      <c r="F368" s="6" t="s">
        <v>182</v>
      </c>
      <c r="G368" s="107">
        <v>41548</v>
      </c>
      <c r="H368" s="108">
        <v>42522</v>
      </c>
      <c r="I368" s="24">
        <v>2019</v>
      </c>
      <c r="J368" s="28" t="s">
        <v>1762</v>
      </c>
      <c r="K368" s="28">
        <v>27.96</v>
      </c>
      <c r="L368" s="112">
        <v>23900</v>
      </c>
      <c r="M368" s="112">
        <f>+L368*0.13</f>
        <v>3107</v>
      </c>
      <c r="N368" s="9">
        <f t="shared" si="308"/>
        <v>11950</v>
      </c>
      <c r="O368" s="9">
        <f t="shared" si="295"/>
        <v>8815.0400000000009</v>
      </c>
      <c r="P368" s="9">
        <f t="shared" si="296"/>
        <v>3134.96</v>
      </c>
      <c r="Q368" s="139">
        <f t="shared" si="297"/>
        <v>0.73766025104602517</v>
      </c>
      <c r="R368" s="335">
        <v>23900</v>
      </c>
      <c r="S368" s="359" t="s">
        <v>1948</v>
      </c>
      <c r="T368" s="305">
        <v>0.73766025104602517</v>
      </c>
      <c r="U368" s="144" t="s">
        <v>1281</v>
      </c>
      <c r="V368" s="100"/>
      <c r="W368" s="110">
        <f t="shared" si="298"/>
        <v>23900</v>
      </c>
      <c r="X368" s="110">
        <f t="shared" si="299"/>
        <v>27.96</v>
      </c>
      <c r="Y368" s="110">
        <f t="shared" si="300"/>
        <v>3107</v>
      </c>
      <c r="Z368" s="110">
        <f t="shared" si="301"/>
        <v>8815.0400000000009</v>
      </c>
      <c r="AA368" s="260">
        <f t="shared" si="302"/>
        <v>0.73766025104602517</v>
      </c>
      <c r="AB368" s="28">
        <f t="shared" si="284"/>
        <v>7.9</v>
      </c>
      <c r="AC368" s="261">
        <f t="shared" si="303"/>
        <v>0.73832484025925793</v>
      </c>
      <c r="AD368" s="111">
        <f t="shared" si="286"/>
        <v>2.2000000000000002</v>
      </c>
      <c r="AE368" s="262">
        <f t="shared" si="304"/>
        <v>6.0348290021880566E-2</v>
      </c>
      <c r="AF368" s="100"/>
      <c r="AG368" s="111">
        <f t="shared" si="288"/>
        <v>3.4</v>
      </c>
      <c r="AH368" s="262">
        <f t="shared" si="305"/>
        <v>0.39199007001415792</v>
      </c>
      <c r="AI368" s="100"/>
      <c r="AJ368" s="111">
        <f t="shared" si="290"/>
        <v>3.2</v>
      </c>
      <c r="AK368" s="262">
        <f t="shared" si="306"/>
        <v>0.3539894493900429</v>
      </c>
      <c r="AL368" s="100"/>
      <c r="AM368" s="111">
        <f t="shared" si="292"/>
        <v>3</v>
      </c>
      <c r="AN368" s="262">
        <f t="shared" si="307"/>
        <v>0.31092207934937904</v>
      </c>
      <c r="AO368" s="100"/>
      <c r="AP368" s="24" t="e">
        <f>VLOOKUP(C368,#REF!,6,FALSE)</f>
        <v>#REF!</v>
      </c>
      <c r="AQ368" s="24" t="e">
        <f>VLOOKUP(C368,#REF!,7,FALSE)</f>
        <v>#REF!</v>
      </c>
      <c r="AR368" s="24" t="e">
        <f>VLOOKUP(C368,#REF!,12,FALSE)</f>
        <v>#REF!</v>
      </c>
      <c r="AS368" s="24" t="e">
        <f>VLOOKUP(C368,#REF!,13,FALSE)</f>
        <v>#REF!</v>
      </c>
      <c r="AT368" s="100">
        <v>23</v>
      </c>
      <c r="AU368" s="100"/>
      <c r="AV368" s="100">
        <v>356</v>
      </c>
      <c r="AW368" s="100"/>
      <c r="AY368" s="112">
        <v>23900</v>
      </c>
    </row>
    <row r="369" spans="1:51" s="2" customFormat="1" ht="12.75" customHeight="1" x14ac:dyDescent="0.2">
      <c r="A369" s="7" t="s">
        <v>1282</v>
      </c>
      <c r="B369" s="8">
        <v>9789500211352</v>
      </c>
      <c r="C369" s="8">
        <v>680635</v>
      </c>
      <c r="D369" s="25">
        <v>272</v>
      </c>
      <c r="E369" s="7" t="s">
        <v>519</v>
      </c>
      <c r="F369" s="7" t="s">
        <v>1283</v>
      </c>
      <c r="G369" s="107">
        <v>44166</v>
      </c>
      <c r="H369" s="108">
        <v>44136</v>
      </c>
      <c r="I369" s="7">
        <v>3066</v>
      </c>
      <c r="J369" s="28" t="s">
        <v>1762</v>
      </c>
      <c r="K369" s="9">
        <v>80.900000000000006</v>
      </c>
      <c r="L369" s="112">
        <v>23900</v>
      </c>
      <c r="M369" s="112">
        <f>+L369*0.13</f>
        <v>3107</v>
      </c>
      <c r="N369" s="9">
        <f t="shared" si="308"/>
        <v>11950</v>
      </c>
      <c r="O369" s="9">
        <f t="shared" si="295"/>
        <v>8762.1</v>
      </c>
      <c r="P369" s="9">
        <f t="shared" si="296"/>
        <v>3187.9</v>
      </c>
      <c r="Q369" s="139">
        <f t="shared" si="297"/>
        <v>0.73323012552301259</v>
      </c>
      <c r="R369" s="335">
        <v>23900</v>
      </c>
      <c r="S369" s="359" t="s">
        <v>1948</v>
      </c>
      <c r="T369" s="305">
        <v>0.73323012552301259</v>
      </c>
      <c r="U369" s="144"/>
      <c r="V369" s="100"/>
      <c r="W369" s="110">
        <f t="shared" si="298"/>
        <v>23900</v>
      </c>
      <c r="X369" s="110">
        <f t="shared" si="299"/>
        <v>80.900000000000006</v>
      </c>
      <c r="Y369" s="110">
        <f t="shared" si="300"/>
        <v>3107</v>
      </c>
      <c r="Z369" s="110">
        <f t="shared" si="301"/>
        <v>8762.1</v>
      </c>
      <c r="AA369" s="260">
        <f t="shared" si="302"/>
        <v>0.73323012552301259</v>
      </c>
      <c r="AB369" s="28">
        <f t="shared" si="284"/>
        <v>7.9</v>
      </c>
      <c r="AC369" s="261">
        <f t="shared" si="303"/>
        <v>0.73390593763955148</v>
      </c>
      <c r="AD369" s="111">
        <f t="shared" si="286"/>
        <v>2.2000000000000002</v>
      </c>
      <c r="AE369" s="262">
        <f t="shared" si="304"/>
        <v>4.4480412432934713E-2</v>
      </c>
      <c r="AF369" s="100"/>
      <c r="AG369" s="111">
        <f t="shared" si="288"/>
        <v>3.5</v>
      </c>
      <c r="AH369" s="262">
        <f t="shared" si="305"/>
        <v>0.39938768781498757</v>
      </c>
      <c r="AI369" s="100"/>
      <c r="AJ369" s="111">
        <f t="shared" si="290"/>
        <v>3.2</v>
      </c>
      <c r="AK369" s="262">
        <f t="shared" si="306"/>
        <v>0.34308028354764269</v>
      </c>
      <c r="AL369" s="100"/>
      <c r="AM369" s="111">
        <f t="shared" si="292"/>
        <v>3</v>
      </c>
      <c r="AN369" s="262">
        <f t="shared" si="307"/>
        <v>0.29928563578415218</v>
      </c>
      <c r="AO369" s="100"/>
      <c r="AP369" s="24" t="e">
        <f>VLOOKUP(C369,#REF!,6,FALSE)</f>
        <v>#REF!</v>
      </c>
      <c r="AQ369" s="24" t="e">
        <f>VLOOKUP(C369,#REF!,7,FALSE)</f>
        <v>#REF!</v>
      </c>
      <c r="AR369" s="24" t="e">
        <f>VLOOKUP(C369,#REF!,12,FALSE)</f>
        <v>#REF!</v>
      </c>
      <c r="AS369" s="24" t="e">
        <f>VLOOKUP(C369,#REF!,13,FALSE)</f>
        <v>#REF!</v>
      </c>
      <c r="AT369" s="100"/>
      <c r="AU369" s="100"/>
      <c r="AV369" s="100">
        <v>357</v>
      </c>
      <c r="AW369" s="100"/>
      <c r="AY369" s="112">
        <v>23900</v>
      </c>
    </row>
    <row r="370" spans="1:51" s="2" customFormat="1" ht="12.75" customHeight="1" x14ac:dyDescent="0.2">
      <c r="A370" s="7" t="s">
        <v>1284</v>
      </c>
      <c r="B370" s="8">
        <v>9789500206808</v>
      </c>
      <c r="C370" s="8">
        <v>553650</v>
      </c>
      <c r="D370" s="7">
        <v>304</v>
      </c>
      <c r="E370" s="7" t="s">
        <v>176</v>
      </c>
      <c r="F370" s="7" t="s">
        <v>177</v>
      </c>
      <c r="G370" s="107">
        <v>41122</v>
      </c>
      <c r="H370" s="108">
        <v>41852</v>
      </c>
      <c r="I370" s="24">
        <v>2530</v>
      </c>
      <c r="J370" s="28" t="s">
        <v>1894</v>
      </c>
      <c r="K370" s="28">
        <v>11.53</v>
      </c>
      <c r="L370" s="9">
        <v>16000</v>
      </c>
      <c r="M370" s="112">
        <f>+L370*0.14</f>
        <v>2240</v>
      </c>
      <c r="N370" s="9">
        <f t="shared" si="308"/>
        <v>8000</v>
      </c>
      <c r="O370" s="9">
        <f t="shared" si="295"/>
        <v>5748.47</v>
      </c>
      <c r="P370" s="9">
        <f t="shared" si="296"/>
        <v>2251.5300000000002</v>
      </c>
      <c r="Q370" s="139">
        <f t="shared" si="297"/>
        <v>0.71855875000000002</v>
      </c>
      <c r="R370" s="335">
        <v>16000</v>
      </c>
      <c r="S370" s="359" t="s">
        <v>1948</v>
      </c>
      <c r="T370" s="305">
        <v>0.71855875000000002</v>
      </c>
      <c r="U370" s="144"/>
      <c r="V370" s="100"/>
      <c r="W370" s="110">
        <f t="shared" si="298"/>
        <v>16000</v>
      </c>
      <c r="X370" s="110">
        <f t="shared" si="299"/>
        <v>11.53</v>
      </c>
      <c r="Y370" s="110">
        <f t="shared" si="300"/>
        <v>2240</v>
      </c>
      <c r="Z370" s="110">
        <f t="shared" si="301"/>
        <v>5748.47</v>
      </c>
      <c r="AA370" s="260">
        <f t="shared" si="302"/>
        <v>0.71855875000000002</v>
      </c>
      <c r="AB370" s="28">
        <f t="shared" si="284"/>
        <v>5.3</v>
      </c>
      <c r="AC370" s="261">
        <f t="shared" si="303"/>
        <v>0.71987010805665974</v>
      </c>
      <c r="AD370" s="111">
        <f t="shared" si="286"/>
        <v>1.6</v>
      </c>
      <c r="AE370" s="262">
        <f t="shared" si="304"/>
        <v>7.2069732937685413E-2</v>
      </c>
      <c r="AF370" s="100"/>
      <c r="AG370" s="111">
        <f t="shared" si="288"/>
        <v>2.5</v>
      </c>
      <c r="AH370" s="262">
        <f t="shared" si="305"/>
        <v>0.40612462908011865</v>
      </c>
      <c r="AI370" s="100"/>
      <c r="AJ370" s="111">
        <f t="shared" si="290"/>
        <v>2.2999999999999998</v>
      </c>
      <c r="AK370" s="262">
        <f t="shared" si="306"/>
        <v>0.35448329247838978</v>
      </c>
      <c r="AL370" s="100"/>
      <c r="AM370" s="111">
        <f t="shared" si="292"/>
        <v>2.1</v>
      </c>
      <c r="AN370" s="262">
        <f t="shared" si="307"/>
        <v>0.29300551080966508</v>
      </c>
      <c r="AO370" s="100"/>
      <c r="AP370" s="24" t="e">
        <f>VLOOKUP(C370,#REF!,6,FALSE)</f>
        <v>#REF!</v>
      </c>
      <c r="AQ370" s="24" t="e">
        <f>VLOOKUP(C370,#REF!,7,FALSE)</f>
        <v>#REF!</v>
      </c>
      <c r="AR370" s="24" t="e">
        <f>VLOOKUP(C370,#REF!,12,FALSE)</f>
        <v>#REF!</v>
      </c>
      <c r="AS370" s="24" t="e">
        <f>VLOOKUP(C370,#REF!,13,FALSE)</f>
        <v>#REF!</v>
      </c>
      <c r="AT370" s="100"/>
      <c r="AU370" s="100"/>
      <c r="AV370" s="100">
        <v>358</v>
      </c>
      <c r="AW370" s="100"/>
      <c r="AY370" s="9">
        <v>16000</v>
      </c>
    </row>
    <row r="371" spans="1:51" s="2" customFormat="1" ht="12.75" customHeight="1" x14ac:dyDescent="0.2">
      <c r="A371" s="6" t="s">
        <v>1285</v>
      </c>
      <c r="B371" s="8">
        <v>9789500208932</v>
      </c>
      <c r="C371" s="8">
        <v>592801</v>
      </c>
      <c r="D371" s="25">
        <v>192</v>
      </c>
      <c r="E371" s="22" t="s">
        <v>180</v>
      </c>
      <c r="F371" s="176" t="s">
        <v>1286</v>
      </c>
      <c r="G371" s="107">
        <v>42156</v>
      </c>
      <c r="H371" s="108">
        <v>43405</v>
      </c>
      <c r="I371" s="24">
        <v>1000</v>
      </c>
      <c r="J371" s="28" t="s">
        <v>1894</v>
      </c>
      <c r="K371" s="28">
        <v>49.72</v>
      </c>
      <c r="L371" s="112">
        <v>18400</v>
      </c>
      <c r="M371" s="112">
        <f>+L371*0.08</f>
        <v>1472</v>
      </c>
      <c r="N371" s="9">
        <f t="shared" si="308"/>
        <v>9200</v>
      </c>
      <c r="O371" s="9">
        <f t="shared" si="295"/>
        <v>7678.28</v>
      </c>
      <c r="P371" s="9">
        <f t="shared" si="296"/>
        <v>1521.72</v>
      </c>
      <c r="Q371" s="139">
        <f t="shared" si="297"/>
        <v>0.83459565217391296</v>
      </c>
      <c r="R371" s="335">
        <v>18400</v>
      </c>
      <c r="S371" s="359" t="s">
        <v>1948</v>
      </c>
      <c r="T371" s="305">
        <v>0.83459565217391296</v>
      </c>
      <c r="U371" s="144"/>
      <c r="V371" s="100"/>
      <c r="W371" s="110">
        <f t="shared" si="298"/>
        <v>18400</v>
      </c>
      <c r="X371" s="110">
        <f t="shared" si="299"/>
        <v>49.72</v>
      </c>
      <c r="Y371" s="110">
        <f t="shared" si="300"/>
        <v>1472</v>
      </c>
      <c r="Z371" s="110">
        <f t="shared" si="301"/>
        <v>7678.2800000000007</v>
      </c>
      <c r="AA371" s="260">
        <f t="shared" si="302"/>
        <v>0.83459565217391307</v>
      </c>
      <c r="AB371" s="28">
        <f t="shared" si="284"/>
        <v>6.1</v>
      </c>
      <c r="AC371" s="261">
        <f t="shared" si="303"/>
        <v>0.83550128909860399</v>
      </c>
      <c r="AD371" s="111">
        <f t="shared" si="286"/>
        <v>1.1000000000000001</v>
      </c>
      <c r="AE371" s="262">
        <f t="shared" si="304"/>
        <v>8.7779875910439745E-2</v>
      </c>
      <c r="AF371" s="100"/>
      <c r="AG371" s="111">
        <f t="shared" si="288"/>
        <v>1.7</v>
      </c>
      <c r="AH371" s="262">
        <f t="shared" si="305"/>
        <v>0.40973991970675511</v>
      </c>
      <c r="AI371" s="100"/>
      <c r="AJ371" s="111">
        <f t="shared" si="290"/>
        <v>1.5</v>
      </c>
      <c r="AK371" s="262">
        <f t="shared" si="306"/>
        <v>0.33103857566765588</v>
      </c>
      <c r="AL371" s="100"/>
      <c r="AM371" s="111">
        <f t="shared" si="292"/>
        <v>1.4</v>
      </c>
      <c r="AN371" s="262">
        <f t="shared" si="307"/>
        <v>0.28325561678677413</v>
      </c>
      <c r="AO371" s="100"/>
      <c r="AP371" s="24" t="e">
        <f>VLOOKUP(C371,#REF!,6,FALSE)</f>
        <v>#REF!</v>
      </c>
      <c r="AQ371" s="24" t="e">
        <f>VLOOKUP(C371,#REF!,7,FALSE)</f>
        <v>#REF!</v>
      </c>
      <c r="AR371" s="24" t="e">
        <f>VLOOKUP(C371,#REF!,12,FALSE)</f>
        <v>#REF!</v>
      </c>
      <c r="AS371" s="24" t="e">
        <f>VLOOKUP(C371,#REF!,13,FALSE)</f>
        <v>#REF!</v>
      </c>
      <c r="AT371" s="100"/>
      <c r="AU371" s="100"/>
      <c r="AV371" s="100">
        <v>359</v>
      </c>
      <c r="AW371" s="100"/>
      <c r="AY371" s="112">
        <v>18400</v>
      </c>
    </row>
    <row r="372" spans="1:51" s="2" customFormat="1" ht="12.75" customHeight="1" x14ac:dyDescent="0.2">
      <c r="A372" s="6" t="s">
        <v>1287</v>
      </c>
      <c r="B372" s="8">
        <v>9789500208772</v>
      </c>
      <c r="C372" s="21">
        <v>591835</v>
      </c>
      <c r="D372" s="25">
        <v>272</v>
      </c>
      <c r="E372" s="22" t="s">
        <v>1288</v>
      </c>
      <c r="F372" s="286" t="s">
        <v>190</v>
      </c>
      <c r="G372" s="107">
        <v>42125</v>
      </c>
      <c r="H372" s="108">
        <v>42522</v>
      </c>
      <c r="I372" s="24">
        <v>2028</v>
      </c>
      <c r="J372" s="28" t="s">
        <v>1946</v>
      </c>
      <c r="K372" s="28">
        <v>27.89</v>
      </c>
      <c r="L372" s="112">
        <v>22900</v>
      </c>
      <c r="M372" s="112">
        <f>+L372*0.13</f>
        <v>2977</v>
      </c>
      <c r="N372" s="9">
        <f t="shared" si="308"/>
        <v>11450</v>
      </c>
      <c r="O372" s="9">
        <f t="shared" si="295"/>
        <v>8445.11</v>
      </c>
      <c r="P372" s="9">
        <f t="shared" si="296"/>
        <v>3004.89</v>
      </c>
      <c r="Q372" s="139">
        <f t="shared" si="297"/>
        <v>0.73756419213973801</v>
      </c>
      <c r="R372" s="335">
        <v>22900</v>
      </c>
      <c r="S372" s="359" t="s">
        <v>1948</v>
      </c>
      <c r="T372" s="305">
        <v>0.73756419213973801</v>
      </c>
      <c r="U372" s="144"/>
      <c r="V372" s="100"/>
      <c r="W372" s="110">
        <f t="shared" si="298"/>
        <v>22900</v>
      </c>
      <c r="X372" s="110">
        <f t="shared" si="299"/>
        <v>27.89</v>
      </c>
      <c r="Y372" s="110">
        <f t="shared" si="300"/>
        <v>2977</v>
      </c>
      <c r="Z372" s="110">
        <f t="shared" si="301"/>
        <v>8445.11</v>
      </c>
      <c r="AA372" s="260">
        <f t="shared" si="302"/>
        <v>0.73756419213973801</v>
      </c>
      <c r="AB372" s="28">
        <f t="shared" si="284"/>
        <v>7.6</v>
      </c>
      <c r="AC372" s="261">
        <f t="shared" si="303"/>
        <v>0.73928106616690092</v>
      </c>
      <c r="AD372" s="111">
        <f t="shared" si="286"/>
        <v>2.1</v>
      </c>
      <c r="AE372" s="262">
        <f t="shared" si="304"/>
        <v>5.6445763270689155E-2</v>
      </c>
      <c r="AF372" s="100"/>
      <c r="AG372" s="111">
        <f t="shared" si="288"/>
        <v>3.3</v>
      </c>
      <c r="AH372" s="262">
        <f t="shared" si="305"/>
        <v>0.39955639480862026</v>
      </c>
      <c r="AI372" s="100"/>
      <c r="AJ372" s="111">
        <f t="shared" si="290"/>
        <v>3</v>
      </c>
      <c r="AK372" s="262">
        <f t="shared" si="306"/>
        <v>0.33951203428948229</v>
      </c>
      <c r="AL372" s="100"/>
      <c r="AM372" s="111">
        <f t="shared" si="292"/>
        <v>2.8</v>
      </c>
      <c r="AN372" s="262">
        <f t="shared" si="307"/>
        <v>0.29233432245301672</v>
      </c>
      <c r="AO372" s="100"/>
      <c r="AP372" s="24" t="e">
        <f>VLOOKUP(C372,#REF!,6,FALSE)</f>
        <v>#REF!</v>
      </c>
      <c r="AQ372" s="24" t="e">
        <f>VLOOKUP(C372,#REF!,7,FALSE)</f>
        <v>#REF!</v>
      </c>
      <c r="AR372" s="24" t="e">
        <f>VLOOKUP(C372,#REF!,12,FALSE)</f>
        <v>#REF!</v>
      </c>
      <c r="AS372" s="24" t="e">
        <f>VLOOKUP(C372,#REF!,13,FALSE)</f>
        <v>#REF!</v>
      </c>
      <c r="AT372" s="100"/>
      <c r="AU372" s="100"/>
      <c r="AV372" s="100">
        <v>360</v>
      </c>
      <c r="AW372" s="100"/>
      <c r="AY372" s="112">
        <v>22900</v>
      </c>
    </row>
    <row r="373" spans="1:51" s="2" customFormat="1" ht="12.75" customHeight="1" x14ac:dyDescent="0.2">
      <c r="A373" s="7" t="s">
        <v>1289</v>
      </c>
      <c r="B373" s="8">
        <v>9789500212144</v>
      </c>
      <c r="C373" s="8">
        <v>687544</v>
      </c>
      <c r="D373" s="25">
        <v>208</v>
      </c>
      <c r="E373" s="7" t="s">
        <v>580</v>
      </c>
      <c r="F373" s="7" t="s">
        <v>581</v>
      </c>
      <c r="G373" s="107">
        <v>44470</v>
      </c>
      <c r="H373" s="108">
        <v>45689</v>
      </c>
      <c r="I373" s="7">
        <v>2065</v>
      </c>
      <c r="J373" s="7" t="s">
        <v>1762</v>
      </c>
      <c r="K373" s="148">
        <v>2745.28</v>
      </c>
      <c r="L373" s="9">
        <v>26900</v>
      </c>
      <c r="M373" s="112">
        <f>+L373*0.1</f>
        <v>2690</v>
      </c>
      <c r="N373" s="9">
        <f t="shared" si="308"/>
        <v>13450</v>
      </c>
      <c r="O373" s="9">
        <f t="shared" si="295"/>
        <v>8014.7199999999993</v>
      </c>
      <c r="P373" s="9">
        <f t="shared" si="296"/>
        <v>5435.2800000000007</v>
      </c>
      <c r="Q373" s="139">
        <f t="shared" si="297"/>
        <v>0.59588996282527873</v>
      </c>
      <c r="R373" s="335">
        <v>26900</v>
      </c>
      <c r="S373" s="359" t="s">
        <v>1948</v>
      </c>
      <c r="T373" s="305">
        <v>0.59588996282527873</v>
      </c>
      <c r="U373" s="12"/>
      <c r="V373" s="100"/>
      <c r="W373" s="110">
        <f t="shared" si="298"/>
        <v>26900</v>
      </c>
      <c r="X373" s="110">
        <f t="shared" si="299"/>
        <v>2745.28</v>
      </c>
      <c r="Y373" s="110">
        <f t="shared" si="300"/>
        <v>2690</v>
      </c>
      <c r="Z373" s="110">
        <f t="shared" si="301"/>
        <v>8014.7199999999993</v>
      </c>
      <c r="AA373" s="260">
        <f t="shared" si="302"/>
        <v>0.59588996282527873</v>
      </c>
      <c r="AB373" s="28">
        <f t="shared" si="284"/>
        <v>8.9</v>
      </c>
      <c r="AC373" s="261">
        <f t="shared" si="303"/>
        <v>0.5972927016303804</v>
      </c>
      <c r="AD373" s="111">
        <f t="shared" si="286"/>
        <v>3.8</v>
      </c>
      <c r="AE373" s="262">
        <f t="shared" si="304"/>
        <v>5.681711697641724E-2</v>
      </c>
      <c r="AF373" s="100"/>
      <c r="AG373" s="111">
        <f t="shared" si="288"/>
        <v>6</v>
      </c>
      <c r="AH373" s="262">
        <f t="shared" si="305"/>
        <v>0.40265084075173091</v>
      </c>
      <c r="AI373" s="100"/>
      <c r="AJ373" s="111">
        <f t="shared" si="290"/>
        <v>5.5</v>
      </c>
      <c r="AK373" s="262">
        <f t="shared" si="306"/>
        <v>0.34834637172916094</v>
      </c>
      <c r="AL373" s="100"/>
      <c r="AM373" s="111">
        <f t="shared" si="292"/>
        <v>5.0999999999999996</v>
      </c>
      <c r="AN373" s="262">
        <f t="shared" si="307"/>
        <v>0.29723628323733042</v>
      </c>
      <c r="AO373" s="100"/>
      <c r="AP373" s="24" t="e">
        <f>VLOOKUP(C373,#REF!,6,FALSE)</f>
        <v>#REF!</v>
      </c>
      <c r="AQ373" s="24" t="e">
        <f>VLOOKUP(C373,#REF!,7,FALSE)</f>
        <v>#REF!</v>
      </c>
      <c r="AR373" s="24" t="e">
        <f>VLOOKUP(C373,#REF!,12,FALSE)</f>
        <v>#REF!</v>
      </c>
      <c r="AS373" s="24" t="e">
        <f>VLOOKUP(C373,#REF!,13,FALSE)</f>
        <v>#REF!</v>
      </c>
      <c r="AT373" s="100"/>
      <c r="AU373" s="100"/>
      <c r="AV373" s="100">
        <v>361</v>
      </c>
      <c r="AW373" s="100"/>
      <c r="AY373" s="9">
        <v>26900</v>
      </c>
    </row>
    <row r="374" spans="1:51" s="2" customFormat="1" ht="12.75" customHeight="1" x14ac:dyDescent="0.2">
      <c r="A374" s="6" t="s">
        <v>1290</v>
      </c>
      <c r="B374" s="8">
        <v>9789500209069</v>
      </c>
      <c r="C374" s="6">
        <v>633014</v>
      </c>
      <c r="D374" s="7">
        <v>256</v>
      </c>
      <c r="E374" s="7" t="s">
        <v>173</v>
      </c>
      <c r="F374" s="177" t="s">
        <v>174</v>
      </c>
      <c r="G374" s="107">
        <v>42948</v>
      </c>
      <c r="H374" s="108">
        <v>42948</v>
      </c>
      <c r="I374" s="24">
        <v>1534</v>
      </c>
      <c r="J374" s="28" t="s">
        <v>1894</v>
      </c>
      <c r="K374" s="28">
        <v>33.04</v>
      </c>
      <c r="L374" s="112">
        <v>17300</v>
      </c>
      <c r="M374" s="112">
        <f>+L374*0.08</f>
        <v>1384</v>
      </c>
      <c r="N374" s="9">
        <f t="shared" si="308"/>
        <v>8650</v>
      </c>
      <c r="O374" s="9">
        <f t="shared" si="295"/>
        <v>7232.96</v>
      </c>
      <c r="P374" s="9">
        <f t="shared" si="296"/>
        <v>1417.04</v>
      </c>
      <c r="Q374" s="139">
        <f t="shared" si="297"/>
        <v>0.83618034682080922</v>
      </c>
      <c r="R374" s="335">
        <v>17300</v>
      </c>
      <c r="S374" s="359" t="s">
        <v>1948</v>
      </c>
      <c r="T374" s="305">
        <v>0.83618034682080922</v>
      </c>
      <c r="U374" s="144"/>
      <c r="V374" s="100"/>
      <c r="W374" s="110">
        <f t="shared" si="298"/>
        <v>17300</v>
      </c>
      <c r="X374" s="110">
        <f t="shared" si="299"/>
        <v>33.04</v>
      </c>
      <c r="Y374" s="110">
        <f t="shared" si="300"/>
        <v>1384</v>
      </c>
      <c r="Z374" s="110">
        <f t="shared" si="301"/>
        <v>7232.9599999999991</v>
      </c>
      <c r="AA374" s="260">
        <f t="shared" si="302"/>
        <v>0.83618034682080911</v>
      </c>
      <c r="AB374" s="28">
        <f t="shared" si="284"/>
        <v>5.7</v>
      </c>
      <c r="AC374" s="261">
        <f t="shared" si="303"/>
        <v>0.83606758406071224</v>
      </c>
      <c r="AD374" s="111">
        <f t="shared" si="286"/>
        <v>1</v>
      </c>
      <c r="AE374" s="262">
        <f t="shared" si="304"/>
        <v>6.5585229146060034E-2</v>
      </c>
      <c r="AF374" s="100"/>
      <c r="AG374" s="111">
        <f t="shared" si="288"/>
        <v>1.6</v>
      </c>
      <c r="AH374" s="262">
        <f t="shared" si="305"/>
        <v>0.41599076821628755</v>
      </c>
      <c r="AI374" s="100"/>
      <c r="AJ374" s="111">
        <f t="shared" si="290"/>
        <v>1.4</v>
      </c>
      <c r="AK374" s="262">
        <f t="shared" si="306"/>
        <v>0.33256087796147143</v>
      </c>
      <c r="AL374" s="100"/>
      <c r="AM374" s="111">
        <f t="shared" si="292"/>
        <v>1.3</v>
      </c>
      <c r="AN374" s="262">
        <f t="shared" si="307"/>
        <v>0.2812194070354308</v>
      </c>
      <c r="AO374" s="100"/>
      <c r="AP374" s="24" t="e">
        <f>VLOOKUP(C374,#REF!,6,FALSE)</f>
        <v>#REF!</v>
      </c>
      <c r="AQ374" s="24" t="e">
        <f>VLOOKUP(C374,#REF!,7,FALSE)</f>
        <v>#REF!</v>
      </c>
      <c r="AR374" s="24" t="e">
        <f>VLOOKUP(C374,#REF!,12,FALSE)</f>
        <v>#REF!</v>
      </c>
      <c r="AS374" s="24" t="e">
        <f>VLOOKUP(C374,#REF!,13,FALSE)</f>
        <v>#REF!</v>
      </c>
      <c r="AT374" s="100"/>
      <c r="AU374" s="100"/>
      <c r="AV374" s="100">
        <v>362</v>
      </c>
      <c r="AW374" s="100"/>
      <c r="AY374" s="112">
        <v>17300</v>
      </c>
    </row>
    <row r="375" spans="1:51" s="2" customFormat="1" ht="12.75" customHeight="1" x14ac:dyDescent="0.2">
      <c r="A375" s="7" t="s">
        <v>1291</v>
      </c>
      <c r="B375" s="8">
        <v>9789500209809</v>
      </c>
      <c r="C375" s="6">
        <v>655250</v>
      </c>
      <c r="D375" s="7">
        <v>256</v>
      </c>
      <c r="E375" s="7" t="s">
        <v>405</v>
      </c>
      <c r="F375" s="178" t="s">
        <v>406</v>
      </c>
      <c r="G375" s="107">
        <v>43374</v>
      </c>
      <c r="H375" s="108">
        <v>43344</v>
      </c>
      <c r="I375" s="24">
        <v>3000</v>
      </c>
      <c r="J375" s="28" t="s">
        <v>1894</v>
      </c>
      <c r="K375" s="28">
        <v>49.32</v>
      </c>
      <c r="L375" s="112">
        <v>17300</v>
      </c>
      <c r="M375" s="112">
        <f>+L375*0.08</f>
        <v>1384</v>
      </c>
      <c r="N375" s="9">
        <f t="shared" si="308"/>
        <v>8650</v>
      </c>
      <c r="O375" s="9">
        <f t="shared" si="295"/>
        <v>7216.68</v>
      </c>
      <c r="P375" s="9">
        <f t="shared" si="296"/>
        <v>1433.32</v>
      </c>
      <c r="Q375" s="139">
        <f t="shared" si="297"/>
        <v>0.83429826589595379</v>
      </c>
      <c r="R375" s="335">
        <v>17300</v>
      </c>
      <c r="S375" s="359" t="s">
        <v>1948</v>
      </c>
      <c r="T375" s="305">
        <v>0.83429826589595379</v>
      </c>
      <c r="U375" s="144"/>
      <c r="V375" s="100"/>
      <c r="W375" s="110">
        <f t="shared" si="298"/>
        <v>17300</v>
      </c>
      <c r="X375" s="110">
        <f t="shared" si="299"/>
        <v>49.32</v>
      </c>
      <c r="Y375" s="110">
        <f t="shared" si="300"/>
        <v>1384</v>
      </c>
      <c r="Z375" s="110">
        <f t="shared" si="301"/>
        <v>7216.68</v>
      </c>
      <c r="AA375" s="260">
        <f t="shared" si="302"/>
        <v>0.83429826589595379</v>
      </c>
      <c r="AB375" s="28">
        <f t="shared" si="284"/>
        <v>5.7</v>
      </c>
      <c r="AC375" s="261">
        <f t="shared" si="303"/>
        <v>0.83418420763415302</v>
      </c>
      <c r="AD375" s="111">
        <f t="shared" si="286"/>
        <v>1</v>
      </c>
      <c r="AE375" s="262">
        <f t="shared" si="304"/>
        <v>5.4849983514671984E-2</v>
      </c>
      <c r="AF375" s="100"/>
      <c r="AG375" s="111">
        <f t="shared" si="288"/>
        <v>1.6</v>
      </c>
      <c r="AH375" s="262">
        <f t="shared" si="305"/>
        <v>0.40928123969666991</v>
      </c>
      <c r="AI375" s="100"/>
      <c r="AJ375" s="111">
        <f t="shared" si="290"/>
        <v>1.5</v>
      </c>
      <c r="AK375" s="262">
        <f t="shared" si="306"/>
        <v>0.36989998900978122</v>
      </c>
      <c r="AL375" s="100"/>
      <c r="AM375" s="111">
        <f t="shared" si="292"/>
        <v>1.4</v>
      </c>
      <c r="AN375" s="262">
        <f t="shared" si="307"/>
        <v>0.3248928453676227</v>
      </c>
      <c r="AO375" s="100"/>
      <c r="AP375" s="24" t="e">
        <f>VLOOKUP(C375,#REF!,6,FALSE)</f>
        <v>#REF!</v>
      </c>
      <c r="AQ375" s="24" t="e">
        <f>VLOOKUP(C375,#REF!,7,FALSE)</f>
        <v>#REF!</v>
      </c>
      <c r="AR375" s="24" t="e">
        <f>VLOOKUP(C375,#REF!,12,FALSE)</f>
        <v>#REF!</v>
      </c>
      <c r="AS375" s="24" t="e">
        <f>VLOOKUP(C375,#REF!,13,FALSE)</f>
        <v>#REF!</v>
      </c>
      <c r="AT375" s="100"/>
      <c r="AU375" s="100"/>
      <c r="AV375" s="100">
        <v>363</v>
      </c>
      <c r="AW375" s="100"/>
      <c r="AY375" s="112">
        <v>17300</v>
      </c>
    </row>
    <row r="376" spans="1:51" s="2" customFormat="1" ht="12.75" customHeight="1" x14ac:dyDescent="0.2">
      <c r="A376" s="7" t="s">
        <v>1292</v>
      </c>
      <c r="B376" s="16">
        <v>9789500207614</v>
      </c>
      <c r="C376" s="21">
        <v>569653</v>
      </c>
      <c r="D376" s="25">
        <v>256</v>
      </c>
      <c r="E376" s="7" t="s">
        <v>178</v>
      </c>
      <c r="F376" s="7" t="s">
        <v>179</v>
      </c>
      <c r="G376" s="107">
        <v>40756</v>
      </c>
      <c r="H376" s="108">
        <v>42186</v>
      </c>
      <c r="I376" s="24">
        <v>1590</v>
      </c>
      <c r="J376" s="28" t="s">
        <v>1894</v>
      </c>
      <c r="K376" s="28">
        <v>18.97</v>
      </c>
      <c r="L376" s="9">
        <v>17300</v>
      </c>
      <c r="M376" s="112">
        <f>+L376*0.1</f>
        <v>1730</v>
      </c>
      <c r="N376" s="9">
        <f t="shared" si="308"/>
        <v>8650</v>
      </c>
      <c r="O376" s="9">
        <f t="shared" si="295"/>
        <v>6901.03</v>
      </c>
      <c r="P376" s="9">
        <f t="shared" si="296"/>
        <v>1748.97</v>
      </c>
      <c r="Q376" s="139">
        <f t="shared" si="297"/>
        <v>0.79780693641618494</v>
      </c>
      <c r="R376" s="335">
        <v>17300</v>
      </c>
      <c r="S376" s="359" t="s">
        <v>1948</v>
      </c>
      <c r="T376" s="305">
        <v>0.79780693641618494</v>
      </c>
      <c r="U376" s="144"/>
      <c r="V376" s="100"/>
      <c r="W376" s="110">
        <f t="shared" si="298"/>
        <v>17300</v>
      </c>
      <c r="X376" s="110">
        <f t="shared" si="299"/>
        <v>18.97</v>
      </c>
      <c r="Y376" s="110">
        <f t="shared" si="300"/>
        <v>1730</v>
      </c>
      <c r="Z376" s="110">
        <f t="shared" si="301"/>
        <v>6901.0300000000007</v>
      </c>
      <c r="AA376" s="260">
        <f t="shared" si="302"/>
        <v>0.79780693641618505</v>
      </c>
      <c r="AB376" s="28">
        <f t="shared" si="284"/>
        <v>5.7</v>
      </c>
      <c r="AC376" s="261">
        <f t="shared" si="303"/>
        <v>0.79766775990421168</v>
      </c>
      <c r="AD376" s="111">
        <f t="shared" si="286"/>
        <v>1.2</v>
      </c>
      <c r="AE376" s="262">
        <f t="shared" si="304"/>
        <v>3.8921859545004905E-2</v>
      </c>
      <c r="AF376" s="100"/>
      <c r="AG376" s="111">
        <f t="shared" si="288"/>
        <v>1.9</v>
      </c>
      <c r="AH376" s="262">
        <f t="shared" si="305"/>
        <v>0.39300327971263477</v>
      </c>
      <c r="AI376" s="100"/>
      <c r="AJ376" s="111">
        <f t="shared" si="290"/>
        <v>1.8</v>
      </c>
      <c r="AK376" s="262">
        <f t="shared" si="306"/>
        <v>0.35928123969667008</v>
      </c>
      <c r="AL376" s="100"/>
      <c r="AM376" s="111">
        <f t="shared" si="292"/>
        <v>1.6</v>
      </c>
      <c r="AN376" s="262">
        <f t="shared" si="307"/>
        <v>0.27919139465875381</v>
      </c>
      <c r="AO376" s="100"/>
      <c r="AP376" s="24" t="e">
        <f>VLOOKUP(C376,#REF!,6,FALSE)</f>
        <v>#REF!</v>
      </c>
      <c r="AQ376" s="24" t="e">
        <f>VLOOKUP(C376,#REF!,7,FALSE)</f>
        <v>#REF!</v>
      </c>
      <c r="AR376" s="24" t="e">
        <f>VLOOKUP(C376,#REF!,12,FALSE)</f>
        <v>#REF!</v>
      </c>
      <c r="AS376" s="24" t="e">
        <f>VLOOKUP(C376,#REF!,13,FALSE)</f>
        <v>#REF!</v>
      </c>
      <c r="AT376" s="100"/>
      <c r="AU376" s="100"/>
      <c r="AV376" s="100">
        <v>364</v>
      </c>
      <c r="AW376" s="100"/>
      <c r="AY376" s="9">
        <v>17300</v>
      </c>
    </row>
    <row r="377" spans="1:51" s="2" customFormat="1" ht="12.75" customHeight="1" x14ac:dyDescent="0.2">
      <c r="A377" s="7" t="s">
        <v>1293</v>
      </c>
      <c r="B377" s="8">
        <v>9789500212281</v>
      </c>
      <c r="C377" s="8">
        <v>689372</v>
      </c>
      <c r="D377" s="25">
        <v>304</v>
      </c>
      <c r="E377" s="7" t="s">
        <v>624</v>
      </c>
      <c r="F377" s="7" t="s">
        <v>843</v>
      </c>
      <c r="G377" s="107">
        <v>44531</v>
      </c>
      <c r="H377" s="108">
        <v>45717</v>
      </c>
      <c r="I377" s="293">
        <v>2035</v>
      </c>
      <c r="J377" s="8" t="s">
        <v>2136</v>
      </c>
      <c r="K377" s="9">
        <v>3494.1</v>
      </c>
      <c r="L377" s="295">
        <v>27900</v>
      </c>
      <c r="M377" s="112">
        <f>+L377*0.08</f>
        <v>2232</v>
      </c>
      <c r="N377" s="9">
        <f t="shared" si="308"/>
        <v>13950</v>
      </c>
      <c r="O377" s="9">
        <f t="shared" si="295"/>
        <v>8223.9</v>
      </c>
      <c r="P377" s="9">
        <f t="shared" si="296"/>
        <v>5726.1</v>
      </c>
      <c r="Q377" s="139">
        <f t="shared" si="297"/>
        <v>0.58952688172043011</v>
      </c>
      <c r="R377" s="335">
        <v>27900</v>
      </c>
      <c r="S377" s="359" t="s">
        <v>1948</v>
      </c>
      <c r="T377" s="305">
        <v>0.58952688172043011</v>
      </c>
      <c r="U377" s="144"/>
      <c r="V377" s="100"/>
      <c r="W377" s="110">
        <f t="shared" si="298"/>
        <v>27900</v>
      </c>
      <c r="X377" s="110">
        <f t="shared" si="299"/>
        <v>3494.1</v>
      </c>
      <c r="Y377" s="110">
        <f t="shared" si="300"/>
        <v>2232</v>
      </c>
      <c r="Z377" s="110">
        <f t="shared" si="301"/>
        <v>8223.9</v>
      </c>
      <c r="AA377" s="260">
        <f t="shared" si="302"/>
        <v>0.58952688172043011</v>
      </c>
      <c r="AB377" s="28">
        <f t="shared" si="284"/>
        <v>9.1999999999999993</v>
      </c>
      <c r="AC377" s="261">
        <f t="shared" si="303"/>
        <v>0.58957983916053835</v>
      </c>
      <c r="AD377" s="111">
        <f t="shared" si="286"/>
        <v>4</v>
      </c>
      <c r="AE377" s="262">
        <f t="shared" si="304"/>
        <v>5.6033630069238394E-2</v>
      </c>
      <c r="AF377" s="100"/>
      <c r="AG377" s="111">
        <f t="shared" si="288"/>
        <v>6.3</v>
      </c>
      <c r="AH377" s="262">
        <f t="shared" si="305"/>
        <v>0.40065627305983381</v>
      </c>
      <c r="AI377" s="100"/>
      <c r="AJ377" s="111">
        <f t="shared" si="290"/>
        <v>5.8</v>
      </c>
      <c r="AK377" s="262">
        <f t="shared" si="306"/>
        <v>0.34898871039257806</v>
      </c>
      <c r="AL377" s="100"/>
      <c r="AM377" s="111">
        <f t="shared" si="292"/>
        <v>5.4</v>
      </c>
      <c r="AN377" s="262">
        <f t="shared" si="307"/>
        <v>0.30076565190313953</v>
      </c>
      <c r="AO377" s="100"/>
      <c r="AP377" s="24" t="e">
        <f>VLOOKUP(C377,#REF!,6,FALSE)</f>
        <v>#REF!</v>
      </c>
      <c r="AQ377" s="24" t="e">
        <f>VLOOKUP(C377,#REF!,7,FALSE)</f>
        <v>#REF!</v>
      </c>
      <c r="AR377" s="24" t="e">
        <f>VLOOKUP(C377,#REF!,12,FALSE)</f>
        <v>#REF!</v>
      </c>
      <c r="AS377" s="24" t="e">
        <f>VLOOKUP(C377,#REF!,13,FALSE)</f>
        <v>#REF!</v>
      </c>
      <c r="AT377" s="100"/>
      <c r="AU377" s="100"/>
      <c r="AV377" s="100">
        <v>365</v>
      </c>
      <c r="AW377" s="100"/>
      <c r="AY377" s="295">
        <v>27900</v>
      </c>
    </row>
    <row r="378" spans="1:51" s="2" customFormat="1" ht="12.75" customHeight="1" x14ac:dyDescent="0.2">
      <c r="A378" s="6" t="s">
        <v>2293</v>
      </c>
      <c r="B378" s="282">
        <v>9789500217514</v>
      </c>
      <c r="C378" s="6">
        <v>743062</v>
      </c>
      <c r="D378" s="41">
        <v>272</v>
      </c>
      <c r="E378" s="6" t="s">
        <v>686</v>
      </c>
      <c r="F378" s="6" t="s">
        <v>2294</v>
      </c>
      <c r="G378" s="107">
        <v>46113</v>
      </c>
      <c r="H378" s="108">
        <v>46082</v>
      </c>
      <c r="I378" s="267">
        <v>5966</v>
      </c>
      <c r="J378" s="6" t="s">
        <v>1333</v>
      </c>
      <c r="K378" s="148">
        <v>2334.0700000000002</v>
      </c>
      <c r="L378" s="9">
        <v>35900</v>
      </c>
      <c r="M378" s="112">
        <f>+L378*0.08</f>
        <v>2872</v>
      </c>
      <c r="N378" s="9">
        <f t="shared" si="308"/>
        <v>17950</v>
      </c>
      <c r="O378" s="9">
        <f t="shared" si="295"/>
        <v>12743.93</v>
      </c>
      <c r="P378" s="9">
        <f t="shared" si="296"/>
        <v>5206.07</v>
      </c>
      <c r="Q378" s="139">
        <f t="shared" si="297"/>
        <v>0.70996824512534817</v>
      </c>
      <c r="R378" s="335">
        <v>35900</v>
      </c>
      <c r="S378" s="359" t="s">
        <v>1948</v>
      </c>
      <c r="T378" s="305">
        <v>0.70996824512534817</v>
      </c>
      <c r="U378" s="12"/>
      <c r="V378" s="100"/>
      <c r="W378" s="110">
        <f t="shared" si="298"/>
        <v>35900</v>
      </c>
      <c r="X378" s="110">
        <f t="shared" si="299"/>
        <v>2334.0700000000002</v>
      </c>
      <c r="Y378" s="110">
        <f t="shared" si="300"/>
        <v>2872</v>
      </c>
      <c r="Z378" s="110">
        <f t="shared" si="301"/>
        <v>12743.93</v>
      </c>
      <c r="AA378" s="260">
        <f t="shared" si="302"/>
        <v>0.70996824512534817</v>
      </c>
      <c r="AB378" s="28">
        <f t="shared" si="284"/>
        <v>11.8</v>
      </c>
      <c r="AC378" s="261">
        <f t="shared" si="303"/>
        <v>0.70907195985403504</v>
      </c>
      <c r="AD378" s="111">
        <f t="shared" si="286"/>
        <v>3.6</v>
      </c>
      <c r="AE378" s="262">
        <f t="shared" si="304"/>
        <v>4.6402535077114768E-2</v>
      </c>
      <c r="AF378" s="100"/>
      <c r="AG378" s="111">
        <f t="shared" si="288"/>
        <v>5.7</v>
      </c>
      <c r="AH378" s="262">
        <f t="shared" si="305"/>
        <v>0.39772791689080939</v>
      </c>
      <c r="AI378" s="100"/>
      <c r="AJ378" s="111">
        <f t="shared" si="290"/>
        <v>5.3</v>
      </c>
      <c r="AK378" s="262">
        <f t="shared" si="306"/>
        <v>0.35227342005237972</v>
      </c>
      <c r="AL378" s="100"/>
      <c r="AM378" s="111">
        <f t="shared" si="292"/>
        <v>4.9000000000000004</v>
      </c>
      <c r="AN378" s="262">
        <f t="shared" si="307"/>
        <v>0.2993977808729823</v>
      </c>
      <c r="AO378" s="100"/>
      <c r="AP378" s="24" t="e">
        <f>VLOOKUP(C378,#REF!,6,FALSE)</f>
        <v>#REF!</v>
      </c>
      <c r="AQ378" s="24" t="e">
        <f>VLOOKUP(C378,#REF!,7,FALSE)</f>
        <v>#REF!</v>
      </c>
      <c r="AR378" s="24" t="e">
        <f>VLOOKUP(C378,#REF!,12,FALSE)</f>
        <v>#REF!</v>
      </c>
      <c r="AS378" s="24" t="e">
        <f>VLOOKUP(C378,#REF!,13,FALSE)</f>
        <v>#REF!</v>
      </c>
      <c r="AT378" s="100"/>
      <c r="AU378" s="100"/>
      <c r="AV378" s="100">
        <v>366</v>
      </c>
      <c r="AW378" s="100"/>
      <c r="AY378" s="9">
        <v>35900</v>
      </c>
    </row>
    <row r="379" spans="1:51" s="2" customFormat="1" ht="12.75" customHeight="1" x14ac:dyDescent="0.2">
      <c r="A379" s="7" t="s">
        <v>1294</v>
      </c>
      <c r="B379" s="8">
        <v>9789500212687</v>
      </c>
      <c r="C379" s="8">
        <v>693797</v>
      </c>
      <c r="D379" s="25">
        <v>304</v>
      </c>
      <c r="E379" s="7" t="s">
        <v>686</v>
      </c>
      <c r="F379" s="7" t="s">
        <v>687</v>
      </c>
      <c r="G379" s="107">
        <v>44682</v>
      </c>
      <c r="H379" s="108">
        <v>44986</v>
      </c>
      <c r="I379" s="7">
        <v>4090</v>
      </c>
      <c r="J379" s="28" t="s">
        <v>2136</v>
      </c>
      <c r="K379" s="9">
        <v>744.99</v>
      </c>
      <c r="L379" s="9">
        <v>34500</v>
      </c>
      <c r="M379" s="112">
        <f>+L379*0.08</f>
        <v>2760</v>
      </c>
      <c r="N379" s="9">
        <f t="shared" si="308"/>
        <v>17250</v>
      </c>
      <c r="O379" s="9">
        <f t="shared" si="295"/>
        <v>13745.01</v>
      </c>
      <c r="P379" s="9">
        <f t="shared" si="296"/>
        <v>3504.99</v>
      </c>
      <c r="Q379" s="139">
        <f t="shared" si="297"/>
        <v>0.79681217391304349</v>
      </c>
      <c r="R379" s="335">
        <v>34500</v>
      </c>
      <c r="S379" s="359" t="s">
        <v>1948</v>
      </c>
      <c r="T379" s="305">
        <v>0.79681217391304349</v>
      </c>
      <c r="U379" s="12"/>
      <c r="V379" s="100"/>
      <c r="W379" s="110">
        <f t="shared" si="298"/>
        <v>34500</v>
      </c>
      <c r="X379" s="110">
        <f t="shared" si="299"/>
        <v>744.99</v>
      </c>
      <c r="Y379" s="110">
        <f t="shared" si="300"/>
        <v>2760</v>
      </c>
      <c r="Z379" s="110">
        <f t="shared" si="301"/>
        <v>13745.009999999998</v>
      </c>
      <c r="AA379" s="260">
        <f t="shared" si="302"/>
        <v>0.79681217391304338</v>
      </c>
      <c r="AB379" s="28">
        <f t="shared" si="284"/>
        <v>11.4</v>
      </c>
      <c r="AC379" s="261">
        <f t="shared" si="303"/>
        <v>0.79725996494698659</v>
      </c>
      <c r="AD379" s="111">
        <f t="shared" si="286"/>
        <v>2.4</v>
      </c>
      <c r="AE379" s="262">
        <f t="shared" si="304"/>
        <v>3.6984833498186521E-2</v>
      </c>
      <c r="AF379" s="100"/>
      <c r="AG379" s="111">
        <f t="shared" si="288"/>
        <v>3.9</v>
      </c>
      <c r="AH379" s="262">
        <f t="shared" si="305"/>
        <v>0.40737528215273022</v>
      </c>
      <c r="AI379" s="100"/>
      <c r="AJ379" s="111">
        <f t="shared" si="290"/>
        <v>3.6</v>
      </c>
      <c r="AK379" s="262">
        <f t="shared" si="306"/>
        <v>0.35798988899879119</v>
      </c>
      <c r="AL379" s="100"/>
      <c r="AM379" s="111">
        <f t="shared" si="292"/>
        <v>3.3</v>
      </c>
      <c r="AN379" s="262">
        <f t="shared" si="307"/>
        <v>0.29962533345322667</v>
      </c>
      <c r="AO379" s="100"/>
      <c r="AP379" s="24" t="e">
        <f>VLOOKUP(C379,#REF!,6,FALSE)</f>
        <v>#REF!</v>
      </c>
      <c r="AQ379" s="24" t="e">
        <f>VLOOKUP(C379,#REF!,7,FALSE)</f>
        <v>#REF!</v>
      </c>
      <c r="AR379" s="24" t="e">
        <f>VLOOKUP(C379,#REF!,12,FALSE)</f>
        <v>#REF!</v>
      </c>
      <c r="AS379" s="24" t="e">
        <f>VLOOKUP(C379,#REF!,13,FALSE)</f>
        <v>#REF!</v>
      </c>
      <c r="AT379" s="100"/>
      <c r="AU379" s="100"/>
      <c r="AV379" s="100">
        <v>367</v>
      </c>
      <c r="AW379" s="100"/>
      <c r="AY379" s="9">
        <v>34500</v>
      </c>
    </row>
    <row r="380" spans="1:51" s="2" customFormat="1" ht="12.75" customHeight="1" x14ac:dyDescent="0.2">
      <c r="A380" s="6" t="s">
        <v>1295</v>
      </c>
      <c r="B380" s="8">
        <v>9789500213653</v>
      </c>
      <c r="C380" s="8">
        <v>705123</v>
      </c>
      <c r="D380" s="41">
        <v>272</v>
      </c>
      <c r="E380" s="7" t="s">
        <v>686</v>
      </c>
      <c r="F380" s="7" t="s">
        <v>786</v>
      </c>
      <c r="G380" s="107">
        <v>45047</v>
      </c>
      <c r="H380" s="108">
        <v>45931</v>
      </c>
      <c r="I380" s="7">
        <v>2013</v>
      </c>
      <c r="J380" s="25" t="s">
        <v>1946</v>
      </c>
      <c r="K380" s="9">
        <v>2365.04</v>
      </c>
      <c r="L380" s="9">
        <v>34500</v>
      </c>
      <c r="M380" s="112">
        <f>+L380*0.08</f>
        <v>2760</v>
      </c>
      <c r="N380" s="9">
        <f t="shared" si="308"/>
        <v>17250</v>
      </c>
      <c r="O380" s="9">
        <f t="shared" si="295"/>
        <v>12124.96</v>
      </c>
      <c r="P380" s="9">
        <f t="shared" si="296"/>
        <v>5125.04</v>
      </c>
      <c r="Q380" s="139">
        <f t="shared" si="297"/>
        <v>0.70289623188405792</v>
      </c>
      <c r="R380" s="335">
        <v>34500</v>
      </c>
      <c r="S380" s="359" t="s">
        <v>1948</v>
      </c>
      <c r="T380" s="305">
        <v>0.70289623188405792</v>
      </c>
      <c r="U380" s="144"/>
      <c r="V380" s="100"/>
      <c r="W380" s="110">
        <f t="shared" si="298"/>
        <v>34500</v>
      </c>
      <c r="X380" s="110">
        <f t="shared" si="299"/>
        <v>2365.04</v>
      </c>
      <c r="Y380" s="110">
        <f t="shared" si="300"/>
        <v>2760</v>
      </c>
      <c r="Z380" s="110">
        <f t="shared" si="301"/>
        <v>12124.96</v>
      </c>
      <c r="AA380" s="260">
        <f t="shared" si="302"/>
        <v>0.70289623188405792</v>
      </c>
      <c r="AB380" s="28">
        <f t="shared" si="284"/>
        <v>11.4</v>
      </c>
      <c r="AC380" s="261">
        <f t="shared" si="303"/>
        <v>0.7035509975069556</v>
      </c>
      <c r="AD380" s="111">
        <f t="shared" si="286"/>
        <v>3.6</v>
      </c>
      <c r="AE380" s="262">
        <f t="shared" si="304"/>
        <v>6.1244825438692994E-2</v>
      </c>
      <c r="AF380" s="100"/>
      <c r="AG380" s="111">
        <f t="shared" si="288"/>
        <v>5.6</v>
      </c>
      <c r="AH380" s="262">
        <f t="shared" si="305"/>
        <v>0.3965145306391597</v>
      </c>
      <c r="AI380" s="100"/>
      <c r="AJ380" s="111">
        <f t="shared" si="290"/>
        <v>5.2</v>
      </c>
      <c r="AK380" s="262">
        <f t="shared" si="306"/>
        <v>0.35009257145755662</v>
      </c>
      <c r="AL380" s="100"/>
      <c r="AM380" s="111">
        <f t="shared" si="292"/>
        <v>4.8</v>
      </c>
      <c r="AN380" s="262">
        <f t="shared" si="307"/>
        <v>0.29593361907901966</v>
      </c>
      <c r="AO380" s="100"/>
      <c r="AP380" s="24" t="e">
        <f>VLOOKUP(C380,#REF!,6,FALSE)</f>
        <v>#REF!</v>
      </c>
      <c r="AQ380" s="24" t="e">
        <f>VLOOKUP(C380,#REF!,7,FALSE)</f>
        <v>#REF!</v>
      </c>
      <c r="AR380" s="24" t="e">
        <f>VLOOKUP(C380,#REF!,12,FALSE)</f>
        <v>#REF!</v>
      </c>
      <c r="AS380" s="24" t="e">
        <f>VLOOKUP(C380,#REF!,13,FALSE)</f>
        <v>#REF!</v>
      </c>
      <c r="AT380" s="100"/>
      <c r="AU380" s="100"/>
      <c r="AV380" s="100">
        <v>368</v>
      </c>
      <c r="AW380" s="100"/>
      <c r="AY380" s="9">
        <v>34500</v>
      </c>
    </row>
    <row r="381" spans="1:51" s="2" customFormat="1" ht="12.75" customHeight="1" x14ac:dyDescent="0.2">
      <c r="A381" s="6" t="s">
        <v>1296</v>
      </c>
      <c r="B381" s="8">
        <v>9789500213646</v>
      </c>
      <c r="C381" s="6">
        <v>705124</v>
      </c>
      <c r="D381" s="41">
        <v>240</v>
      </c>
      <c r="E381" s="7" t="s">
        <v>686</v>
      </c>
      <c r="F381" s="7" t="s">
        <v>787</v>
      </c>
      <c r="G381" s="107">
        <v>45047</v>
      </c>
      <c r="H381" s="108">
        <v>45017</v>
      </c>
      <c r="I381" s="7">
        <v>3015</v>
      </c>
      <c r="J381" s="28" t="s">
        <v>1762</v>
      </c>
      <c r="K381" s="148">
        <v>2942.17</v>
      </c>
      <c r="L381" s="9">
        <v>39900</v>
      </c>
      <c r="M381" s="112">
        <f>+L381*0.08</f>
        <v>3192</v>
      </c>
      <c r="N381" s="9">
        <f t="shared" si="308"/>
        <v>19950</v>
      </c>
      <c r="O381" s="9">
        <f t="shared" si="295"/>
        <v>13815.83</v>
      </c>
      <c r="P381" s="9">
        <f t="shared" si="296"/>
        <v>6134.17</v>
      </c>
      <c r="Q381" s="139">
        <f t="shared" si="297"/>
        <v>0.69252280701754387</v>
      </c>
      <c r="R381" s="335">
        <v>39900</v>
      </c>
      <c r="S381" s="359" t="s">
        <v>1948</v>
      </c>
      <c r="T381" s="305">
        <v>0.69252280701754387</v>
      </c>
      <c r="U381" s="144"/>
      <c r="V381" s="100"/>
      <c r="W381" s="110">
        <f t="shared" si="298"/>
        <v>39900</v>
      </c>
      <c r="X381" s="110">
        <f t="shared" si="299"/>
        <v>2942.17</v>
      </c>
      <c r="Y381" s="110">
        <f t="shared" si="300"/>
        <v>3192</v>
      </c>
      <c r="Z381" s="110">
        <f t="shared" si="301"/>
        <v>13815.830000000002</v>
      </c>
      <c r="AA381" s="260">
        <f t="shared" si="302"/>
        <v>0.69252280701754398</v>
      </c>
      <c r="AB381" s="28">
        <f t="shared" si="284"/>
        <v>13.2</v>
      </c>
      <c r="AC381" s="261">
        <f t="shared" si="303"/>
        <v>0.69356422783722471</v>
      </c>
      <c r="AD381" s="111">
        <f t="shared" si="286"/>
        <v>4.3</v>
      </c>
      <c r="AE381" s="262">
        <f t="shared" si="304"/>
        <v>5.9313443593341425E-2</v>
      </c>
      <c r="AF381" s="100"/>
      <c r="AG381" s="111">
        <f t="shared" si="288"/>
        <v>6.7</v>
      </c>
      <c r="AH381" s="262">
        <f t="shared" si="305"/>
        <v>0.39627579215692071</v>
      </c>
      <c r="AI381" s="100"/>
      <c r="AJ381" s="111">
        <f t="shared" si="290"/>
        <v>6.2</v>
      </c>
      <c r="AK381" s="262">
        <f t="shared" si="306"/>
        <v>0.34758835604054333</v>
      </c>
      <c r="AL381" s="100"/>
      <c r="AM381" s="111">
        <f t="shared" si="292"/>
        <v>5.8</v>
      </c>
      <c r="AN381" s="262">
        <f t="shared" si="307"/>
        <v>0.30259444956058063</v>
      </c>
      <c r="AO381" s="100"/>
      <c r="AP381" s="24" t="e">
        <f>VLOOKUP(C381,#REF!,6,FALSE)</f>
        <v>#REF!</v>
      </c>
      <c r="AQ381" s="24" t="e">
        <f>VLOOKUP(C381,#REF!,7,FALSE)</f>
        <v>#REF!</v>
      </c>
      <c r="AR381" s="24" t="e">
        <f>VLOOKUP(C381,#REF!,12,FALSE)</f>
        <v>#REF!</v>
      </c>
      <c r="AS381" s="24" t="e">
        <f>VLOOKUP(C381,#REF!,13,FALSE)</f>
        <v>#REF!</v>
      </c>
      <c r="AT381" s="100"/>
      <c r="AU381" s="100"/>
      <c r="AV381" s="100">
        <v>369</v>
      </c>
      <c r="AW381" s="100"/>
      <c r="AY381" s="9">
        <v>39900</v>
      </c>
    </row>
    <row r="382" spans="1:51" s="2" customFormat="1" ht="12.75" customHeight="1" x14ac:dyDescent="0.2">
      <c r="A382" s="7" t="s">
        <v>1297</v>
      </c>
      <c r="B382" s="8">
        <v>9789500206693</v>
      </c>
      <c r="C382" s="8">
        <v>549273</v>
      </c>
      <c r="D382" s="7">
        <v>192</v>
      </c>
      <c r="E382" s="7" t="s">
        <v>175</v>
      </c>
      <c r="F382" s="7" t="s">
        <v>1298</v>
      </c>
      <c r="G382" s="107">
        <v>41030</v>
      </c>
      <c r="H382" s="108">
        <v>41030</v>
      </c>
      <c r="I382" s="24">
        <v>2996</v>
      </c>
      <c r="J382" s="28" t="s">
        <v>1894</v>
      </c>
      <c r="K382" s="28">
        <v>10.6</v>
      </c>
      <c r="L382" s="112">
        <v>10500</v>
      </c>
      <c r="M382" s="112">
        <f>+L382*0.1</f>
        <v>1050</v>
      </c>
      <c r="N382" s="9">
        <f t="shared" si="308"/>
        <v>5250</v>
      </c>
      <c r="O382" s="9">
        <f t="shared" si="295"/>
        <v>4189.3999999999996</v>
      </c>
      <c r="P382" s="9">
        <f t="shared" si="296"/>
        <v>1060.5999999999999</v>
      </c>
      <c r="Q382" s="139">
        <f t="shared" si="297"/>
        <v>0.79798095238095235</v>
      </c>
      <c r="R382" s="335">
        <v>10500</v>
      </c>
      <c r="S382" s="359" t="s">
        <v>1948</v>
      </c>
      <c r="T382" s="305">
        <v>0.79798095238095235</v>
      </c>
      <c r="U382" s="115" t="s">
        <v>1063</v>
      </c>
      <c r="V382" s="100"/>
      <c r="W382" s="110">
        <f t="shared" si="298"/>
        <v>10500</v>
      </c>
      <c r="X382" s="110">
        <f t="shared" si="299"/>
        <v>10.6</v>
      </c>
      <c r="Y382" s="110">
        <f t="shared" si="300"/>
        <v>1050</v>
      </c>
      <c r="Z382" s="110">
        <f t="shared" si="301"/>
        <v>4189.3999999999996</v>
      </c>
      <c r="AA382" s="260">
        <f t="shared" si="302"/>
        <v>0.79798095238095235</v>
      </c>
      <c r="AB382" s="28">
        <f t="shared" si="284"/>
        <v>3.5</v>
      </c>
      <c r="AC382" s="261">
        <f t="shared" si="303"/>
        <v>0.80017898356177286</v>
      </c>
      <c r="AD382" s="111">
        <f t="shared" si="286"/>
        <v>0.7</v>
      </c>
      <c r="AE382" s="262">
        <f t="shared" si="304"/>
        <v>8.9491780886443925E-4</v>
      </c>
      <c r="AF382" s="100"/>
      <c r="AG382" s="111">
        <f t="shared" si="288"/>
        <v>1.2</v>
      </c>
      <c r="AH382" s="262">
        <f t="shared" si="305"/>
        <v>0.41718870205517095</v>
      </c>
      <c r="AI382" s="100"/>
      <c r="AJ382" s="111">
        <f t="shared" si="290"/>
        <v>1.1000000000000001</v>
      </c>
      <c r="AK382" s="262">
        <f t="shared" si="306"/>
        <v>0.36420585678745926</v>
      </c>
      <c r="AL382" s="100"/>
      <c r="AM382" s="111">
        <f t="shared" si="292"/>
        <v>1</v>
      </c>
      <c r="AN382" s="262">
        <f t="shared" si="307"/>
        <v>0.30062644246620512</v>
      </c>
      <c r="AO382" s="100"/>
      <c r="AP382" s="24" t="e">
        <f>VLOOKUP(C382,#REF!,6,FALSE)</f>
        <v>#REF!</v>
      </c>
      <c r="AQ382" s="24" t="e">
        <f>VLOOKUP(C382,#REF!,7,FALSE)</f>
        <v>#REF!</v>
      </c>
      <c r="AR382" s="24" t="e">
        <f>VLOOKUP(C382,#REF!,12,FALSE)</f>
        <v>#REF!</v>
      </c>
      <c r="AS382" s="24" t="e">
        <f>VLOOKUP(C382,#REF!,13,FALSE)</f>
        <v>#REF!</v>
      </c>
      <c r="AT382" s="100">
        <v>24</v>
      </c>
      <c r="AU382" s="100"/>
      <c r="AV382" s="100">
        <v>370</v>
      </c>
      <c r="AW382" s="100"/>
      <c r="AY382" s="112">
        <v>10500</v>
      </c>
    </row>
    <row r="383" spans="1:51" s="2" customFormat="1" ht="12.75" customHeight="1" x14ac:dyDescent="0.2">
      <c r="A383" s="6" t="s">
        <v>1299</v>
      </c>
      <c r="B383" s="8">
        <v>9789500211864</v>
      </c>
      <c r="C383" s="8">
        <v>684659</v>
      </c>
      <c r="D383" s="7">
        <v>408</v>
      </c>
      <c r="E383" s="30" t="s">
        <v>552</v>
      </c>
      <c r="F383" s="7" t="s">
        <v>553</v>
      </c>
      <c r="G383" s="107">
        <v>44378</v>
      </c>
      <c r="H383" s="108">
        <v>44348</v>
      </c>
      <c r="I383" s="7">
        <v>3075</v>
      </c>
      <c r="J383" s="28" t="s">
        <v>2136</v>
      </c>
      <c r="K383" s="117">
        <v>175.49</v>
      </c>
      <c r="L383" s="112">
        <v>33900</v>
      </c>
      <c r="M383" s="112">
        <f>+L383*0.1</f>
        <v>3390</v>
      </c>
      <c r="N383" s="9">
        <f t="shared" si="308"/>
        <v>16950</v>
      </c>
      <c r="O383" s="9">
        <f t="shared" si="295"/>
        <v>13384.51</v>
      </c>
      <c r="P383" s="9">
        <f t="shared" si="296"/>
        <v>3565.49</v>
      </c>
      <c r="Q383" s="139">
        <f t="shared" si="297"/>
        <v>0.78964660766961658</v>
      </c>
      <c r="R383" s="335">
        <v>33900</v>
      </c>
      <c r="S383" s="359" t="s">
        <v>1948</v>
      </c>
      <c r="T383" s="305">
        <v>0.78964660766961658</v>
      </c>
      <c r="U383" s="144"/>
      <c r="V383" s="100"/>
      <c r="W383" s="110">
        <f t="shared" si="298"/>
        <v>33900</v>
      </c>
      <c r="X383" s="110">
        <f t="shared" si="299"/>
        <v>175.49</v>
      </c>
      <c r="Y383" s="110">
        <f t="shared" si="300"/>
        <v>3390</v>
      </c>
      <c r="Z383" s="110">
        <f t="shared" si="301"/>
        <v>13384.509999999998</v>
      </c>
      <c r="AA383" s="260">
        <f t="shared" si="302"/>
        <v>0.78964660766961647</v>
      </c>
      <c r="AB383" s="28">
        <f t="shared" si="284"/>
        <v>11.2</v>
      </c>
      <c r="AC383" s="261">
        <f t="shared" si="303"/>
        <v>0.79007759879421591</v>
      </c>
      <c r="AD383" s="111">
        <f t="shared" si="286"/>
        <v>2.5</v>
      </c>
      <c r="AE383" s="262">
        <f t="shared" si="304"/>
        <v>5.9547642598087758E-2</v>
      </c>
      <c r="AF383" s="100"/>
      <c r="AG383" s="111">
        <f t="shared" si="288"/>
        <v>3.9</v>
      </c>
      <c r="AH383" s="262">
        <f t="shared" si="305"/>
        <v>0.39714592474236388</v>
      </c>
      <c r="AI383" s="100"/>
      <c r="AJ383" s="111">
        <f t="shared" si="290"/>
        <v>3.6</v>
      </c>
      <c r="AK383" s="262">
        <f t="shared" si="306"/>
        <v>0.346908085137561</v>
      </c>
      <c r="AL383" s="100"/>
      <c r="AM383" s="111">
        <f t="shared" si="292"/>
        <v>3.4</v>
      </c>
      <c r="AN383" s="262">
        <f t="shared" si="307"/>
        <v>0.30849091367506448</v>
      </c>
      <c r="AO383" s="100"/>
      <c r="AP383" s="24" t="e">
        <f>VLOOKUP(C383,#REF!,6,FALSE)</f>
        <v>#REF!</v>
      </c>
      <c r="AQ383" s="24" t="e">
        <f>VLOOKUP(C383,#REF!,7,FALSE)</f>
        <v>#REF!</v>
      </c>
      <c r="AR383" s="24" t="e">
        <f>VLOOKUP(C383,#REF!,12,FALSE)</f>
        <v>#REF!</v>
      </c>
      <c r="AS383" s="24" t="e">
        <f>VLOOKUP(C383,#REF!,13,FALSE)</f>
        <v>#REF!</v>
      </c>
      <c r="AT383" s="100"/>
      <c r="AU383" s="100"/>
      <c r="AV383" s="100">
        <v>371</v>
      </c>
      <c r="AW383" s="100"/>
      <c r="AY383" s="112">
        <v>33900</v>
      </c>
    </row>
    <row r="384" spans="1:51" s="2" customFormat="1" ht="12.75" customHeight="1" x14ac:dyDescent="0.2">
      <c r="A384" s="7" t="s">
        <v>1300</v>
      </c>
      <c r="B384" s="8">
        <v>9789500212151</v>
      </c>
      <c r="C384" s="8">
        <v>687542</v>
      </c>
      <c r="D384" s="7">
        <v>392</v>
      </c>
      <c r="E384" s="30" t="s">
        <v>505</v>
      </c>
      <c r="F384" s="7" t="s">
        <v>579</v>
      </c>
      <c r="G384" s="107">
        <v>44470</v>
      </c>
      <c r="H384" s="108">
        <v>44440</v>
      </c>
      <c r="I384" s="7">
        <v>14910</v>
      </c>
      <c r="J384" s="28" t="s">
        <v>1333</v>
      </c>
      <c r="K384" s="117">
        <v>197.78</v>
      </c>
      <c r="L384" s="9">
        <v>28900</v>
      </c>
      <c r="M384" s="112">
        <f>+L384*0.12</f>
        <v>3468</v>
      </c>
      <c r="N384" s="9">
        <f t="shared" si="308"/>
        <v>14450</v>
      </c>
      <c r="O384" s="9">
        <f t="shared" si="295"/>
        <v>10784.22</v>
      </c>
      <c r="P384" s="9">
        <f t="shared" si="296"/>
        <v>3665.78</v>
      </c>
      <c r="Q384" s="139">
        <f t="shared" si="297"/>
        <v>0.74631280276816603</v>
      </c>
      <c r="R384" s="335">
        <v>28900</v>
      </c>
      <c r="S384" s="359" t="s">
        <v>1948</v>
      </c>
      <c r="T384" s="305">
        <v>0.74631280276816603</v>
      </c>
      <c r="U384" s="144"/>
      <c r="V384" s="100"/>
      <c r="W384" s="110">
        <f t="shared" si="298"/>
        <v>28900</v>
      </c>
      <c r="X384" s="110">
        <f t="shared" si="299"/>
        <v>197.78</v>
      </c>
      <c r="Y384" s="110">
        <f t="shared" si="300"/>
        <v>3468</v>
      </c>
      <c r="Z384" s="110">
        <f t="shared" si="301"/>
        <v>10784.22</v>
      </c>
      <c r="AA384" s="260">
        <f t="shared" si="302"/>
        <v>0.74631280276816603</v>
      </c>
      <c r="AB384" s="28">
        <f t="shared" si="284"/>
        <v>9.5</v>
      </c>
      <c r="AC384" s="261">
        <f t="shared" si="303"/>
        <v>0.74555121731132967</v>
      </c>
      <c r="AD384" s="111">
        <f t="shared" si="286"/>
        <v>2.5</v>
      </c>
      <c r="AE384" s="262">
        <f t="shared" si="304"/>
        <v>3.3094625783053028E-2</v>
      </c>
      <c r="AF384" s="100"/>
      <c r="AG384" s="111">
        <f t="shared" si="288"/>
        <v>4</v>
      </c>
      <c r="AH384" s="262">
        <f t="shared" si="305"/>
        <v>0.39568414111440819</v>
      </c>
      <c r="AI384" s="100"/>
      <c r="AJ384" s="111">
        <f t="shared" si="290"/>
        <v>3.7</v>
      </c>
      <c r="AK384" s="262">
        <f t="shared" si="306"/>
        <v>0.34668555796152239</v>
      </c>
      <c r="AL384" s="100"/>
      <c r="AM384" s="111">
        <f t="shared" si="292"/>
        <v>3.5</v>
      </c>
      <c r="AN384" s="262">
        <f t="shared" si="307"/>
        <v>0.30935330413075224</v>
      </c>
      <c r="AO384" s="100"/>
      <c r="AP384" s="24" t="e">
        <f>VLOOKUP(C384,#REF!,6,FALSE)</f>
        <v>#REF!</v>
      </c>
      <c r="AQ384" s="24" t="e">
        <f>VLOOKUP(C384,#REF!,7,FALSE)</f>
        <v>#REF!</v>
      </c>
      <c r="AR384" s="24" t="e">
        <f>VLOOKUP(C384,#REF!,12,FALSE)</f>
        <v>#REF!</v>
      </c>
      <c r="AS384" s="24" t="e">
        <f>VLOOKUP(C384,#REF!,13,FALSE)</f>
        <v>#REF!</v>
      </c>
      <c r="AT384" s="100"/>
      <c r="AU384" s="100"/>
      <c r="AV384" s="100">
        <v>372</v>
      </c>
      <c r="AW384" s="100"/>
      <c r="AY384" s="9">
        <v>28900</v>
      </c>
    </row>
    <row r="385" spans="1:51" s="2" customFormat="1" ht="12.75" customHeight="1" x14ac:dyDescent="0.2">
      <c r="A385" s="6" t="s">
        <v>1301</v>
      </c>
      <c r="B385" s="8">
        <v>9789500214094</v>
      </c>
      <c r="C385" s="6">
        <v>709134</v>
      </c>
      <c r="D385" s="41">
        <v>240</v>
      </c>
      <c r="E385" s="7" t="s">
        <v>505</v>
      </c>
      <c r="F385" s="6" t="s">
        <v>819</v>
      </c>
      <c r="G385" s="107">
        <v>45200</v>
      </c>
      <c r="H385" s="108">
        <v>45170</v>
      </c>
      <c r="I385" s="7">
        <v>5113</v>
      </c>
      <c r="J385" s="28" t="s">
        <v>1333</v>
      </c>
      <c r="K385" s="117">
        <v>671.39</v>
      </c>
      <c r="L385" s="112">
        <v>28900</v>
      </c>
      <c r="M385" s="112">
        <f>+L385*0.1</f>
        <v>2890</v>
      </c>
      <c r="N385" s="9">
        <f t="shared" si="308"/>
        <v>14450</v>
      </c>
      <c r="O385" s="9">
        <f t="shared" si="295"/>
        <v>10888.61</v>
      </c>
      <c r="P385" s="9">
        <f t="shared" si="296"/>
        <v>3561.39</v>
      </c>
      <c r="Q385" s="139">
        <f t="shared" si="297"/>
        <v>0.7535370242214533</v>
      </c>
      <c r="R385" s="335">
        <v>28900</v>
      </c>
      <c r="S385" s="359" t="s">
        <v>1948</v>
      </c>
      <c r="T385" s="305">
        <v>0.7535370242214533</v>
      </c>
      <c r="U385" s="144"/>
      <c r="V385" s="100"/>
      <c r="W385" s="110">
        <f t="shared" si="298"/>
        <v>28900</v>
      </c>
      <c r="X385" s="110">
        <f t="shared" si="299"/>
        <v>671.39</v>
      </c>
      <c r="Y385" s="110">
        <f t="shared" si="300"/>
        <v>2890</v>
      </c>
      <c r="Z385" s="110">
        <f t="shared" si="301"/>
        <v>10888.61</v>
      </c>
      <c r="AA385" s="260">
        <f t="shared" si="302"/>
        <v>0.7535370242214533</v>
      </c>
      <c r="AB385" s="28">
        <f t="shared" si="284"/>
        <v>9.5</v>
      </c>
      <c r="AC385" s="261">
        <f t="shared" si="303"/>
        <v>0.75279712634702489</v>
      </c>
      <c r="AD385" s="111">
        <f t="shared" si="286"/>
        <v>2.5</v>
      </c>
      <c r="AE385" s="262">
        <f t="shared" si="304"/>
        <v>6.0629080118694396E-2</v>
      </c>
      <c r="AF385" s="100"/>
      <c r="AG385" s="111">
        <f t="shared" si="288"/>
        <v>3.9</v>
      </c>
      <c r="AH385" s="262">
        <f t="shared" si="305"/>
        <v>0.39783915392223984</v>
      </c>
      <c r="AI385" s="100"/>
      <c r="AJ385" s="111">
        <f t="shared" si="290"/>
        <v>3.6</v>
      </c>
      <c r="AK385" s="262">
        <f t="shared" si="306"/>
        <v>0.34765908341575996</v>
      </c>
      <c r="AL385" s="100"/>
      <c r="AM385" s="111">
        <f t="shared" si="292"/>
        <v>3.4</v>
      </c>
      <c r="AN385" s="262">
        <f t="shared" si="307"/>
        <v>0.30928608832256926</v>
      </c>
      <c r="AO385" s="100"/>
      <c r="AP385" s="24" t="e">
        <f>VLOOKUP(C385,#REF!,6,FALSE)</f>
        <v>#REF!</v>
      </c>
      <c r="AQ385" s="24" t="e">
        <f>VLOOKUP(C385,#REF!,7,FALSE)</f>
        <v>#REF!</v>
      </c>
      <c r="AR385" s="24" t="e">
        <f>VLOOKUP(C385,#REF!,12,FALSE)</f>
        <v>#REF!</v>
      </c>
      <c r="AS385" s="24" t="e">
        <f>VLOOKUP(C385,#REF!,13,FALSE)</f>
        <v>#REF!</v>
      </c>
      <c r="AT385" s="100"/>
      <c r="AU385" s="100"/>
      <c r="AV385" s="100">
        <v>373</v>
      </c>
      <c r="AW385" s="100"/>
      <c r="AY385" s="112">
        <v>28900</v>
      </c>
    </row>
    <row r="386" spans="1:51" s="2" customFormat="1" ht="12.75" customHeight="1" x14ac:dyDescent="0.2">
      <c r="A386" s="6" t="s">
        <v>1302</v>
      </c>
      <c r="B386" s="8">
        <v>9789500298926</v>
      </c>
      <c r="C386" s="8">
        <v>616436</v>
      </c>
      <c r="D386" s="25">
        <v>272</v>
      </c>
      <c r="E386" s="7" t="s">
        <v>192</v>
      </c>
      <c r="F386" s="7" t="s">
        <v>193</v>
      </c>
      <c r="G386" s="107">
        <v>42552</v>
      </c>
      <c r="H386" s="108">
        <v>42522</v>
      </c>
      <c r="I386" s="24">
        <v>3019</v>
      </c>
      <c r="J386" s="28" t="s">
        <v>1894</v>
      </c>
      <c r="K386" s="28">
        <v>25.99</v>
      </c>
      <c r="L386" s="112">
        <v>16000</v>
      </c>
      <c r="M386" s="112">
        <f>+L386*0.13</f>
        <v>2080</v>
      </c>
      <c r="N386" s="9">
        <f t="shared" si="308"/>
        <v>8000</v>
      </c>
      <c r="O386" s="9">
        <f t="shared" si="295"/>
        <v>5894.01</v>
      </c>
      <c r="P386" s="9">
        <f t="shared" si="296"/>
        <v>2105.9899999999998</v>
      </c>
      <c r="Q386" s="139">
        <f t="shared" si="297"/>
        <v>0.73675125000000008</v>
      </c>
      <c r="R386" s="335">
        <v>16000</v>
      </c>
      <c r="S386" s="359" t="s">
        <v>1948</v>
      </c>
      <c r="T386" s="305">
        <v>0.73675125000000008</v>
      </c>
      <c r="U386" s="144"/>
      <c r="V386" s="100"/>
      <c r="W386" s="110">
        <f t="shared" si="298"/>
        <v>16000</v>
      </c>
      <c r="X386" s="110">
        <f t="shared" si="299"/>
        <v>25.99</v>
      </c>
      <c r="Y386" s="110">
        <f t="shared" si="300"/>
        <v>2080</v>
      </c>
      <c r="Z386" s="110">
        <f t="shared" si="301"/>
        <v>5894.01</v>
      </c>
      <c r="AA386" s="260">
        <f t="shared" si="302"/>
        <v>0.73675125000000008</v>
      </c>
      <c r="AB386" s="28">
        <f t="shared" si="284"/>
        <v>5.3</v>
      </c>
      <c r="AC386" s="261">
        <f t="shared" si="303"/>
        <v>0.73797784123073862</v>
      </c>
      <c r="AD386" s="111">
        <f t="shared" si="286"/>
        <v>1.5</v>
      </c>
      <c r="AE386" s="262">
        <f t="shared" si="304"/>
        <v>7.4188372348609838E-2</v>
      </c>
      <c r="AF386" s="100"/>
      <c r="AG386" s="111">
        <f t="shared" si="288"/>
        <v>2.2999999999999998</v>
      </c>
      <c r="AH386" s="262">
        <f t="shared" si="305"/>
        <v>0.39620980805344114</v>
      </c>
      <c r="AI386" s="100"/>
      <c r="AJ386" s="111">
        <f t="shared" si="290"/>
        <v>2.1</v>
      </c>
      <c r="AK386" s="262">
        <f t="shared" si="306"/>
        <v>0.33870598024900705</v>
      </c>
      <c r="AL386" s="100"/>
      <c r="AM386" s="111">
        <f t="shared" si="292"/>
        <v>2</v>
      </c>
      <c r="AN386" s="262">
        <f t="shared" si="307"/>
        <v>0.3056412792614574</v>
      </c>
      <c r="AO386" s="100"/>
      <c r="AP386" s="24" t="e">
        <f>VLOOKUP(C386,#REF!,6,FALSE)</f>
        <v>#REF!</v>
      </c>
      <c r="AQ386" s="24" t="e">
        <f>VLOOKUP(C386,#REF!,7,FALSE)</f>
        <v>#REF!</v>
      </c>
      <c r="AR386" s="24" t="e">
        <f>VLOOKUP(C386,#REF!,12,FALSE)</f>
        <v>#REF!</v>
      </c>
      <c r="AS386" s="24" t="e">
        <f>VLOOKUP(C386,#REF!,13,FALSE)</f>
        <v>#REF!</v>
      </c>
      <c r="AT386" s="100"/>
      <c r="AU386" s="100"/>
      <c r="AV386" s="100">
        <v>374</v>
      </c>
      <c r="AW386" s="100"/>
      <c r="AY386" s="112">
        <v>16000</v>
      </c>
    </row>
    <row r="387" spans="1:51" s="2" customFormat="1" ht="12.75" customHeight="1" x14ac:dyDescent="0.2">
      <c r="A387" s="6" t="s">
        <v>1303</v>
      </c>
      <c r="B387" s="8">
        <v>9789500208758</v>
      </c>
      <c r="C387" s="8">
        <v>599838</v>
      </c>
      <c r="D387" s="7">
        <v>240</v>
      </c>
      <c r="E387" s="7" t="s">
        <v>1304</v>
      </c>
      <c r="F387" s="6" t="s">
        <v>191</v>
      </c>
      <c r="G387" s="107">
        <v>42339</v>
      </c>
      <c r="H387" s="108">
        <v>42309</v>
      </c>
      <c r="I387" s="24">
        <v>3037</v>
      </c>
      <c r="J387" s="28" t="s">
        <v>1894</v>
      </c>
      <c r="K387" s="28">
        <v>19.079999999999998</v>
      </c>
      <c r="L387" s="128">
        <v>14200</v>
      </c>
      <c r="M387" s="112">
        <f>+L387*0.13</f>
        <v>1846</v>
      </c>
      <c r="N387" s="9">
        <f t="shared" si="308"/>
        <v>7100</v>
      </c>
      <c r="O387" s="9">
        <f t="shared" si="295"/>
        <v>5234.92</v>
      </c>
      <c r="P387" s="9">
        <f t="shared" si="296"/>
        <v>1865.08</v>
      </c>
      <c r="Q387" s="139">
        <f t="shared" si="297"/>
        <v>0.73731267605633799</v>
      </c>
      <c r="R387" s="335">
        <v>14200</v>
      </c>
      <c r="S387" s="359" t="s">
        <v>1948</v>
      </c>
      <c r="T387" s="305">
        <v>0.73731267605633799</v>
      </c>
      <c r="U387" s="140"/>
      <c r="V387" s="100"/>
      <c r="W387" s="110">
        <f t="shared" si="298"/>
        <v>14200</v>
      </c>
      <c r="X387" s="110">
        <f t="shared" si="299"/>
        <v>19.079999999999998</v>
      </c>
      <c r="Y387" s="110">
        <f t="shared" si="300"/>
        <v>1846</v>
      </c>
      <c r="Z387" s="110">
        <f t="shared" si="301"/>
        <v>5234.92</v>
      </c>
      <c r="AA387" s="260">
        <f t="shared" si="302"/>
        <v>0.73731267605633799</v>
      </c>
      <c r="AB387" s="28">
        <f t="shared" si="284"/>
        <v>4.7</v>
      </c>
      <c r="AC387" s="261">
        <f t="shared" si="303"/>
        <v>0.73832803698325511</v>
      </c>
      <c r="AD387" s="111">
        <f t="shared" si="286"/>
        <v>1.3</v>
      </c>
      <c r="AE387" s="262">
        <f t="shared" si="304"/>
        <v>5.3955210631768551E-2</v>
      </c>
      <c r="AF387" s="100"/>
      <c r="AG387" s="111">
        <f t="shared" si="288"/>
        <v>2</v>
      </c>
      <c r="AH387" s="262">
        <f t="shared" si="305"/>
        <v>0.38507088691064956</v>
      </c>
      <c r="AI387" s="100"/>
      <c r="AJ387" s="111">
        <f t="shared" si="290"/>
        <v>1.9</v>
      </c>
      <c r="AK387" s="262">
        <f t="shared" si="306"/>
        <v>0.35270619674805215</v>
      </c>
      <c r="AL387" s="100"/>
      <c r="AM387" s="111">
        <f t="shared" si="292"/>
        <v>1.8</v>
      </c>
      <c r="AN387" s="262">
        <f t="shared" si="307"/>
        <v>0.3167454299007218</v>
      </c>
      <c r="AO387" s="100"/>
      <c r="AP387" s="24" t="e">
        <f>VLOOKUP(C387,#REF!,6,FALSE)</f>
        <v>#REF!</v>
      </c>
      <c r="AQ387" s="24" t="e">
        <f>VLOOKUP(C387,#REF!,7,FALSE)</f>
        <v>#REF!</v>
      </c>
      <c r="AR387" s="24" t="e">
        <f>VLOOKUP(C387,#REF!,12,FALSE)</f>
        <v>#REF!</v>
      </c>
      <c r="AS387" s="24" t="e">
        <f>VLOOKUP(C387,#REF!,13,FALSE)</f>
        <v>#REF!</v>
      </c>
      <c r="AT387" s="100"/>
      <c r="AU387" s="100"/>
      <c r="AV387" s="100">
        <v>375</v>
      </c>
      <c r="AW387" s="100"/>
      <c r="AY387" s="128">
        <v>14200</v>
      </c>
    </row>
    <row r="388" spans="1:51" s="2" customFormat="1" ht="12.75" customHeight="1" x14ac:dyDescent="0.2">
      <c r="A388" s="6" t="s">
        <v>1305</v>
      </c>
      <c r="B388" s="8">
        <v>9789500208765</v>
      </c>
      <c r="C388" s="8">
        <v>594413</v>
      </c>
      <c r="D388" s="25">
        <v>240</v>
      </c>
      <c r="E388" s="22" t="s">
        <v>187</v>
      </c>
      <c r="F388" s="6" t="s">
        <v>188</v>
      </c>
      <c r="G388" s="107">
        <v>42248</v>
      </c>
      <c r="H388" s="108">
        <v>42186</v>
      </c>
      <c r="I388" s="24">
        <v>3042</v>
      </c>
      <c r="J388" s="28" t="s">
        <v>1894</v>
      </c>
      <c r="K388" s="28">
        <v>17.11</v>
      </c>
      <c r="L388" s="128">
        <v>14200</v>
      </c>
      <c r="M388" s="112">
        <f>+L388*0.13</f>
        <v>1846</v>
      </c>
      <c r="N388" s="9">
        <f t="shared" si="308"/>
        <v>7100</v>
      </c>
      <c r="O388" s="9">
        <f t="shared" si="295"/>
        <v>5236.8900000000003</v>
      </c>
      <c r="P388" s="9">
        <f t="shared" si="296"/>
        <v>1863.11</v>
      </c>
      <c r="Q388" s="139">
        <f t="shared" si="297"/>
        <v>0.73759014084507046</v>
      </c>
      <c r="R388" s="335">
        <v>14200</v>
      </c>
      <c r="S388" s="359" t="s">
        <v>1948</v>
      </c>
      <c r="T388" s="305">
        <v>0.73759014084507046</v>
      </c>
      <c r="U388" s="144"/>
      <c r="V388" s="100"/>
      <c r="W388" s="110">
        <f t="shared" si="298"/>
        <v>14200</v>
      </c>
      <c r="X388" s="110">
        <f t="shared" si="299"/>
        <v>17.11</v>
      </c>
      <c r="Y388" s="110">
        <f t="shared" si="300"/>
        <v>1846</v>
      </c>
      <c r="Z388" s="110">
        <f t="shared" si="301"/>
        <v>5236.8900000000003</v>
      </c>
      <c r="AA388" s="260">
        <f t="shared" si="302"/>
        <v>0.73759014084507046</v>
      </c>
      <c r="AB388" s="28">
        <f t="shared" si="284"/>
        <v>4.7</v>
      </c>
      <c r="AC388" s="261">
        <f t="shared" si="303"/>
        <v>0.73860442929197279</v>
      </c>
      <c r="AD388" s="111">
        <f t="shared" si="286"/>
        <v>1.3</v>
      </c>
      <c r="AE388" s="262">
        <f t="shared" si="304"/>
        <v>5.495447513251675E-2</v>
      </c>
      <c r="AF388" s="100"/>
      <c r="AG388" s="111">
        <f t="shared" si="288"/>
        <v>2</v>
      </c>
      <c r="AH388" s="262">
        <f t="shared" si="305"/>
        <v>0.38572040883613579</v>
      </c>
      <c r="AI388" s="100"/>
      <c r="AJ388" s="111">
        <f t="shared" si="290"/>
        <v>1.9</v>
      </c>
      <c r="AK388" s="262">
        <f t="shared" si="306"/>
        <v>0.35338990403803766</v>
      </c>
      <c r="AL388" s="100"/>
      <c r="AM388" s="111">
        <f t="shared" si="292"/>
        <v>1.8</v>
      </c>
      <c r="AN388" s="262">
        <f t="shared" si="307"/>
        <v>0.31746712092903984</v>
      </c>
      <c r="AO388" s="100"/>
      <c r="AP388" s="24" t="e">
        <f>VLOOKUP(C388,#REF!,6,FALSE)</f>
        <v>#REF!</v>
      </c>
      <c r="AQ388" s="24" t="e">
        <f>VLOOKUP(C388,#REF!,7,FALSE)</f>
        <v>#REF!</v>
      </c>
      <c r="AR388" s="24" t="e">
        <f>VLOOKUP(C388,#REF!,12,FALSE)</f>
        <v>#REF!</v>
      </c>
      <c r="AS388" s="24" t="e">
        <f>VLOOKUP(C388,#REF!,13,FALSE)</f>
        <v>#REF!</v>
      </c>
      <c r="AT388" s="100"/>
      <c r="AU388" s="100"/>
      <c r="AV388" s="100">
        <v>376</v>
      </c>
      <c r="AW388" s="100"/>
      <c r="AY388" s="128">
        <v>14200</v>
      </c>
    </row>
    <row r="389" spans="1:51" s="2" customFormat="1" ht="12.75" customHeight="1" x14ac:dyDescent="0.2">
      <c r="A389" s="6" t="s">
        <v>1306</v>
      </c>
      <c r="B389" s="8">
        <v>9789500208345</v>
      </c>
      <c r="C389" s="21">
        <v>589996</v>
      </c>
      <c r="D389" s="7">
        <v>208</v>
      </c>
      <c r="E389" s="7" t="s">
        <v>185</v>
      </c>
      <c r="F389" s="7" t="s">
        <v>186</v>
      </c>
      <c r="G389" s="107">
        <v>42064</v>
      </c>
      <c r="H389" s="108">
        <v>42036</v>
      </c>
      <c r="I389" s="24">
        <v>2996</v>
      </c>
      <c r="J389" s="28" t="s">
        <v>1894</v>
      </c>
      <c r="K389" s="28">
        <v>14.51</v>
      </c>
      <c r="L389" s="112">
        <v>16000</v>
      </c>
      <c r="M389" s="112">
        <f>+L389*0.13</f>
        <v>2080</v>
      </c>
      <c r="N389" s="9">
        <f t="shared" si="308"/>
        <v>8000</v>
      </c>
      <c r="O389" s="9">
        <f t="shared" si="295"/>
        <v>5905.49</v>
      </c>
      <c r="P389" s="9">
        <f t="shared" si="296"/>
        <v>2094.5100000000002</v>
      </c>
      <c r="Q389" s="139">
        <f t="shared" si="297"/>
        <v>0.73818624999999993</v>
      </c>
      <c r="R389" s="335">
        <v>16000</v>
      </c>
      <c r="S389" s="359" t="s">
        <v>1948</v>
      </c>
      <c r="T389" s="305">
        <v>0.73818624999999993</v>
      </c>
      <c r="U389" s="144"/>
      <c r="V389" s="100"/>
      <c r="W389" s="110">
        <f t="shared" si="298"/>
        <v>16000</v>
      </c>
      <c r="X389" s="110">
        <f t="shared" si="299"/>
        <v>14.51</v>
      </c>
      <c r="Y389" s="110">
        <f t="shared" si="300"/>
        <v>2080</v>
      </c>
      <c r="Z389" s="110">
        <f t="shared" si="301"/>
        <v>5905.49</v>
      </c>
      <c r="AA389" s="260">
        <f t="shared" si="302"/>
        <v>0.73818624999999993</v>
      </c>
      <c r="AB389" s="28">
        <f t="shared" si="284"/>
        <v>5.3</v>
      </c>
      <c r="AC389" s="261">
        <f t="shared" si="303"/>
        <v>0.73940615493720019</v>
      </c>
      <c r="AD389" s="111">
        <f t="shared" si="286"/>
        <v>1.5</v>
      </c>
      <c r="AE389" s="262">
        <f t="shared" si="304"/>
        <v>7.9235080778107383E-2</v>
      </c>
      <c r="AF389" s="100"/>
      <c r="AG389" s="111">
        <f t="shared" si="288"/>
        <v>2.2999999999999998</v>
      </c>
      <c r="AH389" s="262">
        <f t="shared" si="305"/>
        <v>0.39950113963789607</v>
      </c>
      <c r="AI389" s="100"/>
      <c r="AJ389" s="111">
        <f t="shared" si="290"/>
        <v>2.1</v>
      </c>
      <c r="AK389" s="262">
        <f t="shared" si="306"/>
        <v>0.34231077198436244</v>
      </c>
      <c r="AL389" s="100"/>
      <c r="AM389" s="111">
        <f t="shared" si="292"/>
        <v>2</v>
      </c>
      <c r="AN389" s="262">
        <f t="shared" si="307"/>
        <v>0.30942631058358055</v>
      </c>
      <c r="AO389" s="100"/>
      <c r="AP389" s="24" t="e">
        <f>VLOOKUP(C389,#REF!,6,FALSE)</f>
        <v>#REF!</v>
      </c>
      <c r="AQ389" s="24" t="e">
        <f>VLOOKUP(C389,#REF!,7,FALSE)</f>
        <v>#REF!</v>
      </c>
      <c r="AR389" s="24" t="e">
        <f>VLOOKUP(C389,#REF!,12,FALSE)</f>
        <v>#REF!</v>
      </c>
      <c r="AS389" s="24" t="e">
        <f>VLOOKUP(C389,#REF!,13,FALSE)</f>
        <v>#REF!</v>
      </c>
      <c r="AT389" s="100"/>
      <c r="AU389" s="100"/>
      <c r="AV389" s="100">
        <v>377</v>
      </c>
      <c r="AW389" s="100"/>
      <c r="AY389" s="112">
        <v>16000</v>
      </c>
    </row>
    <row r="390" spans="1:51" s="2" customFormat="1" ht="12.75" customHeight="1" x14ac:dyDescent="0.2">
      <c r="A390" s="6" t="s">
        <v>1307</v>
      </c>
      <c r="B390" s="8">
        <v>9789500211581</v>
      </c>
      <c r="C390" s="8">
        <v>682014</v>
      </c>
      <c r="D390" s="7">
        <v>200</v>
      </c>
      <c r="E390" s="7" t="s">
        <v>405</v>
      </c>
      <c r="F390" s="7" t="s">
        <v>533</v>
      </c>
      <c r="G390" s="107">
        <v>44256</v>
      </c>
      <c r="H390" s="108">
        <v>44228</v>
      </c>
      <c r="I390" s="7">
        <v>3144</v>
      </c>
      <c r="J390" s="28" t="s">
        <v>1894</v>
      </c>
      <c r="K390" s="117">
        <v>130.46</v>
      </c>
      <c r="L390" s="112">
        <v>18400</v>
      </c>
      <c r="M390" s="112">
        <f>+L390*0.08</f>
        <v>1472</v>
      </c>
      <c r="N390" s="9">
        <f t="shared" si="308"/>
        <v>9200</v>
      </c>
      <c r="O390" s="9">
        <f t="shared" si="295"/>
        <v>7597.54</v>
      </c>
      <c r="P390" s="9">
        <f t="shared" si="296"/>
        <v>1602.46</v>
      </c>
      <c r="Q390" s="139">
        <f t="shared" si="297"/>
        <v>0.8258195652173913</v>
      </c>
      <c r="R390" s="335">
        <v>18400</v>
      </c>
      <c r="S390" s="359" t="s">
        <v>1948</v>
      </c>
      <c r="T390" s="305">
        <v>0.8258195652173913</v>
      </c>
      <c r="U390" s="144"/>
      <c r="V390" s="100"/>
      <c r="W390" s="110">
        <f t="shared" si="298"/>
        <v>18400</v>
      </c>
      <c r="X390" s="110">
        <f t="shared" si="299"/>
        <v>130.46</v>
      </c>
      <c r="Y390" s="110">
        <f t="shared" si="300"/>
        <v>1472</v>
      </c>
      <c r="Z390" s="110">
        <f t="shared" si="301"/>
        <v>7597.5400000000009</v>
      </c>
      <c r="AA390" s="260">
        <f t="shared" si="302"/>
        <v>0.82581956521739142</v>
      </c>
      <c r="AB390" s="28">
        <f t="shared" si="284"/>
        <v>6.1</v>
      </c>
      <c r="AC390" s="261">
        <f t="shared" si="303"/>
        <v>0.82677325377135669</v>
      </c>
      <c r="AD390" s="111">
        <f t="shared" si="286"/>
        <v>1.1000000000000001</v>
      </c>
      <c r="AE390" s="262">
        <f t="shared" si="304"/>
        <v>3.9378952732068491E-2</v>
      </c>
      <c r="AF390" s="100"/>
      <c r="AG390" s="111">
        <f t="shared" si="288"/>
        <v>1.8</v>
      </c>
      <c r="AH390" s="262">
        <f t="shared" si="305"/>
        <v>0.41295380444737523</v>
      </c>
      <c r="AI390" s="100"/>
      <c r="AJ390" s="111">
        <f t="shared" si="290"/>
        <v>1.6</v>
      </c>
      <c r="AK390" s="262">
        <f t="shared" si="306"/>
        <v>0.33957303000329708</v>
      </c>
      <c r="AL390" s="100"/>
      <c r="AM390" s="111">
        <f t="shared" si="292"/>
        <v>1.5</v>
      </c>
      <c r="AN390" s="262">
        <f t="shared" si="307"/>
        <v>0.2955445653368502</v>
      </c>
      <c r="AO390" s="100"/>
      <c r="AP390" s="24" t="e">
        <f>VLOOKUP(C390,#REF!,6,FALSE)</f>
        <v>#REF!</v>
      </c>
      <c r="AQ390" s="24" t="e">
        <f>VLOOKUP(C390,#REF!,7,FALSE)</f>
        <v>#REF!</v>
      </c>
      <c r="AR390" s="24" t="e">
        <f>VLOOKUP(C390,#REF!,12,FALSE)</f>
        <v>#REF!</v>
      </c>
      <c r="AS390" s="24" t="e">
        <f>VLOOKUP(C390,#REF!,13,FALSE)</f>
        <v>#REF!</v>
      </c>
      <c r="AT390" s="100"/>
      <c r="AU390" s="100"/>
      <c r="AV390" s="100">
        <v>378</v>
      </c>
      <c r="AW390" s="100"/>
      <c r="AY390" s="112">
        <v>18400</v>
      </c>
    </row>
    <row r="391" spans="1:51" s="2" customFormat="1" ht="12.75" customHeight="1" x14ac:dyDescent="0.2">
      <c r="A391" s="7" t="s">
        <v>1308</v>
      </c>
      <c r="B391" s="8">
        <v>9789500209915</v>
      </c>
      <c r="C391" s="6">
        <v>660729</v>
      </c>
      <c r="D391" s="7">
        <v>64</v>
      </c>
      <c r="E391" s="22" t="s">
        <v>428</v>
      </c>
      <c r="F391" s="15" t="s">
        <v>429</v>
      </c>
      <c r="G391" s="107">
        <v>43525</v>
      </c>
      <c r="H391" s="108">
        <v>43497</v>
      </c>
      <c r="I391" s="24">
        <v>3120</v>
      </c>
      <c r="J391" s="28" t="s">
        <v>2136</v>
      </c>
      <c r="K391" s="28">
        <v>99.68</v>
      </c>
      <c r="L391" s="9">
        <v>15900</v>
      </c>
      <c r="M391" s="112"/>
      <c r="N391" s="9">
        <f t="shared" si="308"/>
        <v>7950</v>
      </c>
      <c r="O391" s="9">
        <f t="shared" si="295"/>
        <v>7850.32</v>
      </c>
      <c r="P391" s="9">
        <f t="shared" si="296"/>
        <v>99.68</v>
      </c>
      <c r="Q391" s="139">
        <f t="shared" si="297"/>
        <v>0.98746163522012576</v>
      </c>
      <c r="R391" s="335">
        <v>15900</v>
      </c>
      <c r="S391" s="359" t="s">
        <v>1948</v>
      </c>
      <c r="T391" s="305">
        <v>0.98746163522012576</v>
      </c>
      <c r="U391" s="144"/>
      <c r="V391" s="100"/>
      <c r="W391" s="110">
        <f t="shared" si="298"/>
        <v>15900</v>
      </c>
      <c r="X391" s="110">
        <f t="shared" si="299"/>
        <v>99.68</v>
      </c>
      <c r="Y391" s="110">
        <f t="shared" si="300"/>
        <v>0</v>
      </c>
      <c r="Z391" s="110">
        <f t="shared" si="301"/>
        <v>7850.32</v>
      </c>
      <c r="AA391" s="260">
        <f t="shared" si="302"/>
        <v>0.98746163522012576</v>
      </c>
      <c r="AB391" s="28">
        <f t="shared" si="284"/>
        <v>5.2</v>
      </c>
      <c r="AC391" s="261">
        <f t="shared" si="303"/>
        <v>0.98735955768596717</v>
      </c>
      <c r="AD391" s="111">
        <f t="shared" si="286"/>
        <v>0.1</v>
      </c>
      <c r="AE391" s="262">
        <f t="shared" si="304"/>
        <v>0.34269699967029343</v>
      </c>
      <c r="AF391" s="100"/>
      <c r="AG391" s="111">
        <f t="shared" si="288"/>
        <v>0.1</v>
      </c>
      <c r="AH391" s="262">
        <f t="shared" si="305"/>
        <v>0.34269699967029343</v>
      </c>
      <c r="AI391" s="100"/>
      <c r="AJ391" s="111">
        <f t="shared" si="290"/>
        <v>0.1</v>
      </c>
      <c r="AK391" s="262">
        <f t="shared" si="306"/>
        <v>0.34269699967029343</v>
      </c>
      <c r="AL391" s="100"/>
      <c r="AM391" s="111">
        <f t="shared" si="292"/>
        <v>0.1</v>
      </c>
      <c r="AN391" s="262">
        <f t="shared" si="307"/>
        <v>0.34269699967029343</v>
      </c>
      <c r="AO391" s="100"/>
      <c r="AP391" s="24" t="e">
        <f>VLOOKUP(C391,#REF!,6,FALSE)</f>
        <v>#REF!</v>
      </c>
      <c r="AQ391" s="24" t="e">
        <f>VLOOKUP(C391,#REF!,7,FALSE)</f>
        <v>#REF!</v>
      </c>
      <c r="AR391" s="24" t="e">
        <f>VLOOKUP(C391,#REF!,12,FALSE)</f>
        <v>#REF!</v>
      </c>
      <c r="AS391" s="24" t="e">
        <f>VLOOKUP(C391,#REF!,13,FALSE)</f>
        <v>#REF!</v>
      </c>
      <c r="AT391" s="100"/>
      <c r="AU391" s="100"/>
      <c r="AV391" s="100">
        <v>379</v>
      </c>
      <c r="AW391" s="100"/>
      <c r="AY391" s="9">
        <v>15900</v>
      </c>
    </row>
    <row r="392" spans="1:51" s="2" customFormat="1" ht="12.75" customHeight="1" x14ac:dyDescent="0.25">
      <c r="B392" s="3"/>
      <c r="C392" s="3"/>
      <c r="D392" s="17"/>
      <c r="H392" s="132"/>
      <c r="I392" s="132"/>
      <c r="J392" s="134"/>
      <c r="K392" s="132"/>
      <c r="L392" s="134"/>
      <c r="M392" s="132"/>
      <c r="N392" s="132"/>
      <c r="O392" s="132"/>
      <c r="P392" s="132"/>
      <c r="Q392" s="147"/>
      <c r="R392" s="356"/>
      <c r="S392" s="360"/>
      <c r="T392" s="307"/>
      <c r="U392" s="135"/>
      <c r="V392" s="100"/>
      <c r="W392"/>
      <c r="X392"/>
      <c r="Y392"/>
      <c r="Z392"/>
      <c r="AA392"/>
      <c r="AB392"/>
      <c r="AC392"/>
      <c r="AD392" s="263"/>
      <c r="AE392"/>
      <c r="AF392" s="100"/>
      <c r="AG392" s="263"/>
      <c r="AH392"/>
      <c r="AI392" s="100"/>
      <c r="AJ392" s="263"/>
      <c r="AK392"/>
      <c r="AL392" s="100"/>
      <c r="AM392" s="263"/>
      <c r="AN392"/>
      <c r="AO392" s="100"/>
      <c r="AP392" s="100"/>
      <c r="AQ392" s="100"/>
      <c r="AR392" s="100"/>
      <c r="AS392" s="100"/>
      <c r="AT392" s="100"/>
      <c r="AU392" s="100"/>
      <c r="AV392" s="100">
        <v>380</v>
      </c>
      <c r="AW392" s="100"/>
      <c r="AY392" s="134"/>
    </row>
    <row r="393" spans="1:51" s="2" customFormat="1" ht="12.75" customHeight="1" x14ac:dyDescent="0.25">
      <c r="A393" s="160" t="s">
        <v>630</v>
      </c>
      <c r="B393" s="168"/>
      <c r="C393" s="168"/>
      <c r="D393" s="179"/>
      <c r="E393" s="162"/>
      <c r="F393" s="162"/>
      <c r="G393" s="162"/>
      <c r="H393" s="132"/>
      <c r="I393" s="132"/>
      <c r="J393" s="134"/>
      <c r="K393" s="132"/>
      <c r="L393" s="134"/>
      <c r="M393" s="132"/>
      <c r="N393" s="132"/>
      <c r="O393" s="132"/>
      <c r="P393" s="132"/>
      <c r="Q393" s="147"/>
      <c r="R393" s="356"/>
      <c r="S393" s="360"/>
      <c r="T393" s="307"/>
      <c r="U393" s="135"/>
      <c r="V393" s="100"/>
      <c r="W393"/>
      <c r="X393"/>
      <c r="Y393"/>
      <c r="Z393"/>
      <c r="AA393"/>
      <c r="AB393"/>
      <c r="AC393"/>
      <c r="AD393" s="263"/>
      <c r="AE393"/>
      <c r="AF393" s="100"/>
      <c r="AG393" s="263"/>
      <c r="AH393"/>
      <c r="AI393" s="100"/>
      <c r="AJ393" s="263"/>
      <c r="AK393"/>
      <c r="AL393" s="100"/>
      <c r="AM393" s="263"/>
      <c r="AN393"/>
      <c r="AO393" s="100"/>
      <c r="AP393" s="100"/>
      <c r="AQ393" s="100"/>
      <c r="AR393" s="100"/>
      <c r="AS393" s="100"/>
      <c r="AT393" s="100"/>
      <c r="AU393" s="100"/>
      <c r="AV393" s="100">
        <v>381</v>
      </c>
      <c r="AW393" s="100"/>
      <c r="AY393" s="134"/>
    </row>
    <row r="394" spans="1:51" s="2" customFormat="1" ht="12.75" customHeight="1" x14ac:dyDescent="0.2">
      <c r="A394" s="6" t="s">
        <v>1309</v>
      </c>
      <c r="B394" s="8">
        <v>9789500299510</v>
      </c>
      <c r="C394" s="6">
        <v>628254</v>
      </c>
      <c r="D394" s="7">
        <v>96</v>
      </c>
      <c r="E394" s="7" t="s">
        <v>194</v>
      </c>
      <c r="F394" s="11" t="s">
        <v>1310</v>
      </c>
      <c r="G394" s="107">
        <v>42856</v>
      </c>
      <c r="H394" s="108">
        <v>42795</v>
      </c>
      <c r="I394" s="24">
        <v>5190</v>
      </c>
      <c r="J394" s="28" t="s">
        <v>1946</v>
      </c>
      <c r="K394" s="28">
        <v>45.43</v>
      </c>
      <c r="L394" s="9">
        <v>13900</v>
      </c>
      <c r="M394" s="112"/>
      <c r="N394" s="9">
        <f>+L394/2</f>
        <v>6950</v>
      </c>
      <c r="O394" s="9">
        <f>+N394-M394-K394</f>
        <v>6904.57</v>
      </c>
      <c r="P394" s="9">
        <f>+M394+K394</f>
        <v>45.43</v>
      </c>
      <c r="Q394" s="139">
        <f>+O394/N394</f>
        <v>0.99346330935251792</v>
      </c>
      <c r="R394" s="335">
        <v>13900</v>
      </c>
      <c r="S394" s="359" t="s">
        <v>1948</v>
      </c>
      <c r="T394" s="305">
        <v>0.99346330935251792</v>
      </c>
      <c r="U394" s="144"/>
      <c r="V394" s="100"/>
      <c r="W394" s="110">
        <f>+L394</f>
        <v>13900</v>
      </c>
      <c r="X394" s="110">
        <f>+K394</f>
        <v>45.43</v>
      </c>
      <c r="Y394" s="110">
        <f>+M394</f>
        <v>0</v>
      </c>
      <c r="Z394" s="110">
        <f>+W394/2-X394-Y394</f>
        <v>6904.57</v>
      </c>
      <c r="AA394" s="260">
        <f>+Z394/(W394/2)</f>
        <v>0.99346330935251792</v>
      </c>
      <c r="AB394" s="28">
        <f>ROUND($W394/2/$X$1,1)</f>
        <v>4.5999999999999996</v>
      </c>
      <c r="AC394" s="261">
        <f>+(AB394*$X$1-$X394-$Y394)/(AB394*$X$1)</f>
        <v>0.99348757866368498</v>
      </c>
      <c r="AD394" s="111">
        <f>+IFERROR(ROUND(($X394+$Y394)/(1-$X$2)/$X$1,1),0)</f>
        <v>0</v>
      </c>
      <c r="AE394" s="262" t="e">
        <f>+(AD394*$X$1-$X394-$Y394)/(AD394*$X$1)</f>
        <v>#DIV/0!</v>
      </c>
      <c r="AF394" s="100"/>
      <c r="AG394" s="111">
        <f>+IFERROR(ROUND(($X394+$Y394)/(1-$AG$2)/$X$1,1),0)</f>
        <v>0</v>
      </c>
      <c r="AH394" s="262" t="e">
        <f>+(AG394*$X$1-$X394-$Y394)/(AG394*$X$1)</f>
        <v>#DIV/0!</v>
      </c>
      <c r="AI394" s="100"/>
      <c r="AJ394" s="111">
        <f>+IFERROR(ROUND(($X394+$Y394)/(1-$AJ$2)/$X$1,1),0)</f>
        <v>0</v>
      </c>
      <c r="AK394" s="262" t="e">
        <f>+(AJ394*$X$1-$X394-$Y394)/(AJ394*$X$1)</f>
        <v>#DIV/0!</v>
      </c>
      <c r="AL394" s="100"/>
      <c r="AM394" s="111">
        <f>+IFERROR(ROUND(($X394+$Y394)/(1-$AM$2)/$X$1,1),0)</f>
        <v>0</v>
      </c>
      <c r="AN394" s="262" t="e">
        <f>+(AM394*$X$1-$X394-$Y394)/(AM394*$X$1)</f>
        <v>#DIV/0!</v>
      </c>
      <c r="AO394" s="100"/>
      <c r="AP394" s="24" t="e">
        <f>VLOOKUP(C394,#REF!,6,FALSE)</f>
        <v>#REF!</v>
      </c>
      <c r="AQ394" s="24" t="e">
        <f>VLOOKUP(C394,#REF!,7,FALSE)</f>
        <v>#REF!</v>
      </c>
      <c r="AR394" s="24" t="e">
        <f>VLOOKUP(C394,#REF!,12,FALSE)</f>
        <v>#REF!</v>
      </c>
      <c r="AS394" s="24" t="e">
        <f>VLOOKUP(C394,#REF!,13,FALSE)</f>
        <v>#REF!</v>
      </c>
      <c r="AT394" s="100">
        <v>25</v>
      </c>
      <c r="AU394" s="100"/>
      <c r="AV394" s="100">
        <v>382</v>
      </c>
      <c r="AW394" s="100"/>
      <c r="AY394" s="9">
        <v>13900</v>
      </c>
    </row>
    <row r="395" spans="1:51" s="2" customFormat="1" ht="12.75" customHeight="1" x14ac:dyDescent="0.2">
      <c r="A395" s="6" t="s">
        <v>1311</v>
      </c>
      <c r="B395" s="8">
        <v>9789500299527</v>
      </c>
      <c r="C395" s="6">
        <v>628253</v>
      </c>
      <c r="D395" s="7">
        <v>96</v>
      </c>
      <c r="E395" s="7" t="s">
        <v>195</v>
      </c>
      <c r="F395" s="11" t="s">
        <v>1312</v>
      </c>
      <c r="G395" s="107">
        <v>42856</v>
      </c>
      <c r="H395" s="108">
        <v>42795</v>
      </c>
      <c r="I395" s="24">
        <v>5218</v>
      </c>
      <c r="J395" s="28" t="s">
        <v>1946</v>
      </c>
      <c r="K395" s="28">
        <v>45.43</v>
      </c>
      <c r="L395" s="112">
        <v>13900</v>
      </c>
      <c r="M395" s="112"/>
      <c r="N395" s="9">
        <f>+L395/2</f>
        <v>6950</v>
      </c>
      <c r="O395" s="9">
        <f>+N395-M395-K395</f>
        <v>6904.57</v>
      </c>
      <c r="P395" s="9">
        <f>+M395+K395</f>
        <v>45.43</v>
      </c>
      <c r="Q395" s="139">
        <f>+O395/N395</f>
        <v>0.99346330935251792</v>
      </c>
      <c r="R395" s="335">
        <v>13900</v>
      </c>
      <c r="S395" s="359" t="s">
        <v>1948</v>
      </c>
      <c r="T395" s="305">
        <v>0.99346330935251792</v>
      </c>
      <c r="U395" s="144"/>
      <c r="V395" s="100"/>
      <c r="W395" s="110">
        <f>+L395</f>
        <v>13900</v>
      </c>
      <c r="X395" s="110">
        <f>+K395</f>
        <v>45.43</v>
      </c>
      <c r="Y395" s="110">
        <f>+M395</f>
        <v>0</v>
      </c>
      <c r="Z395" s="110">
        <f>+W395/2-X395-Y395</f>
        <v>6904.57</v>
      </c>
      <c r="AA395" s="260">
        <f>+Z395/(W395/2)</f>
        <v>0.99346330935251792</v>
      </c>
      <c r="AB395" s="28">
        <f>ROUND($W395/2/$X$1,1)</f>
        <v>4.5999999999999996</v>
      </c>
      <c r="AC395" s="261">
        <f>+(AB395*$X$1-$X395-$Y395)/(AB395*$X$1)</f>
        <v>0.99348757866368498</v>
      </c>
      <c r="AD395" s="111">
        <f>+IFERROR(ROUND(($X395+$Y395)/(1-$X$2)/$X$1,1),0)</f>
        <v>0</v>
      </c>
      <c r="AE395" s="262" t="e">
        <f>+(AD395*$X$1-$X395-$Y395)/(AD395*$X$1)</f>
        <v>#DIV/0!</v>
      </c>
      <c r="AF395" s="100"/>
      <c r="AG395" s="111">
        <f>+IFERROR(ROUND(($X395+$Y395)/(1-$AG$2)/$X$1,1),0)</f>
        <v>0</v>
      </c>
      <c r="AH395" s="262" t="e">
        <f>+(AG395*$X$1-$X395-$Y395)/(AG395*$X$1)</f>
        <v>#DIV/0!</v>
      </c>
      <c r="AI395" s="100"/>
      <c r="AJ395" s="111">
        <f>+IFERROR(ROUND(($X395+$Y395)/(1-$AJ$2)/$X$1,1),0)</f>
        <v>0</v>
      </c>
      <c r="AK395" s="262" t="e">
        <f>+(AJ395*$X$1-$X395-$Y395)/(AJ395*$X$1)</f>
        <v>#DIV/0!</v>
      </c>
      <c r="AL395" s="100"/>
      <c r="AM395" s="111">
        <f>+IFERROR(ROUND(($X395+$Y395)/(1-$AM$2)/$X$1,1),0)</f>
        <v>0</v>
      </c>
      <c r="AN395" s="262" t="e">
        <f>+(AM395*$X$1-$X395-$Y395)/(AM395*$X$1)</f>
        <v>#DIV/0!</v>
      </c>
      <c r="AO395" s="100"/>
      <c r="AP395" s="24" t="e">
        <f>VLOOKUP(C395,#REF!,6,FALSE)</f>
        <v>#REF!</v>
      </c>
      <c r="AQ395" s="24" t="e">
        <f>VLOOKUP(C395,#REF!,7,FALSE)</f>
        <v>#REF!</v>
      </c>
      <c r="AR395" s="24" t="e">
        <f>VLOOKUP(C395,#REF!,12,FALSE)</f>
        <v>#REF!</v>
      </c>
      <c r="AS395" s="24" t="e">
        <f>VLOOKUP(C395,#REF!,13,FALSE)</f>
        <v>#REF!</v>
      </c>
      <c r="AT395" s="100"/>
      <c r="AU395" s="100"/>
      <c r="AV395" s="100">
        <v>383</v>
      </c>
      <c r="AW395" s="100"/>
      <c r="AY395" s="112">
        <v>13900</v>
      </c>
    </row>
    <row r="396" spans="1:51" s="2" customFormat="1" ht="12.75" customHeight="1" x14ac:dyDescent="0.2">
      <c r="A396" s="6" t="s">
        <v>1313</v>
      </c>
      <c r="B396" s="8">
        <v>9789500298599</v>
      </c>
      <c r="C396" s="8">
        <v>598205</v>
      </c>
      <c r="D396" s="25">
        <v>128</v>
      </c>
      <c r="E396" s="22" t="s">
        <v>196</v>
      </c>
      <c r="F396" s="6" t="s">
        <v>1314</v>
      </c>
      <c r="G396" s="107">
        <v>42309</v>
      </c>
      <c r="H396" s="108">
        <v>42522</v>
      </c>
      <c r="I396" s="24">
        <v>1643</v>
      </c>
      <c r="J396" s="28" t="s">
        <v>1946</v>
      </c>
      <c r="K396" s="28">
        <v>33.47</v>
      </c>
      <c r="L396" s="112">
        <v>13900</v>
      </c>
      <c r="M396" s="9">
        <f>+L396*0.1</f>
        <v>1390</v>
      </c>
      <c r="N396" s="9">
        <f>+L396/2</f>
        <v>6950</v>
      </c>
      <c r="O396" s="9">
        <f>+N396-M396-K396</f>
        <v>5526.53</v>
      </c>
      <c r="P396" s="9">
        <f>+M396+K396</f>
        <v>1423.47</v>
      </c>
      <c r="Q396" s="139">
        <f>+O396/N396</f>
        <v>0.79518417266187047</v>
      </c>
      <c r="R396" s="335">
        <v>13900</v>
      </c>
      <c r="S396" s="359" t="s">
        <v>1948</v>
      </c>
      <c r="T396" s="305">
        <v>0.79518417266187047</v>
      </c>
      <c r="U396" s="140"/>
      <c r="V396" s="100"/>
      <c r="W396" s="110">
        <f>+L396</f>
        <v>13900</v>
      </c>
      <c r="X396" s="110">
        <f>+K396</f>
        <v>33.47</v>
      </c>
      <c r="Y396" s="110">
        <f>+M396</f>
        <v>1390</v>
      </c>
      <c r="Z396" s="110">
        <f>+W396/2-X396-Y396</f>
        <v>5526.53</v>
      </c>
      <c r="AA396" s="260">
        <f>+Z396/(W396/2)</f>
        <v>0.79518417266187047</v>
      </c>
      <c r="AB396" s="28">
        <f>ROUND($W396/2/$X$1,1)</f>
        <v>4.5999999999999996</v>
      </c>
      <c r="AC396" s="261">
        <f>+(AB396*$X$1-$X396-$Y396)/(AB396*$X$1)</f>
        <v>0.79594460929772493</v>
      </c>
      <c r="AD396" s="111">
        <f>+IFERROR(ROUND(($X396+$Y396)/(1-$X$2)/$X$1,1),0)</f>
        <v>1</v>
      </c>
      <c r="AE396" s="262">
        <f>+(AD396*$X$1-$X396-$Y396)/(AD396*$X$1)</f>
        <v>6.1345202769535097E-2</v>
      </c>
      <c r="AF396" s="100"/>
      <c r="AG396" s="111">
        <f>+IFERROR(ROUND(($X396+$Y396)/(1-$AG$2)/$X$1,1),0)</f>
        <v>1.6</v>
      </c>
      <c r="AH396" s="262">
        <f>+(AG396*$X$1-$X396-$Y396)/(AG396*$X$1)</f>
        <v>0.41334075173095958</v>
      </c>
      <c r="AI396" s="100"/>
      <c r="AJ396" s="111">
        <f>+IFERROR(ROUND(($X396+$Y396)/(1-$AJ$2)/$X$1,1),0)</f>
        <v>1.4</v>
      </c>
      <c r="AK396" s="262">
        <f>+(AJ396*$X$1-$X396-$Y396)/(AJ396*$X$1)</f>
        <v>0.32953228769252513</v>
      </c>
      <c r="AL396" s="100"/>
      <c r="AM396" s="111">
        <f>+IFERROR(ROUND(($X396+$Y396)/(1-$AM$2)/$X$1,1),0)</f>
        <v>1.3</v>
      </c>
      <c r="AN396" s="262">
        <f>+(AM396*$X$1-$X396-$Y396)/(AM396*$X$1)</f>
        <v>0.27795784828425779</v>
      </c>
      <c r="AO396" s="100"/>
      <c r="AP396" s="24" t="e">
        <f>VLOOKUP(C396,#REF!,6,FALSE)</f>
        <v>#REF!</v>
      </c>
      <c r="AQ396" s="24" t="e">
        <f>VLOOKUP(C396,#REF!,7,FALSE)</f>
        <v>#REF!</v>
      </c>
      <c r="AR396" s="24" t="e">
        <f>VLOOKUP(C396,#REF!,12,FALSE)</f>
        <v>#REF!</v>
      </c>
      <c r="AS396" s="24" t="e">
        <f>VLOOKUP(C396,#REF!,13,FALSE)</f>
        <v>#REF!</v>
      </c>
      <c r="AT396" s="100"/>
      <c r="AU396" s="100"/>
      <c r="AV396" s="100">
        <v>384</v>
      </c>
      <c r="AW396" s="100"/>
      <c r="AY396" s="112">
        <v>13900</v>
      </c>
    </row>
    <row r="397" spans="1:51" s="2" customFormat="1" ht="12.75" customHeight="1" x14ac:dyDescent="0.25">
      <c r="B397" s="3"/>
      <c r="C397" s="3"/>
      <c r="D397" s="17"/>
      <c r="H397" s="132"/>
      <c r="I397" s="132"/>
      <c r="J397" s="134"/>
      <c r="K397" s="132"/>
      <c r="L397" s="18"/>
      <c r="M397" s="132"/>
      <c r="N397" s="132"/>
      <c r="O397" s="132"/>
      <c r="P397" s="132"/>
      <c r="Q397" s="147"/>
      <c r="R397" s="356"/>
      <c r="S397" s="360"/>
      <c r="T397" s="307"/>
      <c r="U397" s="135"/>
      <c r="V397" s="100"/>
      <c r="W397"/>
      <c r="X397"/>
      <c r="Y397"/>
      <c r="Z397"/>
      <c r="AA397"/>
      <c r="AB397"/>
      <c r="AC397"/>
      <c r="AD397" s="263"/>
      <c r="AE397"/>
      <c r="AF397" s="100"/>
      <c r="AG397" s="263"/>
      <c r="AH397"/>
      <c r="AI397" s="100"/>
      <c r="AJ397" s="263"/>
      <c r="AK397"/>
      <c r="AL397" s="100"/>
      <c r="AM397" s="263"/>
      <c r="AN397"/>
      <c r="AO397" s="100"/>
      <c r="AP397" s="100"/>
      <c r="AQ397" s="100"/>
      <c r="AR397" s="100"/>
      <c r="AS397" s="100"/>
      <c r="AT397" s="100"/>
      <c r="AU397" s="100"/>
      <c r="AV397" s="100">
        <v>385</v>
      </c>
      <c r="AW397" s="100"/>
      <c r="AY397" s="18"/>
    </row>
    <row r="398" spans="1:51" s="2" customFormat="1" ht="12.75" customHeight="1" x14ac:dyDescent="0.25">
      <c r="A398" s="160" t="s">
        <v>632</v>
      </c>
      <c r="B398" s="168"/>
      <c r="C398" s="168"/>
      <c r="D398" s="179"/>
      <c r="E398" s="162"/>
      <c r="F398" s="162"/>
      <c r="G398" s="162"/>
      <c r="H398" s="132"/>
      <c r="I398" s="132"/>
      <c r="J398" s="134"/>
      <c r="K398" s="132"/>
      <c r="L398" s="18"/>
      <c r="M398" s="132"/>
      <c r="N398" s="132"/>
      <c r="O398" s="132"/>
      <c r="P398" s="132"/>
      <c r="Q398" s="147"/>
      <c r="R398" s="356"/>
      <c r="S398" s="360"/>
      <c r="T398" s="307"/>
      <c r="U398" s="135"/>
      <c r="V398" s="100"/>
      <c r="W398"/>
      <c r="X398"/>
      <c r="Y398"/>
      <c r="Z398"/>
      <c r="AA398"/>
      <c r="AB398"/>
      <c r="AC398"/>
      <c r="AD398" s="263"/>
      <c r="AE398"/>
      <c r="AF398" s="100"/>
      <c r="AG398" s="263"/>
      <c r="AH398"/>
      <c r="AI398" s="100"/>
      <c r="AJ398" s="263"/>
      <c r="AK398"/>
      <c r="AL398" s="100"/>
      <c r="AM398" s="263"/>
      <c r="AN398"/>
      <c r="AO398" s="100"/>
      <c r="AP398" s="100"/>
      <c r="AQ398" s="100"/>
      <c r="AR398" s="100"/>
      <c r="AS398" s="100"/>
      <c r="AT398" s="100"/>
      <c r="AU398" s="100"/>
      <c r="AV398" s="100">
        <v>386</v>
      </c>
      <c r="AW398" s="100"/>
      <c r="AY398" s="18"/>
    </row>
    <row r="399" spans="1:51" s="2" customFormat="1" ht="12.75" customHeight="1" x14ac:dyDescent="0.2">
      <c r="A399" s="7" t="s">
        <v>1315</v>
      </c>
      <c r="B399" s="8">
        <v>9789500210294</v>
      </c>
      <c r="C399" s="13">
        <v>671439</v>
      </c>
      <c r="D399" s="25">
        <v>96</v>
      </c>
      <c r="E399" s="9" t="s">
        <v>470</v>
      </c>
      <c r="F399" s="116" t="s">
        <v>1316</v>
      </c>
      <c r="G399" s="107">
        <v>43800</v>
      </c>
      <c r="H399" s="108">
        <v>43770</v>
      </c>
      <c r="I399" s="7">
        <v>2075</v>
      </c>
      <c r="J399" s="28" t="s">
        <v>1946</v>
      </c>
      <c r="K399" s="9">
        <v>64.09</v>
      </c>
      <c r="L399" s="112">
        <v>11500</v>
      </c>
      <c r="M399" s="9">
        <f>+L399*0.1</f>
        <v>1150</v>
      </c>
      <c r="N399" s="9">
        <f>+L399/2</f>
        <v>5750</v>
      </c>
      <c r="O399" s="9">
        <f>+N399-M399-K399</f>
        <v>4535.91</v>
      </c>
      <c r="P399" s="9">
        <f>+M399+K399</f>
        <v>1214.0899999999999</v>
      </c>
      <c r="Q399" s="139">
        <f>+O399/N399</f>
        <v>0.78885391304347818</v>
      </c>
      <c r="R399" s="335">
        <v>11500</v>
      </c>
      <c r="S399" s="359" t="s">
        <v>1948</v>
      </c>
      <c r="T399" s="305">
        <v>0.78885391304347818</v>
      </c>
      <c r="U399" s="144"/>
      <c r="V399" s="100"/>
      <c r="W399" s="110">
        <f>+L399</f>
        <v>11500</v>
      </c>
      <c r="X399" s="110">
        <f>+K399</f>
        <v>64.09</v>
      </c>
      <c r="Y399" s="110">
        <f>+M399</f>
        <v>1150</v>
      </c>
      <c r="Z399" s="110">
        <f>+W399/2-X399-Y399</f>
        <v>4535.91</v>
      </c>
      <c r="AA399" s="260">
        <f>+Z399/(W399/2)</f>
        <v>0.78885391304347818</v>
      </c>
      <c r="AB399" s="28">
        <f>ROUND($W399/2/$X$1,1)</f>
        <v>3.8</v>
      </c>
      <c r="AC399" s="261">
        <f>+(AB399*$X$1-$X399-$Y399)/(AB399*$X$1)</f>
        <v>0.78931924271608789</v>
      </c>
      <c r="AD399" s="111">
        <f>+IFERROR(ROUND(($X399+$Y399)/(1-$X$2)/$X$1,1),0)</f>
        <v>0.8</v>
      </c>
      <c r="AE399" s="262">
        <f>+(AD399*$X$1-$X399-$Y399)/(AD399*$X$1)</f>
        <v>-7.3359709858215676E-4</v>
      </c>
      <c r="AF399" s="100"/>
      <c r="AG399" s="111">
        <f>+IFERROR(ROUND(($X399+$Y399)/(1-$AG$2)/$X$1,1),0)</f>
        <v>1.3</v>
      </c>
      <c r="AH399" s="262">
        <f>+(AG399*$X$1-$X399-$Y399)/(AG399*$X$1)</f>
        <v>0.38416394024702638</v>
      </c>
      <c r="AI399" s="100"/>
      <c r="AJ399" s="111">
        <f>+IFERROR(ROUND(($X399+$Y399)/(1-$AJ$2)/$X$1,1),0)</f>
        <v>1.2</v>
      </c>
      <c r="AK399" s="262">
        <f>+(AJ399*$X$1-$X399-$Y399)/(AJ399*$X$1)</f>
        <v>0.33284426860094518</v>
      </c>
      <c r="AL399" s="100"/>
      <c r="AM399" s="111">
        <f>+IFERROR(ROUND(($X399+$Y399)/(1-$AM$2)/$X$1,1),0)</f>
        <v>1.1000000000000001</v>
      </c>
      <c r="AN399" s="262">
        <f>+(AM399*$X$1-$X399-$Y399)/(AM399*$X$1)</f>
        <v>0.27219374756466752</v>
      </c>
      <c r="AO399" s="100"/>
      <c r="AP399" s="24" t="e">
        <f>VLOOKUP(C399,#REF!,6,FALSE)</f>
        <v>#REF!</v>
      </c>
      <c r="AQ399" s="24" t="e">
        <f>VLOOKUP(C399,#REF!,7,FALSE)</f>
        <v>#REF!</v>
      </c>
      <c r="AR399" s="24" t="e">
        <f>VLOOKUP(C399,#REF!,12,FALSE)</f>
        <v>#REF!</v>
      </c>
      <c r="AS399" s="24" t="e">
        <f>VLOOKUP(C399,#REF!,13,FALSE)</f>
        <v>#REF!</v>
      </c>
      <c r="AT399" s="100"/>
      <c r="AU399" s="100"/>
      <c r="AV399" s="100">
        <v>387</v>
      </c>
      <c r="AW399" s="100"/>
      <c r="AY399" s="112">
        <v>11500</v>
      </c>
    </row>
    <row r="400" spans="1:51" s="2" customFormat="1" ht="12.75" customHeight="1" x14ac:dyDescent="0.2">
      <c r="A400" s="7" t="s">
        <v>1315</v>
      </c>
      <c r="B400" s="8">
        <v>9789500210287</v>
      </c>
      <c r="C400" s="13">
        <v>671440</v>
      </c>
      <c r="D400" s="25">
        <v>96</v>
      </c>
      <c r="E400" s="9" t="s">
        <v>470</v>
      </c>
      <c r="F400" s="116" t="s">
        <v>1317</v>
      </c>
      <c r="G400" s="107">
        <v>43800</v>
      </c>
      <c r="H400" s="108">
        <v>43770</v>
      </c>
      <c r="I400" s="7">
        <v>2055</v>
      </c>
      <c r="J400" s="28" t="s">
        <v>1946</v>
      </c>
      <c r="K400" s="9">
        <v>65.150000000000006</v>
      </c>
      <c r="L400" s="112">
        <v>11500</v>
      </c>
      <c r="M400" s="9">
        <f>+L400*0.1</f>
        <v>1150</v>
      </c>
      <c r="N400" s="9">
        <f>+L400/2</f>
        <v>5750</v>
      </c>
      <c r="O400" s="9">
        <f>+N400-M400-K400</f>
        <v>4534.8500000000004</v>
      </c>
      <c r="P400" s="9">
        <f>+M400+K400</f>
        <v>1215.1500000000001</v>
      </c>
      <c r="Q400" s="139">
        <f>+O400/N400</f>
        <v>0.7886695652173914</v>
      </c>
      <c r="R400" s="335">
        <v>11500</v>
      </c>
      <c r="S400" s="359" t="s">
        <v>1948</v>
      </c>
      <c r="T400" s="305">
        <v>0.7886695652173914</v>
      </c>
      <c r="U400" s="144"/>
      <c r="V400" s="100"/>
      <c r="W400" s="110">
        <f>+L400</f>
        <v>11500</v>
      </c>
      <c r="X400" s="110">
        <f>+K400</f>
        <v>65.150000000000006</v>
      </c>
      <c r="Y400" s="110">
        <f>+M400</f>
        <v>1150</v>
      </c>
      <c r="Z400" s="110">
        <f>+W400/2-X400-Y400</f>
        <v>4534.8500000000004</v>
      </c>
      <c r="AA400" s="260">
        <f>+Z400/(W400/2)</f>
        <v>0.7886695652173914</v>
      </c>
      <c r="AB400" s="28">
        <f>ROUND($W400/2/$X$1,1)</f>
        <v>3.8</v>
      </c>
      <c r="AC400" s="261">
        <f>+(AB400*$X$1-$X400-$Y400)/(AB400*$X$1)</f>
        <v>0.78913530116091424</v>
      </c>
      <c r="AD400" s="111">
        <f>+IFERROR(ROUND(($X400+$Y400)/(1-$X$2)/$X$1,1),0)</f>
        <v>0.8</v>
      </c>
      <c r="AE400" s="262">
        <f>+(AD400*$X$1-$X400-$Y400)/(AD400*$X$1)</f>
        <v>-1.607319485657802E-3</v>
      </c>
      <c r="AF400" s="100"/>
      <c r="AG400" s="111">
        <f>+IFERROR(ROUND(($X400+$Y400)/(1-$AG$2)/$X$1,1),0)</f>
        <v>1.3</v>
      </c>
      <c r="AH400" s="262">
        <f>+(AG400*$X$1-$X400-$Y400)/(AG400*$X$1)</f>
        <v>0.38362626493190288</v>
      </c>
      <c r="AI400" s="100"/>
      <c r="AJ400" s="111">
        <f>+IFERROR(ROUND(($X400+$Y400)/(1-$AJ$2)/$X$1,1),0)</f>
        <v>1.2</v>
      </c>
      <c r="AK400" s="262">
        <f>+(AJ400*$X$1-$X400-$Y400)/(AJ400*$X$1)</f>
        <v>0.33226178700956144</v>
      </c>
      <c r="AL400" s="100"/>
      <c r="AM400" s="111">
        <f>+IFERROR(ROUND(($X400+$Y400)/(1-$AM$2)/$X$1,1),0)</f>
        <v>1.1000000000000001</v>
      </c>
      <c r="AN400" s="262">
        <f>+(AM400*$X$1-$X400-$Y400)/(AM400*$X$1)</f>
        <v>0.27155831310133977</v>
      </c>
      <c r="AO400" s="100"/>
      <c r="AP400" s="24" t="e">
        <f>VLOOKUP(C400,#REF!,6,FALSE)</f>
        <v>#REF!</v>
      </c>
      <c r="AQ400" s="24" t="e">
        <f>VLOOKUP(C400,#REF!,7,FALSE)</f>
        <v>#REF!</v>
      </c>
      <c r="AR400" s="24" t="e">
        <f>VLOOKUP(C400,#REF!,12,FALSE)</f>
        <v>#REF!</v>
      </c>
      <c r="AS400" s="24" t="e">
        <f>VLOOKUP(C400,#REF!,13,FALSE)</f>
        <v>#REF!</v>
      </c>
      <c r="AT400" s="100"/>
      <c r="AU400" s="100"/>
      <c r="AV400" s="100">
        <v>388</v>
      </c>
      <c r="AW400" s="100"/>
      <c r="AY400" s="112">
        <v>11500</v>
      </c>
    </row>
    <row r="401" spans="1:51" s="2" customFormat="1" ht="12.75" customHeight="1" x14ac:dyDescent="0.25">
      <c r="A401" s="132"/>
      <c r="B401" s="133"/>
      <c r="C401" s="133"/>
      <c r="D401" s="154"/>
      <c r="E401" s="132"/>
      <c r="F401" s="132"/>
      <c r="G401" s="132"/>
      <c r="H401" s="132"/>
      <c r="I401" s="132"/>
      <c r="J401" s="134"/>
      <c r="K401" s="132"/>
      <c r="L401" s="134"/>
      <c r="M401" s="132"/>
      <c r="N401" s="132"/>
      <c r="O401" s="132"/>
      <c r="P401" s="132"/>
      <c r="Q401" s="147"/>
      <c r="R401" s="356"/>
      <c r="S401" s="360"/>
      <c r="T401" s="307"/>
      <c r="U401" s="135"/>
      <c r="V401" s="100"/>
      <c r="W401"/>
      <c r="X401"/>
      <c r="Y401"/>
      <c r="Z401"/>
      <c r="AA401"/>
      <c r="AB401"/>
      <c r="AC401"/>
      <c r="AD401" s="263"/>
      <c r="AE401"/>
      <c r="AF401" s="100"/>
      <c r="AG401" s="263"/>
      <c r="AH401"/>
      <c r="AI401" s="100"/>
      <c r="AJ401" s="263"/>
      <c r="AK401"/>
      <c r="AL401" s="100"/>
      <c r="AM401" s="263"/>
      <c r="AN401"/>
      <c r="AO401" s="100"/>
      <c r="AP401" s="100"/>
      <c r="AQ401" s="100"/>
      <c r="AR401" s="100"/>
      <c r="AS401" s="100"/>
      <c r="AT401" s="100"/>
      <c r="AU401" s="100"/>
      <c r="AV401" s="100">
        <v>389</v>
      </c>
      <c r="AW401" s="100"/>
      <c r="AY401" s="134"/>
    </row>
    <row r="402" spans="1:51" s="2" customFormat="1" ht="12.75" customHeight="1" x14ac:dyDescent="0.25">
      <c r="A402" s="160" t="s">
        <v>2371</v>
      </c>
      <c r="B402" s="168"/>
      <c r="C402" s="168"/>
      <c r="D402" s="179"/>
      <c r="E402" s="162"/>
      <c r="F402" s="162"/>
      <c r="G402" s="162"/>
      <c r="H402" s="132"/>
      <c r="I402" s="132"/>
      <c r="J402" s="134"/>
      <c r="K402" s="132"/>
      <c r="L402" s="18"/>
      <c r="M402" s="132"/>
      <c r="N402" s="132"/>
      <c r="O402" s="132"/>
      <c r="P402" s="132"/>
      <c r="Q402" s="147"/>
      <c r="R402" s="356"/>
      <c r="S402" s="360"/>
      <c r="T402" s="307"/>
      <c r="U402" s="135"/>
      <c r="V402" s="100"/>
      <c r="W402"/>
      <c r="X402"/>
      <c r="Y402"/>
      <c r="Z402"/>
      <c r="AA402"/>
      <c r="AB402"/>
      <c r="AC402"/>
      <c r="AD402" s="263"/>
      <c r="AE402"/>
      <c r="AF402" s="100"/>
      <c r="AG402" s="263"/>
      <c r="AH402"/>
      <c r="AI402" s="100"/>
      <c r="AJ402" s="263"/>
      <c r="AK402"/>
      <c r="AL402" s="100"/>
      <c r="AM402" s="263"/>
      <c r="AN402"/>
      <c r="AO402" s="100"/>
      <c r="AP402" s="100"/>
      <c r="AQ402" s="100"/>
      <c r="AR402" s="100"/>
      <c r="AS402" s="100"/>
      <c r="AT402" s="100"/>
      <c r="AU402" s="100"/>
      <c r="AV402" s="100">
        <v>390</v>
      </c>
      <c r="AW402" s="100"/>
      <c r="AY402" s="18"/>
    </row>
    <row r="403" spans="1:51" s="2" customFormat="1" ht="12.75" customHeight="1" x14ac:dyDescent="0.2">
      <c r="A403" s="7" t="s">
        <v>2366</v>
      </c>
      <c r="B403" s="8">
        <v>9789500217897</v>
      </c>
      <c r="C403" s="8">
        <v>747599</v>
      </c>
      <c r="D403" s="7">
        <v>128</v>
      </c>
      <c r="E403" s="7" t="s">
        <v>2367</v>
      </c>
      <c r="F403" s="7" t="s">
        <v>2368</v>
      </c>
      <c r="G403" s="107">
        <v>46235</v>
      </c>
      <c r="H403" s="108">
        <v>46204</v>
      </c>
      <c r="I403" s="267">
        <v>5000</v>
      </c>
      <c r="J403" s="7" t="s">
        <v>1894</v>
      </c>
      <c r="K403" s="148">
        <v>3166.5</v>
      </c>
      <c r="L403" s="9">
        <v>21900</v>
      </c>
      <c r="M403" s="9"/>
      <c r="N403" s="9">
        <f>+L403/2</f>
        <v>10950</v>
      </c>
      <c r="O403" s="9">
        <f>+N403-M403-K403</f>
        <v>7783.5</v>
      </c>
      <c r="P403" s="9">
        <f>+M403+K403</f>
        <v>3166.5</v>
      </c>
      <c r="Q403" s="139">
        <f>+O403/N403</f>
        <v>0.71082191780821913</v>
      </c>
      <c r="R403" s="370">
        <v>21900</v>
      </c>
      <c r="S403" s="359" t="s">
        <v>1948</v>
      </c>
      <c r="T403" s="305">
        <v>0.78885391304347818</v>
      </c>
      <c r="U403" s="144"/>
      <c r="V403" s="100"/>
      <c r="W403" s="110">
        <f>+L403</f>
        <v>21900</v>
      </c>
      <c r="X403" s="110">
        <f>+K403</f>
        <v>3166.5</v>
      </c>
      <c r="Y403" s="110">
        <f>+M403</f>
        <v>0</v>
      </c>
      <c r="Z403" s="110">
        <f>+W403/2-X403-Y403</f>
        <v>7783.5</v>
      </c>
      <c r="AA403" s="260">
        <f>+Z403/(W403/2)</f>
        <v>0.71082191780821913</v>
      </c>
      <c r="AB403" s="28">
        <f>ROUND($W403/2/$X$1,1)</f>
        <v>7.2</v>
      </c>
      <c r="AC403" s="261">
        <f>+(AB403*$X$1-$X403-$Y403)/(AB403*$X$1)</f>
        <v>0.70999560391251793</v>
      </c>
      <c r="AD403" s="111">
        <f>+IFERROR(ROUND(($X403+$Y403)/(1-$X$2)/$X$1,1),0)</f>
        <v>2.2000000000000002</v>
      </c>
      <c r="AE403" s="262">
        <f>+(AD403*$X$1-$X403-$Y403)/(AD403*$X$1)</f>
        <v>5.0894703713694867E-2</v>
      </c>
      <c r="AF403" s="100"/>
      <c r="AG403" s="111">
        <f>+IFERROR(ROUND(($X403+$Y403)/(1-$AG$2)/$X$1,1),0)</f>
        <v>3.5</v>
      </c>
      <c r="AH403" s="262">
        <f>+(AG403*$X$1-$X403-$Y403)/(AG403*$X$1)</f>
        <v>0.40341952804860814</v>
      </c>
      <c r="AI403" s="100"/>
      <c r="AJ403" s="111">
        <f>+IFERROR(ROUND(($X403+$Y403)/(1-$AJ$2)/$X$1,1),0)</f>
        <v>3.2</v>
      </c>
      <c r="AK403" s="262">
        <f>+(AJ403*$X$1-$X403-$Y403)/(AJ403*$X$1)</f>
        <v>0.34749010880316522</v>
      </c>
      <c r="AL403" s="100"/>
      <c r="AM403" s="111">
        <f>+IFERROR(ROUND(($X403+$Y403)/(1-$AM$2)/$X$1,1),0)</f>
        <v>3</v>
      </c>
      <c r="AN403" s="262">
        <f>+(AM403*$X$1-$X403-$Y403)/(AM403*$X$1)</f>
        <v>0.30398944939004285</v>
      </c>
      <c r="AO403" s="100"/>
      <c r="AP403" s="24" t="e">
        <f>VLOOKUP(C403,#REF!,6,FALSE)</f>
        <v>#REF!</v>
      </c>
      <c r="AQ403" s="24" t="e">
        <f>VLOOKUP(C403,#REF!,7,FALSE)</f>
        <v>#REF!</v>
      </c>
      <c r="AR403" s="24" t="e">
        <f>VLOOKUP(C403,#REF!,12,FALSE)</f>
        <v>#REF!</v>
      </c>
      <c r="AS403" s="24" t="e">
        <f>VLOOKUP(C403,#REF!,13,FALSE)</f>
        <v>#REF!</v>
      </c>
      <c r="AT403" s="100"/>
      <c r="AU403" s="100"/>
      <c r="AV403" s="100">
        <v>391</v>
      </c>
      <c r="AW403" s="100"/>
      <c r="AY403" s="9">
        <v>21900</v>
      </c>
    </row>
    <row r="404" spans="1:51" s="2" customFormat="1" ht="12.75" customHeight="1" x14ac:dyDescent="0.2">
      <c r="A404" s="7" t="s">
        <v>2369</v>
      </c>
      <c r="B404" s="8">
        <v>9789500217880</v>
      </c>
      <c r="C404" s="8">
        <v>747600</v>
      </c>
      <c r="D404" s="7">
        <v>128</v>
      </c>
      <c r="E404" s="7" t="s">
        <v>2367</v>
      </c>
      <c r="F404" s="7" t="s">
        <v>2370</v>
      </c>
      <c r="G404" s="107">
        <v>46235</v>
      </c>
      <c r="H404" s="108">
        <v>46204</v>
      </c>
      <c r="I404" s="116">
        <v>5000</v>
      </c>
      <c r="J404" s="7" t="s">
        <v>1894</v>
      </c>
      <c r="K404" s="148">
        <v>3142.5</v>
      </c>
      <c r="L404" s="9">
        <v>21900</v>
      </c>
      <c r="M404" s="9"/>
      <c r="N404" s="9">
        <f>+L404/2</f>
        <v>10950</v>
      </c>
      <c r="O404" s="9">
        <f>+N404-M404-K404</f>
        <v>7807.5</v>
      </c>
      <c r="P404" s="9">
        <f>+M404+K404</f>
        <v>3142.5</v>
      </c>
      <c r="Q404" s="139">
        <f>+O404/N404</f>
        <v>0.71301369863013697</v>
      </c>
      <c r="R404" s="370">
        <v>21900</v>
      </c>
      <c r="S404" s="359" t="s">
        <v>1948</v>
      </c>
      <c r="T404" s="305">
        <v>0.7886695652173914</v>
      </c>
      <c r="U404" s="144"/>
      <c r="V404" s="100"/>
      <c r="W404" s="110">
        <f>+L404</f>
        <v>21900</v>
      </c>
      <c r="X404" s="110">
        <f>+K404</f>
        <v>3142.5</v>
      </c>
      <c r="Y404" s="110">
        <f>+M404</f>
        <v>0</v>
      </c>
      <c r="Z404" s="110">
        <f>+W404/2-X404-Y404</f>
        <v>7807.5</v>
      </c>
      <c r="AA404" s="260">
        <f>+Z404/(W404/2)</f>
        <v>0.71301369863013697</v>
      </c>
      <c r="AB404" s="28">
        <f>ROUND($W404/2/$X$1,1)</f>
        <v>7.2</v>
      </c>
      <c r="AC404" s="261">
        <f>+(AB404*$X$1-$X404-$Y404)/(AB404*$X$1)</f>
        <v>0.71219364765358828</v>
      </c>
      <c r="AD404" s="111">
        <f>+IFERROR(ROUND(($X404+$Y404)/(1-$X$2)/$X$1,1),0)</f>
        <v>2.2000000000000002</v>
      </c>
      <c r="AE404" s="262">
        <f>+(AD404*$X$1-$X404-$Y404)/(AD404*$X$1)</f>
        <v>5.8088301411743599E-2</v>
      </c>
      <c r="AF404" s="100"/>
      <c r="AG404" s="111">
        <f>+IFERROR(ROUND(($X404+$Y404)/(1-$AG$2)/$X$1,1),0)</f>
        <v>3.5</v>
      </c>
      <c r="AH404" s="262">
        <f>+(AG404*$X$1-$X404-$Y404)/(AG404*$X$1)</f>
        <v>0.40794121803023881</v>
      </c>
      <c r="AI404" s="100"/>
      <c r="AJ404" s="111">
        <f>+IFERROR(ROUND(($X404+$Y404)/(1-$AJ$2)/$X$1,1),0)</f>
        <v>3.2</v>
      </c>
      <c r="AK404" s="262">
        <f>+(AJ404*$X$1-$X404-$Y404)/(AJ404*$X$1)</f>
        <v>0.35243570722057371</v>
      </c>
      <c r="AL404" s="100"/>
      <c r="AM404" s="111">
        <f>+IFERROR(ROUND(($X404+$Y404)/(1-$AM$2)/$X$1,1),0)</f>
        <v>3</v>
      </c>
      <c r="AN404" s="262">
        <f>+(AM404*$X$1-$X404-$Y404)/(AM404*$X$1)</f>
        <v>0.30926475436861195</v>
      </c>
      <c r="AO404" s="100"/>
      <c r="AP404" s="24" t="e">
        <f>VLOOKUP(C404,#REF!,6,FALSE)</f>
        <v>#REF!</v>
      </c>
      <c r="AQ404" s="24" t="e">
        <f>VLOOKUP(C404,#REF!,7,FALSE)</f>
        <v>#REF!</v>
      </c>
      <c r="AR404" s="24" t="e">
        <f>VLOOKUP(C404,#REF!,12,FALSE)</f>
        <v>#REF!</v>
      </c>
      <c r="AS404" s="24" t="e">
        <f>VLOOKUP(C404,#REF!,13,FALSE)</f>
        <v>#REF!</v>
      </c>
      <c r="AT404" s="100"/>
      <c r="AU404" s="100"/>
      <c r="AV404" s="100">
        <v>392</v>
      </c>
      <c r="AW404" s="100"/>
      <c r="AY404" s="9">
        <v>21900</v>
      </c>
    </row>
    <row r="405" spans="1:51" s="2" customFormat="1" ht="12.75" customHeight="1" x14ac:dyDescent="0.25">
      <c r="A405" s="132"/>
      <c r="B405" s="133"/>
      <c r="C405" s="133"/>
      <c r="D405" s="154"/>
      <c r="E405" s="132"/>
      <c r="F405" s="132"/>
      <c r="G405" s="132"/>
      <c r="H405" s="132"/>
      <c r="I405" s="132"/>
      <c r="J405" s="134"/>
      <c r="K405" s="132"/>
      <c r="L405" s="134"/>
      <c r="M405" s="132"/>
      <c r="N405" s="132"/>
      <c r="O405" s="132"/>
      <c r="P405" s="132"/>
      <c r="Q405" s="147"/>
      <c r="R405" s="356"/>
      <c r="S405" s="360"/>
      <c r="T405" s="307"/>
      <c r="U405" s="135"/>
      <c r="V405" s="100"/>
      <c r="W405"/>
      <c r="X405"/>
      <c r="Y405"/>
      <c r="Z405"/>
      <c r="AA405"/>
      <c r="AB405"/>
      <c r="AC405"/>
      <c r="AD405" s="263"/>
      <c r="AE405"/>
      <c r="AF405" s="100"/>
      <c r="AG405" s="263"/>
      <c r="AH405"/>
      <c r="AI405" s="100"/>
      <c r="AJ405" s="263"/>
      <c r="AK405"/>
      <c r="AL405" s="100"/>
      <c r="AM405" s="263"/>
      <c r="AN405"/>
      <c r="AO405" s="100"/>
      <c r="AP405" s="100"/>
      <c r="AQ405" s="100"/>
      <c r="AR405" s="100"/>
      <c r="AS405" s="100"/>
      <c r="AT405" s="100"/>
      <c r="AU405" s="100"/>
      <c r="AV405" s="100">
        <v>393</v>
      </c>
      <c r="AW405" s="100"/>
      <c r="AY405" s="134"/>
    </row>
    <row r="406" spans="1:51" s="2" customFormat="1" ht="12.75" customHeight="1" thickBot="1" x14ac:dyDescent="0.3">
      <c r="A406" s="132"/>
      <c r="B406" s="133"/>
      <c r="C406" s="133"/>
      <c r="D406" s="154"/>
      <c r="E406" s="132"/>
      <c r="F406" s="132"/>
      <c r="G406" s="132"/>
      <c r="H406" s="132"/>
      <c r="I406" s="132"/>
      <c r="J406" s="134"/>
      <c r="K406" s="132"/>
      <c r="L406" s="134"/>
      <c r="M406" s="132"/>
      <c r="N406" s="132"/>
      <c r="O406" s="132"/>
      <c r="P406" s="132"/>
      <c r="Q406" s="147"/>
      <c r="R406" s="356"/>
      <c r="S406" s="360"/>
      <c r="T406" s="307"/>
      <c r="U406" s="135"/>
      <c r="V406" s="100"/>
      <c r="W406"/>
      <c r="X406"/>
      <c r="Y406"/>
      <c r="Z406"/>
      <c r="AA406"/>
      <c r="AB406"/>
      <c r="AC406"/>
      <c r="AD406" s="263"/>
      <c r="AE406"/>
      <c r="AF406" s="100"/>
      <c r="AG406" s="263"/>
      <c r="AH406"/>
      <c r="AI406" s="100"/>
      <c r="AJ406" s="263"/>
      <c r="AK406"/>
      <c r="AL406" s="100"/>
      <c r="AM406" s="263"/>
      <c r="AN406"/>
      <c r="AO406" s="100"/>
      <c r="AP406" s="100"/>
      <c r="AQ406" s="100"/>
      <c r="AR406" s="100"/>
      <c r="AS406" s="100"/>
      <c r="AT406" s="100"/>
      <c r="AU406" s="100"/>
      <c r="AV406" s="100">
        <v>394</v>
      </c>
      <c r="AW406" s="100"/>
      <c r="AY406" s="134"/>
    </row>
    <row r="407" spans="1:51" s="2" customFormat="1" ht="12.75" customHeight="1" x14ac:dyDescent="0.25">
      <c r="A407" s="132"/>
      <c r="B407" s="133"/>
      <c r="C407" s="133"/>
      <c r="D407" s="154"/>
      <c r="E407" s="104" t="s">
        <v>1318</v>
      </c>
      <c r="F407" s="156"/>
      <c r="G407" s="132"/>
      <c r="H407" s="132"/>
      <c r="I407" s="132"/>
      <c r="J407" s="134"/>
      <c r="K407" s="132"/>
      <c r="L407" s="134"/>
      <c r="M407" s="132"/>
      <c r="N407" s="132"/>
      <c r="O407" s="132"/>
      <c r="P407" s="132"/>
      <c r="Q407" s="147"/>
      <c r="R407" s="356"/>
      <c r="S407" s="360"/>
      <c r="T407" s="307"/>
      <c r="U407" s="135"/>
      <c r="V407" s="100"/>
      <c r="W407"/>
      <c r="X407"/>
      <c r="Y407"/>
      <c r="Z407"/>
      <c r="AA407"/>
      <c r="AB407"/>
      <c r="AC407"/>
      <c r="AD407" s="263"/>
      <c r="AE407"/>
      <c r="AF407" s="100"/>
      <c r="AG407" s="263"/>
      <c r="AH407"/>
      <c r="AI407" s="100"/>
      <c r="AJ407" s="263"/>
      <c r="AK407"/>
      <c r="AL407" s="100"/>
      <c r="AM407" s="263"/>
      <c r="AN407"/>
      <c r="AO407" s="100"/>
      <c r="AP407" s="100"/>
      <c r="AQ407" s="100"/>
      <c r="AR407" s="100"/>
      <c r="AS407" s="100"/>
      <c r="AT407" s="100"/>
      <c r="AU407" s="100"/>
      <c r="AV407" s="100">
        <v>395</v>
      </c>
      <c r="AW407" s="100"/>
      <c r="AY407" s="134"/>
    </row>
    <row r="408" spans="1:51" s="132" customFormat="1" ht="12.75" customHeight="1" x14ac:dyDescent="0.2">
      <c r="A408" s="7" t="s">
        <v>2441</v>
      </c>
      <c r="B408" s="8">
        <v>9789500218351</v>
      </c>
      <c r="C408" s="8">
        <v>751232</v>
      </c>
      <c r="D408" s="7">
        <v>304</v>
      </c>
      <c r="E408" s="7" t="s">
        <v>2442</v>
      </c>
      <c r="F408" s="7" t="s">
        <v>2443</v>
      </c>
      <c r="G408" s="107">
        <v>46296</v>
      </c>
      <c r="H408" s="108">
        <v>46266</v>
      </c>
      <c r="I408" s="116">
        <v>3555</v>
      </c>
      <c r="J408" s="6" t="s">
        <v>2160</v>
      </c>
      <c r="K408" s="148">
        <v>2800.62</v>
      </c>
      <c r="L408" s="352">
        <v>32500</v>
      </c>
      <c r="M408" s="112">
        <f t="shared" ref="M408:M413" si="309">+L408*0.08</f>
        <v>2600</v>
      </c>
      <c r="N408" s="9">
        <f t="shared" ref="N408:N409" si="310">+L408/2</f>
        <v>16250</v>
      </c>
      <c r="O408" s="9">
        <f t="shared" ref="O408:O409" si="311">+N408-M408-K408</f>
        <v>10849.380000000001</v>
      </c>
      <c r="P408" s="9">
        <f t="shared" ref="P408:P409" si="312">+M408+K408</f>
        <v>5400.62</v>
      </c>
      <c r="Q408" s="139">
        <f t="shared" ref="Q408:Q409" si="313">+O408/N408</f>
        <v>0.6676541538461539</v>
      </c>
      <c r="R408" s="365">
        <v>32500</v>
      </c>
      <c r="S408" s="359" t="s">
        <v>2140</v>
      </c>
      <c r="T408" s="305">
        <v>0.68704025157232695</v>
      </c>
      <c r="U408" s="144"/>
      <c r="V408" s="100"/>
      <c r="W408" s="110">
        <f t="shared" ref="W408:W409" si="314">+L408</f>
        <v>32500</v>
      </c>
      <c r="X408" s="110">
        <f t="shared" ref="X408:X409" si="315">+K408</f>
        <v>2800.62</v>
      </c>
      <c r="Y408" s="110">
        <f t="shared" ref="Y408:Y409" si="316">+M408</f>
        <v>2600</v>
      </c>
      <c r="Z408" s="110">
        <f t="shared" ref="Z408:Z409" si="317">+W408/2-X408-Y408</f>
        <v>10849.380000000001</v>
      </c>
      <c r="AA408" s="260">
        <f t="shared" ref="AA408:AA409" si="318">+Z408/(W408/2)</f>
        <v>0.6676541538461539</v>
      </c>
      <c r="AB408" s="28">
        <f t="shared" ref="AB408:AB443" si="319">ROUND($W408/2/$X$1,1)</f>
        <v>10.7</v>
      </c>
      <c r="AC408" s="261">
        <f t="shared" ref="AC408:AC409" si="320">+(AB408*$X$1-$X408-$Y408)/(AB408*$X$1)</f>
        <v>0.66717386012430246</v>
      </c>
      <c r="AD408" s="111">
        <f t="shared" ref="AD408:AD443" si="321">+IFERROR(ROUND(($X408+$Y408)/(1-$X$2)/$X$1,1),0)</f>
        <v>3.7</v>
      </c>
      <c r="AE408" s="262">
        <f t="shared" ref="AE408:AE409" si="322">+(AD408*$X$1-$X408-$Y408)/(AD408*$X$1)</f>
        <v>3.7502784683793637E-2</v>
      </c>
      <c r="AF408" s="100"/>
      <c r="AG408" s="111">
        <f t="shared" ref="AG408:AG443" si="323">+IFERROR(ROUND(($X408+$Y408)/(1-$AG$2)/$X$1,1),0)</f>
        <v>5.9</v>
      </c>
      <c r="AH408" s="262">
        <f t="shared" ref="AH408:AH409" si="324">+(AG408*$X$1-$X408-$Y408)/(AG408*$X$1)</f>
        <v>0.39640005141187057</v>
      </c>
      <c r="AI408" s="100"/>
      <c r="AJ408" s="111">
        <f t="shared" ref="AJ408:AJ443" si="325">+IFERROR(ROUND(($X408+$Y408)/(1-$AJ$2)/$X$1,1),0)</f>
        <v>5.5</v>
      </c>
      <c r="AK408" s="262">
        <f t="shared" ref="AK408:AK409" si="326">+(AJ408*$X$1-$X408-$Y408)/(AJ408*$X$1)</f>
        <v>0.35250187333273386</v>
      </c>
      <c r="AL408" s="100"/>
      <c r="AM408" s="111">
        <f t="shared" ref="AM408:AM443" si="327">+IFERROR(ROUND(($X408+$Y408)/(1-$AM$2)/$X$1,1),0)</f>
        <v>5.0999999999999996</v>
      </c>
      <c r="AN408" s="262">
        <f t="shared" ref="AN408:AN409" si="328">+(AM408*$X$1-$X408-$Y408)/(AM408*$X$1)</f>
        <v>0.30171770653530122</v>
      </c>
      <c r="AO408" s="100"/>
      <c r="AP408" s="24" t="e">
        <f>VLOOKUP(C408,#REF!,6,FALSE)</f>
        <v>#REF!</v>
      </c>
      <c r="AQ408" s="24" t="e">
        <f>VLOOKUP(C408,#REF!,7,FALSE)</f>
        <v>#REF!</v>
      </c>
      <c r="AR408" s="24" t="e">
        <f>VLOOKUP(C408,#REF!,12,FALSE)</f>
        <v>#REF!</v>
      </c>
      <c r="AS408" s="24" t="e">
        <f>VLOOKUP(C408,#REF!,13,FALSE)</f>
        <v>#REF!</v>
      </c>
      <c r="AT408" s="100"/>
      <c r="AU408" s="3"/>
      <c r="AV408" s="100">
        <v>396</v>
      </c>
      <c r="AW408" s="100"/>
      <c r="AY408" s="352">
        <v>29500</v>
      </c>
    </row>
    <row r="409" spans="1:51" s="132" customFormat="1" ht="12.75" customHeight="1" x14ac:dyDescent="0.2">
      <c r="A409" s="7" t="s">
        <v>2444</v>
      </c>
      <c r="B409" s="8">
        <v>9789500218252</v>
      </c>
      <c r="C409" s="8">
        <v>751233</v>
      </c>
      <c r="D409" s="7">
        <v>240</v>
      </c>
      <c r="E409" s="7" t="s">
        <v>2095</v>
      </c>
      <c r="F409" s="7" t="s">
        <v>2445</v>
      </c>
      <c r="G409" s="107">
        <v>46296</v>
      </c>
      <c r="H409" s="108">
        <v>46266</v>
      </c>
      <c r="I409" s="116">
        <v>3510</v>
      </c>
      <c r="J409" s="6" t="s">
        <v>2160</v>
      </c>
      <c r="K409" s="148">
        <v>3302.64</v>
      </c>
      <c r="L409" s="352">
        <v>31700</v>
      </c>
      <c r="M409" s="112">
        <f t="shared" si="309"/>
        <v>2536</v>
      </c>
      <c r="N409" s="9">
        <f t="shared" si="310"/>
        <v>15850</v>
      </c>
      <c r="O409" s="9">
        <f t="shared" si="311"/>
        <v>10011.36</v>
      </c>
      <c r="P409" s="9">
        <f t="shared" si="312"/>
        <v>5838.6399999999994</v>
      </c>
      <c r="Q409" s="139">
        <f t="shared" si="313"/>
        <v>0.63163154574132496</v>
      </c>
      <c r="R409" s="365">
        <v>31700</v>
      </c>
      <c r="S409" s="359" t="s">
        <v>2140</v>
      </c>
      <c r="T409" s="305">
        <v>0.68704025157232695</v>
      </c>
      <c r="U409" s="144"/>
      <c r="V409" s="100"/>
      <c r="W409" s="110">
        <f t="shared" si="314"/>
        <v>31700</v>
      </c>
      <c r="X409" s="110">
        <f t="shared" si="315"/>
        <v>3302.64</v>
      </c>
      <c r="Y409" s="110">
        <f t="shared" si="316"/>
        <v>2536</v>
      </c>
      <c r="Z409" s="110">
        <f t="shared" si="317"/>
        <v>10011.36</v>
      </c>
      <c r="AA409" s="260">
        <f t="shared" si="318"/>
        <v>0.63163154574132496</v>
      </c>
      <c r="AB409" s="28">
        <f t="shared" si="319"/>
        <v>10.5</v>
      </c>
      <c r="AC409" s="261">
        <f t="shared" si="320"/>
        <v>0.63332611118961268</v>
      </c>
      <c r="AD409" s="111">
        <f t="shared" si="321"/>
        <v>4.0999999999999996</v>
      </c>
      <c r="AE409" s="262">
        <f t="shared" si="322"/>
        <v>6.0957114022178766E-2</v>
      </c>
      <c r="AF409" s="100"/>
      <c r="AG409" s="111">
        <f t="shared" si="323"/>
        <v>6.4</v>
      </c>
      <c r="AH409" s="262">
        <f t="shared" si="324"/>
        <v>0.39842565117045836</v>
      </c>
      <c r="AI409" s="100"/>
      <c r="AJ409" s="111">
        <f t="shared" si="325"/>
        <v>5.9</v>
      </c>
      <c r="AK409" s="262">
        <f t="shared" si="326"/>
        <v>0.34744477415100572</v>
      </c>
      <c r="AL409" s="100"/>
      <c r="AM409" s="111">
        <f t="shared" si="327"/>
        <v>5.5</v>
      </c>
      <c r="AN409" s="262">
        <f t="shared" si="328"/>
        <v>0.2999862122710788</v>
      </c>
      <c r="AO409" s="100"/>
      <c r="AP409" s="24" t="e">
        <f>VLOOKUP(C409,#REF!,6,FALSE)</f>
        <v>#REF!</v>
      </c>
      <c r="AQ409" s="24" t="e">
        <f>VLOOKUP(C409,#REF!,7,FALSE)</f>
        <v>#REF!</v>
      </c>
      <c r="AR409" s="24" t="e">
        <f>VLOOKUP(C409,#REF!,12,FALSE)</f>
        <v>#REF!</v>
      </c>
      <c r="AS409" s="24" t="e">
        <f>VLOOKUP(C409,#REF!,13,FALSE)</f>
        <v>#REF!</v>
      </c>
      <c r="AT409" s="100"/>
      <c r="AU409" s="3"/>
      <c r="AV409" s="100">
        <v>397</v>
      </c>
      <c r="AW409" s="100"/>
      <c r="AY409" s="9">
        <v>25900</v>
      </c>
    </row>
    <row r="410" spans="1:51" s="132" customFormat="1" ht="12.75" customHeight="1" x14ac:dyDescent="0.2">
      <c r="A410" s="7" t="s">
        <v>2448</v>
      </c>
      <c r="B410" s="8">
        <v>9789500218276</v>
      </c>
      <c r="C410" s="8">
        <v>751235</v>
      </c>
      <c r="D410" s="7">
        <v>240</v>
      </c>
      <c r="E410" s="7" t="s">
        <v>2035</v>
      </c>
      <c r="F410" s="7" t="s">
        <v>2449</v>
      </c>
      <c r="G410" s="107">
        <v>46296</v>
      </c>
      <c r="H410" s="108">
        <v>46266</v>
      </c>
      <c r="I410" s="116">
        <v>4054</v>
      </c>
      <c r="J410" s="6" t="s">
        <v>2160</v>
      </c>
      <c r="K410" s="148">
        <v>3072.67</v>
      </c>
      <c r="L410" s="352">
        <v>29800</v>
      </c>
      <c r="M410" s="112">
        <f t="shared" si="309"/>
        <v>2384</v>
      </c>
      <c r="N410" s="9">
        <f t="shared" ref="N410:N411" si="329">+L410/2</f>
        <v>14900</v>
      </c>
      <c r="O410" s="9">
        <f t="shared" ref="O410:O411" si="330">+N410-M410-K410</f>
        <v>9443.33</v>
      </c>
      <c r="P410" s="9">
        <f t="shared" ref="P410:P411" si="331">+M410+K410</f>
        <v>5456.67</v>
      </c>
      <c r="Q410" s="139">
        <f t="shared" ref="Q410:Q411" si="332">+O410/N410</f>
        <v>0.63378053691275171</v>
      </c>
      <c r="R410" s="365">
        <v>29800</v>
      </c>
      <c r="S410" s="359" t="s">
        <v>2140</v>
      </c>
      <c r="T410" s="305">
        <v>0.68704025157232695</v>
      </c>
      <c r="U410" s="144"/>
      <c r="V410" s="100"/>
      <c r="W410" s="110">
        <f t="shared" ref="W410:W411" si="333">+L410</f>
        <v>29800</v>
      </c>
      <c r="X410" s="110">
        <f t="shared" ref="X410:X411" si="334">+K410</f>
        <v>3072.67</v>
      </c>
      <c r="Y410" s="110">
        <f t="shared" ref="Y410:Y411" si="335">+M410</f>
        <v>2384</v>
      </c>
      <c r="Z410" s="110">
        <f t="shared" ref="Z410:Z411" si="336">+W410/2-X410-Y410</f>
        <v>9443.33</v>
      </c>
      <c r="AA410" s="260">
        <f t="shared" ref="AA410:AA411" si="337">+Z410/(W410/2)</f>
        <v>0.63378053691275171</v>
      </c>
      <c r="AB410" s="28">
        <f t="shared" si="319"/>
        <v>9.8000000000000007</v>
      </c>
      <c r="AC410" s="261">
        <f t="shared" ref="AC410:AC411" si="338">+(AB410*$X$1-$X410-$Y410)/(AB410*$X$1)</f>
        <v>0.63283675487999358</v>
      </c>
      <c r="AD410" s="111">
        <f t="shared" si="321"/>
        <v>3.8</v>
      </c>
      <c r="AE410" s="262">
        <f t="shared" ref="AE410:AE411" si="339">+(AD410*$X$1-$X410-$Y410)/(AD410*$X$1)</f>
        <v>5.3105315216825405E-2</v>
      </c>
      <c r="AF410" s="100"/>
      <c r="AG410" s="111">
        <f t="shared" si="323"/>
        <v>6</v>
      </c>
      <c r="AH410" s="262">
        <f t="shared" ref="AH410:AH411" si="340">+(AG410*$X$1-$X410-$Y410)/(AG410*$X$1)</f>
        <v>0.40030003297065608</v>
      </c>
      <c r="AI410" s="100"/>
      <c r="AJ410" s="111">
        <f t="shared" si="325"/>
        <v>5.5</v>
      </c>
      <c r="AK410" s="262">
        <f t="shared" ref="AK410:AK411" si="341">+(AJ410*$X$1-$X410-$Y410)/(AJ410*$X$1)</f>
        <v>0.34578185414980667</v>
      </c>
      <c r="AL410" s="100"/>
      <c r="AM410" s="111">
        <f t="shared" si="327"/>
        <v>5.0999999999999996</v>
      </c>
      <c r="AN410" s="262">
        <f t="shared" ref="AN410:AN411" si="342">+(AM410*$X$1-$X410-$Y410)/(AM410*$X$1)</f>
        <v>0.29447062702430127</v>
      </c>
      <c r="AO410" s="100"/>
      <c r="AP410" s="24" t="e">
        <f>VLOOKUP(C410,#REF!,6,FALSE)</f>
        <v>#REF!</v>
      </c>
      <c r="AQ410" s="24" t="e">
        <f>VLOOKUP(C410,#REF!,7,FALSE)</f>
        <v>#REF!</v>
      </c>
      <c r="AR410" s="24" t="e">
        <f>VLOOKUP(C410,#REF!,12,FALSE)</f>
        <v>#REF!</v>
      </c>
      <c r="AS410" s="24" t="e">
        <f>VLOOKUP(C410,#REF!,13,FALSE)</f>
        <v>#REF!</v>
      </c>
      <c r="AT410" s="100"/>
      <c r="AU410" s="3"/>
      <c r="AV410" s="100">
        <v>396</v>
      </c>
      <c r="AW410" s="100"/>
      <c r="AY410" s="352">
        <v>29500</v>
      </c>
    </row>
    <row r="411" spans="1:51" s="132" customFormat="1" ht="12.75" customHeight="1" x14ac:dyDescent="0.2">
      <c r="A411" s="7" t="s">
        <v>2457</v>
      </c>
      <c r="B411" s="8">
        <v>9789500218207</v>
      </c>
      <c r="C411" s="8">
        <v>751239</v>
      </c>
      <c r="D411" s="7">
        <v>176</v>
      </c>
      <c r="E411" s="7" t="s">
        <v>1899</v>
      </c>
      <c r="F411" s="7" t="s">
        <v>2468</v>
      </c>
      <c r="G411" s="107">
        <v>46296</v>
      </c>
      <c r="H411" s="108">
        <v>46266</v>
      </c>
      <c r="I411" s="116">
        <v>3009</v>
      </c>
      <c r="J411" s="6" t="s">
        <v>2160</v>
      </c>
      <c r="K411" s="148">
        <v>3648.68</v>
      </c>
      <c r="L411" s="9">
        <v>35000</v>
      </c>
      <c r="M411" s="112">
        <f t="shared" si="309"/>
        <v>2800</v>
      </c>
      <c r="N411" s="9">
        <f t="shared" si="329"/>
        <v>17500</v>
      </c>
      <c r="O411" s="9">
        <f t="shared" si="330"/>
        <v>11051.32</v>
      </c>
      <c r="P411" s="9">
        <f t="shared" si="331"/>
        <v>6448.68</v>
      </c>
      <c r="Q411" s="139">
        <f t="shared" si="332"/>
        <v>0.63150399999999995</v>
      </c>
      <c r="R411" s="313">
        <v>35000</v>
      </c>
      <c r="S411" s="359" t="s">
        <v>2140</v>
      </c>
      <c r="T411" s="305">
        <v>0.68704025157232695</v>
      </c>
      <c r="U411" s="144"/>
      <c r="V411" s="100"/>
      <c r="W411" s="110">
        <f t="shared" si="333"/>
        <v>35000</v>
      </c>
      <c r="X411" s="110">
        <f t="shared" si="334"/>
        <v>3648.68</v>
      </c>
      <c r="Y411" s="110">
        <f t="shared" si="335"/>
        <v>2800</v>
      </c>
      <c r="Z411" s="110">
        <f t="shared" si="336"/>
        <v>11051.32</v>
      </c>
      <c r="AA411" s="260">
        <f t="shared" si="337"/>
        <v>0.63150399999999995</v>
      </c>
      <c r="AB411" s="28">
        <f t="shared" si="319"/>
        <v>11.5</v>
      </c>
      <c r="AC411" s="261">
        <f t="shared" si="338"/>
        <v>0.63023093794349117</v>
      </c>
      <c r="AD411" s="111">
        <f t="shared" si="321"/>
        <v>4.5</v>
      </c>
      <c r="AE411" s="262">
        <f t="shared" si="339"/>
        <v>5.5034619188921885E-2</v>
      </c>
      <c r="AF411" s="100"/>
      <c r="AG411" s="111">
        <f t="shared" si="323"/>
        <v>7.1</v>
      </c>
      <c r="AH411" s="262">
        <f t="shared" si="340"/>
        <v>0.4010782797676265</v>
      </c>
      <c r="AI411" s="100"/>
      <c r="AJ411" s="111">
        <f t="shared" si="325"/>
        <v>6.5</v>
      </c>
      <c r="AK411" s="262">
        <f t="shared" si="341"/>
        <v>0.34579319790002278</v>
      </c>
      <c r="AL411" s="100"/>
      <c r="AM411" s="111">
        <f t="shared" si="327"/>
        <v>6.1</v>
      </c>
      <c r="AN411" s="262">
        <f t="shared" si="342"/>
        <v>0.30289439120494227</v>
      </c>
      <c r="AO411" s="100"/>
      <c r="AP411" s="24" t="e">
        <f>VLOOKUP(C411,#REF!,6,FALSE)</f>
        <v>#REF!</v>
      </c>
      <c r="AQ411" s="24" t="e">
        <f>VLOOKUP(C411,#REF!,7,FALSE)</f>
        <v>#REF!</v>
      </c>
      <c r="AR411" s="24" t="e">
        <f>VLOOKUP(C411,#REF!,12,FALSE)</f>
        <v>#REF!</v>
      </c>
      <c r="AS411" s="24" t="e">
        <f>VLOOKUP(C411,#REF!,13,FALSE)</f>
        <v>#REF!</v>
      </c>
      <c r="AT411" s="100"/>
      <c r="AU411" s="3"/>
      <c r="AV411" s="100">
        <v>397</v>
      </c>
      <c r="AW411" s="100"/>
      <c r="AY411" s="9">
        <v>25900</v>
      </c>
    </row>
    <row r="412" spans="1:51" s="132" customFormat="1" ht="12.75" customHeight="1" x14ac:dyDescent="0.2">
      <c r="A412" s="7" t="s">
        <v>2419</v>
      </c>
      <c r="B412" s="8">
        <v>9789500218153</v>
      </c>
      <c r="C412" s="8">
        <v>750373</v>
      </c>
      <c r="D412" s="7">
        <v>224</v>
      </c>
      <c r="E412" s="7" t="s">
        <v>2420</v>
      </c>
      <c r="F412" s="7" t="s">
        <v>2421</v>
      </c>
      <c r="G412" s="107">
        <v>46266</v>
      </c>
      <c r="H412" s="107">
        <v>46235</v>
      </c>
      <c r="I412" s="116">
        <v>4526</v>
      </c>
      <c r="J412" s="6" t="s">
        <v>2136</v>
      </c>
      <c r="K412" s="148">
        <v>2731.49</v>
      </c>
      <c r="L412" s="352">
        <v>29500</v>
      </c>
      <c r="M412" s="112">
        <f t="shared" si="309"/>
        <v>2360</v>
      </c>
      <c r="N412" s="9">
        <f t="shared" ref="N412:N443" si="343">+L412/2</f>
        <v>14750</v>
      </c>
      <c r="O412" s="9">
        <f t="shared" ref="O412:O443" si="344">+N412-M412-K412</f>
        <v>9658.51</v>
      </c>
      <c r="P412" s="9">
        <f t="shared" ref="P412:P443" si="345">+M412+K412</f>
        <v>5091.49</v>
      </c>
      <c r="Q412" s="139">
        <f t="shared" ref="Q412:Q443" si="346">+O412/N412</f>
        <v>0.65481423728813559</v>
      </c>
      <c r="R412" s="388">
        <v>29500</v>
      </c>
      <c r="S412" s="359" t="s">
        <v>1948</v>
      </c>
      <c r="T412" s="305">
        <v>0.68704025157232695</v>
      </c>
      <c r="U412" s="144"/>
      <c r="V412" s="100"/>
      <c r="W412" s="110">
        <f t="shared" ref="W412:W443" si="347">+L412</f>
        <v>29500</v>
      </c>
      <c r="X412" s="110">
        <f t="shared" ref="X412:X443" si="348">+K412</f>
        <v>2731.49</v>
      </c>
      <c r="Y412" s="110">
        <f t="shared" ref="Y412:Y443" si="349">+M412</f>
        <v>2360</v>
      </c>
      <c r="Z412" s="110">
        <f t="shared" ref="Z412:Z443" si="350">+W412/2-X412-Y412</f>
        <v>9658.51</v>
      </c>
      <c r="AA412" s="260">
        <f t="shared" ref="AA412:AA443" si="351">+Z412/(W412/2)</f>
        <v>0.65481423728813559</v>
      </c>
      <c r="AB412" s="28">
        <f t="shared" si="319"/>
        <v>9.6999999999999993</v>
      </c>
      <c r="AC412" s="261">
        <f t="shared" ref="AC412:AC443" si="352">+(AB412*$X$1-$X412-$Y412)/(AB412*$X$1)</f>
        <v>0.65387677132300703</v>
      </c>
      <c r="AD412" s="111">
        <f t="shared" si="321"/>
        <v>3.5</v>
      </c>
      <c r="AE412" s="262">
        <f t="shared" ref="AE412:AE443" si="353">+(AD412*$X$1-$X412-$Y412)/(AD412*$X$1)</f>
        <v>4.0744194809476747E-2</v>
      </c>
      <c r="AF412" s="100"/>
      <c r="AG412" s="111">
        <f t="shared" si="323"/>
        <v>5.6</v>
      </c>
      <c r="AH412" s="262">
        <f t="shared" ref="AH412:AH443" si="354">+(AG412*$X$1-$X412-$Y412)/(AG412*$X$1)</f>
        <v>0.40046512175592297</v>
      </c>
      <c r="AI412" s="100"/>
      <c r="AJ412" s="111">
        <f t="shared" si="325"/>
        <v>5.2</v>
      </c>
      <c r="AK412" s="262">
        <f t="shared" ref="AK412:AK443" si="355">+(AJ412*$X$1-$X412-$Y412)/(AJ412*$X$1)</f>
        <v>0.35434705419868628</v>
      </c>
      <c r="AL412" s="100"/>
      <c r="AM412" s="111">
        <f t="shared" si="327"/>
        <v>4.8</v>
      </c>
      <c r="AN412" s="262">
        <f t="shared" ref="AN412:AN443" si="356">+(AM412*$X$1-$X412-$Y412)/(AM412*$X$1)</f>
        <v>0.30054264204857678</v>
      </c>
      <c r="AO412" s="100"/>
      <c r="AP412" s="24" t="e">
        <f>VLOOKUP(C412,#REF!,6,FALSE)</f>
        <v>#REF!</v>
      </c>
      <c r="AQ412" s="24" t="e">
        <f>VLOOKUP(C412,#REF!,7,FALSE)</f>
        <v>#REF!</v>
      </c>
      <c r="AR412" s="24" t="e">
        <f>VLOOKUP(C412,#REF!,12,FALSE)</f>
        <v>#REF!</v>
      </c>
      <c r="AS412" s="24" t="e">
        <f>VLOOKUP(C412,#REF!,13,FALSE)</f>
        <v>#REF!</v>
      </c>
      <c r="AT412" s="100"/>
      <c r="AU412" s="3"/>
      <c r="AV412" s="100">
        <v>396</v>
      </c>
      <c r="AW412" s="100"/>
      <c r="AY412" s="352">
        <v>29500</v>
      </c>
    </row>
    <row r="413" spans="1:51" s="132" customFormat="1" ht="12.75" customHeight="1" x14ac:dyDescent="0.2">
      <c r="A413" s="7" t="s">
        <v>2422</v>
      </c>
      <c r="B413" s="8">
        <v>9789500218184</v>
      </c>
      <c r="C413" s="8">
        <v>750384</v>
      </c>
      <c r="D413" s="7">
        <v>160</v>
      </c>
      <c r="E413" s="7" t="s">
        <v>2423</v>
      </c>
      <c r="F413" s="7" t="s">
        <v>2424</v>
      </c>
      <c r="G413" s="107">
        <v>46266</v>
      </c>
      <c r="H413" s="107">
        <v>46235</v>
      </c>
      <c r="I413" s="116">
        <v>4997</v>
      </c>
      <c r="J413" s="6" t="s">
        <v>2136</v>
      </c>
      <c r="K413" s="148">
        <v>1996.48</v>
      </c>
      <c r="L413" s="9">
        <v>25900</v>
      </c>
      <c r="M413" s="112">
        <f t="shared" si="309"/>
        <v>2072</v>
      </c>
      <c r="N413" s="9">
        <f t="shared" si="343"/>
        <v>12950</v>
      </c>
      <c r="O413" s="9">
        <f t="shared" si="344"/>
        <v>8881.52</v>
      </c>
      <c r="P413" s="9">
        <f t="shared" si="345"/>
        <v>4068.48</v>
      </c>
      <c r="Q413" s="139">
        <f t="shared" si="346"/>
        <v>0.68583166023166031</v>
      </c>
      <c r="R413" s="385">
        <v>25900</v>
      </c>
      <c r="S413" s="359" t="s">
        <v>1948</v>
      </c>
      <c r="T413" s="305">
        <v>0.68704025157232695</v>
      </c>
      <c r="U413" s="144"/>
      <c r="V413" s="100"/>
      <c r="W413" s="110">
        <f t="shared" si="347"/>
        <v>25900</v>
      </c>
      <c r="X413" s="110">
        <f t="shared" si="348"/>
        <v>1996.48</v>
      </c>
      <c r="Y413" s="110">
        <f t="shared" si="349"/>
        <v>2072</v>
      </c>
      <c r="Z413" s="110">
        <f t="shared" si="350"/>
        <v>8881.52</v>
      </c>
      <c r="AA413" s="260">
        <f t="shared" si="351"/>
        <v>0.68583166023166031</v>
      </c>
      <c r="AB413" s="28">
        <f t="shared" si="319"/>
        <v>8.5</v>
      </c>
      <c r="AC413" s="261">
        <f t="shared" si="352"/>
        <v>0.68437540001163677</v>
      </c>
      <c r="AD413" s="111">
        <f t="shared" si="321"/>
        <v>2.8</v>
      </c>
      <c r="AE413" s="262">
        <f t="shared" si="353"/>
        <v>4.1853892892468512E-2</v>
      </c>
      <c r="AF413" s="100"/>
      <c r="AG413" s="111">
        <f t="shared" si="323"/>
        <v>4.5</v>
      </c>
      <c r="AH413" s="262">
        <f t="shared" si="354"/>
        <v>0.40382020002198049</v>
      </c>
      <c r="AI413" s="100"/>
      <c r="AJ413" s="111">
        <f t="shared" si="325"/>
        <v>4.0999999999999996</v>
      </c>
      <c r="AK413" s="262">
        <f t="shared" si="355"/>
        <v>0.34565631709729561</v>
      </c>
      <c r="AL413" s="100"/>
      <c r="AM413" s="111">
        <f t="shared" si="327"/>
        <v>3.8</v>
      </c>
      <c r="AN413" s="262">
        <f t="shared" si="356"/>
        <v>0.29399760528918734</v>
      </c>
      <c r="AO413" s="100"/>
      <c r="AP413" s="24" t="e">
        <f>VLOOKUP(C413,#REF!,6,FALSE)</f>
        <v>#REF!</v>
      </c>
      <c r="AQ413" s="24" t="e">
        <f>VLOOKUP(C413,#REF!,7,FALSE)</f>
        <v>#REF!</v>
      </c>
      <c r="AR413" s="24" t="e">
        <f>VLOOKUP(C413,#REF!,12,FALSE)</f>
        <v>#REF!</v>
      </c>
      <c r="AS413" s="24" t="e">
        <f>VLOOKUP(C413,#REF!,13,FALSE)</f>
        <v>#REF!</v>
      </c>
      <c r="AT413" s="100"/>
      <c r="AU413" s="3"/>
      <c r="AV413" s="100">
        <v>397</v>
      </c>
      <c r="AW413" s="100"/>
      <c r="AY413" s="9">
        <v>25900</v>
      </c>
    </row>
    <row r="414" spans="1:51" s="132" customFormat="1" ht="12.75" customHeight="1" x14ac:dyDescent="0.2">
      <c r="A414" s="7" t="s">
        <v>2397</v>
      </c>
      <c r="B414" s="8">
        <v>9789500218023</v>
      </c>
      <c r="C414" s="8">
        <v>748668</v>
      </c>
      <c r="D414" s="7">
        <v>112</v>
      </c>
      <c r="E414" s="7" t="s">
        <v>2398</v>
      </c>
      <c r="F414" s="7" t="s">
        <v>2399</v>
      </c>
      <c r="G414" s="107">
        <v>46235</v>
      </c>
      <c r="H414" s="108">
        <v>46204</v>
      </c>
      <c r="I414" s="116">
        <v>5170</v>
      </c>
      <c r="J414" s="7" t="s">
        <v>1894</v>
      </c>
      <c r="K414" s="148">
        <v>815.57</v>
      </c>
      <c r="L414" s="9">
        <v>9900</v>
      </c>
      <c r="M414" s="9"/>
      <c r="N414" s="9">
        <f t="shared" si="343"/>
        <v>4950</v>
      </c>
      <c r="O414" s="9">
        <f t="shared" si="344"/>
        <v>4134.43</v>
      </c>
      <c r="P414" s="9">
        <f t="shared" si="345"/>
        <v>815.57</v>
      </c>
      <c r="Q414" s="139">
        <f t="shared" si="346"/>
        <v>0.83523838383838389</v>
      </c>
      <c r="R414" s="345">
        <v>9900</v>
      </c>
      <c r="S414" s="359" t="s">
        <v>1948</v>
      </c>
      <c r="T414" s="305">
        <v>0.68704025157232695</v>
      </c>
      <c r="U414" s="144"/>
      <c r="V414" s="100"/>
      <c r="W414" s="110">
        <f t="shared" si="347"/>
        <v>9900</v>
      </c>
      <c r="X414" s="110">
        <f t="shared" si="348"/>
        <v>815.57</v>
      </c>
      <c r="Y414" s="110">
        <f t="shared" si="349"/>
        <v>0</v>
      </c>
      <c r="Z414" s="110">
        <f t="shared" si="350"/>
        <v>4134.43</v>
      </c>
      <c r="AA414" s="260">
        <f t="shared" si="351"/>
        <v>0.83523838383838389</v>
      </c>
      <c r="AB414" s="28">
        <f t="shared" si="319"/>
        <v>3.3</v>
      </c>
      <c r="AC414" s="261">
        <f t="shared" si="352"/>
        <v>0.83703104237228876</v>
      </c>
      <c r="AD414" s="111">
        <f t="shared" si="321"/>
        <v>0.6</v>
      </c>
      <c r="AE414" s="262">
        <f t="shared" si="353"/>
        <v>0.10367073304758757</v>
      </c>
      <c r="AF414" s="100"/>
      <c r="AG414" s="111">
        <f t="shared" si="323"/>
        <v>0.9</v>
      </c>
      <c r="AH414" s="262">
        <f t="shared" si="354"/>
        <v>0.40244715536505843</v>
      </c>
      <c r="AI414" s="100"/>
      <c r="AJ414" s="111">
        <f t="shared" si="325"/>
        <v>0.8</v>
      </c>
      <c r="AK414" s="262">
        <f t="shared" si="355"/>
        <v>0.3277530497856907</v>
      </c>
      <c r="AL414" s="100"/>
      <c r="AM414" s="111">
        <f t="shared" si="327"/>
        <v>0.8</v>
      </c>
      <c r="AN414" s="262">
        <f t="shared" si="356"/>
        <v>0.3277530497856907</v>
      </c>
      <c r="AO414" s="100"/>
      <c r="AP414" s="24" t="e">
        <f>VLOOKUP(C414,#REF!,6,FALSE)</f>
        <v>#REF!</v>
      </c>
      <c r="AQ414" s="24" t="e">
        <f>VLOOKUP(C414,#REF!,7,FALSE)</f>
        <v>#REF!</v>
      </c>
      <c r="AR414" s="24" t="e">
        <f>VLOOKUP(C414,#REF!,12,FALSE)</f>
        <v>#REF!</v>
      </c>
      <c r="AS414" s="24" t="e">
        <f>VLOOKUP(C414,#REF!,13,FALSE)</f>
        <v>#REF!</v>
      </c>
      <c r="AT414" s="100"/>
      <c r="AU414" s="3"/>
      <c r="AV414" s="100">
        <v>398</v>
      </c>
      <c r="AW414" s="100"/>
      <c r="AY414" s="9">
        <v>9900</v>
      </c>
    </row>
    <row r="415" spans="1:51" s="132" customFormat="1" ht="12.75" customHeight="1" x14ac:dyDescent="0.2">
      <c r="A415" s="7" t="s">
        <v>2359</v>
      </c>
      <c r="B415" s="8">
        <v>9789500217859</v>
      </c>
      <c r="C415" s="8">
        <v>747596</v>
      </c>
      <c r="D415" s="7">
        <v>176</v>
      </c>
      <c r="E415" s="7" t="s">
        <v>2360</v>
      </c>
      <c r="F415" s="7" t="s">
        <v>2361</v>
      </c>
      <c r="G415" s="107">
        <v>46204</v>
      </c>
      <c r="H415" s="108">
        <v>46174</v>
      </c>
      <c r="I415" s="116">
        <v>4571</v>
      </c>
      <c r="J415" s="315" t="s">
        <v>1867</v>
      </c>
      <c r="K415" s="148">
        <v>2201.63</v>
      </c>
      <c r="L415" s="9">
        <v>27900</v>
      </c>
      <c r="M415" s="112">
        <f>+L415*0.08</f>
        <v>2232</v>
      </c>
      <c r="N415" s="9">
        <f t="shared" si="343"/>
        <v>13950</v>
      </c>
      <c r="O415" s="9">
        <f t="shared" si="344"/>
        <v>9516.369999999999</v>
      </c>
      <c r="P415" s="9">
        <f t="shared" si="345"/>
        <v>4433.63</v>
      </c>
      <c r="Q415" s="139">
        <f t="shared" si="346"/>
        <v>0.68217706093189956</v>
      </c>
      <c r="R415" s="345">
        <v>27900</v>
      </c>
      <c r="S415" s="359" t="s">
        <v>1948</v>
      </c>
      <c r="T415" s="305">
        <v>0.68704025157232695</v>
      </c>
      <c r="U415" s="144"/>
      <c r="V415" s="100"/>
      <c r="W415" s="110">
        <f t="shared" si="347"/>
        <v>27900</v>
      </c>
      <c r="X415" s="110">
        <f t="shared" si="348"/>
        <v>2201.63</v>
      </c>
      <c r="Y415" s="110">
        <f t="shared" si="349"/>
        <v>2232</v>
      </c>
      <c r="Z415" s="110">
        <f t="shared" si="350"/>
        <v>9516.369999999999</v>
      </c>
      <c r="AA415" s="260">
        <f t="shared" si="351"/>
        <v>0.68217706093189956</v>
      </c>
      <c r="AB415" s="28">
        <f t="shared" si="319"/>
        <v>9.1999999999999993</v>
      </c>
      <c r="AC415" s="261">
        <f t="shared" si="352"/>
        <v>0.6822180650525379</v>
      </c>
      <c r="AD415" s="111">
        <f t="shared" si="321"/>
        <v>3.1</v>
      </c>
      <c r="AE415" s="262">
        <f t="shared" si="353"/>
        <v>5.6905225317209707E-2</v>
      </c>
      <c r="AF415" s="100"/>
      <c r="AG415" s="111">
        <f t="shared" si="323"/>
        <v>4.9000000000000004</v>
      </c>
      <c r="AH415" s="262">
        <f t="shared" si="354"/>
        <v>0.40334820377211222</v>
      </c>
      <c r="AI415" s="100"/>
      <c r="AJ415" s="111">
        <f t="shared" si="325"/>
        <v>4.5</v>
      </c>
      <c r="AK415" s="262">
        <f t="shared" si="355"/>
        <v>0.35031248855185548</v>
      </c>
      <c r="AL415" s="100"/>
      <c r="AM415" s="111">
        <f t="shared" si="327"/>
        <v>4.2</v>
      </c>
      <c r="AN415" s="262">
        <f t="shared" si="356"/>
        <v>0.30390623773413089</v>
      </c>
      <c r="AO415" s="100"/>
      <c r="AP415" s="24" t="e">
        <f>VLOOKUP(C415,#REF!,6,FALSE)</f>
        <v>#REF!</v>
      </c>
      <c r="AQ415" s="24" t="e">
        <f>VLOOKUP(C415,#REF!,7,FALSE)</f>
        <v>#REF!</v>
      </c>
      <c r="AR415" s="24" t="e">
        <f>VLOOKUP(C415,#REF!,12,FALSE)</f>
        <v>#REF!</v>
      </c>
      <c r="AS415" s="24" t="e">
        <f>VLOOKUP(C415,#REF!,13,FALSE)</f>
        <v>#REF!</v>
      </c>
      <c r="AT415" s="100"/>
      <c r="AU415" s="3"/>
      <c r="AV415" s="100">
        <v>399</v>
      </c>
      <c r="AW415" s="100"/>
      <c r="AY415" s="9">
        <v>27900</v>
      </c>
    </row>
    <row r="416" spans="1:51" s="132" customFormat="1" ht="12.75" customHeight="1" x14ac:dyDescent="0.2">
      <c r="A416" s="6" t="s">
        <v>2332</v>
      </c>
      <c r="B416" s="8">
        <v>9789500217774</v>
      </c>
      <c r="C416" s="8">
        <v>745986</v>
      </c>
      <c r="D416" s="8">
        <v>104</v>
      </c>
      <c r="E416" s="6" t="s">
        <v>466</v>
      </c>
      <c r="F416" s="6" t="s">
        <v>2333</v>
      </c>
      <c r="G416" s="107">
        <v>46174</v>
      </c>
      <c r="H416" s="108">
        <v>46143</v>
      </c>
      <c r="I416" s="267">
        <v>3925</v>
      </c>
      <c r="J416" s="8" t="s">
        <v>1762</v>
      </c>
      <c r="K416" s="148">
        <v>2488.0300000000002</v>
      </c>
      <c r="L416" s="9">
        <v>15900</v>
      </c>
      <c r="M416" s="112"/>
      <c r="N416" s="9">
        <f t="shared" si="343"/>
        <v>7950</v>
      </c>
      <c r="O416" s="9">
        <f t="shared" si="344"/>
        <v>5461.9699999999993</v>
      </c>
      <c r="P416" s="9">
        <f t="shared" si="345"/>
        <v>2488.0300000000002</v>
      </c>
      <c r="Q416" s="139">
        <f t="shared" si="346"/>
        <v>0.68704025157232695</v>
      </c>
      <c r="R416" s="345">
        <v>15900</v>
      </c>
      <c r="S416" s="359" t="s">
        <v>1948</v>
      </c>
      <c r="T416" s="305">
        <v>0.68704025157232695</v>
      </c>
      <c r="U416" s="144"/>
      <c r="V416" s="100"/>
      <c r="W416" s="110">
        <f t="shared" si="347"/>
        <v>15900</v>
      </c>
      <c r="X416" s="110">
        <f t="shared" si="348"/>
        <v>2488.0300000000002</v>
      </c>
      <c r="Y416" s="110">
        <f t="shared" si="349"/>
        <v>0</v>
      </c>
      <c r="Z416" s="110">
        <f t="shared" si="350"/>
        <v>5461.9699999999993</v>
      </c>
      <c r="AA416" s="260">
        <f t="shared" si="351"/>
        <v>0.68704025157232695</v>
      </c>
      <c r="AB416" s="28">
        <f t="shared" si="319"/>
        <v>5.2</v>
      </c>
      <c r="AC416" s="261">
        <f t="shared" si="352"/>
        <v>0.68449237870602864</v>
      </c>
      <c r="AD416" s="111">
        <f t="shared" si="321"/>
        <v>1.7</v>
      </c>
      <c r="AE416" s="262">
        <f t="shared" si="353"/>
        <v>3.4917864277263642E-2</v>
      </c>
      <c r="AF416" s="100"/>
      <c r="AG416" s="111">
        <f t="shared" si="323"/>
        <v>2.7</v>
      </c>
      <c r="AH416" s="262">
        <f t="shared" si="354"/>
        <v>0.39235569232272166</v>
      </c>
      <c r="AI416" s="100"/>
      <c r="AJ416" s="111">
        <f t="shared" si="325"/>
        <v>2.5</v>
      </c>
      <c r="AK416" s="262">
        <f t="shared" si="355"/>
        <v>0.34374414770853934</v>
      </c>
      <c r="AL416" s="100"/>
      <c r="AM416" s="111">
        <f t="shared" si="327"/>
        <v>2.2999999999999998</v>
      </c>
      <c r="AN416" s="262">
        <f t="shared" si="356"/>
        <v>0.28667842142232536</v>
      </c>
      <c r="AO416" s="100"/>
      <c r="AP416" s="24" t="e">
        <f>VLOOKUP(C416,#REF!,6,FALSE)</f>
        <v>#REF!</v>
      </c>
      <c r="AQ416" s="24" t="e">
        <f>VLOOKUP(C416,#REF!,7,FALSE)</f>
        <v>#REF!</v>
      </c>
      <c r="AR416" s="24" t="e">
        <f>VLOOKUP(C416,#REF!,12,FALSE)</f>
        <v>#REF!</v>
      </c>
      <c r="AS416" s="24" t="e">
        <f>VLOOKUP(C416,#REF!,13,FALSE)</f>
        <v>#REF!</v>
      </c>
      <c r="AT416" s="100"/>
      <c r="AU416" s="3"/>
      <c r="AV416" s="100">
        <v>400</v>
      </c>
      <c r="AW416" s="100"/>
      <c r="AY416" s="9">
        <v>15900</v>
      </c>
    </row>
    <row r="417" spans="1:51" s="2" customFormat="1" ht="12.75" customHeight="1" x14ac:dyDescent="0.2">
      <c r="A417" s="6" t="s">
        <v>2340</v>
      </c>
      <c r="B417" s="8">
        <v>9789500217736</v>
      </c>
      <c r="C417" s="8">
        <v>745989</v>
      </c>
      <c r="D417" s="8">
        <v>144</v>
      </c>
      <c r="E417" s="6" t="s">
        <v>1822</v>
      </c>
      <c r="F417" s="6" t="s">
        <v>2341</v>
      </c>
      <c r="G417" s="107">
        <v>46174</v>
      </c>
      <c r="H417" s="108">
        <v>46143</v>
      </c>
      <c r="I417" s="116">
        <v>5064</v>
      </c>
      <c r="J417" s="8" t="s">
        <v>1762</v>
      </c>
      <c r="K417" s="148">
        <v>1618.89</v>
      </c>
      <c r="L417" s="352">
        <v>26900</v>
      </c>
      <c r="M417" s="112">
        <f>+L417*0.08</f>
        <v>2152</v>
      </c>
      <c r="N417" s="9">
        <f t="shared" si="343"/>
        <v>13450</v>
      </c>
      <c r="O417" s="9">
        <f t="shared" si="344"/>
        <v>9679.11</v>
      </c>
      <c r="P417" s="9">
        <f t="shared" si="345"/>
        <v>3770.8900000000003</v>
      </c>
      <c r="Q417" s="139">
        <f t="shared" si="346"/>
        <v>0.71963643122676579</v>
      </c>
      <c r="R417" s="345">
        <v>26900</v>
      </c>
      <c r="S417" s="359" t="s">
        <v>1948</v>
      </c>
      <c r="T417" s="305">
        <v>0.71963643122676579</v>
      </c>
      <c r="U417" s="144"/>
      <c r="V417" s="100"/>
      <c r="W417" s="110">
        <f t="shared" si="347"/>
        <v>26900</v>
      </c>
      <c r="X417" s="110">
        <f t="shared" si="348"/>
        <v>1618.89</v>
      </c>
      <c r="Y417" s="110">
        <f t="shared" si="349"/>
        <v>2152</v>
      </c>
      <c r="Z417" s="110">
        <f t="shared" si="350"/>
        <v>9679.11</v>
      </c>
      <c r="AA417" s="260">
        <f t="shared" si="351"/>
        <v>0.71963643122676579</v>
      </c>
      <c r="AB417" s="28">
        <f t="shared" si="319"/>
        <v>8.9</v>
      </c>
      <c r="AC417" s="261">
        <f t="shared" si="352"/>
        <v>0.72060962372701787</v>
      </c>
      <c r="AD417" s="111">
        <f t="shared" si="321"/>
        <v>2.6</v>
      </c>
      <c r="AE417" s="262">
        <f t="shared" si="353"/>
        <v>4.3625250450176317E-2</v>
      </c>
      <c r="AF417" s="100"/>
      <c r="AG417" s="111">
        <f t="shared" si="323"/>
        <v>4.0999999999999996</v>
      </c>
      <c r="AH417" s="262">
        <f t="shared" si="354"/>
        <v>0.39351845150498976</v>
      </c>
      <c r="AI417" s="100"/>
      <c r="AJ417" s="111">
        <f t="shared" si="325"/>
        <v>3.8</v>
      </c>
      <c r="AK417" s="262">
        <f t="shared" si="355"/>
        <v>0.34563832925538368</v>
      </c>
      <c r="AL417" s="100"/>
      <c r="AM417" s="111">
        <f t="shared" si="327"/>
        <v>3.6</v>
      </c>
      <c r="AN417" s="262">
        <f t="shared" si="356"/>
        <v>0.30928490310290507</v>
      </c>
      <c r="AO417" s="100"/>
      <c r="AP417" s="24" t="e">
        <f>VLOOKUP(C417,#REF!,6,FALSE)</f>
        <v>#REF!</v>
      </c>
      <c r="AQ417" s="24" t="e">
        <f>VLOOKUP(C417,#REF!,7,FALSE)</f>
        <v>#REF!</v>
      </c>
      <c r="AR417" s="24" t="e">
        <f>VLOOKUP(C417,#REF!,12,FALSE)</f>
        <v>#REF!</v>
      </c>
      <c r="AS417" s="24" t="e">
        <f>VLOOKUP(C417,#REF!,13,FALSE)</f>
        <v>#REF!</v>
      </c>
      <c r="AT417" s="100"/>
      <c r="AU417" s="3"/>
      <c r="AV417" s="100">
        <v>401</v>
      </c>
      <c r="AW417" s="100"/>
      <c r="AY417" s="352">
        <v>26900</v>
      </c>
    </row>
    <row r="418" spans="1:51" s="2" customFormat="1" ht="12.75" customHeight="1" x14ac:dyDescent="0.2">
      <c r="A418" s="6" t="s">
        <v>2342</v>
      </c>
      <c r="B418" s="8">
        <v>9789500217750</v>
      </c>
      <c r="C418" s="8">
        <v>745990</v>
      </c>
      <c r="D418" s="8">
        <v>192</v>
      </c>
      <c r="E418" s="6" t="s">
        <v>2343</v>
      </c>
      <c r="F418" s="6" t="s">
        <v>2344</v>
      </c>
      <c r="G418" s="107">
        <v>46174</v>
      </c>
      <c r="H418" s="108">
        <v>46143</v>
      </c>
      <c r="I418" s="267">
        <v>5090</v>
      </c>
      <c r="J418" s="8" t="s">
        <v>1762</v>
      </c>
      <c r="K418" s="148">
        <v>1839.11</v>
      </c>
      <c r="L418" s="352">
        <v>28900</v>
      </c>
      <c r="M418" s="112">
        <f>+L418*0.08</f>
        <v>2312</v>
      </c>
      <c r="N418" s="9">
        <f t="shared" si="343"/>
        <v>14450</v>
      </c>
      <c r="O418" s="9">
        <f t="shared" si="344"/>
        <v>10298.89</v>
      </c>
      <c r="P418" s="9">
        <f t="shared" si="345"/>
        <v>4151.1099999999997</v>
      </c>
      <c r="Q418" s="139">
        <f t="shared" si="346"/>
        <v>0.7127259515570934</v>
      </c>
      <c r="R418" s="345">
        <v>28900</v>
      </c>
      <c r="S418" s="359" t="s">
        <v>1948</v>
      </c>
      <c r="T418" s="305">
        <v>0.7127259515570934</v>
      </c>
      <c r="U418" s="144"/>
      <c r="V418" s="100"/>
      <c r="W418" s="110">
        <f t="shared" si="347"/>
        <v>28900</v>
      </c>
      <c r="X418" s="110">
        <f t="shared" si="348"/>
        <v>1839.11</v>
      </c>
      <c r="Y418" s="110">
        <f t="shared" si="349"/>
        <v>2312</v>
      </c>
      <c r="Z418" s="110">
        <f t="shared" si="350"/>
        <v>10298.89</v>
      </c>
      <c r="AA418" s="260">
        <f t="shared" si="351"/>
        <v>0.7127259515570934</v>
      </c>
      <c r="AB418" s="28">
        <f t="shared" si="319"/>
        <v>9.5</v>
      </c>
      <c r="AC418" s="261">
        <f t="shared" si="352"/>
        <v>0.71186353618963327</v>
      </c>
      <c r="AD418" s="111">
        <f t="shared" si="321"/>
        <v>2.9</v>
      </c>
      <c r="AE418" s="262">
        <f t="shared" si="353"/>
        <v>5.6104687517764318E-2</v>
      </c>
      <c r="AF418" s="100"/>
      <c r="AG418" s="111">
        <f t="shared" si="323"/>
        <v>4.5999999999999996</v>
      </c>
      <c r="AH418" s="262">
        <f t="shared" si="354"/>
        <v>0.40493556386989493</v>
      </c>
      <c r="AI418" s="100"/>
      <c r="AJ418" s="111">
        <f t="shared" si="325"/>
        <v>4.2</v>
      </c>
      <c r="AK418" s="262">
        <f t="shared" si="355"/>
        <v>0.34826276042893262</v>
      </c>
      <c r="AL418" s="100"/>
      <c r="AM418" s="111">
        <f t="shared" si="327"/>
        <v>3.9</v>
      </c>
      <c r="AN418" s="262">
        <f t="shared" si="356"/>
        <v>0.29812912661577351</v>
      </c>
      <c r="AO418" s="100"/>
      <c r="AP418" s="24" t="e">
        <f>VLOOKUP(C418,#REF!,6,FALSE)</f>
        <v>#REF!</v>
      </c>
      <c r="AQ418" s="24" t="e">
        <f>VLOOKUP(C418,#REF!,7,FALSE)</f>
        <v>#REF!</v>
      </c>
      <c r="AR418" s="24" t="e">
        <f>VLOOKUP(C418,#REF!,12,FALSE)</f>
        <v>#REF!</v>
      </c>
      <c r="AS418" s="24" t="e">
        <f>VLOOKUP(C418,#REF!,13,FALSE)</f>
        <v>#REF!</v>
      </c>
      <c r="AT418" s="100"/>
      <c r="AU418" s="3"/>
      <c r="AV418" s="100">
        <v>402</v>
      </c>
      <c r="AW418" s="100"/>
      <c r="AY418" s="352">
        <v>28900</v>
      </c>
    </row>
    <row r="419" spans="1:51" s="2" customFormat="1" ht="12.75" customHeight="1" x14ac:dyDescent="0.2">
      <c r="A419" s="341" t="s">
        <v>2280</v>
      </c>
      <c r="B419" s="342">
        <v>9789500217507</v>
      </c>
      <c r="C419" s="6">
        <v>743067</v>
      </c>
      <c r="D419" s="343">
        <v>256</v>
      </c>
      <c r="E419" s="1" t="s">
        <v>2281</v>
      </c>
      <c r="F419" s="6" t="s">
        <v>2282</v>
      </c>
      <c r="G419" s="107">
        <v>46113</v>
      </c>
      <c r="H419" s="108">
        <v>46204</v>
      </c>
      <c r="I419" s="7">
        <v>1037</v>
      </c>
      <c r="J419" s="6" t="s">
        <v>1333</v>
      </c>
      <c r="K419" s="148">
        <v>2824.42</v>
      </c>
      <c r="L419" s="9">
        <v>27900</v>
      </c>
      <c r="M419" s="9">
        <f>+L419*0.08</f>
        <v>2232</v>
      </c>
      <c r="N419" s="9">
        <f t="shared" si="343"/>
        <v>13950</v>
      </c>
      <c r="O419" s="9">
        <f t="shared" si="344"/>
        <v>8893.58</v>
      </c>
      <c r="P419" s="9">
        <f t="shared" si="345"/>
        <v>5056.42</v>
      </c>
      <c r="Q419" s="109">
        <f t="shared" si="346"/>
        <v>0.63753261648745518</v>
      </c>
      <c r="R419" s="336">
        <v>27900</v>
      </c>
      <c r="S419" s="359" t="s">
        <v>1948</v>
      </c>
      <c r="T419" s="305">
        <v>0.69217132616487465</v>
      </c>
      <c r="U419" s="12"/>
      <c r="V419" s="100"/>
      <c r="W419" s="110">
        <f t="shared" si="347"/>
        <v>27900</v>
      </c>
      <c r="X419" s="110">
        <f t="shared" si="348"/>
        <v>2824.42</v>
      </c>
      <c r="Y419" s="110">
        <f t="shared" si="349"/>
        <v>2232</v>
      </c>
      <c r="Z419" s="110">
        <f t="shared" si="350"/>
        <v>8893.58</v>
      </c>
      <c r="AA419" s="260">
        <f t="shared" si="351"/>
        <v>0.63753261648745518</v>
      </c>
      <c r="AB419" s="28">
        <f t="shared" si="319"/>
        <v>9.1999999999999993</v>
      </c>
      <c r="AC419" s="261">
        <f t="shared" si="352"/>
        <v>0.63757938043836637</v>
      </c>
      <c r="AD419" s="111">
        <f t="shared" si="321"/>
        <v>3.5</v>
      </c>
      <c r="AE419" s="262">
        <f t="shared" si="353"/>
        <v>4.7351514295134463E-2</v>
      </c>
      <c r="AF419" s="100"/>
      <c r="AG419" s="111">
        <f t="shared" si="323"/>
        <v>5.6</v>
      </c>
      <c r="AH419" s="262">
        <f t="shared" si="354"/>
        <v>0.404594696434459</v>
      </c>
      <c r="AI419" s="100"/>
      <c r="AJ419" s="111">
        <f t="shared" si="325"/>
        <v>5.0999999999999996</v>
      </c>
      <c r="AK419" s="262">
        <f t="shared" si="355"/>
        <v>0.34622162745744517</v>
      </c>
      <c r="AL419" s="100"/>
      <c r="AM419" s="111">
        <f t="shared" si="327"/>
        <v>4.8</v>
      </c>
      <c r="AN419" s="262">
        <f t="shared" si="356"/>
        <v>0.30536047917353554</v>
      </c>
      <c r="AO419" s="100"/>
      <c r="AP419" s="24" t="e">
        <f>VLOOKUP(C419,#REF!,6,FALSE)</f>
        <v>#REF!</v>
      </c>
      <c r="AQ419" s="24" t="e">
        <f>VLOOKUP(C419,#REF!,7,FALSE)</f>
        <v>#REF!</v>
      </c>
      <c r="AR419" s="24" t="e">
        <f>VLOOKUP(C419,#REF!,12,FALSE)</f>
        <v>#REF!</v>
      </c>
      <c r="AS419" s="24" t="e">
        <f>VLOOKUP(C419,#REF!,13,FALSE)</f>
        <v>#REF!</v>
      </c>
      <c r="AT419" s="100"/>
      <c r="AU419" s="100"/>
      <c r="AV419" s="100">
        <v>403</v>
      </c>
      <c r="AW419" s="100"/>
      <c r="AY419" s="9">
        <v>27900</v>
      </c>
    </row>
    <row r="420" spans="1:51" s="2" customFormat="1" ht="12.75" customHeight="1" x14ac:dyDescent="0.2">
      <c r="A420" s="6" t="s">
        <v>2256</v>
      </c>
      <c r="B420" s="153">
        <v>9789500217378</v>
      </c>
      <c r="C420" s="6">
        <v>741699</v>
      </c>
      <c r="D420" s="41">
        <v>288</v>
      </c>
      <c r="E420" s="6" t="s">
        <v>571</v>
      </c>
      <c r="F420" s="6" t="s">
        <v>2257</v>
      </c>
      <c r="G420" s="107">
        <v>46113</v>
      </c>
      <c r="H420" s="108">
        <v>46054</v>
      </c>
      <c r="I420" s="239">
        <v>6000</v>
      </c>
      <c r="J420" s="8" t="s">
        <v>2258</v>
      </c>
      <c r="K420" s="148">
        <v>2064.5</v>
      </c>
      <c r="L420" s="9">
        <v>31900</v>
      </c>
      <c r="M420" s="9">
        <f>+L420*0.08</f>
        <v>2552</v>
      </c>
      <c r="N420" s="9">
        <f t="shared" si="343"/>
        <v>15950</v>
      </c>
      <c r="O420" s="9">
        <f t="shared" si="344"/>
        <v>11333.5</v>
      </c>
      <c r="P420" s="9">
        <f t="shared" si="345"/>
        <v>4616.5</v>
      </c>
      <c r="Q420" s="109">
        <f t="shared" si="346"/>
        <v>0.71056426332288403</v>
      </c>
      <c r="R420" s="336">
        <v>31900</v>
      </c>
      <c r="S420" s="359" t="s">
        <v>1948</v>
      </c>
      <c r="T420" s="305">
        <v>0.71056426332288403</v>
      </c>
      <c r="U420" s="12"/>
      <c r="V420" s="100"/>
      <c r="W420" s="110">
        <f t="shared" si="347"/>
        <v>31900</v>
      </c>
      <c r="X420" s="110">
        <f t="shared" si="348"/>
        <v>2064.5</v>
      </c>
      <c r="Y420" s="110">
        <f t="shared" si="349"/>
        <v>2552</v>
      </c>
      <c r="Z420" s="110">
        <f t="shared" si="350"/>
        <v>11333.5</v>
      </c>
      <c r="AA420" s="260">
        <f t="shared" si="351"/>
        <v>0.71056426332288403</v>
      </c>
      <c r="AB420" s="28">
        <f t="shared" si="319"/>
        <v>10.5</v>
      </c>
      <c r="AC420" s="261">
        <f t="shared" si="352"/>
        <v>0.71007803055280805</v>
      </c>
      <c r="AD420" s="111">
        <f t="shared" si="321"/>
        <v>3.2</v>
      </c>
      <c r="AE420" s="262">
        <f t="shared" si="353"/>
        <v>4.869353775140129E-2</v>
      </c>
      <c r="AF420" s="100"/>
      <c r="AG420" s="111">
        <f t="shared" si="323"/>
        <v>5.0999999999999996</v>
      </c>
      <c r="AH420" s="262">
        <f t="shared" si="354"/>
        <v>0.40310182760872232</v>
      </c>
      <c r="AI420" s="100"/>
      <c r="AJ420" s="111">
        <f t="shared" si="325"/>
        <v>4.7</v>
      </c>
      <c r="AK420" s="262">
        <f t="shared" si="355"/>
        <v>0.35230198314989025</v>
      </c>
      <c r="AL420" s="100"/>
      <c r="AM420" s="111">
        <f t="shared" si="327"/>
        <v>4.3</v>
      </c>
      <c r="AN420" s="262">
        <f t="shared" si="356"/>
        <v>0.29205100483825208</v>
      </c>
      <c r="AO420" s="100"/>
      <c r="AP420" s="24" t="e">
        <f>VLOOKUP(C420,#REF!,6,FALSE)</f>
        <v>#REF!</v>
      </c>
      <c r="AQ420" s="24" t="e">
        <f>VLOOKUP(C420,#REF!,7,FALSE)</f>
        <v>#REF!</v>
      </c>
      <c r="AR420" s="24" t="e">
        <f>VLOOKUP(C420,#REF!,12,FALSE)</f>
        <v>#REF!</v>
      </c>
      <c r="AS420" s="24" t="e">
        <f>VLOOKUP(C420,#REF!,13,FALSE)</f>
        <v>#REF!</v>
      </c>
      <c r="AT420" s="100"/>
      <c r="AU420" s="100"/>
      <c r="AV420" s="100">
        <v>404</v>
      </c>
      <c r="AW420" s="100"/>
      <c r="AY420" s="9">
        <v>31900</v>
      </c>
    </row>
    <row r="421" spans="1:51" s="2" customFormat="1" ht="12.75" customHeight="1" x14ac:dyDescent="0.2">
      <c r="A421" s="6" t="s">
        <v>2243</v>
      </c>
      <c r="B421" s="153">
        <v>9789500217361</v>
      </c>
      <c r="C421" s="6">
        <v>741691</v>
      </c>
      <c r="D421" s="41">
        <v>144</v>
      </c>
      <c r="E421" s="7" t="s">
        <v>2244</v>
      </c>
      <c r="F421" s="6" t="s">
        <v>2245</v>
      </c>
      <c r="G421" s="107">
        <v>46082</v>
      </c>
      <c r="H421" s="108">
        <v>46054</v>
      </c>
      <c r="I421" s="7">
        <v>6051</v>
      </c>
      <c r="J421" s="7" t="s">
        <v>1762</v>
      </c>
      <c r="K421" s="9">
        <v>1214.1300000000001</v>
      </c>
      <c r="L421" s="9">
        <v>25900</v>
      </c>
      <c r="M421" s="9">
        <f>+L421*0.08</f>
        <v>2072</v>
      </c>
      <c r="N421" s="9">
        <f t="shared" si="343"/>
        <v>12950</v>
      </c>
      <c r="O421" s="9">
        <f t="shared" si="344"/>
        <v>9663.869999999999</v>
      </c>
      <c r="P421" s="9">
        <f t="shared" si="345"/>
        <v>3286.13</v>
      </c>
      <c r="Q421" s="109">
        <f t="shared" si="346"/>
        <v>0.74624478764478752</v>
      </c>
      <c r="R421" s="336">
        <v>25900</v>
      </c>
      <c r="S421" s="359" t="s">
        <v>1948</v>
      </c>
      <c r="T421" s="305">
        <v>0.74624478764478752</v>
      </c>
      <c r="U421" s="12"/>
      <c r="V421" s="100"/>
      <c r="W421" s="110">
        <f t="shared" si="347"/>
        <v>25900</v>
      </c>
      <c r="X421" s="110">
        <f t="shared" si="348"/>
        <v>1214.1300000000001</v>
      </c>
      <c r="Y421" s="110">
        <f t="shared" si="349"/>
        <v>2072</v>
      </c>
      <c r="Z421" s="110">
        <f t="shared" si="350"/>
        <v>9663.869999999999</v>
      </c>
      <c r="AA421" s="260">
        <f t="shared" si="351"/>
        <v>0.74624478764478752</v>
      </c>
      <c r="AB421" s="28">
        <f t="shared" si="319"/>
        <v>8.5</v>
      </c>
      <c r="AC421" s="261">
        <f t="shared" si="352"/>
        <v>0.74506855957021767</v>
      </c>
      <c r="AD421" s="111">
        <f t="shared" si="321"/>
        <v>2.2999999999999998</v>
      </c>
      <c r="AE421" s="262">
        <f t="shared" si="353"/>
        <v>5.7862067976891793E-2</v>
      </c>
      <c r="AF421" s="100"/>
      <c r="AG421" s="111">
        <f t="shared" si="323"/>
        <v>3.6</v>
      </c>
      <c r="AH421" s="262">
        <f t="shared" si="354"/>
        <v>0.39807854342968096</v>
      </c>
      <c r="AI421" s="100"/>
      <c r="AJ421" s="111">
        <f t="shared" si="325"/>
        <v>3.3</v>
      </c>
      <c r="AK421" s="262">
        <f t="shared" si="355"/>
        <v>0.34335841101419734</v>
      </c>
      <c r="AL421" s="100"/>
      <c r="AM421" s="111">
        <f t="shared" si="327"/>
        <v>3.1</v>
      </c>
      <c r="AN421" s="262">
        <f t="shared" si="356"/>
        <v>0.30099443753124239</v>
      </c>
      <c r="AO421" s="100"/>
      <c r="AP421" s="24" t="e">
        <f>VLOOKUP(C421,#REF!,6,FALSE)</f>
        <v>#REF!</v>
      </c>
      <c r="AQ421" s="24" t="e">
        <f>VLOOKUP(C421,#REF!,7,FALSE)</f>
        <v>#REF!</v>
      </c>
      <c r="AR421" s="24" t="e">
        <f>VLOOKUP(C421,#REF!,12,FALSE)</f>
        <v>#REF!</v>
      </c>
      <c r="AS421" s="24" t="e">
        <f>VLOOKUP(C421,#REF!,13,FALSE)</f>
        <v>#REF!</v>
      </c>
      <c r="AT421" s="100"/>
      <c r="AU421" s="100"/>
      <c r="AV421" s="100">
        <v>405</v>
      </c>
      <c r="AW421" s="100"/>
      <c r="AY421" s="9">
        <v>25900</v>
      </c>
    </row>
    <row r="422" spans="1:51" s="2" customFormat="1" ht="12.75" customHeight="1" x14ac:dyDescent="0.2">
      <c r="A422" s="6" t="s">
        <v>2220</v>
      </c>
      <c r="B422" s="153">
        <v>9789500217279</v>
      </c>
      <c r="C422" s="6">
        <v>740756</v>
      </c>
      <c r="D422" s="41">
        <v>224</v>
      </c>
      <c r="E422" s="7" t="s">
        <v>2221</v>
      </c>
      <c r="F422" s="6" t="s">
        <v>2222</v>
      </c>
      <c r="G422" s="107">
        <v>46054</v>
      </c>
      <c r="H422" s="108">
        <v>46023</v>
      </c>
      <c r="I422" s="7">
        <v>5010</v>
      </c>
      <c r="J422" s="7" t="s">
        <v>2242</v>
      </c>
      <c r="K422" s="9">
        <v>1668.1</v>
      </c>
      <c r="L422" s="9">
        <v>25900</v>
      </c>
      <c r="M422" s="9">
        <f>+L422*0.1</f>
        <v>2590</v>
      </c>
      <c r="N422" s="9">
        <f t="shared" si="343"/>
        <v>12950</v>
      </c>
      <c r="O422" s="9">
        <f t="shared" si="344"/>
        <v>8691.9</v>
      </c>
      <c r="P422" s="9">
        <f t="shared" si="345"/>
        <v>4258.1000000000004</v>
      </c>
      <c r="Q422" s="109">
        <f t="shared" si="346"/>
        <v>0.67118918918918913</v>
      </c>
      <c r="R422" s="336">
        <v>25900</v>
      </c>
      <c r="S422" s="359" t="s">
        <v>1948</v>
      </c>
      <c r="T422" s="305">
        <v>0.67118918918918913</v>
      </c>
      <c r="U422" s="12"/>
      <c r="V422" s="100"/>
      <c r="W422" s="110">
        <f t="shared" si="347"/>
        <v>25900</v>
      </c>
      <c r="X422" s="110">
        <f t="shared" si="348"/>
        <v>1668.1</v>
      </c>
      <c r="Y422" s="110">
        <f t="shared" si="349"/>
        <v>2590</v>
      </c>
      <c r="Z422" s="110">
        <f t="shared" si="350"/>
        <v>8691.9</v>
      </c>
      <c r="AA422" s="260">
        <f t="shared" si="351"/>
        <v>0.67118918918918913</v>
      </c>
      <c r="AB422" s="28">
        <f t="shared" si="319"/>
        <v>8.5</v>
      </c>
      <c r="AC422" s="261">
        <f t="shared" si="352"/>
        <v>0.66966505692286804</v>
      </c>
      <c r="AD422" s="111">
        <f t="shared" si="321"/>
        <v>3</v>
      </c>
      <c r="AE422" s="262">
        <f t="shared" si="353"/>
        <v>6.4050994614792855E-2</v>
      </c>
      <c r="AF422" s="100"/>
      <c r="AG422" s="111">
        <f t="shared" si="323"/>
        <v>4.7</v>
      </c>
      <c r="AH422" s="262">
        <f t="shared" si="354"/>
        <v>0.4025857412434849</v>
      </c>
      <c r="AI422" s="100"/>
      <c r="AJ422" s="111">
        <f t="shared" si="325"/>
        <v>4.3</v>
      </c>
      <c r="AK422" s="262">
        <f t="shared" si="355"/>
        <v>0.34701232182427416</v>
      </c>
      <c r="AL422" s="100"/>
      <c r="AM422" s="111">
        <f t="shared" si="327"/>
        <v>4</v>
      </c>
      <c r="AN422" s="262">
        <f t="shared" si="356"/>
        <v>0.29803824596109457</v>
      </c>
      <c r="AO422" s="100"/>
      <c r="AP422" s="24" t="e">
        <f>VLOOKUP(C422,#REF!,6,FALSE)</f>
        <v>#REF!</v>
      </c>
      <c r="AQ422" s="24" t="e">
        <f>VLOOKUP(C422,#REF!,7,FALSE)</f>
        <v>#REF!</v>
      </c>
      <c r="AR422" s="24" t="e">
        <f>VLOOKUP(C422,#REF!,12,FALSE)</f>
        <v>#REF!</v>
      </c>
      <c r="AS422" s="24" t="e">
        <f>VLOOKUP(C422,#REF!,13,FALSE)</f>
        <v>#REF!</v>
      </c>
      <c r="AT422" s="100"/>
      <c r="AU422" s="100"/>
      <c r="AV422" s="100">
        <v>406</v>
      </c>
      <c r="AW422" s="100"/>
      <c r="AY422" s="9">
        <v>25900</v>
      </c>
    </row>
    <row r="423" spans="1:51" s="2" customFormat="1" ht="12.75" customHeight="1" x14ac:dyDescent="0.2">
      <c r="A423" s="6" t="s">
        <v>2226</v>
      </c>
      <c r="B423" s="153">
        <v>9789500217255</v>
      </c>
      <c r="C423" s="6">
        <v>740758</v>
      </c>
      <c r="D423" s="41">
        <v>80</v>
      </c>
      <c r="E423" s="6" t="s">
        <v>2227</v>
      </c>
      <c r="F423" s="6" t="s">
        <v>2228</v>
      </c>
      <c r="G423" s="107">
        <v>46054</v>
      </c>
      <c r="H423" s="108">
        <v>46023</v>
      </c>
      <c r="I423" s="7">
        <v>4000</v>
      </c>
      <c r="J423" s="7" t="s">
        <v>2242</v>
      </c>
      <c r="K423" s="148">
        <v>1730.12</v>
      </c>
      <c r="L423" s="9">
        <v>15900</v>
      </c>
      <c r="M423" s="9"/>
      <c r="N423" s="9">
        <f t="shared" si="343"/>
        <v>7950</v>
      </c>
      <c r="O423" s="9">
        <f t="shared" si="344"/>
        <v>6219.88</v>
      </c>
      <c r="P423" s="9">
        <f t="shared" si="345"/>
        <v>1730.12</v>
      </c>
      <c r="Q423" s="109">
        <f t="shared" si="346"/>
        <v>0.78237484276729563</v>
      </c>
      <c r="R423" s="336">
        <v>15900</v>
      </c>
      <c r="S423" s="359" t="s">
        <v>1948</v>
      </c>
      <c r="T423" s="305">
        <v>0.78237484276729563</v>
      </c>
      <c r="U423" s="12"/>
      <c r="V423" s="100"/>
      <c r="W423" s="110">
        <f t="shared" si="347"/>
        <v>15900</v>
      </c>
      <c r="X423" s="110">
        <f t="shared" si="348"/>
        <v>1730.12</v>
      </c>
      <c r="Y423" s="110">
        <f t="shared" si="349"/>
        <v>0</v>
      </c>
      <c r="Z423" s="110">
        <f t="shared" si="350"/>
        <v>6219.88</v>
      </c>
      <c r="AA423" s="260">
        <f t="shared" si="351"/>
        <v>0.78237484276729563</v>
      </c>
      <c r="AB423" s="28">
        <f t="shared" si="319"/>
        <v>5.2</v>
      </c>
      <c r="AC423" s="261">
        <f t="shared" si="352"/>
        <v>0.78060310938649224</v>
      </c>
      <c r="AD423" s="111">
        <f t="shared" si="321"/>
        <v>1.2</v>
      </c>
      <c r="AE423" s="262">
        <f t="shared" si="353"/>
        <v>4.9280140674799466E-2</v>
      </c>
      <c r="AF423" s="100"/>
      <c r="AG423" s="111">
        <f t="shared" si="323"/>
        <v>1.9</v>
      </c>
      <c r="AH423" s="262">
        <f t="shared" si="354"/>
        <v>0.39954535200513652</v>
      </c>
      <c r="AI423" s="100"/>
      <c r="AJ423" s="111">
        <f t="shared" si="325"/>
        <v>1.8</v>
      </c>
      <c r="AK423" s="262">
        <f t="shared" si="355"/>
        <v>0.36618676044986637</v>
      </c>
      <c r="AL423" s="100"/>
      <c r="AM423" s="111">
        <f t="shared" si="327"/>
        <v>1.6</v>
      </c>
      <c r="AN423" s="262">
        <f t="shared" si="356"/>
        <v>0.28696010550609963</v>
      </c>
      <c r="AO423" s="100"/>
      <c r="AP423" s="24" t="e">
        <f>VLOOKUP(C423,#REF!,6,FALSE)</f>
        <v>#REF!</v>
      </c>
      <c r="AQ423" s="24" t="e">
        <f>VLOOKUP(C423,#REF!,7,FALSE)</f>
        <v>#REF!</v>
      </c>
      <c r="AR423" s="24" t="e">
        <f>VLOOKUP(C423,#REF!,12,FALSE)</f>
        <v>#REF!</v>
      </c>
      <c r="AS423" s="24" t="e">
        <f>VLOOKUP(C423,#REF!,13,FALSE)</f>
        <v>#REF!</v>
      </c>
      <c r="AT423" s="100"/>
      <c r="AU423" s="100"/>
      <c r="AV423" s="100">
        <v>407</v>
      </c>
      <c r="AW423" s="100"/>
      <c r="AY423" s="9">
        <v>15900</v>
      </c>
    </row>
    <row r="424" spans="1:51" s="2" customFormat="1" ht="12.75" customHeight="1" x14ac:dyDescent="0.2">
      <c r="A424" s="6" t="s">
        <v>2204</v>
      </c>
      <c r="B424" s="153">
        <v>9789500217187</v>
      </c>
      <c r="C424" s="6">
        <v>740160</v>
      </c>
      <c r="D424" s="41">
        <v>80</v>
      </c>
      <c r="E424" s="6" t="s">
        <v>2205</v>
      </c>
      <c r="F424" s="6" t="s">
        <v>2206</v>
      </c>
      <c r="G424" s="107">
        <v>46023</v>
      </c>
      <c r="H424" s="108">
        <v>45992</v>
      </c>
      <c r="I424" s="7">
        <v>4000</v>
      </c>
      <c r="J424" s="176" t="s">
        <v>2219</v>
      </c>
      <c r="K424" s="148">
        <v>1710.66</v>
      </c>
      <c r="L424" s="9">
        <v>15900</v>
      </c>
      <c r="M424" s="9"/>
      <c r="N424" s="9">
        <f t="shared" si="343"/>
        <v>7950</v>
      </c>
      <c r="O424" s="9">
        <f t="shared" si="344"/>
        <v>6239.34</v>
      </c>
      <c r="P424" s="9">
        <f t="shared" si="345"/>
        <v>1710.66</v>
      </c>
      <c r="Q424" s="109">
        <f t="shared" si="346"/>
        <v>0.78482264150943393</v>
      </c>
      <c r="R424" s="336">
        <v>15900</v>
      </c>
      <c r="S424" s="359" t="s">
        <v>1948</v>
      </c>
      <c r="T424" s="305">
        <v>0.78482264150943393</v>
      </c>
      <c r="U424" s="12"/>
      <c r="V424" s="100"/>
      <c r="W424" s="110">
        <f t="shared" si="347"/>
        <v>15900</v>
      </c>
      <c r="X424" s="110">
        <f t="shared" si="348"/>
        <v>1710.66</v>
      </c>
      <c r="Y424" s="110">
        <f t="shared" si="349"/>
        <v>0</v>
      </c>
      <c r="Z424" s="110">
        <f t="shared" si="350"/>
        <v>6239.34</v>
      </c>
      <c r="AA424" s="260">
        <f t="shared" si="351"/>
        <v>0.78482264150943393</v>
      </c>
      <c r="AB424" s="28">
        <f t="shared" si="319"/>
        <v>5.2</v>
      </c>
      <c r="AC424" s="261">
        <f t="shared" si="352"/>
        <v>0.78307083618656326</v>
      </c>
      <c r="AD424" s="111">
        <f t="shared" si="321"/>
        <v>1.2</v>
      </c>
      <c r="AE424" s="262">
        <f t="shared" si="353"/>
        <v>5.9973623475107089E-2</v>
      </c>
      <c r="AF424" s="100"/>
      <c r="AG424" s="111">
        <f t="shared" si="323"/>
        <v>1.9</v>
      </c>
      <c r="AH424" s="262">
        <f t="shared" si="354"/>
        <v>0.4062991306158571</v>
      </c>
      <c r="AI424" s="100"/>
      <c r="AJ424" s="111">
        <f t="shared" si="325"/>
        <v>1.7</v>
      </c>
      <c r="AK424" s="262">
        <f t="shared" si="355"/>
        <v>0.33645196951184025</v>
      </c>
      <c r="AL424" s="100"/>
      <c r="AM424" s="111">
        <f t="shared" si="327"/>
        <v>1.6</v>
      </c>
      <c r="AN424" s="262">
        <f t="shared" si="356"/>
        <v>0.29498021760633036</v>
      </c>
      <c r="AO424" s="100"/>
      <c r="AP424" s="24" t="e">
        <f>VLOOKUP(C424,#REF!,6,FALSE)</f>
        <v>#REF!</v>
      </c>
      <c r="AQ424" s="24" t="e">
        <f>VLOOKUP(C424,#REF!,7,FALSE)</f>
        <v>#REF!</v>
      </c>
      <c r="AR424" s="24" t="e">
        <f>VLOOKUP(C424,#REF!,12,FALSE)</f>
        <v>#REF!</v>
      </c>
      <c r="AS424" s="24" t="e">
        <f>VLOOKUP(C424,#REF!,13,FALSE)</f>
        <v>#REF!</v>
      </c>
      <c r="AT424" s="100"/>
      <c r="AU424" s="100"/>
      <c r="AV424" s="100">
        <v>408</v>
      </c>
      <c r="AW424" s="100"/>
      <c r="AY424" s="9">
        <v>15900</v>
      </c>
    </row>
    <row r="425" spans="1:51" s="2" customFormat="1" ht="12.75" customHeight="1" x14ac:dyDescent="0.2">
      <c r="A425" s="6" t="s">
        <v>2215</v>
      </c>
      <c r="B425" s="8">
        <v>9788466244893</v>
      </c>
      <c r="C425" s="6">
        <v>740169</v>
      </c>
      <c r="D425" s="239">
        <v>160</v>
      </c>
      <c r="E425" s="8" t="s">
        <v>2216</v>
      </c>
      <c r="F425" s="6" t="s">
        <v>2217</v>
      </c>
      <c r="G425" s="107">
        <v>46023</v>
      </c>
      <c r="H425" s="108">
        <v>46266</v>
      </c>
      <c r="I425" s="267">
        <v>4000</v>
      </c>
      <c r="J425" s="6" t="s">
        <v>2160</v>
      </c>
      <c r="K425" s="148">
        <v>11582.86</v>
      </c>
      <c r="L425" s="9">
        <v>49900</v>
      </c>
      <c r="M425" s="9"/>
      <c r="N425" s="9">
        <f t="shared" si="343"/>
        <v>24950</v>
      </c>
      <c r="O425" s="9">
        <f t="shared" si="344"/>
        <v>13367.14</v>
      </c>
      <c r="P425" s="9">
        <f t="shared" si="345"/>
        <v>11582.86</v>
      </c>
      <c r="Q425" s="109">
        <f t="shared" si="346"/>
        <v>0.53575711422845684</v>
      </c>
      <c r="R425" s="313">
        <v>49900</v>
      </c>
      <c r="S425" s="359" t="s">
        <v>2439</v>
      </c>
      <c r="T425" s="305">
        <v>0.56960817204301073</v>
      </c>
      <c r="U425" s="12"/>
      <c r="V425" s="100"/>
      <c r="W425" s="110">
        <f t="shared" si="347"/>
        <v>49900</v>
      </c>
      <c r="X425" s="110">
        <f t="shared" si="348"/>
        <v>11582.86</v>
      </c>
      <c r="Y425" s="110">
        <f t="shared" si="349"/>
        <v>0</v>
      </c>
      <c r="Z425" s="110">
        <f t="shared" si="350"/>
        <v>13367.14</v>
      </c>
      <c r="AA425" s="260">
        <f t="shared" si="351"/>
        <v>0.53575711422845684</v>
      </c>
      <c r="AB425" s="28">
        <f t="shared" si="319"/>
        <v>16.5</v>
      </c>
      <c r="AC425" s="261">
        <f t="shared" si="352"/>
        <v>0.53709758315099554</v>
      </c>
      <c r="AD425" s="111">
        <f t="shared" si="321"/>
        <v>8</v>
      </c>
      <c r="AE425" s="262">
        <f t="shared" si="353"/>
        <v>4.5263765248928403E-2</v>
      </c>
      <c r="AF425" s="100"/>
      <c r="AG425" s="111">
        <f t="shared" si="323"/>
        <v>12.7</v>
      </c>
      <c r="AH425" s="262">
        <f t="shared" si="354"/>
        <v>0.39859134818830133</v>
      </c>
      <c r="AI425" s="100"/>
      <c r="AJ425" s="111">
        <f t="shared" si="325"/>
        <v>11.8</v>
      </c>
      <c r="AK425" s="262">
        <f t="shared" si="355"/>
        <v>0.35272119677893454</v>
      </c>
      <c r="AL425" s="100"/>
      <c r="AM425" s="111">
        <f t="shared" si="327"/>
        <v>10.9</v>
      </c>
      <c r="AN425" s="262">
        <f t="shared" si="356"/>
        <v>0.29927615798086499</v>
      </c>
      <c r="AO425" s="100"/>
      <c r="AP425" s="24" t="e">
        <f>VLOOKUP(C425,#REF!,6,FALSE)</f>
        <v>#REF!</v>
      </c>
      <c r="AQ425" s="24" t="e">
        <f>VLOOKUP(C425,#REF!,7,FALSE)</f>
        <v>#REF!</v>
      </c>
      <c r="AR425" s="24" t="e">
        <f>VLOOKUP(C425,#REF!,12,FALSE)</f>
        <v>#REF!</v>
      </c>
      <c r="AS425" s="24" t="e">
        <f>VLOOKUP(C425,#REF!,13,FALSE)</f>
        <v>#REF!</v>
      </c>
      <c r="AT425" s="100"/>
      <c r="AU425" s="100"/>
      <c r="AV425" s="100">
        <v>409</v>
      </c>
      <c r="AW425" s="100"/>
      <c r="AY425" s="9">
        <v>46500</v>
      </c>
    </row>
    <row r="426" spans="1:51" s="2" customFormat="1" ht="12.75" customHeight="1" x14ac:dyDescent="0.2">
      <c r="A426" s="6" t="s">
        <v>2164</v>
      </c>
      <c r="B426" s="153">
        <v>9789500216838</v>
      </c>
      <c r="C426" s="6">
        <v>736772</v>
      </c>
      <c r="D426" s="41">
        <v>272</v>
      </c>
      <c r="E426" s="6" t="s">
        <v>2165</v>
      </c>
      <c r="F426" s="6" t="s">
        <v>2163</v>
      </c>
      <c r="G426" s="329">
        <v>45962</v>
      </c>
      <c r="H426" s="108">
        <v>46082</v>
      </c>
      <c r="I426" s="7">
        <v>2022</v>
      </c>
      <c r="J426" s="8" t="s">
        <v>1333</v>
      </c>
      <c r="K426" s="7">
        <v>2642.58</v>
      </c>
      <c r="L426" s="9">
        <v>31500</v>
      </c>
      <c r="M426" s="9">
        <f>+L426*0.1</f>
        <v>3150</v>
      </c>
      <c r="N426" s="9">
        <f t="shared" si="343"/>
        <v>15750</v>
      </c>
      <c r="O426" s="9">
        <f t="shared" si="344"/>
        <v>9957.42</v>
      </c>
      <c r="P426" s="9">
        <f t="shared" si="345"/>
        <v>5792.58</v>
      </c>
      <c r="Q426" s="109">
        <f t="shared" si="346"/>
        <v>0.63221714285714281</v>
      </c>
      <c r="R426" s="336">
        <v>31500</v>
      </c>
      <c r="S426" s="359" t="s">
        <v>1948</v>
      </c>
      <c r="T426" s="305">
        <v>0.63221714285714281</v>
      </c>
      <c r="U426" s="12"/>
      <c r="V426" s="100"/>
      <c r="W426" s="110">
        <f t="shared" si="347"/>
        <v>31500</v>
      </c>
      <c r="X426" s="110">
        <f t="shared" si="348"/>
        <v>2642.58</v>
      </c>
      <c r="Y426" s="110">
        <f t="shared" si="349"/>
        <v>3150</v>
      </c>
      <c r="Z426" s="110">
        <f t="shared" si="350"/>
        <v>9957.42</v>
      </c>
      <c r="AA426" s="260">
        <f t="shared" si="351"/>
        <v>0.63221714285714281</v>
      </c>
      <c r="AB426" s="28">
        <f t="shared" si="319"/>
        <v>10.4</v>
      </c>
      <c r="AC426" s="261">
        <f t="shared" si="352"/>
        <v>0.6327208399908697</v>
      </c>
      <c r="AD426" s="111">
        <f t="shared" si="321"/>
        <v>4</v>
      </c>
      <c r="AE426" s="262">
        <f t="shared" si="353"/>
        <v>4.5074183976261138E-2</v>
      </c>
      <c r="AF426" s="100"/>
      <c r="AG426" s="111">
        <f t="shared" si="323"/>
        <v>6.4</v>
      </c>
      <c r="AH426" s="262">
        <f t="shared" si="354"/>
        <v>0.40317136498516326</v>
      </c>
      <c r="AI426" s="100"/>
      <c r="AJ426" s="111">
        <f t="shared" si="325"/>
        <v>5.9</v>
      </c>
      <c r="AK426" s="262">
        <f t="shared" si="355"/>
        <v>0.35259266710254994</v>
      </c>
      <c r="AL426" s="100"/>
      <c r="AM426" s="111">
        <f t="shared" si="327"/>
        <v>5.5</v>
      </c>
      <c r="AN426" s="262">
        <f t="shared" si="356"/>
        <v>0.30550849743728081</v>
      </c>
      <c r="AO426" s="100"/>
      <c r="AP426" s="24" t="e">
        <f>VLOOKUP(C426,#REF!,6,FALSE)</f>
        <v>#REF!</v>
      </c>
      <c r="AQ426" s="24" t="e">
        <f>VLOOKUP(C426,#REF!,7,FALSE)</f>
        <v>#REF!</v>
      </c>
      <c r="AR426" s="24" t="e">
        <f>VLOOKUP(C426,#REF!,12,FALSE)</f>
        <v>#REF!</v>
      </c>
      <c r="AS426" s="24" t="e">
        <f>VLOOKUP(C426,#REF!,13,FALSE)</f>
        <v>#REF!</v>
      </c>
      <c r="AT426" s="100"/>
      <c r="AU426" s="100"/>
      <c r="AV426" s="100">
        <v>410</v>
      </c>
      <c r="AW426" s="100"/>
      <c r="AY426" s="9">
        <v>31500</v>
      </c>
    </row>
    <row r="427" spans="1:51" s="2" customFormat="1" ht="12.75" customHeight="1" x14ac:dyDescent="0.2">
      <c r="A427" s="6" t="s">
        <v>2175</v>
      </c>
      <c r="B427" s="153">
        <v>9789500216869</v>
      </c>
      <c r="C427" s="6">
        <v>737016</v>
      </c>
      <c r="D427" s="41">
        <v>144</v>
      </c>
      <c r="E427" s="316" t="s">
        <v>1822</v>
      </c>
      <c r="F427" s="29" t="s">
        <v>2093</v>
      </c>
      <c r="G427" s="329">
        <v>45962</v>
      </c>
      <c r="H427" s="108">
        <v>46113</v>
      </c>
      <c r="I427" s="7">
        <v>3069</v>
      </c>
      <c r="J427" s="8" t="s">
        <v>1333</v>
      </c>
      <c r="K427" s="292">
        <v>2175.4900000000002</v>
      </c>
      <c r="L427" s="9">
        <v>25900</v>
      </c>
      <c r="M427" s="9">
        <f>+L427*0.08</f>
        <v>2072</v>
      </c>
      <c r="N427" s="9">
        <f t="shared" si="343"/>
        <v>12950</v>
      </c>
      <c r="O427" s="9">
        <f t="shared" si="344"/>
        <v>8702.51</v>
      </c>
      <c r="P427" s="9">
        <f t="shared" si="345"/>
        <v>4247.49</v>
      </c>
      <c r="Q427" s="109">
        <f t="shared" si="346"/>
        <v>0.67200849420849418</v>
      </c>
      <c r="R427" s="336">
        <v>25900</v>
      </c>
      <c r="S427" s="359" t="s">
        <v>1948</v>
      </c>
      <c r="T427" s="305">
        <v>0.67200849420849418</v>
      </c>
      <c r="U427" s="12"/>
      <c r="V427" s="100"/>
      <c r="W427" s="110">
        <f t="shared" si="347"/>
        <v>25900</v>
      </c>
      <c r="X427" s="110">
        <f t="shared" si="348"/>
        <v>2175.4900000000002</v>
      </c>
      <c r="Y427" s="110">
        <f t="shared" si="349"/>
        <v>2072</v>
      </c>
      <c r="Z427" s="110">
        <f t="shared" si="350"/>
        <v>8702.51</v>
      </c>
      <c r="AA427" s="260">
        <f t="shared" si="351"/>
        <v>0.67200849420849418</v>
      </c>
      <c r="AB427" s="28">
        <f t="shared" si="319"/>
        <v>8.5</v>
      </c>
      <c r="AC427" s="261">
        <f t="shared" si="352"/>
        <v>0.67048815965555364</v>
      </c>
      <c r="AD427" s="111">
        <f t="shared" si="321"/>
        <v>2.9</v>
      </c>
      <c r="AE427" s="262">
        <f t="shared" si="353"/>
        <v>3.418943347317422E-2</v>
      </c>
      <c r="AF427" s="100"/>
      <c r="AG427" s="111">
        <f t="shared" si="323"/>
        <v>4.7</v>
      </c>
      <c r="AH427" s="262">
        <f t="shared" si="354"/>
        <v>0.40407433129195858</v>
      </c>
      <c r="AI427" s="100"/>
      <c r="AJ427" s="111">
        <f t="shared" si="325"/>
        <v>4.3</v>
      </c>
      <c r="AK427" s="262">
        <f t="shared" si="355"/>
        <v>0.34863938536562911</v>
      </c>
      <c r="AL427" s="100"/>
      <c r="AM427" s="111">
        <f t="shared" si="327"/>
        <v>4</v>
      </c>
      <c r="AN427" s="262">
        <f t="shared" si="356"/>
        <v>0.2997873392680514</v>
      </c>
      <c r="AO427" s="100"/>
      <c r="AP427" s="24" t="e">
        <f>VLOOKUP(C427,#REF!,6,FALSE)</f>
        <v>#REF!</v>
      </c>
      <c r="AQ427" s="24" t="e">
        <f>VLOOKUP(C427,#REF!,7,FALSE)</f>
        <v>#REF!</v>
      </c>
      <c r="AR427" s="24" t="e">
        <f>VLOOKUP(C427,#REF!,12,FALSE)</f>
        <v>#REF!</v>
      </c>
      <c r="AS427" s="24" t="e">
        <f>VLOOKUP(C427,#REF!,13,FALSE)</f>
        <v>#REF!</v>
      </c>
      <c r="AT427" s="100"/>
      <c r="AU427" s="100"/>
      <c r="AV427" s="100">
        <v>411</v>
      </c>
      <c r="AW427" s="100"/>
      <c r="AY427" s="9">
        <v>25900</v>
      </c>
    </row>
    <row r="428" spans="1:51" s="2" customFormat="1" ht="12.75" customHeight="1" x14ac:dyDescent="0.2">
      <c r="A428" s="6" t="s">
        <v>2148</v>
      </c>
      <c r="B428" s="153">
        <v>9789500216791</v>
      </c>
      <c r="C428" s="6">
        <v>735111</v>
      </c>
      <c r="D428" s="41">
        <v>176</v>
      </c>
      <c r="E428" s="316" t="s">
        <v>2149</v>
      </c>
      <c r="F428" s="316" t="s">
        <v>2150</v>
      </c>
      <c r="G428" s="107">
        <v>45931</v>
      </c>
      <c r="H428" s="108">
        <v>46113</v>
      </c>
      <c r="I428" s="7">
        <v>2079</v>
      </c>
      <c r="J428" s="8" t="s">
        <v>1333</v>
      </c>
      <c r="K428" s="292">
        <v>1584.82</v>
      </c>
      <c r="L428" s="9">
        <v>25500</v>
      </c>
      <c r="M428" s="9">
        <f>+L428*0.1</f>
        <v>2550</v>
      </c>
      <c r="N428" s="9">
        <f t="shared" si="343"/>
        <v>12750</v>
      </c>
      <c r="O428" s="9">
        <f t="shared" si="344"/>
        <v>8615.18</v>
      </c>
      <c r="P428" s="9">
        <f t="shared" si="345"/>
        <v>4134.82</v>
      </c>
      <c r="Q428" s="109">
        <f t="shared" si="346"/>
        <v>0.67570039215686273</v>
      </c>
      <c r="R428" s="336">
        <v>25500</v>
      </c>
      <c r="S428" s="359" t="s">
        <v>1948</v>
      </c>
      <c r="T428" s="305">
        <v>0.67570039215686273</v>
      </c>
      <c r="U428" s="12"/>
      <c r="V428" s="100"/>
      <c r="W428" s="110">
        <f t="shared" si="347"/>
        <v>25500</v>
      </c>
      <c r="X428" s="110">
        <f t="shared" si="348"/>
        <v>1584.82</v>
      </c>
      <c r="Y428" s="110">
        <f t="shared" si="349"/>
        <v>2550</v>
      </c>
      <c r="Z428" s="110">
        <f t="shared" si="350"/>
        <v>8615.18</v>
      </c>
      <c r="AA428" s="260">
        <f t="shared" si="351"/>
        <v>0.67570039215686273</v>
      </c>
      <c r="AB428" s="28">
        <f t="shared" si="319"/>
        <v>8.4</v>
      </c>
      <c r="AC428" s="261">
        <f t="shared" si="352"/>
        <v>0.67541017066239617</v>
      </c>
      <c r="AD428" s="111">
        <f t="shared" si="321"/>
        <v>2.9</v>
      </c>
      <c r="AE428" s="262">
        <f t="shared" si="353"/>
        <v>5.9808770194526822E-2</v>
      </c>
      <c r="AF428" s="100"/>
      <c r="AG428" s="111">
        <f t="shared" si="323"/>
        <v>4.5</v>
      </c>
      <c r="AH428" s="262">
        <f t="shared" si="354"/>
        <v>0.39409898523647291</v>
      </c>
      <c r="AI428" s="100"/>
      <c r="AJ428" s="111">
        <f t="shared" si="325"/>
        <v>4.2</v>
      </c>
      <c r="AK428" s="262">
        <f t="shared" si="355"/>
        <v>0.35082034132479245</v>
      </c>
      <c r="AL428" s="100"/>
      <c r="AM428" s="111">
        <f t="shared" si="327"/>
        <v>3.9</v>
      </c>
      <c r="AN428" s="262">
        <f t="shared" si="356"/>
        <v>0.30088344450362253</v>
      </c>
      <c r="AO428" s="100"/>
      <c r="AP428" s="24" t="e">
        <f>VLOOKUP(C428,#REF!,6,FALSE)</f>
        <v>#REF!</v>
      </c>
      <c r="AQ428" s="24" t="e">
        <f>VLOOKUP(C428,#REF!,7,FALSE)</f>
        <v>#REF!</v>
      </c>
      <c r="AR428" s="24" t="e">
        <f>VLOOKUP(C428,#REF!,12,FALSE)</f>
        <v>#REF!</v>
      </c>
      <c r="AS428" s="24" t="e">
        <f>VLOOKUP(C428,#REF!,13,FALSE)</f>
        <v>#REF!</v>
      </c>
      <c r="AT428" s="100"/>
      <c r="AU428" s="100"/>
      <c r="AV428" s="100">
        <v>412</v>
      </c>
      <c r="AW428" s="100"/>
      <c r="AY428" s="9">
        <v>25500</v>
      </c>
    </row>
    <row r="429" spans="1:51" s="2" customFormat="1" ht="12.75" customHeight="1" x14ac:dyDescent="0.2">
      <c r="A429" s="6" t="s">
        <v>2113</v>
      </c>
      <c r="B429" s="153">
        <v>9789500216654</v>
      </c>
      <c r="C429" s="6">
        <v>734145</v>
      </c>
      <c r="D429" s="239">
        <v>144</v>
      </c>
      <c r="E429" s="316" t="s">
        <v>2114</v>
      </c>
      <c r="F429" s="316" t="s">
        <v>2115</v>
      </c>
      <c r="G429" s="107">
        <v>45901</v>
      </c>
      <c r="H429" s="108">
        <v>45962</v>
      </c>
      <c r="I429" s="7">
        <v>3000</v>
      </c>
      <c r="J429" s="7" t="s">
        <v>1762</v>
      </c>
      <c r="K429" s="292">
        <v>842.14</v>
      </c>
      <c r="L429" s="9">
        <v>22500</v>
      </c>
      <c r="M429" s="9">
        <f>+L429*0.12</f>
        <v>2700</v>
      </c>
      <c r="N429" s="9">
        <f t="shared" si="343"/>
        <v>11250</v>
      </c>
      <c r="O429" s="9">
        <f t="shared" si="344"/>
        <v>7707.86</v>
      </c>
      <c r="P429" s="9">
        <f t="shared" si="345"/>
        <v>3542.14</v>
      </c>
      <c r="Q429" s="109">
        <f t="shared" si="346"/>
        <v>0.68514311111111104</v>
      </c>
      <c r="R429" s="336">
        <v>22500</v>
      </c>
      <c r="S429" s="359" t="s">
        <v>1948</v>
      </c>
      <c r="T429" s="305">
        <v>0.76514311111111122</v>
      </c>
      <c r="U429" s="12"/>
      <c r="V429" s="100"/>
      <c r="W429" s="110">
        <f t="shared" si="347"/>
        <v>22500</v>
      </c>
      <c r="X429" s="110">
        <f t="shared" si="348"/>
        <v>842.14</v>
      </c>
      <c r="Y429" s="110">
        <f t="shared" si="349"/>
        <v>2700</v>
      </c>
      <c r="Z429" s="110">
        <f t="shared" si="350"/>
        <v>7707.8600000000006</v>
      </c>
      <c r="AA429" s="260">
        <f t="shared" si="351"/>
        <v>0.68514311111111115</v>
      </c>
      <c r="AB429" s="28">
        <f t="shared" si="319"/>
        <v>7.4</v>
      </c>
      <c r="AC429" s="261">
        <f t="shared" si="352"/>
        <v>0.68436032471640784</v>
      </c>
      <c r="AD429" s="111">
        <f t="shared" si="321"/>
        <v>2.5</v>
      </c>
      <c r="AE429" s="262">
        <f t="shared" si="353"/>
        <v>6.5706561160567126E-2</v>
      </c>
      <c r="AF429" s="100"/>
      <c r="AG429" s="111">
        <f t="shared" si="323"/>
        <v>3.9</v>
      </c>
      <c r="AH429" s="262">
        <f t="shared" si="354"/>
        <v>0.40109394946190186</v>
      </c>
      <c r="AI429" s="100"/>
      <c r="AJ429" s="111">
        <f t="shared" si="325"/>
        <v>3.6</v>
      </c>
      <c r="AK429" s="262">
        <f t="shared" si="355"/>
        <v>0.35118511191706048</v>
      </c>
      <c r="AL429" s="100"/>
      <c r="AM429" s="111">
        <f t="shared" si="327"/>
        <v>3.3</v>
      </c>
      <c r="AN429" s="262">
        <f t="shared" si="356"/>
        <v>0.29220194027315682</v>
      </c>
      <c r="AO429" s="100"/>
      <c r="AP429" s="24" t="e">
        <f>VLOOKUP(C429,#REF!,6,FALSE)</f>
        <v>#REF!</v>
      </c>
      <c r="AQ429" s="24" t="e">
        <f>VLOOKUP(C429,#REF!,7,FALSE)</f>
        <v>#REF!</v>
      </c>
      <c r="AR429" s="24" t="e">
        <f>VLOOKUP(C429,#REF!,12,FALSE)</f>
        <v>#REF!</v>
      </c>
      <c r="AS429" s="24" t="e">
        <f>VLOOKUP(C429,#REF!,13,FALSE)</f>
        <v>#REF!</v>
      </c>
      <c r="AT429" s="100"/>
      <c r="AU429" s="100"/>
      <c r="AV429" s="100">
        <v>413</v>
      </c>
      <c r="AW429" s="100"/>
      <c r="AY429" s="9">
        <v>22500</v>
      </c>
    </row>
    <row r="430" spans="1:51" s="2" customFormat="1" ht="12.75" customHeight="1" x14ac:dyDescent="0.2">
      <c r="A430" s="6" t="s">
        <v>2113</v>
      </c>
      <c r="B430" s="153">
        <v>9789500216715</v>
      </c>
      <c r="C430" s="6">
        <v>734146</v>
      </c>
      <c r="D430" s="41">
        <v>208</v>
      </c>
      <c r="E430" s="316" t="s">
        <v>2116</v>
      </c>
      <c r="F430" s="316" t="s">
        <v>2117</v>
      </c>
      <c r="G430" s="107">
        <v>45901</v>
      </c>
      <c r="H430" s="108">
        <v>45870</v>
      </c>
      <c r="I430" s="7">
        <v>3125</v>
      </c>
      <c r="J430" s="319" t="s">
        <v>1333</v>
      </c>
      <c r="K430" s="292">
        <v>1744.53</v>
      </c>
      <c r="L430" s="9">
        <v>21900</v>
      </c>
      <c r="M430" s="9">
        <f>+L430*0.08</f>
        <v>1752</v>
      </c>
      <c r="N430" s="9">
        <f t="shared" si="343"/>
        <v>10950</v>
      </c>
      <c r="O430" s="9">
        <f t="shared" si="344"/>
        <v>7453.47</v>
      </c>
      <c r="P430" s="9">
        <f t="shared" si="345"/>
        <v>3496.5299999999997</v>
      </c>
      <c r="Q430" s="109">
        <f t="shared" si="346"/>
        <v>0.6806821917808219</v>
      </c>
      <c r="R430" s="336">
        <v>21900</v>
      </c>
      <c r="S430" s="359" t="s">
        <v>1948</v>
      </c>
      <c r="T430" s="305">
        <v>0.6806821917808219</v>
      </c>
      <c r="U430" s="12"/>
      <c r="V430" s="100"/>
      <c r="W430" s="110">
        <f t="shared" si="347"/>
        <v>21900</v>
      </c>
      <c r="X430" s="110">
        <f t="shared" si="348"/>
        <v>1744.53</v>
      </c>
      <c r="Y430" s="110">
        <f t="shared" si="349"/>
        <v>1752</v>
      </c>
      <c r="Z430" s="110">
        <f t="shared" si="350"/>
        <v>7453.4699999999993</v>
      </c>
      <c r="AA430" s="260">
        <f t="shared" si="351"/>
        <v>0.6806821917808219</v>
      </c>
      <c r="AB430" s="28">
        <f t="shared" si="319"/>
        <v>7.2</v>
      </c>
      <c r="AC430" s="261">
        <f t="shared" si="352"/>
        <v>0.67976975491812286</v>
      </c>
      <c r="AD430" s="111">
        <f t="shared" si="321"/>
        <v>2.4</v>
      </c>
      <c r="AE430" s="262">
        <f t="shared" si="353"/>
        <v>3.9309264754368599E-2</v>
      </c>
      <c r="AF430" s="100"/>
      <c r="AG430" s="111">
        <f t="shared" si="323"/>
        <v>3.8</v>
      </c>
      <c r="AH430" s="262">
        <f t="shared" si="354"/>
        <v>0.39324795668696966</v>
      </c>
      <c r="AI430" s="100"/>
      <c r="AJ430" s="111">
        <f t="shared" si="325"/>
        <v>3.5</v>
      </c>
      <c r="AK430" s="262">
        <f t="shared" si="355"/>
        <v>0.34124063868870996</v>
      </c>
      <c r="AL430" s="100"/>
      <c r="AM430" s="111">
        <f t="shared" si="327"/>
        <v>3.3</v>
      </c>
      <c r="AN430" s="262">
        <f t="shared" si="356"/>
        <v>0.3013158289122681</v>
      </c>
      <c r="AO430" s="100"/>
      <c r="AP430" s="24" t="e">
        <f>VLOOKUP(C430,#REF!,6,FALSE)</f>
        <v>#REF!</v>
      </c>
      <c r="AQ430" s="24" t="e">
        <f>VLOOKUP(C430,#REF!,7,FALSE)</f>
        <v>#REF!</v>
      </c>
      <c r="AR430" s="24" t="e">
        <f>VLOOKUP(C430,#REF!,12,FALSE)</f>
        <v>#REF!</v>
      </c>
      <c r="AS430" s="24" t="e">
        <f>VLOOKUP(C430,#REF!,13,FALSE)</f>
        <v>#REF!</v>
      </c>
      <c r="AT430" s="100"/>
      <c r="AU430" s="100"/>
      <c r="AV430" s="100">
        <v>414</v>
      </c>
      <c r="AW430" s="100"/>
      <c r="AY430" s="9">
        <v>21900</v>
      </c>
    </row>
    <row r="431" spans="1:51" s="2" customFormat="1" ht="12.75" customHeight="1" x14ac:dyDescent="0.2">
      <c r="A431" s="6" t="s">
        <v>2097</v>
      </c>
      <c r="B431" s="279">
        <v>9789500216609</v>
      </c>
      <c r="C431" s="6">
        <v>732724</v>
      </c>
      <c r="D431" s="41">
        <v>192</v>
      </c>
      <c r="E431" s="316" t="s">
        <v>2098</v>
      </c>
      <c r="F431" s="316" t="s">
        <v>2112</v>
      </c>
      <c r="G431" s="107">
        <v>45870</v>
      </c>
      <c r="H431" s="108">
        <v>46082</v>
      </c>
      <c r="I431" s="264">
        <v>500</v>
      </c>
      <c r="J431" s="315" t="s">
        <v>1333</v>
      </c>
      <c r="K431" s="292">
        <v>2760.2</v>
      </c>
      <c r="L431" s="9">
        <v>24900</v>
      </c>
      <c r="M431" s="9">
        <f>+L431*0.08</f>
        <v>1992</v>
      </c>
      <c r="N431" s="9">
        <f t="shared" si="343"/>
        <v>12450</v>
      </c>
      <c r="O431" s="9">
        <f t="shared" si="344"/>
        <v>7697.8</v>
      </c>
      <c r="P431" s="9">
        <f t="shared" si="345"/>
        <v>4752.2</v>
      </c>
      <c r="Q431" s="109">
        <f t="shared" si="346"/>
        <v>0.61829718875502004</v>
      </c>
      <c r="R431" s="336">
        <v>24900</v>
      </c>
      <c r="S431" s="359" t="s">
        <v>1948</v>
      </c>
      <c r="T431" s="305">
        <v>0.61829718875502004</v>
      </c>
      <c r="U431" s="12"/>
      <c r="V431" s="100"/>
      <c r="W431" s="110">
        <f t="shared" si="347"/>
        <v>24900</v>
      </c>
      <c r="X431" s="110">
        <f t="shared" si="348"/>
        <v>2760.2</v>
      </c>
      <c r="Y431" s="110">
        <f t="shared" si="349"/>
        <v>1992</v>
      </c>
      <c r="Z431" s="110">
        <f t="shared" si="350"/>
        <v>7697.7999999999993</v>
      </c>
      <c r="AA431" s="260">
        <f t="shared" si="351"/>
        <v>0.61829718875502004</v>
      </c>
      <c r="AB431" s="28">
        <f t="shared" si="319"/>
        <v>8.1999999999999993</v>
      </c>
      <c r="AC431" s="261">
        <f t="shared" si="352"/>
        <v>0.61784597074457381</v>
      </c>
      <c r="AD431" s="111">
        <f t="shared" si="321"/>
        <v>3.3</v>
      </c>
      <c r="AE431" s="262">
        <f t="shared" si="353"/>
        <v>5.040513942591094E-2</v>
      </c>
      <c r="AF431" s="100"/>
      <c r="AG431" s="111">
        <f t="shared" si="323"/>
        <v>5.2</v>
      </c>
      <c r="AH431" s="262">
        <f t="shared" si="354"/>
        <v>0.397372492327982</v>
      </c>
      <c r="AI431" s="100"/>
      <c r="AJ431" s="111">
        <f t="shared" si="325"/>
        <v>4.8</v>
      </c>
      <c r="AK431" s="262">
        <f t="shared" si="355"/>
        <v>0.34715353335531379</v>
      </c>
      <c r="AL431" s="100"/>
      <c r="AM431" s="111">
        <f t="shared" si="327"/>
        <v>4.5</v>
      </c>
      <c r="AN431" s="262">
        <f t="shared" si="356"/>
        <v>0.30363043557900138</v>
      </c>
      <c r="AO431" s="100"/>
      <c r="AP431" s="24" t="e">
        <f>VLOOKUP(C431,#REF!,6,FALSE)</f>
        <v>#REF!</v>
      </c>
      <c r="AQ431" s="24" t="e">
        <f>VLOOKUP(C431,#REF!,7,FALSE)</f>
        <v>#REF!</v>
      </c>
      <c r="AR431" s="24" t="e">
        <f>VLOOKUP(C431,#REF!,12,FALSE)</f>
        <v>#REF!</v>
      </c>
      <c r="AS431" s="24" t="e">
        <f>VLOOKUP(C431,#REF!,13,FALSE)</f>
        <v>#REF!</v>
      </c>
      <c r="AT431" s="100"/>
      <c r="AU431" s="100"/>
      <c r="AV431" s="100">
        <v>415</v>
      </c>
      <c r="AW431" s="100"/>
      <c r="AY431" s="9">
        <v>24900</v>
      </c>
    </row>
    <row r="432" spans="1:51" s="2" customFormat="1" ht="12.75" customHeight="1" x14ac:dyDescent="0.2">
      <c r="A432" s="6" t="s">
        <v>2094</v>
      </c>
      <c r="B432" s="279">
        <v>9789500216593</v>
      </c>
      <c r="C432" s="6">
        <v>732723</v>
      </c>
      <c r="D432" s="239">
        <v>208</v>
      </c>
      <c r="E432" s="316" t="s">
        <v>2095</v>
      </c>
      <c r="F432" s="316" t="s">
        <v>2096</v>
      </c>
      <c r="G432" s="107">
        <v>45870</v>
      </c>
      <c r="H432" s="108">
        <v>45931</v>
      </c>
      <c r="I432" s="264">
        <v>2027</v>
      </c>
      <c r="J432" s="8" t="s">
        <v>1333</v>
      </c>
      <c r="K432" s="292">
        <v>1670.11</v>
      </c>
      <c r="L432" s="9">
        <v>26500</v>
      </c>
      <c r="M432" s="9">
        <f>+L432*0.08</f>
        <v>2120</v>
      </c>
      <c r="N432" s="9">
        <f t="shared" si="343"/>
        <v>13250</v>
      </c>
      <c r="O432" s="9">
        <f t="shared" si="344"/>
        <v>9459.89</v>
      </c>
      <c r="P432" s="9">
        <f t="shared" si="345"/>
        <v>3790.1099999999997</v>
      </c>
      <c r="Q432" s="109">
        <f t="shared" si="346"/>
        <v>0.71395396226415087</v>
      </c>
      <c r="R432" s="336">
        <v>26500</v>
      </c>
      <c r="S432" s="359" t="s">
        <v>1948</v>
      </c>
      <c r="T432" s="305">
        <v>0.71395396226415087</v>
      </c>
      <c r="U432" s="12"/>
      <c r="V432" s="100"/>
      <c r="W432" s="110">
        <f t="shared" si="347"/>
        <v>26500</v>
      </c>
      <c r="X432" s="110">
        <f t="shared" si="348"/>
        <v>1670.11</v>
      </c>
      <c r="Y432" s="110">
        <f t="shared" si="349"/>
        <v>2120</v>
      </c>
      <c r="Z432" s="110">
        <f t="shared" si="350"/>
        <v>9459.89</v>
      </c>
      <c r="AA432" s="260">
        <f t="shared" si="351"/>
        <v>0.71395396226415087</v>
      </c>
      <c r="AB432" s="28">
        <f t="shared" si="319"/>
        <v>8.6999999999999993</v>
      </c>
      <c r="AC432" s="261">
        <f t="shared" si="352"/>
        <v>0.71273008401832705</v>
      </c>
      <c r="AD432" s="111">
        <f t="shared" si="321"/>
        <v>2.6</v>
      </c>
      <c r="AE432" s="262">
        <f t="shared" si="353"/>
        <v>3.8750665753633104E-2</v>
      </c>
      <c r="AF432" s="100"/>
      <c r="AG432" s="111">
        <f t="shared" si="323"/>
        <v>4.2</v>
      </c>
      <c r="AH432" s="262">
        <f t="shared" si="354"/>
        <v>0.40494088832367769</v>
      </c>
      <c r="AI432" s="100"/>
      <c r="AJ432" s="111">
        <f t="shared" si="325"/>
        <v>3.8</v>
      </c>
      <c r="AK432" s="262">
        <f t="shared" si="355"/>
        <v>0.34230308709459112</v>
      </c>
      <c r="AL432" s="100"/>
      <c r="AM432" s="111">
        <f t="shared" si="327"/>
        <v>3.6</v>
      </c>
      <c r="AN432" s="262">
        <f t="shared" si="356"/>
        <v>0.30576436971095738</v>
      </c>
      <c r="AO432" s="100"/>
      <c r="AP432" s="24" t="e">
        <f>VLOOKUP(C432,#REF!,6,FALSE)</f>
        <v>#REF!</v>
      </c>
      <c r="AQ432" s="24" t="e">
        <f>VLOOKUP(C432,#REF!,7,FALSE)</f>
        <v>#REF!</v>
      </c>
      <c r="AR432" s="24" t="e">
        <f>VLOOKUP(C432,#REF!,12,FALSE)</f>
        <v>#REF!</v>
      </c>
      <c r="AS432" s="24" t="e">
        <f>VLOOKUP(C432,#REF!,13,FALSE)</f>
        <v>#REF!</v>
      </c>
      <c r="AT432" s="100"/>
      <c r="AU432" s="100"/>
      <c r="AV432" s="100">
        <v>416</v>
      </c>
      <c r="AW432" s="100"/>
      <c r="AY432" s="9">
        <v>26500</v>
      </c>
    </row>
    <row r="433" spans="1:51" s="2" customFormat="1" ht="12.75" customHeight="1" x14ac:dyDescent="0.2">
      <c r="A433" s="6" t="s">
        <v>1957</v>
      </c>
      <c r="B433" s="8">
        <v>9789500215794</v>
      </c>
      <c r="C433" s="6">
        <v>725156</v>
      </c>
      <c r="D433" s="41">
        <v>176</v>
      </c>
      <c r="E433" s="288" t="s">
        <v>1959</v>
      </c>
      <c r="F433" s="6" t="s">
        <v>1960</v>
      </c>
      <c r="G433" s="107">
        <v>45658</v>
      </c>
      <c r="H433" s="108">
        <v>45627</v>
      </c>
      <c r="I433" s="264">
        <v>5045</v>
      </c>
      <c r="J433" s="6" t="s">
        <v>1333</v>
      </c>
      <c r="K433" s="148">
        <v>926.79</v>
      </c>
      <c r="L433" s="9">
        <v>24500</v>
      </c>
      <c r="M433" s="9">
        <f>+L433*0.1</f>
        <v>2450</v>
      </c>
      <c r="N433" s="9">
        <f t="shared" si="343"/>
        <v>12250</v>
      </c>
      <c r="O433" s="9">
        <f t="shared" si="344"/>
        <v>8873.2099999999991</v>
      </c>
      <c r="P433" s="9">
        <f t="shared" si="345"/>
        <v>3376.79</v>
      </c>
      <c r="Q433" s="109">
        <f t="shared" si="346"/>
        <v>0.72434367346938766</v>
      </c>
      <c r="R433" s="336">
        <v>24500</v>
      </c>
      <c r="S433" s="359" t="s">
        <v>1948</v>
      </c>
      <c r="T433" s="305">
        <v>0.72434367346938766</v>
      </c>
      <c r="U433" s="12"/>
      <c r="V433" s="100"/>
      <c r="W433" s="110">
        <f t="shared" si="347"/>
        <v>24500</v>
      </c>
      <c r="X433" s="110">
        <f t="shared" si="348"/>
        <v>926.79</v>
      </c>
      <c r="Y433" s="110">
        <f t="shared" si="349"/>
        <v>2450</v>
      </c>
      <c r="Z433" s="110">
        <f t="shared" si="350"/>
        <v>8873.2099999999991</v>
      </c>
      <c r="AA433" s="260">
        <f t="shared" si="351"/>
        <v>0.72434367346938766</v>
      </c>
      <c r="AB433" s="28">
        <f t="shared" si="319"/>
        <v>8.1</v>
      </c>
      <c r="AC433" s="261">
        <f t="shared" si="352"/>
        <v>0.7250988102070639</v>
      </c>
      <c r="AD433" s="111">
        <f t="shared" si="321"/>
        <v>2.2999999999999998</v>
      </c>
      <c r="AE433" s="262">
        <f t="shared" si="353"/>
        <v>3.1869722903137908E-2</v>
      </c>
      <c r="AF433" s="100"/>
      <c r="AG433" s="111">
        <f t="shared" si="323"/>
        <v>3.7</v>
      </c>
      <c r="AH433" s="262">
        <f t="shared" si="354"/>
        <v>0.39818928721005875</v>
      </c>
      <c r="AI433" s="100"/>
      <c r="AJ433" s="111">
        <f t="shared" si="325"/>
        <v>3.4</v>
      </c>
      <c r="AK433" s="262">
        <f t="shared" si="355"/>
        <v>0.34508834196388738</v>
      </c>
      <c r="AL433" s="100"/>
      <c r="AM433" s="111">
        <f t="shared" si="327"/>
        <v>3.2</v>
      </c>
      <c r="AN433" s="262">
        <f t="shared" si="356"/>
        <v>0.30415636333663043</v>
      </c>
      <c r="AO433" s="100"/>
      <c r="AP433" s="24" t="e">
        <f>VLOOKUP(C433,#REF!,6,FALSE)</f>
        <v>#REF!</v>
      </c>
      <c r="AQ433" s="24" t="e">
        <f>VLOOKUP(C433,#REF!,7,FALSE)</f>
        <v>#REF!</v>
      </c>
      <c r="AR433" s="24" t="e">
        <f>VLOOKUP(C433,#REF!,12,FALSE)</f>
        <v>#REF!</v>
      </c>
      <c r="AS433" s="24" t="e">
        <f>VLOOKUP(C433,#REF!,13,FALSE)</f>
        <v>#REF!</v>
      </c>
      <c r="AT433" s="100"/>
      <c r="AU433" s="100"/>
      <c r="AV433" s="100">
        <v>417</v>
      </c>
      <c r="AW433" s="100"/>
      <c r="AY433" s="9">
        <v>24500</v>
      </c>
    </row>
    <row r="434" spans="1:51" s="2" customFormat="1" ht="12.75" customHeight="1" x14ac:dyDescent="0.2">
      <c r="A434" s="6" t="s">
        <v>2067</v>
      </c>
      <c r="B434" s="279">
        <v>9789500216470</v>
      </c>
      <c r="C434" s="6">
        <v>731828</v>
      </c>
      <c r="D434" s="41">
        <v>176</v>
      </c>
      <c r="E434" s="6" t="s">
        <v>1899</v>
      </c>
      <c r="F434" s="6" t="s">
        <v>2068</v>
      </c>
      <c r="G434" s="118">
        <v>45839</v>
      </c>
      <c r="H434" s="108">
        <v>46082</v>
      </c>
      <c r="I434" s="267">
        <v>3047</v>
      </c>
      <c r="J434" s="7" t="s">
        <v>1762</v>
      </c>
      <c r="K434" s="292">
        <v>1779.09</v>
      </c>
      <c r="L434" s="9">
        <v>30900</v>
      </c>
      <c r="M434" s="9">
        <f>+L434*0.1</f>
        <v>3090</v>
      </c>
      <c r="N434" s="9">
        <f t="shared" si="343"/>
        <v>15450</v>
      </c>
      <c r="O434" s="9">
        <f t="shared" si="344"/>
        <v>10580.91</v>
      </c>
      <c r="P434" s="9">
        <f t="shared" si="345"/>
        <v>4869.09</v>
      </c>
      <c r="Q434" s="139">
        <f t="shared" si="346"/>
        <v>0.68484854368932035</v>
      </c>
      <c r="R434" s="336">
        <v>30900</v>
      </c>
      <c r="S434" s="359" t="s">
        <v>1948</v>
      </c>
      <c r="T434" s="305">
        <v>0.68484854368932035</v>
      </c>
      <c r="U434" s="144"/>
      <c r="V434" s="100"/>
      <c r="W434" s="110">
        <f t="shared" si="347"/>
        <v>30900</v>
      </c>
      <c r="X434" s="110">
        <f t="shared" si="348"/>
        <v>1779.09</v>
      </c>
      <c r="Y434" s="110">
        <f t="shared" si="349"/>
        <v>3090</v>
      </c>
      <c r="Z434" s="110">
        <f t="shared" si="350"/>
        <v>10580.91</v>
      </c>
      <c r="AA434" s="260">
        <f t="shared" si="351"/>
        <v>0.68484854368932035</v>
      </c>
      <c r="AB434" s="28">
        <f t="shared" si="319"/>
        <v>10.199999999999999</v>
      </c>
      <c r="AC434" s="261">
        <f t="shared" si="352"/>
        <v>0.68522138825856749</v>
      </c>
      <c r="AD434" s="111">
        <f t="shared" si="321"/>
        <v>3.4</v>
      </c>
      <c r="AE434" s="262">
        <f t="shared" si="353"/>
        <v>5.5664164775702435E-2</v>
      </c>
      <c r="AF434" s="100"/>
      <c r="AG434" s="111">
        <f t="shared" si="323"/>
        <v>5.4</v>
      </c>
      <c r="AH434" s="262">
        <f t="shared" si="354"/>
        <v>0.40541817782173867</v>
      </c>
      <c r="AI434" s="100"/>
      <c r="AJ434" s="111">
        <f t="shared" si="325"/>
        <v>4.9000000000000004</v>
      </c>
      <c r="AK434" s="262">
        <f t="shared" si="355"/>
        <v>0.34474656331375281</v>
      </c>
      <c r="AL434" s="100"/>
      <c r="AM434" s="111">
        <f t="shared" si="327"/>
        <v>4.5999999999999996</v>
      </c>
      <c r="AN434" s="262">
        <f t="shared" si="356"/>
        <v>0.30201264352986706</v>
      </c>
      <c r="AO434" s="100"/>
      <c r="AP434" s="24" t="e">
        <f>VLOOKUP(C434,#REF!,6,FALSE)</f>
        <v>#REF!</v>
      </c>
      <c r="AQ434" s="24" t="e">
        <f>VLOOKUP(C434,#REF!,7,FALSE)</f>
        <v>#REF!</v>
      </c>
      <c r="AR434" s="24" t="e">
        <f>VLOOKUP(C434,#REF!,12,FALSE)</f>
        <v>#REF!</v>
      </c>
      <c r="AS434" s="24" t="e">
        <f>VLOOKUP(C434,#REF!,13,FALSE)</f>
        <v>#REF!</v>
      </c>
      <c r="AT434" s="100"/>
      <c r="AU434" s="100"/>
      <c r="AV434" s="100">
        <v>418</v>
      </c>
      <c r="AW434" s="100"/>
      <c r="AY434" s="9">
        <v>30900</v>
      </c>
    </row>
    <row r="435" spans="1:51" s="2" customFormat="1" ht="12.75" customHeight="1" x14ac:dyDescent="0.2">
      <c r="A435" s="6" t="s">
        <v>2069</v>
      </c>
      <c r="B435" s="279">
        <v>9789500216487</v>
      </c>
      <c r="C435" s="6">
        <v>731829</v>
      </c>
      <c r="D435" s="239">
        <v>224</v>
      </c>
      <c r="E435" s="7" t="s">
        <v>2070</v>
      </c>
      <c r="F435" s="6" t="s">
        <v>2071</v>
      </c>
      <c r="G435" s="107">
        <v>45839</v>
      </c>
      <c r="H435" s="108">
        <v>45809</v>
      </c>
      <c r="I435" s="264">
        <v>4056</v>
      </c>
      <c r="J435" s="315" t="s">
        <v>2136</v>
      </c>
      <c r="K435" s="292">
        <v>1856.63</v>
      </c>
      <c r="L435" s="9">
        <v>27400</v>
      </c>
      <c r="M435" s="9">
        <f>+L435*0.08</f>
        <v>2192</v>
      </c>
      <c r="N435" s="9">
        <f t="shared" si="343"/>
        <v>13700</v>
      </c>
      <c r="O435" s="9">
        <f t="shared" si="344"/>
        <v>9651.369999999999</v>
      </c>
      <c r="P435" s="9">
        <f t="shared" si="345"/>
        <v>4048.63</v>
      </c>
      <c r="Q435" s="109">
        <f t="shared" si="346"/>
        <v>0.70447956204379558</v>
      </c>
      <c r="R435" s="336">
        <v>27400</v>
      </c>
      <c r="S435" s="359" t="s">
        <v>1948</v>
      </c>
      <c r="T435" s="305">
        <v>0.70447956204379558</v>
      </c>
      <c r="U435" s="12"/>
      <c r="V435" s="100"/>
      <c r="W435" s="110">
        <f t="shared" si="347"/>
        <v>27400</v>
      </c>
      <c r="X435" s="110">
        <f t="shared" si="348"/>
        <v>1856.63</v>
      </c>
      <c r="Y435" s="110">
        <f t="shared" si="349"/>
        <v>2192</v>
      </c>
      <c r="Z435" s="110">
        <f t="shared" si="350"/>
        <v>9651.369999999999</v>
      </c>
      <c r="AA435" s="260">
        <f t="shared" si="351"/>
        <v>0.70447956204379558</v>
      </c>
      <c r="AB435" s="28">
        <f t="shared" si="319"/>
        <v>9</v>
      </c>
      <c r="AC435" s="261">
        <f t="shared" si="352"/>
        <v>0.70336447228633181</v>
      </c>
      <c r="AD435" s="111">
        <f t="shared" si="321"/>
        <v>2.8</v>
      </c>
      <c r="AE435" s="262">
        <f t="shared" si="353"/>
        <v>4.6528660920352245E-2</v>
      </c>
      <c r="AF435" s="100"/>
      <c r="AG435" s="111">
        <f t="shared" si="323"/>
        <v>4.4000000000000004</v>
      </c>
      <c r="AH435" s="262">
        <f t="shared" si="354"/>
        <v>0.39324551149476966</v>
      </c>
      <c r="AI435" s="100"/>
      <c r="AJ435" s="111">
        <f t="shared" si="325"/>
        <v>4.0999999999999996</v>
      </c>
      <c r="AK435" s="262">
        <f t="shared" si="355"/>
        <v>0.34884884160414298</v>
      </c>
      <c r="AL435" s="100"/>
      <c r="AM435" s="111">
        <f t="shared" si="327"/>
        <v>3.8</v>
      </c>
      <c r="AN435" s="262">
        <f t="shared" si="356"/>
        <v>0.29744217120447008</v>
      </c>
      <c r="AO435" s="100"/>
      <c r="AP435" s="24" t="e">
        <f>VLOOKUP(C435,#REF!,6,FALSE)</f>
        <v>#REF!</v>
      </c>
      <c r="AQ435" s="24" t="e">
        <f>VLOOKUP(C435,#REF!,7,FALSE)</f>
        <v>#REF!</v>
      </c>
      <c r="AR435" s="24" t="e">
        <f>VLOOKUP(C435,#REF!,12,FALSE)</f>
        <v>#REF!</v>
      </c>
      <c r="AS435" s="24" t="e">
        <f>VLOOKUP(C435,#REF!,13,FALSE)</f>
        <v>#REF!</v>
      </c>
      <c r="AT435" s="100"/>
      <c r="AU435" s="100"/>
      <c r="AV435" s="100">
        <v>419</v>
      </c>
      <c r="AW435" s="100"/>
      <c r="AY435" s="9">
        <v>27400</v>
      </c>
    </row>
    <row r="436" spans="1:51" s="2" customFormat="1" ht="12.75" customHeight="1" x14ac:dyDescent="0.2">
      <c r="A436" s="6" t="s">
        <v>2075</v>
      </c>
      <c r="B436" s="279">
        <v>9789500216494</v>
      </c>
      <c r="C436" s="6">
        <v>731832</v>
      </c>
      <c r="D436" s="41">
        <v>160</v>
      </c>
      <c r="E436" s="6" t="s">
        <v>2076</v>
      </c>
      <c r="F436" s="6" t="s">
        <v>2077</v>
      </c>
      <c r="G436" s="107">
        <v>45839</v>
      </c>
      <c r="H436" s="108">
        <v>45901</v>
      </c>
      <c r="I436" s="293">
        <v>2040</v>
      </c>
      <c r="J436" s="7" t="s">
        <v>1762</v>
      </c>
      <c r="K436" s="148">
        <v>1406.87</v>
      </c>
      <c r="L436" s="9">
        <v>26500</v>
      </c>
      <c r="M436" s="9">
        <f>+L436*0.11</f>
        <v>2915</v>
      </c>
      <c r="N436" s="9">
        <f t="shared" si="343"/>
        <v>13250</v>
      </c>
      <c r="O436" s="9">
        <f t="shared" si="344"/>
        <v>8928.130000000001</v>
      </c>
      <c r="P436" s="9">
        <f t="shared" si="345"/>
        <v>4321.87</v>
      </c>
      <c r="Q436" s="109">
        <f t="shared" si="346"/>
        <v>0.67382113207547178</v>
      </c>
      <c r="R436" s="336">
        <v>26500</v>
      </c>
      <c r="S436" s="359" t="s">
        <v>1948</v>
      </c>
      <c r="T436" s="305">
        <v>0.67382113207547178</v>
      </c>
      <c r="U436" s="12"/>
      <c r="V436" s="100"/>
      <c r="W436" s="110">
        <f t="shared" si="347"/>
        <v>26500</v>
      </c>
      <c r="X436" s="110">
        <f t="shared" si="348"/>
        <v>1406.87</v>
      </c>
      <c r="Y436" s="110">
        <f t="shared" si="349"/>
        <v>2915</v>
      </c>
      <c r="Z436" s="110">
        <f t="shared" si="350"/>
        <v>8928.130000000001</v>
      </c>
      <c r="AA436" s="260">
        <f t="shared" si="351"/>
        <v>0.67382113207547178</v>
      </c>
      <c r="AB436" s="28">
        <f t="shared" si="319"/>
        <v>8.6999999999999993</v>
      </c>
      <c r="AC436" s="261">
        <f t="shared" si="352"/>
        <v>0.67242554126827125</v>
      </c>
      <c r="AD436" s="111">
        <f t="shared" si="321"/>
        <v>3</v>
      </c>
      <c r="AE436" s="262">
        <f t="shared" si="353"/>
        <v>5.0034069677986619E-2</v>
      </c>
      <c r="AF436" s="100"/>
      <c r="AG436" s="111">
        <f t="shared" si="323"/>
        <v>4.7</v>
      </c>
      <c r="AH436" s="262">
        <f t="shared" si="354"/>
        <v>0.39363876787956592</v>
      </c>
      <c r="AI436" s="100"/>
      <c r="AJ436" s="111">
        <f t="shared" si="325"/>
        <v>4.4000000000000004</v>
      </c>
      <c r="AK436" s="262">
        <f t="shared" si="355"/>
        <v>0.35229595659862728</v>
      </c>
      <c r="AL436" s="100"/>
      <c r="AM436" s="111">
        <f t="shared" si="327"/>
        <v>4.0999999999999996</v>
      </c>
      <c r="AN436" s="262">
        <f t="shared" si="356"/>
        <v>0.30490297781316089</v>
      </c>
      <c r="AO436" s="100"/>
      <c r="AP436" s="24" t="e">
        <f>VLOOKUP(C436,#REF!,6,FALSE)</f>
        <v>#REF!</v>
      </c>
      <c r="AQ436" s="24" t="e">
        <f>VLOOKUP(C436,#REF!,7,FALSE)</f>
        <v>#REF!</v>
      </c>
      <c r="AR436" s="24" t="e">
        <f>VLOOKUP(C436,#REF!,12,FALSE)</f>
        <v>#REF!</v>
      </c>
      <c r="AS436" s="24" t="e">
        <f>VLOOKUP(C436,#REF!,13,FALSE)</f>
        <v>#REF!</v>
      </c>
      <c r="AT436" s="100"/>
      <c r="AU436" s="100"/>
      <c r="AV436" s="100">
        <v>420</v>
      </c>
      <c r="AW436" s="100"/>
      <c r="AY436" s="9">
        <v>26500</v>
      </c>
    </row>
    <row r="437" spans="1:51" s="2" customFormat="1" ht="12.75" customHeight="1" x14ac:dyDescent="0.2">
      <c r="A437" s="6" t="s">
        <v>2086</v>
      </c>
      <c r="B437" s="8">
        <v>9788466243063</v>
      </c>
      <c r="C437" s="6">
        <v>722861</v>
      </c>
      <c r="D437" s="41">
        <v>256</v>
      </c>
      <c r="E437" s="8" t="s">
        <v>2087</v>
      </c>
      <c r="F437" s="6" t="s">
        <v>2088</v>
      </c>
      <c r="G437" s="107">
        <v>45839</v>
      </c>
      <c r="H437" s="108">
        <v>45809</v>
      </c>
      <c r="I437" s="7">
        <v>5005</v>
      </c>
      <c r="J437" s="315" t="s">
        <v>2219</v>
      </c>
      <c r="K437" s="148">
        <v>9310.82</v>
      </c>
      <c r="L437" s="295">
        <v>44900</v>
      </c>
      <c r="M437" s="9"/>
      <c r="N437" s="9">
        <f t="shared" si="343"/>
        <v>22450</v>
      </c>
      <c r="O437" s="9">
        <f t="shared" si="344"/>
        <v>13139.18</v>
      </c>
      <c r="P437" s="9">
        <f t="shared" si="345"/>
        <v>9310.82</v>
      </c>
      <c r="Q437" s="109">
        <f t="shared" si="346"/>
        <v>0.58526414253897552</v>
      </c>
      <c r="R437" s="336">
        <v>44900</v>
      </c>
      <c r="S437" s="359" t="s">
        <v>1948</v>
      </c>
      <c r="T437" s="305">
        <v>0.58526414253897552</v>
      </c>
      <c r="U437" s="12"/>
      <c r="V437" s="100"/>
      <c r="W437" s="110">
        <f t="shared" si="347"/>
        <v>44900</v>
      </c>
      <c r="X437" s="110">
        <f t="shared" si="348"/>
        <v>9310.82</v>
      </c>
      <c r="Y437" s="110">
        <f t="shared" si="349"/>
        <v>0</v>
      </c>
      <c r="Z437" s="110">
        <f t="shared" si="350"/>
        <v>13139.18</v>
      </c>
      <c r="AA437" s="260">
        <f t="shared" si="351"/>
        <v>0.58526414253897552</v>
      </c>
      <c r="AB437" s="28">
        <f t="shared" si="319"/>
        <v>14.8</v>
      </c>
      <c r="AC437" s="261">
        <f t="shared" si="352"/>
        <v>0.58515696705607689</v>
      </c>
      <c r="AD437" s="111">
        <f t="shared" si="321"/>
        <v>6.5</v>
      </c>
      <c r="AE437" s="262">
        <f t="shared" si="353"/>
        <v>5.5434324989221163E-2</v>
      </c>
      <c r="AF437" s="100"/>
      <c r="AG437" s="111">
        <f t="shared" si="323"/>
        <v>10.199999999999999</v>
      </c>
      <c r="AH437" s="262">
        <f t="shared" si="354"/>
        <v>0.39807089337548407</v>
      </c>
      <c r="AI437" s="100"/>
      <c r="AJ437" s="111">
        <f t="shared" si="325"/>
        <v>9.4</v>
      </c>
      <c r="AK437" s="262">
        <f t="shared" si="355"/>
        <v>0.3468428843010572</v>
      </c>
      <c r="AL437" s="100"/>
      <c r="AM437" s="111">
        <f t="shared" si="327"/>
        <v>8.8000000000000007</v>
      </c>
      <c r="AN437" s="262">
        <f t="shared" si="356"/>
        <v>0.30230944459431114</v>
      </c>
      <c r="AO437" s="100"/>
      <c r="AP437" s="24" t="e">
        <f>VLOOKUP(C437,#REF!,6,FALSE)</f>
        <v>#REF!</v>
      </c>
      <c r="AQ437" s="24" t="e">
        <f>VLOOKUP(C437,#REF!,7,FALSE)</f>
        <v>#REF!</v>
      </c>
      <c r="AR437" s="24" t="e">
        <f>VLOOKUP(C437,#REF!,12,FALSE)</f>
        <v>#REF!</v>
      </c>
      <c r="AS437" s="24" t="e">
        <f>VLOOKUP(C437,#REF!,13,FALSE)</f>
        <v>#REF!</v>
      </c>
      <c r="AT437" s="100"/>
      <c r="AU437" s="100"/>
      <c r="AV437" s="100">
        <v>421</v>
      </c>
      <c r="AW437" s="100"/>
      <c r="AY437" s="295">
        <v>44900</v>
      </c>
    </row>
    <row r="438" spans="1:51" s="2" customFormat="1" ht="12.75" customHeight="1" x14ac:dyDescent="0.2">
      <c r="A438" s="6" t="s">
        <v>2089</v>
      </c>
      <c r="B438" s="8">
        <v>9788466243292</v>
      </c>
      <c r="C438" s="8">
        <v>722926</v>
      </c>
      <c r="D438" s="41" t="s">
        <v>2090</v>
      </c>
      <c r="E438" s="7" t="s">
        <v>2091</v>
      </c>
      <c r="F438" s="6" t="s">
        <v>2092</v>
      </c>
      <c r="G438" s="107">
        <v>45839</v>
      </c>
      <c r="H438" s="108">
        <v>45809</v>
      </c>
      <c r="I438" s="7">
        <v>4968</v>
      </c>
      <c r="J438" s="315" t="s">
        <v>2219</v>
      </c>
      <c r="K438" s="148">
        <v>6709.46</v>
      </c>
      <c r="L438" s="9">
        <v>39900</v>
      </c>
      <c r="M438" s="112"/>
      <c r="N438" s="9">
        <f t="shared" si="343"/>
        <v>19950</v>
      </c>
      <c r="O438" s="9">
        <f t="shared" si="344"/>
        <v>13240.54</v>
      </c>
      <c r="P438" s="9">
        <f t="shared" si="345"/>
        <v>6709.46</v>
      </c>
      <c r="Q438" s="139">
        <f t="shared" si="346"/>
        <v>0.66368621553884721</v>
      </c>
      <c r="R438" s="336">
        <v>39900</v>
      </c>
      <c r="S438" s="359" t="s">
        <v>1948</v>
      </c>
      <c r="T438" s="305">
        <v>0.66368621553884721</v>
      </c>
      <c r="U438" s="144"/>
      <c r="V438" s="100"/>
      <c r="W438" s="110">
        <f t="shared" si="347"/>
        <v>39900</v>
      </c>
      <c r="X438" s="110">
        <f t="shared" si="348"/>
        <v>6709.46</v>
      </c>
      <c r="Y438" s="110">
        <f t="shared" si="349"/>
        <v>0</v>
      </c>
      <c r="Z438" s="110">
        <f t="shared" si="350"/>
        <v>13240.54</v>
      </c>
      <c r="AA438" s="260">
        <f t="shared" si="351"/>
        <v>0.66368621553884721</v>
      </c>
      <c r="AB438" s="28">
        <f t="shared" si="319"/>
        <v>13.2</v>
      </c>
      <c r="AC438" s="261">
        <f t="shared" si="352"/>
        <v>0.66482530547812446</v>
      </c>
      <c r="AD438" s="111">
        <f t="shared" si="321"/>
        <v>4.7</v>
      </c>
      <c r="AE438" s="262">
        <f t="shared" si="353"/>
        <v>5.8658304747072995E-2</v>
      </c>
      <c r="AF438" s="100"/>
      <c r="AG438" s="111">
        <f t="shared" si="323"/>
        <v>7.4</v>
      </c>
      <c r="AH438" s="262">
        <f t="shared" si="354"/>
        <v>0.402120815177195</v>
      </c>
      <c r="AI438" s="100"/>
      <c r="AJ438" s="111">
        <f t="shared" si="325"/>
        <v>6.8</v>
      </c>
      <c r="AK438" s="262">
        <f t="shared" si="355"/>
        <v>0.34936676945753564</v>
      </c>
      <c r="AL438" s="100"/>
      <c r="AM438" s="111">
        <f t="shared" si="327"/>
        <v>6.3</v>
      </c>
      <c r="AN438" s="262">
        <f t="shared" si="356"/>
        <v>0.29772921147797499</v>
      </c>
      <c r="AO438" s="100"/>
      <c r="AP438" s="24" t="e">
        <f>VLOOKUP(C438,#REF!,6,FALSE)</f>
        <v>#REF!</v>
      </c>
      <c r="AQ438" s="24" t="e">
        <f>VLOOKUP(C438,#REF!,7,FALSE)</f>
        <v>#REF!</v>
      </c>
      <c r="AR438" s="24" t="e">
        <f>VLOOKUP(C438,#REF!,12,FALSE)</f>
        <v>#REF!</v>
      </c>
      <c r="AS438" s="24" t="e">
        <f>VLOOKUP(C438,#REF!,13,FALSE)</f>
        <v>#REF!</v>
      </c>
      <c r="AT438" s="100"/>
      <c r="AU438" s="100"/>
      <c r="AV438" s="100">
        <v>422</v>
      </c>
      <c r="AW438" s="100"/>
      <c r="AY438" s="9">
        <v>39900</v>
      </c>
    </row>
    <row r="439" spans="1:51" s="2" customFormat="1" ht="12.75" customHeight="1" x14ac:dyDescent="0.2">
      <c r="A439" s="6" t="s">
        <v>2057</v>
      </c>
      <c r="B439" s="279">
        <v>9789500216333</v>
      </c>
      <c r="C439" s="8">
        <v>730437</v>
      </c>
      <c r="D439" s="41">
        <v>368</v>
      </c>
      <c r="E439" s="7" t="s">
        <v>2058</v>
      </c>
      <c r="F439" s="6" t="s">
        <v>2059</v>
      </c>
      <c r="G439" s="108">
        <v>45809</v>
      </c>
      <c r="H439" s="108">
        <v>45962</v>
      </c>
      <c r="I439" s="264">
        <v>2037</v>
      </c>
      <c r="J439" s="7" t="s">
        <v>1762</v>
      </c>
      <c r="K439" s="292">
        <v>3533.08</v>
      </c>
      <c r="L439" s="9">
        <v>34900</v>
      </c>
      <c r="M439" s="9">
        <f>+L439*0.1</f>
        <v>3490</v>
      </c>
      <c r="N439" s="9">
        <f t="shared" si="343"/>
        <v>17450</v>
      </c>
      <c r="O439" s="9">
        <f t="shared" si="344"/>
        <v>10426.92</v>
      </c>
      <c r="P439" s="9">
        <f t="shared" si="345"/>
        <v>7023.08</v>
      </c>
      <c r="Q439" s="139">
        <f t="shared" si="346"/>
        <v>0.59753123209169057</v>
      </c>
      <c r="R439" s="336">
        <v>34900</v>
      </c>
      <c r="S439" s="359" t="s">
        <v>1948</v>
      </c>
      <c r="T439" s="305">
        <v>0.59753123209169057</v>
      </c>
      <c r="U439" s="144"/>
      <c r="V439" s="100"/>
      <c r="W439" s="110">
        <f t="shared" si="347"/>
        <v>34900</v>
      </c>
      <c r="X439" s="110">
        <f t="shared" si="348"/>
        <v>3533.08</v>
      </c>
      <c r="Y439" s="110">
        <f t="shared" si="349"/>
        <v>3490</v>
      </c>
      <c r="Z439" s="110">
        <f t="shared" si="350"/>
        <v>10426.92</v>
      </c>
      <c r="AA439" s="260">
        <f t="shared" si="351"/>
        <v>0.59753123209169057</v>
      </c>
      <c r="AB439" s="28">
        <f t="shared" si="319"/>
        <v>11.5</v>
      </c>
      <c r="AC439" s="261">
        <f t="shared" si="352"/>
        <v>0.59729468599033819</v>
      </c>
      <c r="AD439" s="111">
        <f t="shared" si="321"/>
        <v>4.9000000000000004</v>
      </c>
      <c r="AE439" s="262">
        <f t="shared" si="353"/>
        <v>5.4875283446712074E-2</v>
      </c>
      <c r="AF439" s="100"/>
      <c r="AG439" s="111">
        <f t="shared" si="323"/>
        <v>7.7</v>
      </c>
      <c r="AH439" s="262">
        <f t="shared" si="354"/>
        <v>0.39855699855699861</v>
      </c>
      <c r="AI439" s="100"/>
      <c r="AJ439" s="111">
        <f t="shared" si="325"/>
        <v>7.1</v>
      </c>
      <c r="AK439" s="262">
        <f t="shared" si="355"/>
        <v>0.34773082942097028</v>
      </c>
      <c r="AL439" s="100"/>
      <c r="AM439" s="111">
        <f t="shared" si="327"/>
        <v>6.6</v>
      </c>
      <c r="AN439" s="262">
        <f t="shared" si="356"/>
        <v>0.29831649831649831</v>
      </c>
      <c r="AO439" s="100"/>
      <c r="AP439" s="24" t="e">
        <f>VLOOKUP(C439,#REF!,6,FALSE)</f>
        <v>#REF!</v>
      </c>
      <c r="AQ439" s="24" t="e">
        <f>VLOOKUP(C439,#REF!,7,FALSE)</f>
        <v>#REF!</v>
      </c>
      <c r="AR439" s="24" t="e">
        <f>VLOOKUP(C439,#REF!,12,FALSE)</f>
        <v>#REF!</v>
      </c>
      <c r="AS439" s="24" t="e">
        <f>VLOOKUP(C439,#REF!,13,FALSE)</f>
        <v>#REF!</v>
      </c>
      <c r="AT439" s="100"/>
      <c r="AU439" s="100"/>
      <c r="AV439" s="100">
        <v>423</v>
      </c>
      <c r="AW439" s="100"/>
      <c r="AY439" s="9">
        <v>34900</v>
      </c>
    </row>
    <row r="440" spans="1:51" s="2" customFormat="1" ht="12.75" customHeight="1" x14ac:dyDescent="0.2">
      <c r="A440" s="6" t="s">
        <v>2034</v>
      </c>
      <c r="B440" s="279">
        <v>9789500216272</v>
      </c>
      <c r="C440" s="6">
        <v>729375</v>
      </c>
      <c r="D440" s="41">
        <v>208</v>
      </c>
      <c r="E440" s="6" t="s">
        <v>2035</v>
      </c>
      <c r="F440" s="6" t="s">
        <v>2036</v>
      </c>
      <c r="G440" s="118">
        <v>45778</v>
      </c>
      <c r="H440" s="108">
        <v>45870</v>
      </c>
      <c r="I440" s="264">
        <v>2023</v>
      </c>
      <c r="J440" s="176" t="s">
        <v>1333</v>
      </c>
      <c r="K440" s="292">
        <v>1563.58</v>
      </c>
      <c r="L440" s="9">
        <v>26900</v>
      </c>
      <c r="M440" s="9">
        <f t="shared" ref="M440:M454" si="357">+L440*0.08</f>
        <v>2152</v>
      </c>
      <c r="N440" s="9">
        <f t="shared" si="343"/>
        <v>13450</v>
      </c>
      <c r="O440" s="9">
        <f t="shared" si="344"/>
        <v>9734.42</v>
      </c>
      <c r="P440" s="9">
        <f t="shared" si="345"/>
        <v>3715.58</v>
      </c>
      <c r="Q440" s="109">
        <f t="shared" si="346"/>
        <v>0.72374869888475835</v>
      </c>
      <c r="R440" s="336">
        <v>26900</v>
      </c>
      <c r="S440" s="359" t="s">
        <v>1948</v>
      </c>
      <c r="T440" s="305">
        <v>0.72374869888475835</v>
      </c>
      <c r="U440" s="12"/>
      <c r="V440" s="100"/>
      <c r="W440" s="110">
        <f t="shared" si="347"/>
        <v>26900</v>
      </c>
      <c r="X440" s="110">
        <f t="shared" si="348"/>
        <v>1563.58</v>
      </c>
      <c r="Y440" s="110">
        <f t="shared" si="349"/>
        <v>2152</v>
      </c>
      <c r="Z440" s="110">
        <f t="shared" si="350"/>
        <v>9734.42</v>
      </c>
      <c r="AA440" s="260">
        <f t="shared" si="351"/>
        <v>0.72374869888475835</v>
      </c>
      <c r="AB440" s="28">
        <f t="shared" si="319"/>
        <v>8.9</v>
      </c>
      <c r="AC440" s="261">
        <f t="shared" si="352"/>
        <v>0.72470761696247643</v>
      </c>
      <c r="AD440" s="111">
        <f t="shared" si="321"/>
        <v>2.6</v>
      </c>
      <c r="AE440" s="262">
        <f t="shared" si="353"/>
        <v>5.7652996525400124E-2</v>
      </c>
      <c r="AF440" s="100"/>
      <c r="AG440" s="111">
        <f t="shared" si="323"/>
        <v>4.0999999999999996</v>
      </c>
      <c r="AH440" s="262">
        <f t="shared" si="354"/>
        <v>0.40241409535757078</v>
      </c>
      <c r="AI440" s="100"/>
      <c r="AJ440" s="111">
        <f t="shared" si="325"/>
        <v>3.8</v>
      </c>
      <c r="AK440" s="262">
        <f t="shared" si="355"/>
        <v>0.35523626078053688</v>
      </c>
      <c r="AL440" s="100"/>
      <c r="AM440" s="111">
        <f t="shared" si="327"/>
        <v>3.5</v>
      </c>
      <c r="AN440" s="262">
        <f t="shared" si="356"/>
        <v>0.29997079741886867</v>
      </c>
      <c r="AO440" s="100"/>
      <c r="AP440" s="24" t="e">
        <f>VLOOKUP(C440,#REF!,6,FALSE)</f>
        <v>#REF!</v>
      </c>
      <c r="AQ440" s="24" t="e">
        <f>VLOOKUP(C440,#REF!,7,FALSE)</f>
        <v>#REF!</v>
      </c>
      <c r="AR440" s="24" t="e">
        <f>VLOOKUP(C440,#REF!,12,FALSE)</f>
        <v>#REF!</v>
      </c>
      <c r="AS440" s="24" t="e">
        <f>VLOOKUP(C440,#REF!,13,FALSE)</f>
        <v>#REF!</v>
      </c>
      <c r="AT440" s="100"/>
      <c r="AU440" s="100"/>
      <c r="AV440" s="100">
        <v>424</v>
      </c>
      <c r="AW440" s="100"/>
      <c r="AY440" s="9">
        <v>26900</v>
      </c>
    </row>
    <row r="441" spans="1:51" s="2" customFormat="1" ht="12.75" customHeight="1" x14ac:dyDescent="0.2">
      <c r="A441" s="6" t="s">
        <v>2037</v>
      </c>
      <c r="B441" s="279">
        <v>9789500216289</v>
      </c>
      <c r="C441" s="6">
        <v>729376</v>
      </c>
      <c r="D441" s="41">
        <v>224</v>
      </c>
      <c r="E441" s="6" t="s">
        <v>2038</v>
      </c>
      <c r="F441" s="6" t="s">
        <v>2039</v>
      </c>
      <c r="G441" s="108">
        <v>45778</v>
      </c>
      <c r="H441" s="108">
        <v>45748</v>
      </c>
      <c r="I441" s="264">
        <v>4068</v>
      </c>
      <c r="J441" s="176" t="s">
        <v>2136</v>
      </c>
      <c r="K441" s="292">
        <v>1327.75</v>
      </c>
      <c r="L441" s="9">
        <v>28500</v>
      </c>
      <c r="M441" s="9">
        <f t="shared" si="357"/>
        <v>2280</v>
      </c>
      <c r="N441" s="9">
        <f t="shared" si="343"/>
        <v>14250</v>
      </c>
      <c r="O441" s="9">
        <f t="shared" si="344"/>
        <v>10642.25</v>
      </c>
      <c r="P441" s="9">
        <f t="shared" si="345"/>
        <v>3607.75</v>
      </c>
      <c r="Q441" s="109">
        <f t="shared" si="346"/>
        <v>0.74682456140350872</v>
      </c>
      <c r="R441" s="336">
        <v>28500</v>
      </c>
      <c r="S441" s="359" t="s">
        <v>1948</v>
      </c>
      <c r="T441" s="305">
        <v>0.74682456140350872</v>
      </c>
      <c r="U441" s="12"/>
      <c r="V441" s="100"/>
      <c r="W441" s="110">
        <f t="shared" si="347"/>
        <v>28500</v>
      </c>
      <c r="X441" s="110">
        <f t="shared" si="348"/>
        <v>1327.75</v>
      </c>
      <c r="Y441" s="110">
        <f t="shared" si="349"/>
        <v>2280</v>
      </c>
      <c r="Z441" s="110">
        <f t="shared" si="350"/>
        <v>10642.25</v>
      </c>
      <c r="AA441" s="260">
        <f t="shared" si="351"/>
        <v>0.74682456140350872</v>
      </c>
      <c r="AB441" s="28">
        <f t="shared" si="319"/>
        <v>9.4</v>
      </c>
      <c r="AC441" s="261">
        <f t="shared" si="352"/>
        <v>0.74691513914318386</v>
      </c>
      <c r="AD441" s="111">
        <f t="shared" si="321"/>
        <v>2.5</v>
      </c>
      <c r="AE441" s="262">
        <f t="shared" si="353"/>
        <v>4.8400923178371247E-2</v>
      </c>
      <c r="AF441" s="100"/>
      <c r="AG441" s="111">
        <f t="shared" si="323"/>
        <v>4</v>
      </c>
      <c r="AH441" s="262">
        <f t="shared" si="354"/>
        <v>0.40525057698648204</v>
      </c>
      <c r="AI441" s="100"/>
      <c r="AJ441" s="111">
        <f t="shared" si="325"/>
        <v>3.7</v>
      </c>
      <c r="AK441" s="262">
        <f t="shared" si="355"/>
        <v>0.3570276507961968</v>
      </c>
      <c r="AL441" s="100"/>
      <c r="AM441" s="111">
        <f t="shared" si="327"/>
        <v>3.4</v>
      </c>
      <c r="AN441" s="262">
        <f t="shared" si="356"/>
        <v>0.30029479645468465</v>
      </c>
      <c r="AO441" s="100"/>
      <c r="AP441" s="24" t="e">
        <f>VLOOKUP(C441,#REF!,6,FALSE)</f>
        <v>#REF!</v>
      </c>
      <c r="AQ441" s="24" t="e">
        <f>VLOOKUP(C441,#REF!,7,FALSE)</f>
        <v>#REF!</v>
      </c>
      <c r="AR441" s="24" t="e">
        <f>VLOOKUP(C441,#REF!,12,FALSE)</f>
        <v>#REF!</v>
      </c>
      <c r="AS441" s="24" t="e">
        <f>VLOOKUP(C441,#REF!,13,FALSE)</f>
        <v>#REF!</v>
      </c>
      <c r="AT441" s="100"/>
      <c r="AU441" s="100"/>
      <c r="AV441" s="100">
        <v>425</v>
      </c>
      <c r="AW441" s="100"/>
      <c r="AY441" s="9">
        <v>28500</v>
      </c>
    </row>
    <row r="442" spans="1:51" s="2" customFormat="1" ht="12.75" customHeight="1" x14ac:dyDescent="0.2">
      <c r="A442" s="6" t="s">
        <v>2018</v>
      </c>
      <c r="B442" s="279">
        <v>9789500216159</v>
      </c>
      <c r="C442" s="6">
        <v>728123</v>
      </c>
      <c r="D442" s="41">
        <v>176</v>
      </c>
      <c r="E442" s="8" t="s">
        <v>2019</v>
      </c>
      <c r="F442" s="6" t="s">
        <v>2020</v>
      </c>
      <c r="G442" s="107">
        <v>45748</v>
      </c>
      <c r="H442" s="108">
        <v>45717</v>
      </c>
      <c r="I442" s="264">
        <v>3557</v>
      </c>
      <c r="J442" s="28" t="s">
        <v>2136</v>
      </c>
      <c r="K442" s="292">
        <v>1145.3399999999999</v>
      </c>
      <c r="L442" s="9">
        <v>25900</v>
      </c>
      <c r="M442" s="9">
        <f t="shared" si="357"/>
        <v>2072</v>
      </c>
      <c r="N442" s="9">
        <f t="shared" si="343"/>
        <v>12950</v>
      </c>
      <c r="O442" s="9">
        <f t="shared" si="344"/>
        <v>9732.66</v>
      </c>
      <c r="P442" s="9">
        <f t="shared" si="345"/>
        <v>3217.34</v>
      </c>
      <c r="Q442" s="109">
        <f t="shared" si="346"/>
        <v>0.75155675675675671</v>
      </c>
      <c r="R442" s="336">
        <v>25900</v>
      </c>
      <c r="S442" s="359" t="s">
        <v>1948</v>
      </c>
      <c r="T442" s="305">
        <v>0.75155675675675671</v>
      </c>
      <c r="U442" s="12"/>
      <c r="V442" s="100"/>
      <c r="W442" s="110">
        <f t="shared" si="347"/>
        <v>25900</v>
      </c>
      <c r="X442" s="110">
        <f t="shared" si="348"/>
        <v>1145.3399999999999</v>
      </c>
      <c r="Y442" s="110">
        <f t="shared" si="349"/>
        <v>2072</v>
      </c>
      <c r="Z442" s="110">
        <f t="shared" si="350"/>
        <v>9732.66</v>
      </c>
      <c r="AA442" s="260">
        <f t="shared" si="351"/>
        <v>0.75155675675675671</v>
      </c>
      <c r="AB442" s="28">
        <f t="shared" si="319"/>
        <v>8.5</v>
      </c>
      <c r="AC442" s="261">
        <f t="shared" si="352"/>
        <v>0.75040515118015549</v>
      </c>
      <c r="AD442" s="111">
        <f t="shared" si="321"/>
        <v>2.2000000000000002</v>
      </c>
      <c r="AE442" s="262">
        <f t="shared" si="353"/>
        <v>3.5656265923328247E-2</v>
      </c>
      <c r="AF442" s="100"/>
      <c r="AG442" s="111">
        <f t="shared" si="323"/>
        <v>3.5</v>
      </c>
      <c r="AH442" s="262">
        <f t="shared" si="354"/>
        <v>0.39384108143752056</v>
      </c>
      <c r="AI442" s="100"/>
      <c r="AJ442" s="111">
        <f t="shared" si="325"/>
        <v>3.3</v>
      </c>
      <c r="AK442" s="262">
        <f t="shared" si="355"/>
        <v>0.35710417728221877</v>
      </c>
      <c r="AL442" s="100"/>
      <c r="AM442" s="111">
        <f t="shared" si="327"/>
        <v>3</v>
      </c>
      <c r="AN442" s="262">
        <f t="shared" si="356"/>
        <v>0.29281459501044066</v>
      </c>
      <c r="AO442" s="100"/>
      <c r="AP442" s="24" t="e">
        <f>VLOOKUP(C442,#REF!,6,FALSE)</f>
        <v>#REF!</v>
      </c>
      <c r="AQ442" s="24" t="e">
        <f>VLOOKUP(C442,#REF!,7,FALSE)</f>
        <v>#REF!</v>
      </c>
      <c r="AR442" s="24" t="e">
        <f>VLOOKUP(C442,#REF!,12,FALSE)</f>
        <v>#REF!</v>
      </c>
      <c r="AS442" s="24" t="e">
        <f>VLOOKUP(C442,#REF!,13,FALSE)</f>
        <v>#REF!</v>
      </c>
      <c r="AT442" s="100"/>
      <c r="AU442" s="100"/>
      <c r="AV442" s="100">
        <v>426</v>
      </c>
      <c r="AW442" s="100"/>
      <c r="AY442" s="9">
        <v>25900</v>
      </c>
    </row>
    <row r="443" spans="1:51" s="2" customFormat="1" ht="12.75" customHeight="1" x14ac:dyDescent="0.2">
      <c r="A443" s="6" t="s">
        <v>1989</v>
      </c>
      <c r="B443" s="279">
        <v>9789500215992</v>
      </c>
      <c r="C443" s="6">
        <v>727018</v>
      </c>
      <c r="D443" s="41">
        <v>176</v>
      </c>
      <c r="E443" s="8" t="s">
        <v>1990</v>
      </c>
      <c r="F443" s="6" t="s">
        <v>1991</v>
      </c>
      <c r="G443" s="107">
        <v>45717</v>
      </c>
      <c r="H443" s="108">
        <v>46082</v>
      </c>
      <c r="I443" s="264">
        <v>2091</v>
      </c>
      <c r="J443" s="8" t="s">
        <v>1333</v>
      </c>
      <c r="K443" s="292">
        <v>2723.39</v>
      </c>
      <c r="L443" s="9">
        <v>26900</v>
      </c>
      <c r="M443" s="112">
        <f t="shared" si="357"/>
        <v>2152</v>
      </c>
      <c r="N443" s="9">
        <f t="shared" si="343"/>
        <v>13450</v>
      </c>
      <c r="O443" s="9">
        <f t="shared" si="344"/>
        <v>8574.61</v>
      </c>
      <c r="P443" s="9">
        <f t="shared" si="345"/>
        <v>4875.3899999999994</v>
      </c>
      <c r="Q443" s="139">
        <f t="shared" si="346"/>
        <v>0.63751747211895915</v>
      </c>
      <c r="R443" s="336">
        <v>26900</v>
      </c>
      <c r="S443" s="359" t="s">
        <v>1948</v>
      </c>
      <c r="T443" s="305">
        <v>0.63751747211895915</v>
      </c>
      <c r="U443" s="144"/>
      <c r="V443" s="100"/>
      <c r="W443" s="110">
        <f t="shared" si="347"/>
        <v>26900</v>
      </c>
      <c r="X443" s="110">
        <f t="shared" si="348"/>
        <v>2723.39</v>
      </c>
      <c r="Y443" s="110">
        <f t="shared" si="349"/>
        <v>2152</v>
      </c>
      <c r="Z443" s="110">
        <f t="shared" si="350"/>
        <v>8574.61</v>
      </c>
      <c r="AA443" s="260">
        <f t="shared" si="351"/>
        <v>0.63751747211895915</v>
      </c>
      <c r="AB443" s="28">
        <f t="shared" si="319"/>
        <v>8.9</v>
      </c>
      <c r="AC443" s="261">
        <f t="shared" si="352"/>
        <v>0.63877571433334446</v>
      </c>
      <c r="AD443" s="111">
        <f t="shared" si="321"/>
        <v>3.4</v>
      </c>
      <c r="AE443" s="262">
        <f t="shared" si="353"/>
        <v>5.4442311049048626E-2</v>
      </c>
      <c r="AF443" s="100"/>
      <c r="AG443" s="111">
        <f t="shared" si="323"/>
        <v>5.4</v>
      </c>
      <c r="AH443" s="262">
        <f t="shared" si="354"/>
        <v>0.40464886251236409</v>
      </c>
      <c r="AI443" s="100"/>
      <c r="AJ443" s="111">
        <f t="shared" si="325"/>
        <v>4.9000000000000004</v>
      </c>
      <c r="AK443" s="262">
        <f t="shared" si="355"/>
        <v>0.34389874644219715</v>
      </c>
      <c r="AL443" s="100"/>
      <c r="AM443" s="111">
        <f t="shared" si="327"/>
        <v>4.5999999999999996</v>
      </c>
      <c r="AN443" s="262">
        <f t="shared" si="356"/>
        <v>0.30110953425364473</v>
      </c>
      <c r="AO443" s="100"/>
      <c r="AP443" s="24" t="e">
        <f>VLOOKUP(C443,#REF!,6,FALSE)</f>
        <v>#REF!</v>
      </c>
      <c r="AQ443" s="24" t="e">
        <f>VLOOKUP(C443,#REF!,7,FALSE)</f>
        <v>#REF!</v>
      </c>
      <c r="AR443" s="24" t="e">
        <f>VLOOKUP(C443,#REF!,12,FALSE)</f>
        <v>#REF!</v>
      </c>
      <c r="AS443" s="24" t="e">
        <f>VLOOKUP(C443,#REF!,13,FALSE)</f>
        <v>#REF!</v>
      </c>
      <c r="AT443" s="100"/>
      <c r="AU443" s="100"/>
      <c r="AV443" s="100">
        <v>427</v>
      </c>
      <c r="AW443" s="100"/>
      <c r="AY443" s="9">
        <v>26900</v>
      </c>
    </row>
    <row r="444" spans="1:51" s="2" customFormat="1" ht="12.75" customHeight="1" x14ac:dyDescent="0.2">
      <c r="A444" s="6" t="s">
        <v>1972</v>
      </c>
      <c r="B444" s="8">
        <v>9789500215909</v>
      </c>
      <c r="C444" s="6">
        <v>725696</v>
      </c>
      <c r="D444" s="41">
        <v>176</v>
      </c>
      <c r="E444" s="288" t="s">
        <v>1973</v>
      </c>
      <c r="F444" s="6" t="s">
        <v>1974</v>
      </c>
      <c r="G444" s="107">
        <v>45689</v>
      </c>
      <c r="H444" s="108">
        <v>46143</v>
      </c>
      <c r="I444" s="7">
        <v>2010</v>
      </c>
      <c r="J444" s="8" t="s">
        <v>1333</v>
      </c>
      <c r="K444" s="292">
        <v>1241.6600000000001</v>
      </c>
      <c r="L444" s="9">
        <v>26900</v>
      </c>
      <c r="M444" s="9">
        <f t="shared" si="357"/>
        <v>2152</v>
      </c>
      <c r="N444" s="9">
        <f t="shared" ref="N444:N480" si="358">+L444/2</f>
        <v>13450</v>
      </c>
      <c r="O444" s="9">
        <f t="shared" ref="O444:O475" si="359">+N444-M444-K444</f>
        <v>10056.34</v>
      </c>
      <c r="P444" s="9">
        <f t="shared" ref="P444:P480" si="360">+M444+K444</f>
        <v>3393.66</v>
      </c>
      <c r="Q444" s="109">
        <f t="shared" ref="Q444:Q480" si="361">+O444/N444</f>
        <v>0.74768327137546464</v>
      </c>
      <c r="R444" s="336">
        <v>26900</v>
      </c>
      <c r="S444" s="359" t="s">
        <v>1948</v>
      </c>
      <c r="T444" s="305">
        <v>0.74768327137546464</v>
      </c>
      <c r="U444" s="12"/>
      <c r="V444" s="100"/>
      <c r="W444" s="110">
        <f t="shared" ref="W444:W480" si="362">+L444</f>
        <v>26900</v>
      </c>
      <c r="X444" s="110">
        <f t="shared" ref="X444:X480" si="363">+K444</f>
        <v>1241.6600000000001</v>
      </c>
      <c r="Y444" s="110">
        <f t="shared" ref="Y444:Y480" si="364">+M444</f>
        <v>2152</v>
      </c>
      <c r="Z444" s="110">
        <f t="shared" ref="Z444:Z475" si="365">+W444/2-X444-Y444</f>
        <v>10056.34</v>
      </c>
      <c r="AA444" s="260">
        <f t="shared" ref="AA444:AA475" si="366">+Z444/(W444/2)</f>
        <v>0.74768327137546464</v>
      </c>
      <c r="AB444" s="28">
        <f t="shared" ref="AB444:AB480" si="367">ROUND($W444/2/$X$1,1)</f>
        <v>8.9</v>
      </c>
      <c r="AC444" s="261">
        <f t="shared" ref="AC444:AC475" si="368">+(AB444*$X$1-$X444-$Y444)/(AB444*$X$1)</f>
        <v>0.74855910823636629</v>
      </c>
      <c r="AD444" s="111">
        <f t="shared" ref="AD444:AD480" si="369">+IFERROR(ROUND(($X444+$Y444)/(1-$X$2)/$X$1,1),0)</f>
        <v>2.4</v>
      </c>
      <c r="AE444" s="262">
        <f t="shared" ref="AE444:AE475" si="370">+(AD444*$X$1-$X444-$Y444)/(AD444*$X$1)</f>
        <v>6.7573359709858116E-2</v>
      </c>
      <c r="AF444" s="100"/>
      <c r="AG444" s="111">
        <f t="shared" ref="AG444:AG480" si="371">+IFERROR(ROUND(($X444+$Y444)/(1-$AG$2)/$X$1,1),0)</f>
        <v>3.7</v>
      </c>
      <c r="AH444" s="262">
        <f t="shared" ref="AH444:AH475" si="372">+(AG444*$X$1-$X444-$Y444)/(AG444*$X$1)</f>
        <v>0.39518271981179998</v>
      </c>
      <c r="AI444" s="100"/>
      <c r="AJ444" s="111">
        <f t="shared" ref="AJ444:AJ480" si="373">+IFERROR(ROUND(($X444+$Y444)/(1-$AJ$2)/$X$1,1),0)</f>
        <v>3.4</v>
      </c>
      <c r="AK444" s="262">
        <f t="shared" ref="AK444:AK475" si="374">+(AJ444*$X$1-$X444-$Y444)/(AJ444*$X$1)</f>
        <v>0.34181648920695873</v>
      </c>
      <c r="AL444" s="100"/>
      <c r="AM444" s="111">
        <f t="shared" ref="AM444:AM480" si="375">+IFERROR(ROUND(($X444+$Y444)/(1-$AM$2)/$X$1,1),0)</f>
        <v>3.2</v>
      </c>
      <c r="AN444" s="262">
        <f t="shared" ref="AN444:AN475" si="376">+(AM444*$X$1-$X444-$Y444)/(AM444*$X$1)</f>
        <v>0.30068001978239373</v>
      </c>
      <c r="AO444" s="100"/>
      <c r="AP444" s="24" t="e">
        <f>VLOOKUP(C444,#REF!,6,FALSE)</f>
        <v>#REF!</v>
      </c>
      <c r="AQ444" s="24" t="e">
        <f>VLOOKUP(C444,#REF!,7,FALSE)</f>
        <v>#REF!</v>
      </c>
      <c r="AR444" s="24" t="e">
        <f>VLOOKUP(C444,#REF!,12,FALSE)</f>
        <v>#REF!</v>
      </c>
      <c r="AS444" s="24" t="e">
        <f>VLOOKUP(C444,#REF!,13,FALSE)</f>
        <v>#REF!</v>
      </c>
      <c r="AT444" s="100"/>
      <c r="AU444" s="100"/>
      <c r="AV444" s="100">
        <v>428</v>
      </c>
      <c r="AW444" s="100"/>
      <c r="AY444" s="9">
        <v>26900</v>
      </c>
    </row>
    <row r="445" spans="1:51" s="162" customFormat="1" ht="12.75" customHeight="1" x14ac:dyDescent="0.2">
      <c r="A445" s="7" t="s">
        <v>1908</v>
      </c>
      <c r="B445" s="279">
        <v>9789500215534</v>
      </c>
      <c r="C445" s="8">
        <v>721547</v>
      </c>
      <c r="D445" s="25">
        <v>208</v>
      </c>
      <c r="E445" s="278" t="s">
        <v>1909</v>
      </c>
      <c r="F445" s="278" t="s">
        <v>1910</v>
      </c>
      <c r="G445" s="107">
        <v>45566</v>
      </c>
      <c r="H445" s="107">
        <v>45536</v>
      </c>
      <c r="I445" s="264">
        <v>4059</v>
      </c>
      <c r="J445" s="280" t="s">
        <v>1333</v>
      </c>
      <c r="K445" s="281">
        <v>1387.64</v>
      </c>
      <c r="L445" s="9">
        <v>26900</v>
      </c>
      <c r="M445" s="112">
        <f t="shared" si="357"/>
        <v>2152</v>
      </c>
      <c r="N445" s="9">
        <f t="shared" si="358"/>
        <v>13450</v>
      </c>
      <c r="O445" s="9">
        <f t="shared" si="359"/>
        <v>9910.36</v>
      </c>
      <c r="P445" s="9">
        <f t="shared" si="360"/>
        <v>3539.6400000000003</v>
      </c>
      <c r="Q445" s="139">
        <f t="shared" si="361"/>
        <v>0.73682973977695176</v>
      </c>
      <c r="R445" s="336">
        <v>26900</v>
      </c>
      <c r="S445" s="359" t="s">
        <v>1948</v>
      </c>
      <c r="T445" s="305">
        <v>0.73682973977695176</v>
      </c>
      <c r="U445" s="6"/>
      <c r="V445" s="100"/>
      <c r="W445" s="110">
        <f t="shared" si="362"/>
        <v>26900</v>
      </c>
      <c r="X445" s="110">
        <f t="shared" si="363"/>
        <v>1387.64</v>
      </c>
      <c r="Y445" s="110">
        <f t="shared" si="364"/>
        <v>2152</v>
      </c>
      <c r="Z445" s="110">
        <f t="shared" si="365"/>
        <v>9910.36</v>
      </c>
      <c r="AA445" s="260">
        <f t="shared" si="366"/>
        <v>0.73682973977695176</v>
      </c>
      <c r="AB445" s="28">
        <f t="shared" si="367"/>
        <v>8.9</v>
      </c>
      <c r="AC445" s="261">
        <f t="shared" si="368"/>
        <v>0.7377432512030585</v>
      </c>
      <c r="AD445" s="111">
        <f t="shared" si="369"/>
        <v>2.5</v>
      </c>
      <c r="AE445" s="262">
        <f t="shared" si="370"/>
        <v>6.6365974282888138E-2</v>
      </c>
      <c r="AF445" s="100"/>
      <c r="AG445" s="111">
        <f t="shared" si="371"/>
        <v>3.9</v>
      </c>
      <c r="AH445" s="262">
        <f t="shared" si="372"/>
        <v>0.40151665018133847</v>
      </c>
      <c r="AI445" s="100"/>
      <c r="AJ445" s="111">
        <f t="shared" si="373"/>
        <v>3.6</v>
      </c>
      <c r="AK445" s="262">
        <f t="shared" si="374"/>
        <v>0.35164303769645017</v>
      </c>
      <c r="AL445" s="100"/>
      <c r="AM445" s="111">
        <f t="shared" si="375"/>
        <v>3.3</v>
      </c>
      <c r="AN445" s="262">
        <f t="shared" si="376"/>
        <v>0.29270149566885462</v>
      </c>
      <c r="AO445" s="100"/>
      <c r="AP445" s="24" t="e">
        <f>VLOOKUP(C445,#REF!,6,FALSE)</f>
        <v>#REF!</v>
      </c>
      <c r="AQ445" s="24" t="e">
        <f>VLOOKUP(C445,#REF!,7,FALSE)</f>
        <v>#REF!</v>
      </c>
      <c r="AR445" s="24" t="e">
        <f>VLOOKUP(C445,#REF!,12,FALSE)</f>
        <v>#REF!</v>
      </c>
      <c r="AS445" s="24" t="e">
        <f>VLOOKUP(C445,#REF!,13,FALSE)</f>
        <v>#REF!</v>
      </c>
      <c r="AT445" s="100"/>
      <c r="AU445" s="100"/>
      <c r="AV445" s="100">
        <v>429</v>
      </c>
      <c r="AW445" s="100"/>
      <c r="AY445" s="9">
        <v>26900</v>
      </c>
    </row>
    <row r="446" spans="1:51" s="162" customFormat="1" ht="12.75" customHeight="1" x14ac:dyDescent="0.2">
      <c r="A446" s="7" t="s">
        <v>1905</v>
      </c>
      <c r="B446" s="279">
        <v>9789500215589</v>
      </c>
      <c r="C446" s="8">
        <v>721546</v>
      </c>
      <c r="D446" s="41">
        <v>192</v>
      </c>
      <c r="E446" s="278" t="s">
        <v>1906</v>
      </c>
      <c r="F446" s="278" t="s">
        <v>1907</v>
      </c>
      <c r="G446" s="107">
        <v>45566</v>
      </c>
      <c r="H446" s="107">
        <v>45536</v>
      </c>
      <c r="I446" s="264">
        <v>3110</v>
      </c>
      <c r="J446" s="280" t="s">
        <v>2136</v>
      </c>
      <c r="K446" s="148">
        <v>1454.07</v>
      </c>
      <c r="L446" s="9">
        <v>26900</v>
      </c>
      <c r="M446" s="112">
        <f t="shared" si="357"/>
        <v>2152</v>
      </c>
      <c r="N446" s="9">
        <f t="shared" si="358"/>
        <v>13450</v>
      </c>
      <c r="O446" s="9">
        <f t="shared" si="359"/>
        <v>9843.93</v>
      </c>
      <c r="P446" s="9">
        <f t="shared" si="360"/>
        <v>3606.0699999999997</v>
      </c>
      <c r="Q446" s="139">
        <f t="shared" si="361"/>
        <v>0.73189070631970266</v>
      </c>
      <c r="R446" s="336">
        <v>26900</v>
      </c>
      <c r="S446" s="359" t="s">
        <v>1948</v>
      </c>
      <c r="T446" s="305">
        <v>0.73189070631970266</v>
      </c>
      <c r="U446" s="6"/>
      <c r="V446" s="100"/>
      <c r="W446" s="110">
        <f t="shared" si="362"/>
        <v>26900</v>
      </c>
      <c r="X446" s="110">
        <f t="shared" si="363"/>
        <v>1454.07</v>
      </c>
      <c r="Y446" s="110">
        <f t="shared" si="364"/>
        <v>2152</v>
      </c>
      <c r="Z446" s="110">
        <f t="shared" si="365"/>
        <v>9843.93</v>
      </c>
      <c r="AA446" s="260">
        <f t="shared" si="366"/>
        <v>0.73189070631970266</v>
      </c>
      <c r="AB446" s="28">
        <f t="shared" si="367"/>
        <v>8.9</v>
      </c>
      <c r="AC446" s="261">
        <f t="shared" si="368"/>
        <v>0.73282136202150872</v>
      </c>
      <c r="AD446" s="111">
        <f t="shared" si="369"/>
        <v>2.5</v>
      </c>
      <c r="AE446" s="262">
        <f t="shared" si="370"/>
        <v>4.884404879657113E-2</v>
      </c>
      <c r="AF446" s="100"/>
      <c r="AG446" s="111">
        <f t="shared" si="371"/>
        <v>4</v>
      </c>
      <c r="AH446" s="262">
        <f t="shared" si="372"/>
        <v>0.40552753049785695</v>
      </c>
      <c r="AI446" s="100"/>
      <c r="AJ446" s="111">
        <f t="shared" si="373"/>
        <v>3.7</v>
      </c>
      <c r="AK446" s="262">
        <f t="shared" si="374"/>
        <v>0.35732705999768322</v>
      </c>
      <c r="AL446" s="100"/>
      <c r="AM446" s="111">
        <f t="shared" si="375"/>
        <v>3.4</v>
      </c>
      <c r="AN446" s="262">
        <f t="shared" si="376"/>
        <v>0.30062062411512575</v>
      </c>
      <c r="AO446" s="100"/>
      <c r="AP446" s="24" t="e">
        <f>VLOOKUP(C446,#REF!,6,FALSE)</f>
        <v>#REF!</v>
      </c>
      <c r="AQ446" s="24" t="e">
        <f>VLOOKUP(C446,#REF!,7,FALSE)</f>
        <v>#REF!</v>
      </c>
      <c r="AR446" s="24" t="e">
        <f>VLOOKUP(C446,#REF!,12,FALSE)</f>
        <v>#REF!</v>
      </c>
      <c r="AS446" s="24" t="e">
        <f>VLOOKUP(C446,#REF!,13,FALSE)</f>
        <v>#REF!</v>
      </c>
      <c r="AT446" s="100"/>
      <c r="AU446" s="100"/>
      <c r="AV446" s="100">
        <v>430</v>
      </c>
      <c r="AW446" s="100"/>
      <c r="AY446" s="9">
        <v>26900</v>
      </c>
    </row>
    <row r="447" spans="1:51" s="162" customFormat="1" ht="12.75" customHeight="1" x14ac:dyDescent="0.2">
      <c r="A447" s="7" t="s">
        <v>1898</v>
      </c>
      <c r="B447" s="8">
        <v>9789500215466</v>
      </c>
      <c r="C447" s="8">
        <v>719962</v>
      </c>
      <c r="D447" s="41">
        <v>272</v>
      </c>
      <c r="E447" s="7" t="s">
        <v>1899</v>
      </c>
      <c r="F447" s="7" t="s">
        <v>1897</v>
      </c>
      <c r="G447" s="107">
        <v>45536</v>
      </c>
      <c r="H447" s="108">
        <v>45992</v>
      </c>
      <c r="I447" s="267">
        <v>3083</v>
      </c>
      <c r="J447" s="8" t="s">
        <v>2258</v>
      </c>
      <c r="K447" s="292">
        <v>1668.34</v>
      </c>
      <c r="L447" s="9">
        <v>32400</v>
      </c>
      <c r="M447" s="112">
        <f t="shared" si="357"/>
        <v>2592</v>
      </c>
      <c r="N447" s="9">
        <f t="shared" si="358"/>
        <v>16200</v>
      </c>
      <c r="O447" s="9">
        <f t="shared" si="359"/>
        <v>11939.66</v>
      </c>
      <c r="P447" s="9">
        <f t="shared" si="360"/>
        <v>4260.34</v>
      </c>
      <c r="Q447" s="139">
        <f t="shared" si="361"/>
        <v>0.73701604938271603</v>
      </c>
      <c r="R447" s="336">
        <v>32400</v>
      </c>
      <c r="S447" s="359" t="s">
        <v>1948</v>
      </c>
      <c r="T447" s="305">
        <v>0.73701604938271603</v>
      </c>
      <c r="U447" s="6"/>
      <c r="V447" s="100"/>
      <c r="W447" s="110">
        <f t="shared" si="362"/>
        <v>32400</v>
      </c>
      <c r="X447" s="110">
        <f t="shared" si="363"/>
        <v>1668.34</v>
      </c>
      <c r="Y447" s="110">
        <f t="shared" si="364"/>
        <v>2592</v>
      </c>
      <c r="Z447" s="110">
        <f t="shared" si="365"/>
        <v>11939.66</v>
      </c>
      <c r="AA447" s="260">
        <f t="shared" si="366"/>
        <v>0.73701604938271603</v>
      </c>
      <c r="AB447" s="28">
        <f t="shared" si="367"/>
        <v>10.7</v>
      </c>
      <c r="AC447" s="261">
        <f t="shared" si="368"/>
        <v>0.73744634564956812</v>
      </c>
      <c r="AD447" s="111">
        <f t="shared" si="369"/>
        <v>3</v>
      </c>
      <c r="AE447" s="262">
        <f t="shared" si="370"/>
        <v>6.3558632816793026E-2</v>
      </c>
      <c r="AF447" s="100"/>
      <c r="AG447" s="111">
        <f t="shared" si="371"/>
        <v>4.7</v>
      </c>
      <c r="AH447" s="262">
        <f t="shared" si="372"/>
        <v>0.40227146775539979</v>
      </c>
      <c r="AI447" s="100"/>
      <c r="AJ447" s="111">
        <f t="shared" si="373"/>
        <v>4.3</v>
      </c>
      <c r="AK447" s="262">
        <f t="shared" si="374"/>
        <v>0.34666881359311141</v>
      </c>
      <c r="AL447" s="100"/>
      <c r="AM447" s="111">
        <f t="shared" si="375"/>
        <v>4</v>
      </c>
      <c r="AN447" s="262">
        <f t="shared" si="376"/>
        <v>0.29766897461259478</v>
      </c>
      <c r="AO447" s="100"/>
      <c r="AP447" s="24" t="e">
        <f>VLOOKUP(C447,#REF!,6,FALSE)</f>
        <v>#REF!</v>
      </c>
      <c r="AQ447" s="24" t="e">
        <f>VLOOKUP(C447,#REF!,7,FALSE)</f>
        <v>#REF!</v>
      </c>
      <c r="AR447" s="24" t="e">
        <f>VLOOKUP(C447,#REF!,12,FALSE)</f>
        <v>#REF!</v>
      </c>
      <c r="AS447" s="24" t="e">
        <f>VLOOKUP(C447,#REF!,13,FALSE)</f>
        <v>#REF!</v>
      </c>
      <c r="AT447" s="100"/>
      <c r="AU447" s="100"/>
      <c r="AV447" s="100">
        <v>431</v>
      </c>
      <c r="AW447" s="100"/>
      <c r="AY447" s="9">
        <v>32400</v>
      </c>
    </row>
    <row r="448" spans="1:51" s="162" customFormat="1" ht="12.75" customHeight="1" x14ac:dyDescent="0.2">
      <c r="A448" s="6" t="s">
        <v>1871</v>
      </c>
      <c r="B448" s="8">
        <v>9789500215206</v>
      </c>
      <c r="C448" s="8">
        <v>717947</v>
      </c>
      <c r="D448" s="41">
        <v>192</v>
      </c>
      <c r="E448" s="7" t="s">
        <v>1872</v>
      </c>
      <c r="F448" s="7" t="s">
        <v>1866</v>
      </c>
      <c r="G448" s="107">
        <v>45474</v>
      </c>
      <c r="H448" s="108">
        <v>45444</v>
      </c>
      <c r="I448" s="264">
        <v>3056</v>
      </c>
      <c r="J448" s="8" t="s">
        <v>1333</v>
      </c>
      <c r="K448" s="148">
        <v>1676.86</v>
      </c>
      <c r="L448" s="9">
        <v>22000</v>
      </c>
      <c r="M448" s="112">
        <f t="shared" si="357"/>
        <v>1760</v>
      </c>
      <c r="N448" s="9">
        <f t="shared" si="358"/>
        <v>11000</v>
      </c>
      <c r="O448" s="9">
        <f t="shared" si="359"/>
        <v>7563.14</v>
      </c>
      <c r="P448" s="9">
        <f t="shared" si="360"/>
        <v>3436.8599999999997</v>
      </c>
      <c r="Q448" s="139">
        <f t="shared" si="361"/>
        <v>0.68755818181818185</v>
      </c>
      <c r="R448" s="336">
        <v>22000</v>
      </c>
      <c r="S448" s="359" t="s">
        <v>1948</v>
      </c>
      <c r="T448" s="305">
        <v>0.68755818181818185</v>
      </c>
      <c r="U448" s="6"/>
      <c r="V448" s="100"/>
      <c r="W448" s="110">
        <f t="shared" si="362"/>
        <v>22000</v>
      </c>
      <c r="X448" s="110">
        <f t="shared" si="363"/>
        <v>1676.86</v>
      </c>
      <c r="Y448" s="110">
        <f t="shared" si="364"/>
        <v>1760</v>
      </c>
      <c r="Z448" s="110">
        <f t="shared" si="365"/>
        <v>7563.1399999999994</v>
      </c>
      <c r="AA448" s="260">
        <f t="shared" si="366"/>
        <v>0.68755818181818174</v>
      </c>
      <c r="AB448" s="28">
        <f t="shared" si="367"/>
        <v>7.3</v>
      </c>
      <c r="AC448" s="261">
        <f t="shared" si="368"/>
        <v>0.68954649539991586</v>
      </c>
      <c r="AD448" s="111">
        <f t="shared" si="369"/>
        <v>2.4</v>
      </c>
      <c r="AE448" s="262">
        <f t="shared" si="370"/>
        <v>5.5703923508077811E-2</v>
      </c>
      <c r="AF448" s="100"/>
      <c r="AG448" s="111">
        <f t="shared" si="371"/>
        <v>3.8</v>
      </c>
      <c r="AH448" s="262">
        <f t="shared" si="372"/>
        <v>0.40360247800510179</v>
      </c>
      <c r="AI448" s="100"/>
      <c r="AJ448" s="111">
        <f t="shared" si="373"/>
        <v>3.5</v>
      </c>
      <c r="AK448" s="262">
        <f t="shared" si="374"/>
        <v>0.35248269040553915</v>
      </c>
      <c r="AL448" s="100"/>
      <c r="AM448" s="111">
        <f t="shared" si="375"/>
        <v>3.2</v>
      </c>
      <c r="AN448" s="262">
        <f t="shared" si="376"/>
        <v>0.29177794263105844</v>
      </c>
      <c r="AO448" s="100"/>
      <c r="AP448" s="24" t="e">
        <f>VLOOKUP(C448,#REF!,6,FALSE)</f>
        <v>#REF!</v>
      </c>
      <c r="AQ448" s="24" t="e">
        <f>VLOOKUP(C448,#REF!,7,FALSE)</f>
        <v>#REF!</v>
      </c>
      <c r="AR448" s="24" t="e">
        <f>VLOOKUP(C448,#REF!,12,FALSE)</f>
        <v>#REF!</v>
      </c>
      <c r="AS448" s="24" t="e">
        <f>VLOOKUP(C448,#REF!,13,FALSE)</f>
        <v>#REF!</v>
      </c>
      <c r="AT448" s="100"/>
      <c r="AU448" s="100"/>
      <c r="AV448" s="100">
        <v>432</v>
      </c>
      <c r="AW448" s="100"/>
      <c r="AY448" s="9">
        <v>22000</v>
      </c>
    </row>
    <row r="449" spans="1:51" s="2" customFormat="1" ht="12.75" customHeight="1" x14ac:dyDescent="0.2">
      <c r="A449" s="6" t="s">
        <v>1833</v>
      </c>
      <c r="B449" s="8">
        <v>9789500215138</v>
      </c>
      <c r="C449" s="8">
        <v>716992</v>
      </c>
      <c r="D449" s="41">
        <v>240</v>
      </c>
      <c r="E449" s="7" t="s">
        <v>1834</v>
      </c>
      <c r="F449" s="7" t="s">
        <v>1835</v>
      </c>
      <c r="G449" s="107">
        <v>45444</v>
      </c>
      <c r="H449" s="108">
        <v>45778</v>
      </c>
      <c r="I449" s="7">
        <v>2085</v>
      </c>
      <c r="J449" s="176" t="s">
        <v>2136</v>
      </c>
      <c r="K449" s="148">
        <v>1841.14</v>
      </c>
      <c r="L449" s="9">
        <v>28500</v>
      </c>
      <c r="M449" s="112">
        <f t="shared" si="357"/>
        <v>2280</v>
      </c>
      <c r="N449" s="9">
        <f t="shared" si="358"/>
        <v>14250</v>
      </c>
      <c r="O449" s="9">
        <f t="shared" si="359"/>
        <v>10128.86</v>
      </c>
      <c r="P449" s="9">
        <f t="shared" si="360"/>
        <v>4121.1400000000003</v>
      </c>
      <c r="Q449" s="139">
        <f t="shared" si="361"/>
        <v>0.71079719298245614</v>
      </c>
      <c r="R449" s="336">
        <v>28500</v>
      </c>
      <c r="S449" s="359" t="s">
        <v>1948</v>
      </c>
      <c r="T449" s="305">
        <v>0.71079719298245614</v>
      </c>
      <c r="U449" s="6"/>
      <c r="V449" s="100"/>
      <c r="W449" s="110">
        <f t="shared" si="362"/>
        <v>28500</v>
      </c>
      <c r="X449" s="110">
        <f t="shared" si="363"/>
        <v>1841.14</v>
      </c>
      <c r="Y449" s="110">
        <f t="shared" si="364"/>
        <v>2280</v>
      </c>
      <c r="Z449" s="110">
        <f t="shared" si="365"/>
        <v>10128.86</v>
      </c>
      <c r="AA449" s="260">
        <f t="shared" si="366"/>
        <v>0.71079719298245614</v>
      </c>
      <c r="AB449" s="28">
        <f t="shared" si="367"/>
        <v>9.4</v>
      </c>
      <c r="AC449" s="261">
        <f t="shared" si="368"/>
        <v>0.71090066011462572</v>
      </c>
      <c r="AD449" s="111">
        <f t="shared" si="369"/>
        <v>2.9</v>
      </c>
      <c r="AE449" s="262">
        <f t="shared" si="370"/>
        <v>6.2919381061200166E-2</v>
      </c>
      <c r="AF449" s="100"/>
      <c r="AG449" s="111">
        <f t="shared" si="371"/>
        <v>4.5</v>
      </c>
      <c r="AH449" s="262">
        <f t="shared" si="372"/>
        <v>0.3961036011283291</v>
      </c>
      <c r="AI449" s="100"/>
      <c r="AJ449" s="111">
        <f t="shared" si="373"/>
        <v>4.2</v>
      </c>
      <c r="AK449" s="262">
        <f t="shared" si="374"/>
        <v>0.35296814406606686</v>
      </c>
      <c r="AL449" s="100"/>
      <c r="AM449" s="111">
        <f t="shared" si="375"/>
        <v>3.9</v>
      </c>
      <c r="AN449" s="262">
        <f t="shared" si="376"/>
        <v>0.30319646284037965</v>
      </c>
      <c r="AO449" s="100"/>
      <c r="AP449" s="24" t="e">
        <f>VLOOKUP(C449,#REF!,6,FALSE)</f>
        <v>#REF!</v>
      </c>
      <c r="AQ449" s="24" t="e">
        <f>VLOOKUP(C449,#REF!,7,FALSE)</f>
        <v>#REF!</v>
      </c>
      <c r="AR449" s="24" t="e">
        <f>VLOOKUP(C449,#REF!,12,FALSE)</f>
        <v>#REF!</v>
      </c>
      <c r="AS449" s="24" t="e">
        <f>VLOOKUP(C449,#REF!,13,FALSE)</f>
        <v>#REF!</v>
      </c>
      <c r="AT449" s="100"/>
      <c r="AU449" s="100"/>
      <c r="AV449" s="100">
        <v>433</v>
      </c>
      <c r="AW449" s="100"/>
      <c r="AY449" s="9">
        <v>28500</v>
      </c>
    </row>
    <row r="450" spans="1:51" s="2" customFormat="1" ht="12.75" customHeight="1" x14ac:dyDescent="0.2">
      <c r="A450" s="6" t="s">
        <v>1319</v>
      </c>
      <c r="B450" s="8">
        <v>9789500214247</v>
      </c>
      <c r="C450" s="8">
        <v>710538</v>
      </c>
      <c r="D450" s="41">
        <v>256</v>
      </c>
      <c r="E450" s="7" t="s">
        <v>856</v>
      </c>
      <c r="F450" s="6" t="s">
        <v>857</v>
      </c>
      <c r="G450" s="107">
        <v>45231</v>
      </c>
      <c r="H450" s="108">
        <v>45200</v>
      </c>
      <c r="I450" s="7">
        <v>3025</v>
      </c>
      <c r="J450" s="28" t="s">
        <v>2136</v>
      </c>
      <c r="K450" s="117">
        <v>751.23</v>
      </c>
      <c r="L450" s="9">
        <v>24900</v>
      </c>
      <c r="M450" s="112">
        <f t="shared" si="357"/>
        <v>1992</v>
      </c>
      <c r="N450" s="9">
        <f t="shared" si="358"/>
        <v>12450</v>
      </c>
      <c r="O450" s="9">
        <f t="shared" si="359"/>
        <v>9706.77</v>
      </c>
      <c r="P450" s="9">
        <f t="shared" si="360"/>
        <v>2743.23</v>
      </c>
      <c r="Q450" s="139">
        <f t="shared" si="361"/>
        <v>0.77966024096385544</v>
      </c>
      <c r="R450" s="336">
        <v>24900</v>
      </c>
      <c r="S450" s="359" t="s">
        <v>1948</v>
      </c>
      <c r="T450" s="305">
        <v>0.77966024096385544</v>
      </c>
      <c r="U450" s="144"/>
      <c r="V450" s="100"/>
      <c r="W450" s="110">
        <f t="shared" si="362"/>
        <v>24900</v>
      </c>
      <c r="X450" s="110">
        <f t="shared" si="363"/>
        <v>751.23</v>
      </c>
      <c r="Y450" s="110">
        <f t="shared" si="364"/>
        <v>1992</v>
      </c>
      <c r="Z450" s="110">
        <f t="shared" si="365"/>
        <v>9706.77</v>
      </c>
      <c r="AA450" s="260">
        <f t="shared" si="366"/>
        <v>0.77966024096385544</v>
      </c>
      <c r="AB450" s="28">
        <f t="shared" si="367"/>
        <v>8.1999999999999993</v>
      </c>
      <c r="AC450" s="261">
        <f t="shared" si="368"/>
        <v>0.77939977322621889</v>
      </c>
      <c r="AD450" s="111">
        <f t="shared" si="369"/>
        <v>1.9</v>
      </c>
      <c r="AE450" s="262">
        <f t="shared" si="370"/>
        <v>4.7935863397365781E-2</v>
      </c>
      <c r="AF450" s="100"/>
      <c r="AG450" s="111">
        <f t="shared" si="371"/>
        <v>3</v>
      </c>
      <c r="AH450" s="262">
        <f t="shared" si="372"/>
        <v>0.3970260468183317</v>
      </c>
      <c r="AI450" s="100"/>
      <c r="AJ450" s="111">
        <f t="shared" si="373"/>
        <v>2.8</v>
      </c>
      <c r="AK450" s="262">
        <f t="shared" si="374"/>
        <v>0.35395647873392677</v>
      </c>
      <c r="AL450" s="100"/>
      <c r="AM450" s="111">
        <f t="shared" si="375"/>
        <v>2.6</v>
      </c>
      <c r="AN450" s="262">
        <f t="shared" si="376"/>
        <v>0.30426082325192116</v>
      </c>
      <c r="AO450" s="100"/>
      <c r="AP450" s="24" t="e">
        <f>VLOOKUP(C450,#REF!,6,FALSE)</f>
        <v>#REF!</v>
      </c>
      <c r="AQ450" s="24" t="e">
        <f>VLOOKUP(C450,#REF!,7,FALSE)</f>
        <v>#REF!</v>
      </c>
      <c r="AR450" s="24" t="e">
        <f>VLOOKUP(C450,#REF!,12,FALSE)</f>
        <v>#REF!</v>
      </c>
      <c r="AS450" s="24" t="e">
        <f>VLOOKUP(C450,#REF!,13,FALSE)</f>
        <v>#REF!</v>
      </c>
      <c r="AT450" s="100"/>
      <c r="AU450" s="100"/>
      <c r="AV450" s="100">
        <v>434</v>
      </c>
      <c r="AW450" s="100"/>
      <c r="AY450" s="9">
        <v>24900</v>
      </c>
    </row>
    <row r="451" spans="1:51" s="132" customFormat="1" ht="12.75" customHeight="1" x14ac:dyDescent="0.2">
      <c r="A451" s="6" t="s">
        <v>1320</v>
      </c>
      <c r="B451" s="8">
        <v>9789500214186</v>
      </c>
      <c r="C451" s="8">
        <v>709893</v>
      </c>
      <c r="D451" s="41">
        <v>256</v>
      </c>
      <c r="E451" s="7" t="s">
        <v>846</v>
      </c>
      <c r="F451" s="6" t="s">
        <v>847</v>
      </c>
      <c r="G451" s="107">
        <v>45200</v>
      </c>
      <c r="H451" s="108">
        <v>45717</v>
      </c>
      <c r="I451" s="293">
        <v>2099</v>
      </c>
      <c r="J451" s="8" t="s">
        <v>2136</v>
      </c>
      <c r="K451" s="117">
        <v>1836.57</v>
      </c>
      <c r="L451" s="295">
        <v>23900</v>
      </c>
      <c r="M451" s="112">
        <f t="shared" si="357"/>
        <v>1912</v>
      </c>
      <c r="N451" s="9">
        <f t="shared" si="358"/>
        <v>11950</v>
      </c>
      <c r="O451" s="9">
        <f t="shared" si="359"/>
        <v>8201.43</v>
      </c>
      <c r="P451" s="9">
        <f t="shared" si="360"/>
        <v>3748.5699999999997</v>
      </c>
      <c r="Q451" s="139">
        <f t="shared" si="361"/>
        <v>0.68631213389121337</v>
      </c>
      <c r="R451" s="336">
        <v>23900</v>
      </c>
      <c r="S451" s="359" t="s">
        <v>1948</v>
      </c>
      <c r="T451" s="305">
        <v>0.68631213389121337</v>
      </c>
      <c r="U451" s="144"/>
      <c r="V451" s="100"/>
      <c r="W451" s="110">
        <f t="shared" si="362"/>
        <v>23900</v>
      </c>
      <c r="X451" s="110">
        <f t="shared" si="363"/>
        <v>1836.57</v>
      </c>
      <c r="Y451" s="110">
        <f t="shared" si="364"/>
        <v>1912</v>
      </c>
      <c r="Z451" s="110">
        <f t="shared" si="365"/>
        <v>8201.43</v>
      </c>
      <c r="AA451" s="260">
        <f t="shared" si="366"/>
        <v>0.68631213389121337</v>
      </c>
      <c r="AB451" s="28">
        <f t="shared" si="367"/>
        <v>7.9</v>
      </c>
      <c r="AC451" s="261">
        <f t="shared" si="368"/>
        <v>0.68710680405831215</v>
      </c>
      <c r="AD451" s="111">
        <f t="shared" si="369"/>
        <v>2.6</v>
      </c>
      <c r="AE451" s="262">
        <f t="shared" si="370"/>
        <v>4.9286058484871519E-2</v>
      </c>
      <c r="AF451" s="100"/>
      <c r="AG451" s="111">
        <f t="shared" si="371"/>
        <v>4.0999999999999996</v>
      </c>
      <c r="AH451" s="262">
        <f t="shared" si="372"/>
        <v>0.39710823220991853</v>
      </c>
      <c r="AI451" s="100"/>
      <c r="AJ451" s="111">
        <f t="shared" si="373"/>
        <v>3.8</v>
      </c>
      <c r="AK451" s="262">
        <f t="shared" si="374"/>
        <v>0.3495115137001753</v>
      </c>
      <c r="AL451" s="100"/>
      <c r="AM451" s="111">
        <f t="shared" si="375"/>
        <v>3.5</v>
      </c>
      <c r="AN451" s="262">
        <f t="shared" si="376"/>
        <v>0.29375535773161893</v>
      </c>
      <c r="AO451" s="100"/>
      <c r="AP451" s="24" t="e">
        <f>VLOOKUP(C451,#REF!,6,FALSE)</f>
        <v>#REF!</v>
      </c>
      <c r="AQ451" s="24" t="e">
        <f>VLOOKUP(C451,#REF!,7,FALSE)</f>
        <v>#REF!</v>
      </c>
      <c r="AR451" s="24" t="e">
        <f>VLOOKUP(C451,#REF!,12,FALSE)</f>
        <v>#REF!</v>
      </c>
      <c r="AS451" s="24" t="e">
        <f>VLOOKUP(C451,#REF!,13,FALSE)</f>
        <v>#REF!</v>
      </c>
      <c r="AT451" s="100"/>
      <c r="AU451" s="100"/>
      <c r="AV451" s="100">
        <v>435</v>
      </c>
      <c r="AW451" s="100"/>
      <c r="AY451" s="295">
        <v>23900</v>
      </c>
    </row>
    <row r="452" spans="1:51" s="132" customFormat="1" ht="12.75" customHeight="1" x14ac:dyDescent="0.2">
      <c r="A452" s="6" t="s">
        <v>1321</v>
      </c>
      <c r="B452" s="8">
        <v>9789500214155</v>
      </c>
      <c r="C452" s="8">
        <v>709894</v>
      </c>
      <c r="D452" s="41">
        <v>240</v>
      </c>
      <c r="E452" s="7" t="s">
        <v>848</v>
      </c>
      <c r="F452" s="6" t="s">
        <v>849</v>
      </c>
      <c r="G452" s="107">
        <v>45200</v>
      </c>
      <c r="H452" s="108">
        <v>45170</v>
      </c>
      <c r="I452" s="7">
        <v>3131</v>
      </c>
      <c r="J452" s="28" t="s">
        <v>2136</v>
      </c>
      <c r="K452" s="117">
        <v>684.51</v>
      </c>
      <c r="L452" s="9">
        <v>23500</v>
      </c>
      <c r="M452" s="112">
        <f t="shared" si="357"/>
        <v>1880</v>
      </c>
      <c r="N452" s="9">
        <f t="shared" si="358"/>
        <v>11750</v>
      </c>
      <c r="O452" s="9">
        <f t="shared" si="359"/>
        <v>9185.49</v>
      </c>
      <c r="P452" s="9">
        <f t="shared" si="360"/>
        <v>2564.5100000000002</v>
      </c>
      <c r="Q452" s="139">
        <f t="shared" si="361"/>
        <v>0.781743829787234</v>
      </c>
      <c r="R452" s="336">
        <v>23500</v>
      </c>
      <c r="S452" s="359" t="s">
        <v>1948</v>
      </c>
      <c r="T452" s="305">
        <v>0.781743829787234</v>
      </c>
      <c r="U452" s="144"/>
      <c r="V452" s="100"/>
      <c r="W452" s="110">
        <f t="shared" si="362"/>
        <v>23500</v>
      </c>
      <c r="X452" s="110">
        <f t="shared" si="363"/>
        <v>684.51</v>
      </c>
      <c r="Y452" s="110">
        <f t="shared" si="364"/>
        <v>1880</v>
      </c>
      <c r="Z452" s="110">
        <f t="shared" si="365"/>
        <v>9185.49</v>
      </c>
      <c r="AA452" s="260">
        <f t="shared" si="366"/>
        <v>0.781743829787234</v>
      </c>
      <c r="AB452" s="28">
        <f t="shared" si="367"/>
        <v>7.7</v>
      </c>
      <c r="AC452" s="261">
        <f t="shared" si="368"/>
        <v>0.78038031865925039</v>
      </c>
      <c r="AD452" s="111">
        <f t="shared" si="369"/>
        <v>1.8</v>
      </c>
      <c r="AE452" s="262">
        <f t="shared" si="370"/>
        <v>6.0515807597904626E-2</v>
      </c>
      <c r="AF452" s="100"/>
      <c r="AG452" s="111">
        <f t="shared" si="371"/>
        <v>2.8</v>
      </c>
      <c r="AH452" s="262">
        <f t="shared" si="372"/>
        <v>0.39604587631293853</v>
      </c>
      <c r="AI452" s="100"/>
      <c r="AJ452" s="111">
        <f t="shared" si="373"/>
        <v>2.6</v>
      </c>
      <c r="AK452" s="262">
        <f t="shared" si="374"/>
        <v>0.34958786679854936</v>
      </c>
      <c r="AL452" s="100"/>
      <c r="AM452" s="111">
        <f t="shared" si="375"/>
        <v>2.4</v>
      </c>
      <c r="AN452" s="262">
        <f t="shared" si="376"/>
        <v>0.29538685569842843</v>
      </c>
      <c r="AO452" s="100"/>
      <c r="AP452" s="24" t="e">
        <f>VLOOKUP(C452,#REF!,6,FALSE)</f>
        <v>#REF!</v>
      </c>
      <c r="AQ452" s="24" t="e">
        <f>VLOOKUP(C452,#REF!,7,FALSE)</f>
        <v>#REF!</v>
      </c>
      <c r="AR452" s="24" t="e">
        <f>VLOOKUP(C452,#REF!,12,FALSE)</f>
        <v>#REF!</v>
      </c>
      <c r="AS452" s="24" t="e">
        <f>VLOOKUP(C452,#REF!,13,FALSE)</f>
        <v>#REF!</v>
      </c>
      <c r="AT452" s="100"/>
      <c r="AU452" s="100"/>
      <c r="AV452" s="100">
        <v>436</v>
      </c>
      <c r="AW452" s="100"/>
      <c r="AY452" s="9">
        <v>23500</v>
      </c>
    </row>
    <row r="453" spans="1:51" s="132" customFormat="1" ht="12.75" customHeight="1" x14ac:dyDescent="0.2">
      <c r="A453" s="6" t="s">
        <v>1322</v>
      </c>
      <c r="B453" s="8">
        <v>9789500213721</v>
      </c>
      <c r="C453" s="6">
        <v>705126</v>
      </c>
      <c r="D453" s="41">
        <v>272</v>
      </c>
      <c r="E453" s="7" t="s">
        <v>676</v>
      </c>
      <c r="F453" s="7" t="s">
        <v>788</v>
      </c>
      <c r="G453" s="107">
        <v>45047</v>
      </c>
      <c r="H453" s="108">
        <v>45017</v>
      </c>
      <c r="I453" s="7">
        <v>3120</v>
      </c>
      <c r="J453" s="28" t="s">
        <v>1762</v>
      </c>
      <c r="K453" s="9">
        <v>1159.58</v>
      </c>
      <c r="L453" s="9">
        <v>35900</v>
      </c>
      <c r="M453" s="112">
        <f t="shared" si="357"/>
        <v>2872</v>
      </c>
      <c r="N453" s="9">
        <f t="shared" si="358"/>
        <v>17950</v>
      </c>
      <c r="O453" s="9">
        <f t="shared" si="359"/>
        <v>13918.42</v>
      </c>
      <c r="P453" s="9">
        <f t="shared" si="360"/>
        <v>4031.58</v>
      </c>
      <c r="Q453" s="139">
        <f t="shared" si="361"/>
        <v>0.77539944289693596</v>
      </c>
      <c r="R453" s="336">
        <v>35900</v>
      </c>
      <c r="S453" s="359" t="s">
        <v>1948</v>
      </c>
      <c r="T453" s="305">
        <v>0.77539944289693596</v>
      </c>
      <c r="U453" s="144"/>
      <c r="V453" s="100"/>
      <c r="W453" s="110">
        <f t="shared" si="362"/>
        <v>35900</v>
      </c>
      <c r="X453" s="110">
        <f t="shared" si="363"/>
        <v>1159.58</v>
      </c>
      <c r="Y453" s="110">
        <f t="shared" si="364"/>
        <v>2872</v>
      </c>
      <c r="Z453" s="110">
        <f t="shared" si="365"/>
        <v>13918.419999999998</v>
      </c>
      <c r="AA453" s="260">
        <f t="shared" si="366"/>
        <v>0.77539944289693585</v>
      </c>
      <c r="AB453" s="28">
        <f t="shared" si="367"/>
        <v>11.8</v>
      </c>
      <c r="AC453" s="261">
        <f t="shared" si="368"/>
        <v>0.77470535968750531</v>
      </c>
      <c r="AD453" s="111">
        <f t="shared" si="369"/>
        <v>2.8</v>
      </c>
      <c r="AE453" s="262">
        <f t="shared" si="370"/>
        <v>5.0544015825914911E-2</v>
      </c>
      <c r="AF453" s="100"/>
      <c r="AG453" s="111">
        <f t="shared" si="371"/>
        <v>4.4000000000000004</v>
      </c>
      <c r="AH453" s="262">
        <f t="shared" si="372"/>
        <v>0.39580073734376409</v>
      </c>
      <c r="AI453" s="100"/>
      <c r="AJ453" s="111">
        <f t="shared" si="373"/>
        <v>4.0999999999999996</v>
      </c>
      <c r="AK453" s="262">
        <f t="shared" si="374"/>
        <v>0.3515910351981858</v>
      </c>
      <c r="AL453" s="100"/>
      <c r="AM453" s="111">
        <f t="shared" si="375"/>
        <v>3.8</v>
      </c>
      <c r="AN453" s="262">
        <f t="shared" si="376"/>
        <v>0.30040085376646364</v>
      </c>
      <c r="AO453" s="100"/>
      <c r="AP453" s="24" t="e">
        <f>VLOOKUP(C453,#REF!,6,FALSE)</f>
        <v>#REF!</v>
      </c>
      <c r="AQ453" s="24" t="e">
        <f>VLOOKUP(C453,#REF!,7,FALSE)</f>
        <v>#REF!</v>
      </c>
      <c r="AR453" s="24" t="e">
        <f>VLOOKUP(C453,#REF!,12,FALSE)</f>
        <v>#REF!</v>
      </c>
      <c r="AS453" s="24" t="e">
        <f>VLOOKUP(C453,#REF!,13,FALSE)</f>
        <v>#REF!</v>
      </c>
      <c r="AT453" s="100"/>
      <c r="AU453" s="100"/>
      <c r="AV453" s="100">
        <v>437</v>
      </c>
      <c r="AW453" s="100"/>
      <c r="AY453" s="9">
        <v>35900</v>
      </c>
    </row>
    <row r="454" spans="1:51" s="2" customFormat="1" ht="12.75" customHeight="1" x14ac:dyDescent="0.2">
      <c r="A454" s="6" t="s">
        <v>1323</v>
      </c>
      <c r="B454" s="8">
        <v>9789500213387</v>
      </c>
      <c r="C454" s="6">
        <v>702979</v>
      </c>
      <c r="D454" s="41">
        <v>256</v>
      </c>
      <c r="E454" s="7" t="s">
        <v>757</v>
      </c>
      <c r="F454" s="7" t="s">
        <v>753</v>
      </c>
      <c r="G454" s="107">
        <v>44958</v>
      </c>
      <c r="H454" s="107">
        <v>45536</v>
      </c>
      <c r="I454" s="7">
        <v>3135</v>
      </c>
      <c r="J454" s="28" t="s">
        <v>2136</v>
      </c>
      <c r="K454" s="9">
        <v>1484.48</v>
      </c>
      <c r="L454" s="9">
        <v>29900</v>
      </c>
      <c r="M454" s="112">
        <f t="shared" si="357"/>
        <v>2392</v>
      </c>
      <c r="N454" s="9">
        <f t="shared" si="358"/>
        <v>14950</v>
      </c>
      <c r="O454" s="9">
        <f t="shared" si="359"/>
        <v>11073.52</v>
      </c>
      <c r="P454" s="9">
        <f t="shared" si="360"/>
        <v>3876.48</v>
      </c>
      <c r="Q454" s="139">
        <f t="shared" si="361"/>
        <v>0.74070367892976596</v>
      </c>
      <c r="R454" s="336">
        <v>29900</v>
      </c>
      <c r="S454" s="359" t="s">
        <v>1948</v>
      </c>
      <c r="T454" s="305">
        <v>0.74070367892976596</v>
      </c>
      <c r="U454" s="144"/>
      <c r="V454" s="100"/>
      <c r="W454" s="110">
        <f t="shared" si="362"/>
        <v>29900</v>
      </c>
      <c r="X454" s="110">
        <f t="shared" si="363"/>
        <v>1484.48</v>
      </c>
      <c r="Y454" s="110">
        <f t="shared" si="364"/>
        <v>2392</v>
      </c>
      <c r="Z454" s="110">
        <f t="shared" si="365"/>
        <v>11073.52</v>
      </c>
      <c r="AA454" s="260">
        <f t="shared" si="366"/>
        <v>0.74070367892976596</v>
      </c>
      <c r="AB454" s="28">
        <f t="shared" si="367"/>
        <v>9.9</v>
      </c>
      <c r="AC454" s="261">
        <f t="shared" si="368"/>
        <v>0.74179779995803741</v>
      </c>
      <c r="AD454" s="111">
        <f t="shared" si="369"/>
        <v>2.7</v>
      </c>
      <c r="AE454" s="262">
        <f t="shared" si="370"/>
        <v>5.3258599846136977E-2</v>
      </c>
      <c r="AF454" s="100"/>
      <c r="AG454" s="111">
        <f t="shared" si="371"/>
        <v>4.3</v>
      </c>
      <c r="AH454" s="262">
        <f t="shared" si="372"/>
        <v>0.40553446967083007</v>
      </c>
      <c r="AI454" s="100"/>
      <c r="AJ454" s="111">
        <f t="shared" si="373"/>
        <v>3.9</v>
      </c>
      <c r="AK454" s="262">
        <f t="shared" si="374"/>
        <v>0.34456364604732542</v>
      </c>
      <c r="AL454" s="100"/>
      <c r="AM454" s="111">
        <f t="shared" si="375"/>
        <v>3.7</v>
      </c>
      <c r="AN454" s="262">
        <f t="shared" si="376"/>
        <v>0.30913465394177553</v>
      </c>
      <c r="AO454" s="100"/>
      <c r="AP454" s="24" t="e">
        <f>VLOOKUP(C454,#REF!,6,FALSE)</f>
        <v>#REF!</v>
      </c>
      <c r="AQ454" s="24" t="e">
        <f>VLOOKUP(C454,#REF!,7,FALSE)</f>
        <v>#REF!</v>
      </c>
      <c r="AR454" s="24" t="e">
        <f>VLOOKUP(C454,#REF!,12,FALSE)</f>
        <v>#REF!</v>
      </c>
      <c r="AS454" s="24" t="e">
        <f>VLOOKUP(C454,#REF!,13,FALSE)</f>
        <v>#REF!</v>
      </c>
      <c r="AT454" s="100"/>
      <c r="AU454" s="100"/>
      <c r="AV454" s="100">
        <v>438</v>
      </c>
      <c r="AW454" s="100"/>
      <c r="AY454" s="9">
        <v>29900</v>
      </c>
    </row>
    <row r="455" spans="1:51" s="2" customFormat="1" ht="12.75" customHeight="1" x14ac:dyDescent="0.2">
      <c r="A455" s="6" t="s">
        <v>1324</v>
      </c>
      <c r="B455" s="8">
        <v>9789500213042</v>
      </c>
      <c r="C455" s="6">
        <v>698749</v>
      </c>
      <c r="D455" s="41">
        <v>240</v>
      </c>
      <c r="E455" s="7" t="s">
        <v>580</v>
      </c>
      <c r="F455" s="7" t="s">
        <v>721</v>
      </c>
      <c r="G455" s="107">
        <v>44835</v>
      </c>
      <c r="H455" s="108">
        <v>45689</v>
      </c>
      <c r="I455" s="7">
        <v>2055</v>
      </c>
      <c r="J455" s="28" t="s">
        <v>2136</v>
      </c>
      <c r="K455" s="117">
        <v>3137.17</v>
      </c>
      <c r="L455" s="9">
        <v>29900</v>
      </c>
      <c r="M455" s="9">
        <f>+L455*0.1</f>
        <v>2990</v>
      </c>
      <c r="N455" s="9">
        <f t="shared" si="358"/>
        <v>14950</v>
      </c>
      <c r="O455" s="9">
        <f t="shared" si="359"/>
        <v>8822.83</v>
      </c>
      <c r="P455" s="9">
        <f t="shared" si="360"/>
        <v>6127.17</v>
      </c>
      <c r="Q455" s="139">
        <f t="shared" si="361"/>
        <v>0.59015585284280936</v>
      </c>
      <c r="R455" s="336">
        <v>29900</v>
      </c>
      <c r="S455" s="359" t="s">
        <v>1948</v>
      </c>
      <c r="T455" s="305">
        <v>0.59015585284280936</v>
      </c>
      <c r="U455" s="144"/>
      <c r="V455" s="100"/>
      <c r="W455" s="110">
        <f t="shared" si="362"/>
        <v>29900</v>
      </c>
      <c r="X455" s="110">
        <f t="shared" si="363"/>
        <v>3137.17</v>
      </c>
      <c r="Y455" s="110">
        <f t="shared" si="364"/>
        <v>2990</v>
      </c>
      <c r="Z455" s="110">
        <f t="shared" si="365"/>
        <v>8822.83</v>
      </c>
      <c r="AA455" s="260">
        <f t="shared" si="366"/>
        <v>0.59015585284280936</v>
      </c>
      <c r="AB455" s="28">
        <f t="shared" si="367"/>
        <v>9.9</v>
      </c>
      <c r="AC455" s="261">
        <f t="shared" si="368"/>
        <v>0.59188522215228445</v>
      </c>
      <c r="AD455" s="111">
        <f t="shared" si="369"/>
        <v>4.3</v>
      </c>
      <c r="AE455" s="262">
        <f t="shared" si="370"/>
        <v>6.0386906815724666E-2</v>
      </c>
      <c r="AF455" s="100"/>
      <c r="AG455" s="111">
        <f t="shared" si="371"/>
        <v>6.7</v>
      </c>
      <c r="AH455" s="262">
        <f t="shared" si="372"/>
        <v>0.3969647312399428</v>
      </c>
      <c r="AI455" s="100"/>
      <c r="AJ455" s="111">
        <f t="shared" si="373"/>
        <v>6.2</v>
      </c>
      <c r="AK455" s="262">
        <f t="shared" si="374"/>
        <v>0.34833285472703496</v>
      </c>
      <c r="AL455" s="100"/>
      <c r="AM455" s="111">
        <f t="shared" si="375"/>
        <v>5.8</v>
      </c>
      <c r="AN455" s="262">
        <f t="shared" si="376"/>
        <v>0.30339029298407166</v>
      </c>
      <c r="AO455" s="100"/>
      <c r="AP455" s="24" t="e">
        <f>VLOOKUP(C455,#REF!,6,FALSE)</f>
        <v>#REF!</v>
      </c>
      <c r="AQ455" s="24" t="e">
        <f>VLOOKUP(C455,#REF!,7,FALSE)</f>
        <v>#REF!</v>
      </c>
      <c r="AR455" s="24" t="e">
        <f>VLOOKUP(C455,#REF!,12,FALSE)</f>
        <v>#REF!</v>
      </c>
      <c r="AS455" s="24" t="e">
        <f>VLOOKUP(C455,#REF!,13,FALSE)</f>
        <v>#REF!</v>
      </c>
      <c r="AT455" s="100"/>
      <c r="AU455" s="100"/>
      <c r="AV455" s="100">
        <v>439</v>
      </c>
      <c r="AW455" s="100"/>
      <c r="AY455" s="9">
        <v>29900</v>
      </c>
    </row>
    <row r="456" spans="1:51" s="2" customFormat="1" ht="12.75" customHeight="1" x14ac:dyDescent="0.2">
      <c r="A456" s="6" t="s">
        <v>1325</v>
      </c>
      <c r="B456" s="8">
        <v>9789500213233</v>
      </c>
      <c r="C456" s="8">
        <v>699697</v>
      </c>
      <c r="D456" s="41">
        <v>224</v>
      </c>
      <c r="E456" s="7" t="s">
        <v>734</v>
      </c>
      <c r="F456" s="7" t="s">
        <v>733</v>
      </c>
      <c r="G456" s="107">
        <v>44866</v>
      </c>
      <c r="H456" s="107">
        <v>44835</v>
      </c>
      <c r="I456" s="7">
        <v>5100</v>
      </c>
      <c r="J456" s="28" t="s">
        <v>1762</v>
      </c>
      <c r="K456" s="9">
        <v>580.24</v>
      </c>
      <c r="L456" s="9">
        <v>35900</v>
      </c>
      <c r="M456" s="112">
        <f>+L456*0.08</f>
        <v>2872</v>
      </c>
      <c r="N456" s="9">
        <f t="shared" si="358"/>
        <v>17950</v>
      </c>
      <c r="O456" s="9">
        <f t="shared" si="359"/>
        <v>14497.76</v>
      </c>
      <c r="P456" s="9">
        <f t="shared" si="360"/>
        <v>3452.24</v>
      </c>
      <c r="Q456" s="139">
        <f t="shared" si="361"/>
        <v>0.80767465181058495</v>
      </c>
      <c r="R456" s="336">
        <v>35900</v>
      </c>
      <c r="S456" s="359" t="s">
        <v>1948</v>
      </c>
      <c r="T456" s="305">
        <v>0.80767465181058495</v>
      </c>
      <c r="U456" s="144"/>
      <c r="V456" s="100"/>
      <c r="W456" s="110">
        <f t="shared" si="362"/>
        <v>35900</v>
      </c>
      <c r="X456" s="110">
        <f t="shared" si="363"/>
        <v>580.24</v>
      </c>
      <c r="Y456" s="110">
        <f t="shared" si="364"/>
        <v>2872</v>
      </c>
      <c r="Z456" s="110">
        <f t="shared" si="365"/>
        <v>14497.759999999998</v>
      </c>
      <c r="AA456" s="260">
        <f t="shared" si="366"/>
        <v>0.80767465181058484</v>
      </c>
      <c r="AB456" s="28">
        <f t="shared" si="367"/>
        <v>11.8</v>
      </c>
      <c r="AC456" s="261">
        <f t="shared" si="368"/>
        <v>0.80708030869475311</v>
      </c>
      <c r="AD456" s="111">
        <f t="shared" si="369"/>
        <v>2.4</v>
      </c>
      <c r="AE456" s="262">
        <f t="shared" si="370"/>
        <v>5.1478184415869786E-2</v>
      </c>
      <c r="AF456" s="100"/>
      <c r="AG456" s="111">
        <f t="shared" si="371"/>
        <v>3.8</v>
      </c>
      <c r="AH456" s="262">
        <f t="shared" si="372"/>
        <v>0.4009335901573915</v>
      </c>
      <c r="AI456" s="100"/>
      <c r="AJ456" s="111">
        <f t="shared" si="373"/>
        <v>3.5</v>
      </c>
      <c r="AK456" s="262">
        <f t="shared" si="374"/>
        <v>0.34958504074231084</v>
      </c>
      <c r="AL456" s="100"/>
      <c r="AM456" s="111">
        <f t="shared" si="375"/>
        <v>3.3</v>
      </c>
      <c r="AN456" s="262">
        <f t="shared" si="376"/>
        <v>0.31016595230245086</v>
      </c>
      <c r="AO456" s="100"/>
      <c r="AP456" s="24" t="e">
        <f>VLOOKUP(C456,#REF!,6,FALSE)</f>
        <v>#REF!</v>
      </c>
      <c r="AQ456" s="24" t="e">
        <f>VLOOKUP(C456,#REF!,7,FALSE)</f>
        <v>#REF!</v>
      </c>
      <c r="AR456" s="24" t="e">
        <f>VLOOKUP(C456,#REF!,12,FALSE)</f>
        <v>#REF!</v>
      </c>
      <c r="AS456" s="24" t="e">
        <f>VLOOKUP(C456,#REF!,13,FALSE)</f>
        <v>#REF!</v>
      </c>
      <c r="AT456" s="100"/>
      <c r="AU456" s="100"/>
      <c r="AV456" s="100">
        <v>440</v>
      </c>
      <c r="AW456" s="100"/>
      <c r="AY456" s="9">
        <v>35900</v>
      </c>
    </row>
    <row r="457" spans="1:51" s="2" customFormat="1" ht="12.75" customHeight="1" x14ac:dyDescent="0.2">
      <c r="A457" s="6" t="s">
        <v>1326</v>
      </c>
      <c r="B457" s="8">
        <v>9789500212953</v>
      </c>
      <c r="C457" s="6">
        <v>697474</v>
      </c>
      <c r="D457" s="41">
        <v>304</v>
      </c>
      <c r="E457" s="7" t="s">
        <v>571</v>
      </c>
      <c r="F457" s="2" t="s">
        <v>714</v>
      </c>
      <c r="G457" s="107">
        <v>44835</v>
      </c>
      <c r="H457" s="107">
        <v>44986</v>
      </c>
      <c r="I457" s="7">
        <v>3135</v>
      </c>
      <c r="J457" s="28" t="s">
        <v>1762</v>
      </c>
      <c r="K457" s="9">
        <v>931.22</v>
      </c>
      <c r="L457" s="9">
        <v>35900</v>
      </c>
      <c r="M457" s="112">
        <f>+L457*0.08</f>
        <v>2872</v>
      </c>
      <c r="N457" s="9">
        <f t="shared" si="358"/>
        <v>17950</v>
      </c>
      <c r="O457" s="9">
        <f t="shared" si="359"/>
        <v>14146.78</v>
      </c>
      <c r="P457" s="9">
        <f t="shared" si="360"/>
        <v>3803.2200000000003</v>
      </c>
      <c r="Q457" s="139">
        <f t="shared" si="361"/>
        <v>0.78812144846796661</v>
      </c>
      <c r="R457" s="336">
        <v>35900</v>
      </c>
      <c r="S457" s="359" t="s">
        <v>1948</v>
      </c>
      <c r="T457" s="305">
        <v>0.78812144846796661</v>
      </c>
      <c r="U457" s="144"/>
      <c r="V457" s="100"/>
      <c r="W457" s="110">
        <f t="shared" si="362"/>
        <v>35900</v>
      </c>
      <c r="X457" s="110">
        <f t="shared" si="363"/>
        <v>931.22</v>
      </c>
      <c r="Y457" s="110">
        <f t="shared" si="364"/>
        <v>2872</v>
      </c>
      <c r="Z457" s="110">
        <f t="shared" si="365"/>
        <v>14146.779999999999</v>
      </c>
      <c r="AA457" s="260">
        <f t="shared" si="366"/>
        <v>0.7881214484679665</v>
      </c>
      <c r="AB457" s="28">
        <f t="shared" si="367"/>
        <v>11.8</v>
      </c>
      <c r="AC457" s="261">
        <f t="shared" si="368"/>
        <v>0.78746668007845888</v>
      </c>
      <c r="AD457" s="111">
        <f t="shared" si="369"/>
        <v>2.6</v>
      </c>
      <c r="AE457" s="262">
        <f t="shared" si="370"/>
        <v>3.5425701894544699E-2</v>
      </c>
      <c r="AF457" s="100"/>
      <c r="AG457" s="111">
        <f t="shared" si="371"/>
        <v>4.2</v>
      </c>
      <c r="AH457" s="262">
        <f t="shared" si="372"/>
        <v>0.40288257736328953</v>
      </c>
      <c r="AI457" s="100"/>
      <c r="AJ457" s="111">
        <f t="shared" si="373"/>
        <v>3.9</v>
      </c>
      <c r="AK457" s="262">
        <f t="shared" si="374"/>
        <v>0.35695046792969631</v>
      </c>
      <c r="AL457" s="100"/>
      <c r="AM457" s="111">
        <f t="shared" si="375"/>
        <v>3.6</v>
      </c>
      <c r="AN457" s="262">
        <f t="shared" si="376"/>
        <v>0.30336300692383783</v>
      </c>
      <c r="AO457" s="100"/>
      <c r="AP457" s="24" t="e">
        <f>VLOOKUP(C457,#REF!,6,FALSE)</f>
        <v>#REF!</v>
      </c>
      <c r="AQ457" s="24" t="e">
        <f>VLOOKUP(C457,#REF!,7,FALSE)</f>
        <v>#REF!</v>
      </c>
      <c r="AR457" s="24" t="e">
        <f>VLOOKUP(C457,#REF!,12,FALSE)</f>
        <v>#REF!</v>
      </c>
      <c r="AS457" s="24" t="e">
        <f>VLOOKUP(C457,#REF!,13,FALSE)</f>
        <v>#REF!</v>
      </c>
      <c r="AT457" s="100"/>
      <c r="AU457" s="100"/>
      <c r="AV457" s="100">
        <v>441</v>
      </c>
      <c r="AW457" s="100"/>
      <c r="AY457" s="9">
        <v>35900</v>
      </c>
    </row>
    <row r="458" spans="1:51" s="2" customFormat="1" ht="12.75" customHeight="1" x14ac:dyDescent="0.2">
      <c r="A458" s="7" t="s">
        <v>1327</v>
      </c>
      <c r="B458" s="8">
        <v>9789500212038</v>
      </c>
      <c r="C458" s="8">
        <v>686373</v>
      </c>
      <c r="D458" s="25">
        <v>344</v>
      </c>
      <c r="E458" s="7" t="s">
        <v>571</v>
      </c>
      <c r="F458" s="7" t="s">
        <v>572</v>
      </c>
      <c r="G458" s="107">
        <v>44440</v>
      </c>
      <c r="H458" s="108">
        <v>45597</v>
      </c>
      <c r="I458" s="7">
        <v>2050</v>
      </c>
      <c r="J458" s="28" t="s">
        <v>1762</v>
      </c>
      <c r="K458" s="9">
        <v>4007.44</v>
      </c>
      <c r="L458" s="9">
        <v>35900</v>
      </c>
      <c r="M458" s="9">
        <f>+L458*0.08</f>
        <v>2872</v>
      </c>
      <c r="N458" s="9">
        <f t="shared" si="358"/>
        <v>17950</v>
      </c>
      <c r="O458" s="9">
        <f t="shared" si="359"/>
        <v>11070.56</v>
      </c>
      <c r="P458" s="9">
        <f t="shared" si="360"/>
        <v>6879.4400000000005</v>
      </c>
      <c r="Q458" s="139">
        <f t="shared" si="361"/>
        <v>0.61674428969359329</v>
      </c>
      <c r="R458" s="336">
        <v>35900</v>
      </c>
      <c r="S458" s="359" t="s">
        <v>1948</v>
      </c>
      <c r="T458" s="305">
        <v>0.61674428969359329</v>
      </c>
      <c r="U458" s="144"/>
      <c r="V458" s="100"/>
      <c r="W458" s="110">
        <f t="shared" si="362"/>
        <v>35900</v>
      </c>
      <c r="X458" s="110">
        <f t="shared" si="363"/>
        <v>4007.44</v>
      </c>
      <c r="Y458" s="110">
        <f t="shared" si="364"/>
        <v>2872</v>
      </c>
      <c r="Z458" s="110">
        <f t="shared" si="365"/>
        <v>11070.56</v>
      </c>
      <c r="AA458" s="260">
        <f t="shared" si="366"/>
        <v>0.61674428969359329</v>
      </c>
      <c r="AB458" s="28">
        <f t="shared" si="367"/>
        <v>11.8</v>
      </c>
      <c r="AC458" s="261">
        <f t="shared" si="368"/>
        <v>0.61555991438805902</v>
      </c>
      <c r="AD458" s="111">
        <f t="shared" si="369"/>
        <v>4.8</v>
      </c>
      <c r="AE458" s="262">
        <f t="shared" si="370"/>
        <v>5.4918122870645097E-2</v>
      </c>
      <c r="AF458" s="100"/>
      <c r="AG458" s="111">
        <f t="shared" si="371"/>
        <v>7.6</v>
      </c>
      <c r="AH458" s="262">
        <f t="shared" si="372"/>
        <v>0.40310618286567057</v>
      </c>
      <c r="AI458" s="100"/>
      <c r="AJ458" s="111">
        <f t="shared" si="373"/>
        <v>7</v>
      </c>
      <c r="AK458" s="262">
        <f t="shared" si="374"/>
        <v>0.35194385568272801</v>
      </c>
      <c r="AL458" s="100"/>
      <c r="AM458" s="111">
        <f t="shared" si="375"/>
        <v>6.5</v>
      </c>
      <c r="AN458" s="262">
        <f t="shared" si="376"/>
        <v>0.30209338304293787</v>
      </c>
      <c r="AO458" s="100"/>
      <c r="AP458" s="24" t="e">
        <f>VLOOKUP(C458,#REF!,6,FALSE)</f>
        <v>#REF!</v>
      </c>
      <c r="AQ458" s="24" t="e">
        <f>VLOOKUP(C458,#REF!,7,FALSE)</f>
        <v>#REF!</v>
      </c>
      <c r="AR458" s="24" t="e">
        <f>VLOOKUP(C458,#REF!,12,FALSE)</f>
        <v>#REF!</v>
      </c>
      <c r="AS458" s="24" t="e">
        <f>VLOOKUP(C458,#REF!,13,FALSE)</f>
        <v>#REF!</v>
      </c>
      <c r="AT458" s="100"/>
      <c r="AU458" s="100"/>
      <c r="AV458" s="100">
        <v>442</v>
      </c>
      <c r="AW458" s="100"/>
      <c r="AY458" s="9">
        <v>35900</v>
      </c>
    </row>
    <row r="459" spans="1:51" s="2" customFormat="1" ht="12.75" customHeight="1" x14ac:dyDescent="0.2">
      <c r="A459" s="6" t="s">
        <v>1328</v>
      </c>
      <c r="B459" s="8">
        <v>9789500213035</v>
      </c>
      <c r="C459" s="6">
        <v>698748</v>
      </c>
      <c r="D459" s="41">
        <v>288</v>
      </c>
      <c r="E459" s="7" t="s">
        <v>719</v>
      </c>
      <c r="F459" s="7" t="s">
        <v>720</v>
      </c>
      <c r="G459" s="107">
        <v>44835</v>
      </c>
      <c r="H459" s="108">
        <v>44805</v>
      </c>
      <c r="I459" s="7">
        <v>10020</v>
      </c>
      <c r="J459" s="28" t="s">
        <v>1762</v>
      </c>
      <c r="K459" s="9">
        <v>526.57000000000005</v>
      </c>
      <c r="L459" s="9">
        <v>29900</v>
      </c>
      <c r="M459" s="112">
        <f>+L459*0.1</f>
        <v>2990</v>
      </c>
      <c r="N459" s="9">
        <f t="shared" si="358"/>
        <v>14950</v>
      </c>
      <c r="O459" s="9">
        <f t="shared" si="359"/>
        <v>11433.43</v>
      </c>
      <c r="P459" s="9">
        <f t="shared" si="360"/>
        <v>3516.57</v>
      </c>
      <c r="Q459" s="139">
        <f t="shared" si="361"/>
        <v>0.76477792642140474</v>
      </c>
      <c r="R459" s="336">
        <v>29900</v>
      </c>
      <c r="S459" s="359" t="s">
        <v>1948</v>
      </c>
      <c r="T459" s="305">
        <v>0.76477792642140474</v>
      </c>
      <c r="U459" s="144"/>
      <c r="V459" s="100"/>
      <c r="W459" s="110">
        <f t="shared" si="362"/>
        <v>29900</v>
      </c>
      <c r="X459" s="110">
        <f t="shared" si="363"/>
        <v>526.57000000000005</v>
      </c>
      <c r="Y459" s="110">
        <f t="shared" si="364"/>
        <v>2990</v>
      </c>
      <c r="Z459" s="110">
        <f t="shared" si="365"/>
        <v>11433.43</v>
      </c>
      <c r="AA459" s="260">
        <f t="shared" si="366"/>
        <v>0.76477792642140474</v>
      </c>
      <c r="AB459" s="28">
        <f t="shared" si="367"/>
        <v>9.9</v>
      </c>
      <c r="AC459" s="261">
        <f t="shared" si="368"/>
        <v>0.76577046428678475</v>
      </c>
      <c r="AD459" s="111">
        <f t="shared" si="369"/>
        <v>2.4</v>
      </c>
      <c r="AE459" s="262">
        <f t="shared" si="370"/>
        <v>3.3803165182987073E-2</v>
      </c>
      <c r="AF459" s="100"/>
      <c r="AG459" s="111">
        <f t="shared" si="371"/>
        <v>3.9</v>
      </c>
      <c r="AH459" s="262">
        <f t="shared" si="372"/>
        <v>0.40541733242029976</v>
      </c>
      <c r="AI459" s="100"/>
      <c r="AJ459" s="111">
        <f t="shared" si="373"/>
        <v>3.6</v>
      </c>
      <c r="AK459" s="262">
        <f t="shared" si="374"/>
        <v>0.35586877678865819</v>
      </c>
      <c r="AL459" s="100"/>
      <c r="AM459" s="111">
        <f t="shared" si="375"/>
        <v>3.3</v>
      </c>
      <c r="AN459" s="262">
        <f t="shared" si="376"/>
        <v>0.2973113928603543</v>
      </c>
      <c r="AO459" s="100"/>
      <c r="AP459" s="24" t="e">
        <f>VLOOKUP(C459,#REF!,6,FALSE)</f>
        <v>#REF!</v>
      </c>
      <c r="AQ459" s="24" t="e">
        <f>VLOOKUP(C459,#REF!,7,FALSE)</f>
        <v>#REF!</v>
      </c>
      <c r="AR459" s="24" t="e">
        <f>VLOOKUP(C459,#REF!,12,FALSE)</f>
        <v>#REF!</v>
      </c>
      <c r="AS459" s="24" t="e">
        <f>VLOOKUP(C459,#REF!,13,FALSE)</f>
        <v>#REF!</v>
      </c>
      <c r="AT459" s="100"/>
      <c r="AU459" s="100"/>
      <c r="AV459" s="100">
        <v>443</v>
      </c>
      <c r="AW459" s="100"/>
      <c r="AY459" s="9">
        <v>29900</v>
      </c>
    </row>
    <row r="460" spans="1:51" s="2" customFormat="1" ht="12.75" customHeight="1" x14ac:dyDescent="0.2">
      <c r="A460" s="7" t="s">
        <v>1329</v>
      </c>
      <c r="B460" s="8">
        <v>9789500212021</v>
      </c>
      <c r="C460" s="8">
        <v>686346</v>
      </c>
      <c r="D460" s="25">
        <v>192</v>
      </c>
      <c r="E460" s="9" t="s">
        <v>470</v>
      </c>
      <c r="F460" s="7" t="s">
        <v>573</v>
      </c>
      <c r="G460" s="107">
        <v>44440</v>
      </c>
      <c r="H460" s="108">
        <v>44409</v>
      </c>
      <c r="I460" s="7">
        <v>2992</v>
      </c>
      <c r="J460" s="28" t="s">
        <v>1762</v>
      </c>
      <c r="K460" s="9">
        <v>229.57</v>
      </c>
      <c r="L460" s="9">
        <v>34900</v>
      </c>
      <c r="M460" s="112">
        <f>+L460*0.1</f>
        <v>3490</v>
      </c>
      <c r="N460" s="9">
        <f t="shared" si="358"/>
        <v>17450</v>
      </c>
      <c r="O460" s="9">
        <f t="shared" si="359"/>
        <v>13730.43</v>
      </c>
      <c r="P460" s="9">
        <f t="shared" si="360"/>
        <v>3719.57</v>
      </c>
      <c r="Q460" s="139">
        <f t="shared" si="361"/>
        <v>0.78684412607449861</v>
      </c>
      <c r="R460" s="336">
        <v>34900</v>
      </c>
      <c r="S460" s="359" t="s">
        <v>1948</v>
      </c>
      <c r="T460" s="305">
        <v>0.78684412607449861</v>
      </c>
      <c r="U460" s="144"/>
      <c r="V460" s="100"/>
      <c r="W460" s="110">
        <f t="shared" si="362"/>
        <v>34900</v>
      </c>
      <c r="X460" s="110">
        <f t="shared" si="363"/>
        <v>229.57</v>
      </c>
      <c r="Y460" s="110">
        <f t="shared" si="364"/>
        <v>3490</v>
      </c>
      <c r="Z460" s="110">
        <f t="shared" si="365"/>
        <v>13730.43</v>
      </c>
      <c r="AA460" s="260">
        <f t="shared" si="366"/>
        <v>0.78684412607449861</v>
      </c>
      <c r="AB460" s="28">
        <f t="shared" si="367"/>
        <v>11.5</v>
      </c>
      <c r="AC460" s="261">
        <f t="shared" si="368"/>
        <v>0.78671884631373734</v>
      </c>
      <c r="AD460" s="111">
        <f t="shared" si="369"/>
        <v>2.6</v>
      </c>
      <c r="AE460" s="262">
        <f t="shared" si="370"/>
        <v>5.6641051003068786E-2</v>
      </c>
      <c r="AF460" s="100"/>
      <c r="AG460" s="111">
        <f t="shared" si="371"/>
        <v>4.0999999999999996</v>
      </c>
      <c r="AH460" s="262">
        <f t="shared" si="372"/>
        <v>0.40177237380682412</v>
      </c>
      <c r="AI460" s="100"/>
      <c r="AJ460" s="111">
        <f t="shared" si="373"/>
        <v>3.8</v>
      </c>
      <c r="AK460" s="262">
        <f t="shared" si="374"/>
        <v>0.35454387700209972</v>
      </c>
      <c r="AL460" s="100"/>
      <c r="AM460" s="111">
        <f t="shared" si="375"/>
        <v>3.5</v>
      </c>
      <c r="AN460" s="262">
        <f t="shared" si="376"/>
        <v>0.29921906645942259</v>
      </c>
      <c r="AO460" s="100"/>
      <c r="AP460" s="24" t="e">
        <f>VLOOKUP(C460,#REF!,6,FALSE)</f>
        <v>#REF!</v>
      </c>
      <c r="AQ460" s="24" t="e">
        <f>VLOOKUP(C460,#REF!,7,FALSE)</f>
        <v>#REF!</v>
      </c>
      <c r="AR460" s="24" t="e">
        <f>VLOOKUP(C460,#REF!,12,FALSE)</f>
        <v>#REF!</v>
      </c>
      <c r="AS460" s="24" t="e">
        <f>VLOOKUP(C460,#REF!,13,FALSE)</f>
        <v>#REF!</v>
      </c>
      <c r="AT460" s="100"/>
      <c r="AU460" s="100"/>
      <c r="AV460" s="100">
        <v>444</v>
      </c>
      <c r="AW460" s="100"/>
      <c r="AY460" s="9">
        <v>34900</v>
      </c>
    </row>
    <row r="461" spans="1:51" s="2" customFormat="1" ht="12.75" customHeight="1" x14ac:dyDescent="0.2">
      <c r="A461" s="7" t="s">
        <v>1330</v>
      </c>
      <c r="B461" s="8">
        <v>9789500212601</v>
      </c>
      <c r="C461" s="8">
        <v>692881</v>
      </c>
      <c r="D461" s="25">
        <v>336</v>
      </c>
      <c r="E461" s="9" t="s">
        <v>676</v>
      </c>
      <c r="F461" s="7" t="s">
        <v>677</v>
      </c>
      <c r="G461" s="107">
        <v>44652</v>
      </c>
      <c r="H461" s="108">
        <v>44713</v>
      </c>
      <c r="I461" s="7">
        <v>3063</v>
      </c>
      <c r="J461" s="28" t="s">
        <v>1762</v>
      </c>
      <c r="K461" s="9">
        <v>340</v>
      </c>
      <c r="L461" s="9">
        <v>32500</v>
      </c>
      <c r="M461" s="9">
        <f>+L461*0.08</f>
        <v>2600</v>
      </c>
      <c r="N461" s="9">
        <f t="shared" si="358"/>
        <v>16250</v>
      </c>
      <c r="O461" s="9">
        <f t="shared" si="359"/>
        <v>13310</v>
      </c>
      <c r="P461" s="9">
        <f t="shared" si="360"/>
        <v>2940</v>
      </c>
      <c r="Q461" s="139">
        <f t="shared" si="361"/>
        <v>0.81907692307692304</v>
      </c>
      <c r="R461" s="336">
        <v>32500</v>
      </c>
      <c r="S461" s="359" t="s">
        <v>1948</v>
      </c>
      <c r="T461" s="305">
        <v>0.81907692307692304</v>
      </c>
      <c r="U461" s="12"/>
      <c r="V461" s="100"/>
      <c r="W461" s="110">
        <f t="shared" si="362"/>
        <v>32500</v>
      </c>
      <c r="X461" s="110">
        <f t="shared" si="363"/>
        <v>340</v>
      </c>
      <c r="Y461" s="110">
        <f t="shared" si="364"/>
        <v>2600</v>
      </c>
      <c r="Z461" s="110">
        <f t="shared" si="365"/>
        <v>13310</v>
      </c>
      <c r="AA461" s="260">
        <f t="shared" si="366"/>
        <v>0.81907692307692304</v>
      </c>
      <c r="AB461" s="28">
        <f t="shared" si="367"/>
        <v>10.7</v>
      </c>
      <c r="AC461" s="261">
        <f t="shared" si="368"/>
        <v>0.81881545984821169</v>
      </c>
      <c r="AD461" s="111">
        <f t="shared" si="369"/>
        <v>2</v>
      </c>
      <c r="AE461" s="262">
        <f t="shared" si="370"/>
        <v>3.0662710187932742E-2</v>
      </c>
      <c r="AF461" s="100"/>
      <c r="AG461" s="111">
        <f t="shared" si="371"/>
        <v>3.2</v>
      </c>
      <c r="AH461" s="262">
        <f t="shared" si="372"/>
        <v>0.39416419386745799</v>
      </c>
      <c r="AI461" s="100"/>
      <c r="AJ461" s="111">
        <f t="shared" si="373"/>
        <v>3</v>
      </c>
      <c r="AK461" s="262">
        <f t="shared" si="374"/>
        <v>0.35377514012528849</v>
      </c>
      <c r="AL461" s="100"/>
      <c r="AM461" s="111">
        <f t="shared" si="375"/>
        <v>2.8</v>
      </c>
      <c r="AN461" s="262">
        <f t="shared" si="376"/>
        <v>0.30761622156280904</v>
      </c>
      <c r="AO461" s="100"/>
      <c r="AP461" s="24" t="e">
        <f>VLOOKUP(C461,#REF!,6,FALSE)</f>
        <v>#REF!</v>
      </c>
      <c r="AQ461" s="24" t="e">
        <f>VLOOKUP(C461,#REF!,7,FALSE)</f>
        <v>#REF!</v>
      </c>
      <c r="AR461" s="24" t="e">
        <f>VLOOKUP(C461,#REF!,12,FALSE)</f>
        <v>#REF!</v>
      </c>
      <c r="AS461" s="24" t="e">
        <f>VLOOKUP(C461,#REF!,13,FALSE)</f>
        <v>#REF!</v>
      </c>
      <c r="AT461" s="100"/>
      <c r="AU461" s="100"/>
      <c r="AV461" s="100">
        <v>445</v>
      </c>
      <c r="AW461" s="100"/>
      <c r="AY461" s="9">
        <v>32500</v>
      </c>
    </row>
    <row r="462" spans="1:51" s="2" customFormat="1" ht="12.75" customHeight="1" x14ac:dyDescent="0.2">
      <c r="A462" s="7" t="s">
        <v>1331</v>
      </c>
      <c r="B462" s="8">
        <v>9789500210805</v>
      </c>
      <c r="C462" s="8">
        <v>677292</v>
      </c>
      <c r="D462" s="25">
        <v>216</v>
      </c>
      <c r="E462" s="7" t="s">
        <v>496</v>
      </c>
      <c r="F462" s="7" t="s">
        <v>606</v>
      </c>
      <c r="G462" s="107">
        <v>44075</v>
      </c>
      <c r="H462" s="108">
        <v>44044</v>
      </c>
      <c r="I462" s="24">
        <v>3056</v>
      </c>
      <c r="J462" s="28" t="s">
        <v>2136</v>
      </c>
      <c r="K462" s="28">
        <v>68.959999999999994</v>
      </c>
      <c r="L462" s="9">
        <v>26500</v>
      </c>
      <c r="M462" s="9">
        <f>+L462*0.1</f>
        <v>2650</v>
      </c>
      <c r="N462" s="9">
        <f t="shared" si="358"/>
        <v>13250</v>
      </c>
      <c r="O462" s="9">
        <f t="shared" si="359"/>
        <v>10531.04</v>
      </c>
      <c r="P462" s="9">
        <f t="shared" si="360"/>
        <v>2718.96</v>
      </c>
      <c r="Q462" s="139">
        <f t="shared" si="361"/>
        <v>0.79479547169811327</v>
      </c>
      <c r="R462" s="336">
        <v>26500</v>
      </c>
      <c r="S462" s="359" t="s">
        <v>1948</v>
      </c>
      <c r="T462" s="305">
        <v>0.79479547169811327</v>
      </c>
      <c r="U462" s="140"/>
      <c r="V462" s="100"/>
      <c r="W462" s="110">
        <f t="shared" si="362"/>
        <v>26500</v>
      </c>
      <c r="X462" s="110">
        <f t="shared" si="363"/>
        <v>68.959999999999994</v>
      </c>
      <c r="Y462" s="110">
        <f t="shared" si="364"/>
        <v>2650</v>
      </c>
      <c r="Z462" s="110">
        <f t="shared" si="365"/>
        <v>10531.04</v>
      </c>
      <c r="AA462" s="260">
        <f t="shared" si="366"/>
        <v>0.79479547169811327</v>
      </c>
      <c r="AB462" s="28">
        <f t="shared" si="367"/>
        <v>8.6999999999999993</v>
      </c>
      <c r="AC462" s="261">
        <f t="shared" si="368"/>
        <v>0.79391748240617577</v>
      </c>
      <c r="AD462" s="111">
        <f t="shared" si="369"/>
        <v>1.9</v>
      </c>
      <c r="AE462" s="262">
        <f t="shared" si="370"/>
        <v>5.6358998386173108E-2</v>
      </c>
      <c r="AF462" s="100"/>
      <c r="AG462" s="111">
        <f t="shared" si="371"/>
        <v>3</v>
      </c>
      <c r="AH462" s="262">
        <f t="shared" si="372"/>
        <v>0.40236069897790966</v>
      </c>
      <c r="AI462" s="100"/>
      <c r="AJ462" s="111">
        <f t="shared" si="373"/>
        <v>2.8</v>
      </c>
      <c r="AK462" s="262">
        <f t="shared" si="374"/>
        <v>0.35967217747633173</v>
      </c>
      <c r="AL462" s="100"/>
      <c r="AM462" s="111">
        <f t="shared" si="375"/>
        <v>2.6</v>
      </c>
      <c r="AN462" s="262">
        <f t="shared" si="376"/>
        <v>0.31041619112835733</v>
      </c>
      <c r="AO462" s="100"/>
      <c r="AP462" s="24" t="e">
        <f>VLOOKUP(C462,#REF!,6,FALSE)</f>
        <v>#REF!</v>
      </c>
      <c r="AQ462" s="24" t="e">
        <f>VLOOKUP(C462,#REF!,7,FALSE)</f>
        <v>#REF!</v>
      </c>
      <c r="AR462" s="24" t="e">
        <f>VLOOKUP(C462,#REF!,12,FALSE)</f>
        <v>#REF!</v>
      </c>
      <c r="AS462" s="24" t="e">
        <f>VLOOKUP(C462,#REF!,13,FALSE)</f>
        <v>#REF!</v>
      </c>
      <c r="AT462" s="100"/>
      <c r="AU462" s="100"/>
      <c r="AV462" s="100">
        <v>446</v>
      </c>
      <c r="AW462" s="100"/>
      <c r="AY462" s="9">
        <v>26500</v>
      </c>
    </row>
    <row r="463" spans="1:51" s="2" customFormat="1" ht="12.75" customHeight="1" x14ac:dyDescent="0.2">
      <c r="A463" s="7" t="s">
        <v>1332</v>
      </c>
      <c r="B463" s="8">
        <v>9789500212540</v>
      </c>
      <c r="C463" s="8">
        <v>691779</v>
      </c>
      <c r="D463" s="25">
        <v>328</v>
      </c>
      <c r="E463" s="9" t="s">
        <v>655</v>
      </c>
      <c r="F463" s="7" t="s">
        <v>827</v>
      </c>
      <c r="G463" s="107">
        <v>44621</v>
      </c>
      <c r="H463" s="108">
        <v>44593</v>
      </c>
      <c r="I463" s="7">
        <v>3120</v>
      </c>
      <c r="J463" s="28" t="s">
        <v>2136</v>
      </c>
      <c r="K463" s="9">
        <v>715.91</v>
      </c>
      <c r="L463" s="112">
        <v>34900</v>
      </c>
      <c r="M463" s="112">
        <f>+L463*0.08</f>
        <v>2792</v>
      </c>
      <c r="N463" s="9">
        <f t="shared" si="358"/>
        <v>17450</v>
      </c>
      <c r="O463" s="9">
        <f t="shared" si="359"/>
        <v>13942.09</v>
      </c>
      <c r="P463" s="9">
        <f t="shared" si="360"/>
        <v>3507.91</v>
      </c>
      <c r="Q463" s="139">
        <f t="shared" si="361"/>
        <v>0.79897363896848139</v>
      </c>
      <c r="R463" s="336">
        <v>34900</v>
      </c>
      <c r="S463" s="359" t="s">
        <v>1948</v>
      </c>
      <c r="T463" s="305">
        <v>0.79897363896848139</v>
      </c>
      <c r="U463" s="12"/>
      <c r="V463" s="100"/>
      <c r="W463" s="110">
        <f t="shared" si="362"/>
        <v>34900</v>
      </c>
      <c r="X463" s="110">
        <f t="shared" si="363"/>
        <v>715.91</v>
      </c>
      <c r="Y463" s="110">
        <f t="shared" si="364"/>
        <v>2792</v>
      </c>
      <c r="Z463" s="110">
        <f t="shared" si="365"/>
        <v>13942.09</v>
      </c>
      <c r="AA463" s="260">
        <f t="shared" si="366"/>
        <v>0.79897363896848139</v>
      </c>
      <c r="AB463" s="28">
        <f t="shared" si="367"/>
        <v>11.5</v>
      </c>
      <c r="AC463" s="261">
        <f t="shared" si="368"/>
        <v>0.79885548818073659</v>
      </c>
      <c r="AD463" s="111">
        <f t="shared" si="369"/>
        <v>2.4</v>
      </c>
      <c r="AE463" s="262">
        <f t="shared" si="370"/>
        <v>3.6182547532695918E-2</v>
      </c>
      <c r="AF463" s="100"/>
      <c r="AG463" s="111">
        <f t="shared" si="371"/>
        <v>3.9</v>
      </c>
      <c r="AH463" s="262">
        <f t="shared" si="372"/>
        <v>0.40688156771242823</v>
      </c>
      <c r="AI463" s="100"/>
      <c r="AJ463" s="111">
        <f t="shared" si="373"/>
        <v>3.6</v>
      </c>
      <c r="AK463" s="262">
        <f t="shared" si="374"/>
        <v>0.35745503168846404</v>
      </c>
      <c r="AL463" s="100"/>
      <c r="AM463" s="111">
        <f t="shared" si="375"/>
        <v>3.3</v>
      </c>
      <c r="AN463" s="262">
        <f t="shared" si="376"/>
        <v>0.29904185275105155</v>
      </c>
      <c r="AO463" s="100"/>
      <c r="AP463" s="24" t="e">
        <f>VLOOKUP(C463,#REF!,6,FALSE)</f>
        <v>#REF!</v>
      </c>
      <c r="AQ463" s="24" t="e">
        <f>VLOOKUP(C463,#REF!,7,FALSE)</f>
        <v>#REF!</v>
      </c>
      <c r="AR463" s="24" t="e">
        <f>VLOOKUP(C463,#REF!,12,FALSE)</f>
        <v>#REF!</v>
      </c>
      <c r="AS463" s="24" t="e">
        <f>VLOOKUP(C463,#REF!,13,FALSE)</f>
        <v>#REF!</v>
      </c>
      <c r="AT463" s="100"/>
      <c r="AU463" s="100"/>
      <c r="AV463" s="100">
        <v>447</v>
      </c>
      <c r="AW463" s="100"/>
      <c r="AY463" s="112">
        <v>34900</v>
      </c>
    </row>
    <row r="464" spans="1:51" s="2" customFormat="1" ht="12.75" customHeight="1" x14ac:dyDescent="0.2">
      <c r="A464" s="6" t="s">
        <v>893</v>
      </c>
      <c r="B464" s="8">
        <v>9789500214902</v>
      </c>
      <c r="C464" s="8">
        <v>714035</v>
      </c>
      <c r="D464" s="41">
        <v>376</v>
      </c>
      <c r="E464" s="7" t="s">
        <v>654</v>
      </c>
      <c r="F464" s="7" t="s">
        <v>881</v>
      </c>
      <c r="G464" s="107">
        <v>45383</v>
      </c>
      <c r="H464" s="108">
        <v>45931</v>
      </c>
      <c r="I464" s="239">
        <v>2120</v>
      </c>
      <c r="J464" s="7" t="s">
        <v>1762</v>
      </c>
      <c r="K464" s="148">
        <v>2946.17</v>
      </c>
      <c r="L464" s="9">
        <v>33900</v>
      </c>
      <c r="M464" s="112">
        <f>+L464*0.1</f>
        <v>3390</v>
      </c>
      <c r="N464" s="9">
        <f t="shared" si="358"/>
        <v>16950</v>
      </c>
      <c r="O464" s="9">
        <f t="shared" si="359"/>
        <v>10613.83</v>
      </c>
      <c r="P464" s="9">
        <f t="shared" si="360"/>
        <v>6336.17</v>
      </c>
      <c r="Q464" s="139">
        <f t="shared" si="361"/>
        <v>0.62618466076696166</v>
      </c>
      <c r="R464" s="336">
        <v>33900</v>
      </c>
      <c r="S464" s="359" t="s">
        <v>1948</v>
      </c>
      <c r="T464" s="305">
        <v>0.62618466076696166</v>
      </c>
      <c r="U464" s="12"/>
      <c r="V464" s="100"/>
      <c r="W464" s="110">
        <f t="shared" si="362"/>
        <v>33900</v>
      </c>
      <c r="X464" s="110">
        <f t="shared" si="363"/>
        <v>2946.17</v>
      </c>
      <c r="Y464" s="110">
        <f t="shared" si="364"/>
        <v>3390</v>
      </c>
      <c r="Z464" s="110">
        <f t="shared" si="365"/>
        <v>10613.83</v>
      </c>
      <c r="AA464" s="260">
        <f t="shared" si="366"/>
        <v>0.62618466076696166</v>
      </c>
      <c r="AB464" s="28">
        <f t="shared" si="367"/>
        <v>11.2</v>
      </c>
      <c r="AC464" s="261">
        <f t="shared" si="368"/>
        <v>0.62695056756629453</v>
      </c>
      <c r="AD464" s="111">
        <f t="shared" si="369"/>
        <v>4.4000000000000004</v>
      </c>
      <c r="AE464" s="262">
        <f t="shared" si="370"/>
        <v>5.0419626532386221E-2</v>
      </c>
      <c r="AF464" s="100"/>
      <c r="AG464" s="111">
        <f t="shared" si="371"/>
        <v>7</v>
      </c>
      <c r="AH464" s="262">
        <f t="shared" si="372"/>
        <v>0.40312090810607132</v>
      </c>
      <c r="AI464" s="100"/>
      <c r="AJ464" s="111">
        <f t="shared" si="373"/>
        <v>6.4</v>
      </c>
      <c r="AK464" s="262">
        <f t="shared" si="374"/>
        <v>0.34716349324101553</v>
      </c>
      <c r="AL464" s="100"/>
      <c r="AM464" s="111">
        <f t="shared" si="375"/>
        <v>6</v>
      </c>
      <c r="AN464" s="262">
        <f t="shared" si="376"/>
        <v>0.3036410594570832</v>
      </c>
      <c r="AO464" s="100"/>
      <c r="AP464" s="24" t="e">
        <f>VLOOKUP(C464,#REF!,6,FALSE)</f>
        <v>#REF!</v>
      </c>
      <c r="AQ464" s="24" t="e">
        <f>VLOOKUP(C464,#REF!,7,FALSE)</f>
        <v>#REF!</v>
      </c>
      <c r="AR464" s="24" t="e">
        <f>VLOOKUP(C464,#REF!,12,FALSE)</f>
        <v>#REF!</v>
      </c>
      <c r="AS464" s="24" t="e">
        <f>VLOOKUP(C464,#REF!,13,FALSE)</f>
        <v>#REF!</v>
      </c>
      <c r="AT464" s="100"/>
      <c r="AU464" s="100"/>
      <c r="AV464" s="100">
        <v>448</v>
      </c>
      <c r="AW464" s="100"/>
      <c r="AY464" s="9">
        <v>33900</v>
      </c>
    </row>
    <row r="465" spans="1:51" s="2" customFormat="1" ht="12.75" customHeight="1" x14ac:dyDescent="0.2">
      <c r="A465" s="7" t="s">
        <v>1334</v>
      </c>
      <c r="B465" s="8">
        <v>9789500212502</v>
      </c>
      <c r="C465" s="8">
        <v>691781</v>
      </c>
      <c r="D465" s="25">
        <v>376</v>
      </c>
      <c r="E465" s="7" t="s">
        <v>654</v>
      </c>
      <c r="F465" s="7" t="s">
        <v>673</v>
      </c>
      <c r="G465" s="118">
        <v>44621</v>
      </c>
      <c r="H465" s="108">
        <v>46082</v>
      </c>
      <c r="I465" s="264">
        <v>2095</v>
      </c>
      <c r="J465" s="6" t="s">
        <v>1946</v>
      </c>
      <c r="K465" s="9">
        <v>3669.1</v>
      </c>
      <c r="L465" s="9">
        <v>34500</v>
      </c>
      <c r="M465" s="112">
        <f>+L465*0.08</f>
        <v>2760</v>
      </c>
      <c r="N465" s="9">
        <f t="shared" si="358"/>
        <v>17250</v>
      </c>
      <c r="O465" s="9">
        <f t="shared" si="359"/>
        <v>10820.9</v>
      </c>
      <c r="P465" s="9">
        <f t="shared" si="360"/>
        <v>6429.1</v>
      </c>
      <c r="Q465" s="139">
        <f t="shared" si="361"/>
        <v>0.62729855072463769</v>
      </c>
      <c r="R465" s="336">
        <v>34500</v>
      </c>
      <c r="S465" s="359" t="s">
        <v>1948</v>
      </c>
      <c r="T465" s="305">
        <v>0.62729855072463769</v>
      </c>
      <c r="U465" s="12"/>
      <c r="V465" s="100"/>
      <c r="W465" s="110">
        <f t="shared" si="362"/>
        <v>34500</v>
      </c>
      <c r="X465" s="110">
        <f t="shared" si="363"/>
        <v>3669.1</v>
      </c>
      <c r="Y465" s="110">
        <f t="shared" si="364"/>
        <v>2760</v>
      </c>
      <c r="Z465" s="110">
        <f t="shared" si="365"/>
        <v>10820.9</v>
      </c>
      <c r="AA465" s="260">
        <f t="shared" si="366"/>
        <v>0.62729855072463769</v>
      </c>
      <c r="AB465" s="28">
        <f t="shared" si="367"/>
        <v>11.4</v>
      </c>
      <c r="AC465" s="261">
        <f t="shared" si="368"/>
        <v>0.62811992063905231</v>
      </c>
      <c r="AD465" s="111">
        <f t="shared" si="369"/>
        <v>4.5</v>
      </c>
      <c r="AE465" s="262">
        <f t="shared" si="370"/>
        <v>5.7903798952265828E-2</v>
      </c>
      <c r="AF465" s="100"/>
      <c r="AG465" s="111">
        <f t="shared" si="371"/>
        <v>7.1</v>
      </c>
      <c r="AH465" s="262">
        <f t="shared" si="372"/>
        <v>0.40289677398383039</v>
      </c>
      <c r="AI465" s="100"/>
      <c r="AJ465" s="111">
        <f t="shared" si="373"/>
        <v>6.5</v>
      </c>
      <c r="AK465" s="262">
        <f t="shared" si="374"/>
        <v>0.34777955312079939</v>
      </c>
      <c r="AL465" s="100"/>
      <c r="AM465" s="111">
        <f t="shared" si="375"/>
        <v>6.1</v>
      </c>
      <c r="AN465" s="262">
        <f t="shared" si="376"/>
        <v>0.30501099922708125</v>
      </c>
      <c r="AO465" s="100"/>
      <c r="AP465" s="24" t="e">
        <f>VLOOKUP(C465,#REF!,6,FALSE)</f>
        <v>#REF!</v>
      </c>
      <c r="AQ465" s="24" t="e">
        <f>VLOOKUP(C465,#REF!,7,FALSE)</f>
        <v>#REF!</v>
      </c>
      <c r="AR465" s="24" t="e">
        <f>VLOOKUP(C465,#REF!,12,FALSE)</f>
        <v>#REF!</v>
      </c>
      <c r="AS465" s="24" t="e">
        <f>VLOOKUP(C465,#REF!,13,FALSE)</f>
        <v>#REF!</v>
      </c>
      <c r="AT465" s="100"/>
      <c r="AU465" s="100"/>
      <c r="AV465" s="100">
        <v>449</v>
      </c>
      <c r="AW465" s="100"/>
      <c r="AY465" s="9">
        <v>34500</v>
      </c>
    </row>
    <row r="466" spans="1:51" s="2" customFormat="1" ht="12.75" customHeight="1" x14ac:dyDescent="0.2">
      <c r="A466" s="6" t="s">
        <v>1966</v>
      </c>
      <c r="B466" s="279">
        <v>9789500215817</v>
      </c>
      <c r="C466" s="6">
        <v>725174</v>
      </c>
      <c r="D466" s="41">
        <v>224</v>
      </c>
      <c r="E466" s="6" t="s">
        <v>654</v>
      </c>
      <c r="F466" s="6" t="s">
        <v>1967</v>
      </c>
      <c r="G466" s="107">
        <v>45658</v>
      </c>
      <c r="H466" s="108">
        <v>46082</v>
      </c>
      <c r="I466" s="264">
        <v>500</v>
      </c>
      <c r="J466" s="28" t="s">
        <v>2136</v>
      </c>
      <c r="K466" s="117">
        <v>3139.5</v>
      </c>
      <c r="L466" s="9">
        <v>24500</v>
      </c>
      <c r="M466" s="9">
        <f>+L466*0.08</f>
        <v>1960</v>
      </c>
      <c r="N466" s="9">
        <f t="shared" si="358"/>
        <v>12250</v>
      </c>
      <c r="O466" s="9">
        <f t="shared" si="359"/>
        <v>7150.5</v>
      </c>
      <c r="P466" s="9">
        <f t="shared" si="360"/>
        <v>5099.5</v>
      </c>
      <c r="Q466" s="139">
        <f t="shared" si="361"/>
        <v>0.58371428571428574</v>
      </c>
      <c r="R466" s="336">
        <v>24500</v>
      </c>
      <c r="S466" s="359" t="s">
        <v>1948</v>
      </c>
      <c r="T466" s="305">
        <v>0.58371428571428574</v>
      </c>
      <c r="U466" s="12"/>
      <c r="V466" s="100"/>
      <c r="W466" s="110">
        <f t="shared" si="362"/>
        <v>24500</v>
      </c>
      <c r="X466" s="110">
        <f t="shared" si="363"/>
        <v>3139.5</v>
      </c>
      <c r="Y466" s="110">
        <f t="shared" si="364"/>
        <v>1960</v>
      </c>
      <c r="Z466" s="110">
        <f t="shared" si="365"/>
        <v>7150.5</v>
      </c>
      <c r="AA466" s="260">
        <f t="shared" si="366"/>
        <v>0.58371428571428574</v>
      </c>
      <c r="AB466" s="28">
        <f t="shared" si="367"/>
        <v>8.1</v>
      </c>
      <c r="AC466" s="261">
        <f t="shared" si="368"/>
        <v>0.58485466453375012</v>
      </c>
      <c r="AD466" s="111">
        <f t="shared" si="369"/>
        <v>3.5</v>
      </c>
      <c r="AE466" s="262">
        <f t="shared" si="370"/>
        <v>3.9235080778107487E-2</v>
      </c>
      <c r="AF466" s="100"/>
      <c r="AG466" s="111">
        <f t="shared" si="371"/>
        <v>5.6</v>
      </c>
      <c r="AH466" s="262">
        <f t="shared" si="372"/>
        <v>0.39952192548631715</v>
      </c>
      <c r="AI466" s="100"/>
      <c r="AJ466" s="111">
        <f t="shared" si="373"/>
        <v>5.2</v>
      </c>
      <c r="AK466" s="262">
        <f t="shared" si="374"/>
        <v>0.35333130436988003</v>
      </c>
      <c r="AL466" s="100"/>
      <c r="AM466" s="111">
        <f t="shared" si="375"/>
        <v>4.8</v>
      </c>
      <c r="AN466" s="262">
        <f t="shared" si="376"/>
        <v>0.29944224640070338</v>
      </c>
      <c r="AO466" s="100"/>
      <c r="AP466" s="24" t="e">
        <f>VLOOKUP(C466,#REF!,6,FALSE)</f>
        <v>#REF!</v>
      </c>
      <c r="AQ466" s="24" t="e">
        <f>VLOOKUP(C466,#REF!,7,FALSE)</f>
        <v>#REF!</v>
      </c>
      <c r="AR466" s="24" t="e">
        <f>VLOOKUP(C466,#REF!,12,FALSE)</f>
        <v>#REF!</v>
      </c>
      <c r="AS466" s="24" t="e">
        <f>VLOOKUP(C466,#REF!,13,FALSE)</f>
        <v>#REF!</v>
      </c>
      <c r="AT466" s="100"/>
      <c r="AU466" s="100"/>
      <c r="AV466" s="100">
        <v>450</v>
      </c>
      <c r="AW466" s="100"/>
      <c r="AY466" s="9">
        <v>24500</v>
      </c>
    </row>
    <row r="467" spans="1:51" s="2" customFormat="1" ht="12.75" customHeight="1" x14ac:dyDescent="0.2">
      <c r="A467" s="6" t="s">
        <v>1335</v>
      </c>
      <c r="B467" s="8">
        <v>9789500213172</v>
      </c>
      <c r="C467" s="8">
        <v>699696</v>
      </c>
      <c r="D467" s="41">
        <v>224</v>
      </c>
      <c r="E467" s="7" t="s">
        <v>654</v>
      </c>
      <c r="F467" s="7" t="s">
        <v>732</v>
      </c>
      <c r="G467" s="107">
        <v>44866</v>
      </c>
      <c r="H467" s="108">
        <v>44835</v>
      </c>
      <c r="I467" s="7">
        <v>4040</v>
      </c>
      <c r="J467" s="28" t="s">
        <v>1762</v>
      </c>
      <c r="K467" s="9">
        <v>1219.77</v>
      </c>
      <c r="L467" s="9">
        <v>35900</v>
      </c>
      <c r="M467" s="9">
        <f>+L467*0.08</f>
        <v>2872</v>
      </c>
      <c r="N467" s="9">
        <f t="shared" si="358"/>
        <v>17950</v>
      </c>
      <c r="O467" s="9">
        <f t="shared" si="359"/>
        <v>13858.23</v>
      </c>
      <c r="P467" s="9">
        <f t="shared" si="360"/>
        <v>4091.77</v>
      </c>
      <c r="Q467" s="139">
        <f t="shared" si="361"/>
        <v>0.7720462395543175</v>
      </c>
      <c r="R467" s="336">
        <v>35900</v>
      </c>
      <c r="S467" s="359" t="s">
        <v>1948</v>
      </c>
      <c r="T467" s="305">
        <v>0.7720462395543175</v>
      </c>
      <c r="U467" s="12"/>
      <c r="V467" s="100"/>
      <c r="W467" s="110">
        <f t="shared" si="362"/>
        <v>35900</v>
      </c>
      <c r="X467" s="110">
        <f t="shared" si="363"/>
        <v>1219.77</v>
      </c>
      <c r="Y467" s="110">
        <f t="shared" si="364"/>
        <v>2872</v>
      </c>
      <c r="Z467" s="110">
        <f t="shared" si="365"/>
        <v>13858.23</v>
      </c>
      <c r="AA467" s="260">
        <f t="shared" si="366"/>
        <v>0.7720462395543175</v>
      </c>
      <c r="AB467" s="28">
        <f t="shared" si="367"/>
        <v>11.8</v>
      </c>
      <c r="AC467" s="261">
        <f t="shared" si="368"/>
        <v>0.7713417939389875</v>
      </c>
      <c r="AD467" s="111">
        <f t="shared" si="369"/>
        <v>2.8</v>
      </c>
      <c r="AE467" s="262">
        <f t="shared" si="370"/>
        <v>3.6368988742875946E-2</v>
      </c>
      <c r="AF467" s="100"/>
      <c r="AG467" s="111">
        <f t="shared" si="371"/>
        <v>4.5</v>
      </c>
      <c r="AH467" s="262">
        <f t="shared" si="372"/>
        <v>0.40040737077334498</v>
      </c>
      <c r="AI467" s="100"/>
      <c r="AJ467" s="111">
        <f t="shared" si="373"/>
        <v>4.2</v>
      </c>
      <c r="AK467" s="262">
        <f t="shared" si="374"/>
        <v>0.35757932582858409</v>
      </c>
      <c r="AL467" s="100"/>
      <c r="AM467" s="111">
        <f t="shared" si="375"/>
        <v>3.9</v>
      </c>
      <c r="AN467" s="262">
        <f t="shared" si="376"/>
        <v>0.30816235089232125</v>
      </c>
      <c r="AO467" s="100"/>
      <c r="AP467" s="24" t="e">
        <f>VLOOKUP(C467,#REF!,6,FALSE)</f>
        <v>#REF!</v>
      </c>
      <c r="AQ467" s="24" t="e">
        <f>VLOOKUP(C467,#REF!,7,FALSE)</f>
        <v>#REF!</v>
      </c>
      <c r="AR467" s="24" t="e">
        <f>VLOOKUP(C467,#REF!,12,FALSE)</f>
        <v>#REF!</v>
      </c>
      <c r="AS467" s="24" t="e">
        <f>VLOOKUP(C467,#REF!,13,FALSE)</f>
        <v>#REF!</v>
      </c>
      <c r="AT467" s="100"/>
      <c r="AU467" s="100"/>
      <c r="AV467" s="100">
        <v>451</v>
      </c>
      <c r="AW467" s="100"/>
      <c r="AY467" s="9">
        <v>35900</v>
      </c>
    </row>
    <row r="468" spans="1:51" s="2" customFormat="1" ht="12.75" customHeight="1" x14ac:dyDescent="0.2">
      <c r="A468" s="7" t="s">
        <v>1336</v>
      </c>
      <c r="B468" s="8">
        <v>9789500210669</v>
      </c>
      <c r="C468" s="8">
        <v>681371</v>
      </c>
      <c r="D468" s="25">
        <v>336</v>
      </c>
      <c r="E468" s="7" t="s">
        <v>528</v>
      </c>
      <c r="F468" s="7" t="s">
        <v>529</v>
      </c>
      <c r="G468" s="107">
        <v>44228</v>
      </c>
      <c r="H468" s="108">
        <v>45352</v>
      </c>
      <c r="I468" s="7">
        <v>2040</v>
      </c>
      <c r="J468" s="28" t="s">
        <v>1762</v>
      </c>
      <c r="K468" s="148">
        <v>3618.9</v>
      </c>
      <c r="L468" s="9">
        <v>38900</v>
      </c>
      <c r="M468" s="9">
        <f>+L468*0.08</f>
        <v>3112</v>
      </c>
      <c r="N468" s="9">
        <f t="shared" si="358"/>
        <v>19450</v>
      </c>
      <c r="O468" s="9">
        <f t="shared" si="359"/>
        <v>12719.1</v>
      </c>
      <c r="P468" s="9">
        <f t="shared" si="360"/>
        <v>6730.9</v>
      </c>
      <c r="Q468" s="139">
        <f t="shared" si="361"/>
        <v>0.65393830334190228</v>
      </c>
      <c r="R468" s="336">
        <v>38900</v>
      </c>
      <c r="S468" s="359" t="s">
        <v>1948</v>
      </c>
      <c r="T468" s="305">
        <v>0.65393830334190228</v>
      </c>
      <c r="U468" s="144"/>
      <c r="V468" s="100"/>
      <c r="W468" s="110">
        <f t="shared" si="362"/>
        <v>38900</v>
      </c>
      <c r="X468" s="110">
        <f t="shared" si="363"/>
        <v>3618.9</v>
      </c>
      <c r="Y468" s="110">
        <f t="shared" si="364"/>
        <v>3112</v>
      </c>
      <c r="Z468" s="110">
        <f t="shared" si="365"/>
        <v>12719.1</v>
      </c>
      <c r="AA468" s="260">
        <f t="shared" si="366"/>
        <v>0.65393830334190228</v>
      </c>
      <c r="AB468" s="28">
        <f t="shared" si="367"/>
        <v>12.8</v>
      </c>
      <c r="AC468" s="261">
        <f t="shared" si="368"/>
        <v>0.65324657929442798</v>
      </c>
      <c r="AD468" s="111">
        <f t="shared" si="369"/>
        <v>4.7</v>
      </c>
      <c r="AE468" s="262">
        <f t="shared" si="370"/>
        <v>5.565025850397403E-2</v>
      </c>
      <c r="AF468" s="100"/>
      <c r="AG468" s="111">
        <f t="shared" si="371"/>
        <v>7.4</v>
      </c>
      <c r="AH468" s="262">
        <f t="shared" si="372"/>
        <v>0.40021029932009167</v>
      </c>
      <c r="AI468" s="100"/>
      <c r="AJ468" s="111">
        <f t="shared" si="373"/>
        <v>6.8</v>
      </c>
      <c r="AK468" s="262">
        <f t="shared" si="374"/>
        <v>0.34728767867186439</v>
      </c>
      <c r="AL468" s="100"/>
      <c r="AM468" s="111">
        <f t="shared" si="375"/>
        <v>6.3</v>
      </c>
      <c r="AN468" s="262">
        <f t="shared" si="376"/>
        <v>0.29548511348709167</v>
      </c>
      <c r="AO468" s="100"/>
      <c r="AP468" s="24" t="e">
        <f>VLOOKUP(C468,#REF!,6,FALSE)</f>
        <v>#REF!</v>
      </c>
      <c r="AQ468" s="24" t="e">
        <f>VLOOKUP(C468,#REF!,7,FALSE)</f>
        <v>#REF!</v>
      </c>
      <c r="AR468" s="24" t="e">
        <f>VLOOKUP(C468,#REF!,12,FALSE)</f>
        <v>#REF!</v>
      </c>
      <c r="AS468" s="24" t="e">
        <f>VLOOKUP(C468,#REF!,13,FALSE)</f>
        <v>#REF!</v>
      </c>
      <c r="AT468" s="100"/>
      <c r="AU468" s="100"/>
      <c r="AV468" s="100">
        <v>452</v>
      </c>
      <c r="AW468" s="100"/>
      <c r="AY468" s="9">
        <v>38900</v>
      </c>
    </row>
    <row r="469" spans="1:51" s="2" customFormat="1" ht="12.75" customHeight="1" x14ac:dyDescent="0.2">
      <c r="A469" s="7" t="s">
        <v>1337</v>
      </c>
      <c r="B469" s="8">
        <v>9789500212014</v>
      </c>
      <c r="C469" s="8">
        <v>686372</v>
      </c>
      <c r="D469" s="25">
        <v>192</v>
      </c>
      <c r="E469" s="9" t="s">
        <v>470</v>
      </c>
      <c r="F469" s="7" t="s">
        <v>574</v>
      </c>
      <c r="G469" s="107">
        <v>44440</v>
      </c>
      <c r="H469" s="108">
        <v>44409</v>
      </c>
      <c r="I469" s="7">
        <v>2990</v>
      </c>
      <c r="J469" s="28" t="s">
        <v>1333</v>
      </c>
      <c r="K469" s="9">
        <v>229.61</v>
      </c>
      <c r="L469" s="9">
        <v>32300</v>
      </c>
      <c r="M469" s="9">
        <f>+L469*0.1</f>
        <v>3230</v>
      </c>
      <c r="N469" s="9">
        <f t="shared" si="358"/>
        <v>16150</v>
      </c>
      <c r="O469" s="9">
        <f t="shared" si="359"/>
        <v>12690.39</v>
      </c>
      <c r="P469" s="9">
        <f t="shared" si="360"/>
        <v>3459.61</v>
      </c>
      <c r="Q469" s="139">
        <f t="shared" si="361"/>
        <v>0.78578266253869966</v>
      </c>
      <c r="R469" s="336">
        <v>32300</v>
      </c>
      <c r="S469" s="359" t="s">
        <v>1948</v>
      </c>
      <c r="T469" s="305">
        <v>0.78578266253869966</v>
      </c>
      <c r="U469" s="144"/>
      <c r="V469" s="100"/>
      <c r="W469" s="110">
        <f t="shared" si="362"/>
        <v>32300</v>
      </c>
      <c r="X469" s="110">
        <f t="shared" si="363"/>
        <v>229.61</v>
      </c>
      <c r="Y469" s="110">
        <f t="shared" si="364"/>
        <v>3230</v>
      </c>
      <c r="Z469" s="110">
        <f t="shared" si="365"/>
        <v>12690.39</v>
      </c>
      <c r="AA469" s="260">
        <f t="shared" si="366"/>
        <v>0.78578266253869966</v>
      </c>
      <c r="AB469" s="28">
        <f t="shared" si="367"/>
        <v>10.6</v>
      </c>
      <c r="AC469" s="261">
        <f t="shared" si="368"/>
        <v>0.78478186489496038</v>
      </c>
      <c r="AD469" s="111">
        <f t="shared" si="369"/>
        <v>2.4</v>
      </c>
      <c r="AE469" s="262">
        <f t="shared" si="370"/>
        <v>4.9453236619408668E-2</v>
      </c>
      <c r="AF469" s="100"/>
      <c r="AG469" s="111">
        <f t="shared" si="371"/>
        <v>3.8</v>
      </c>
      <c r="AH469" s="262">
        <f t="shared" si="372"/>
        <v>0.3996546757596266</v>
      </c>
      <c r="AI469" s="100"/>
      <c r="AJ469" s="111">
        <f t="shared" si="373"/>
        <v>3.5</v>
      </c>
      <c r="AK469" s="262">
        <f t="shared" si="374"/>
        <v>0.34819650511045175</v>
      </c>
      <c r="AL469" s="100"/>
      <c r="AM469" s="111">
        <f t="shared" si="375"/>
        <v>3.3</v>
      </c>
      <c r="AN469" s="262">
        <f t="shared" si="376"/>
        <v>0.30869326299593364</v>
      </c>
      <c r="AO469" s="100"/>
      <c r="AP469" s="24" t="e">
        <f>VLOOKUP(C469,#REF!,6,FALSE)</f>
        <v>#REF!</v>
      </c>
      <c r="AQ469" s="24" t="e">
        <f>VLOOKUP(C469,#REF!,7,FALSE)</f>
        <v>#REF!</v>
      </c>
      <c r="AR469" s="24" t="e">
        <f>VLOOKUP(C469,#REF!,12,FALSE)</f>
        <v>#REF!</v>
      </c>
      <c r="AS469" s="24" t="e">
        <f>VLOOKUP(C469,#REF!,13,FALSE)</f>
        <v>#REF!</v>
      </c>
      <c r="AT469" s="100"/>
      <c r="AU469" s="100"/>
      <c r="AV469" s="100">
        <v>453</v>
      </c>
      <c r="AW469" s="100"/>
      <c r="AY469" s="9">
        <v>32300</v>
      </c>
    </row>
    <row r="470" spans="1:51" s="2" customFormat="1" ht="12.75" customHeight="1" x14ac:dyDescent="0.2">
      <c r="A470" s="7" t="s">
        <v>1338</v>
      </c>
      <c r="B470" s="8">
        <v>9789500212441</v>
      </c>
      <c r="C470" s="8">
        <v>690835</v>
      </c>
      <c r="D470" s="25">
        <v>384</v>
      </c>
      <c r="E470" s="7" t="s">
        <v>646</v>
      </c>
      <c r="F470" s="7" t="s">
        <v>647</v>
      </c>
      <c r="G470" s="107">
        <v>44593</v>
      </c>
      <c r="H470" s="107">
        <v>45444</v>
      </c>
      <c r="I470" s="7">
        <v>2066</v>
      </c>
      <c r="J470" s="28" t="s">
        <v>2136</v>
      </c>
      <c r="K470" s="9">
        <v>2744.59</v>
      </c>
      <c r="L470" s="9">
        <v>29900</v>
      </c>
      <c r="M470" s="112">
        <f>+L470*0.08</f>
        <v>2392</v>
      </c>
      <c r="N470" s="9">
        <f t="shared" si="358"/>
        <v>14950</v>
      </c>
      <c r="O470" s="9">
        <f t="shared" si="359"/>
        <v>9813.41</v>
      </c>
      <c r="P470" s="9">
        <f t="shared" si="360"/>
        <v>5136.59</v>
      </c>
      <c r="Q470" s="139">
        <f t="shared" si="361"/>
        <v>0.65641538461538462</v>
      </c>
      <c r="R470" s="336">
        <v>29900</v>
      </c>
      <c r="S470" s="359" t="s">
        <v>1948</v>
      </c>
      <c r="T470" s="305">
        <v>0.65641538461538462</v>
      </c>
      <c r="U470" s="144"/>
      <c r="V470" s="100"/>
      <c r="W470" s="110">
        <f t="shared" si="362"/>
        <v>29900</v>
      </c>
      <c r="X470" s="110">
        <f t="shared" si="363"/>
        <v>2744.59</v>
      </c>
      <c r="Y470" s="110">
        <f t="shared" si="364"/>
        <v>2392</v>
      </c>
      <c r="Z470" s="110">
        <f t="shared" si="365"/>
        <v>9813.41</v>
      </c>
      <c r="AA470" s="260">
        <f t="shared" si="366"/>
        <v>0.65641538461538462</v>
      </c>
      <c r="AB470" s="28">
        <f t="shared" si="367"/>
        <v>9.9</v>
      </c>
      <c r="AC470" s="261">
        <f t="shared" si="368"/>
        <v>0.65786516666833184</v>
      </c>
      <c r="AD470" s="111">
        <f t="shared" si="369"/>
        <v>3.6</v>
      </c>
      <c r="AE470" s="262">
        <f t="shared" si="370"/>
        <v>5.9129208337912659E-2</v>
      </c>
      <c r="AF470" s="100"/>
      <c r="AG470" s="111">
        <f t="shared" si="371"/>
        <v>5.6</v>
      </c>
      <c r="AH470" s="262">
        <f t="shared" si="372"/>
        <v>0.39515449107437234</v>
      </c>
      <c r="AI470" s="100"/>
      <c r="AJ470" s="111">
        <f t="shared" si="373"/>
        <v>5.2</v>
      </c>
      <c r="AK470" s="262">
        <f t="shared" si="374"/>
        <v>0.34862791346470873</v>
      </c>
      <c r="AL470" s="100"/>
      <c r="AM470" s="111">
        <f t="shared" si="375"/>
        <v>4.8</v>
      </c>
      <c r="AN470" s="262">
        <f t="shared" si="376"/>
        <v>0.2943469062534344</v>
      </c>
      <c r="AO470" s="100"/>
      <c r="AP470" s="24" t="e">
        <f>VLOOKUP(C470,#REF!,6,FALSE)</f>
        <v>#REF!</v>
      </c>
      <c r="AQ470" s="24" t="e">
        <f>VLOOKUP(C470,#REF!,7,FALSE)</f>
        <v>#REF!</v>
      </c>
      <c r="AR470" s="24" t="e">
        <f>VLOOKUP(C470,#REF!,12,FALSE)</f>
        <v>#REF!</v>
      </c>
      <c r="AS470" s="24" t="e">
        <f>VLOOKUP(C470,#REF!,13,FALSE)</f>
        <v>#REF!</v>
      </c>
      <c r="AT470" s="100"/>
      <c r="AU470" s="100"/>
      <c r="AV470" s="100">
        <v>454</v>
      </c>
      <c r="AW470" s="100"/>
      <c r="AY470" s="9">
        <v>29900</v>
      </c>
    </row>
    <row r="471" spans="1:51" s="2" customFormat="1" ht="12.75" customHeight="1" x14ac:dyDescent="0.2">
      <c r="A471" s="7" t="s">
        <v>1339</v>
      </c>
      <c r="B471" s="8">
        <v>9789500212724</v>
      </c>
      <c r="C471" s="8">
        <v>694753</v>
      </c>
      <c r="D471" s="25">
        <v>208</v>
      </c>
      <c r="E471" s="7" t="s">
        <v>692</v>
      </c>
      <c r="F471" s="7" t="s">
        <v>693</v>
      </c>
      <c r="G471" s="107">
        <v>44713</v>
      </c>
      <c r="H471" s="108">
        <v>44986</v>
      </c>
      <c r="I471" s="7">
        <v>3100</v>
      </c>
      <c r="J471" s="28" t="s">
        <v>2136</v>
      </c>
      <c r="K471" s="9">
        <v>823.84</v>
      </c>
      <c r="L471" s="9">
        <v>32500</v>
      </c>
      <c r="M471" s="9">
        <f>+L471*0.08</f>
        <v>2600</v>
      </c>
      <c r="N471" s="9">
        <f t="shared" si="358"/>
        <v>16250</v>
      </c>
      <c r="O471" s="9">
        <f t="shared" si="359"/>
        <v>12826.16</v>
      </c>
      <c r="P471" s="9">
        <f t="shared" si="360"/>
        <v>3423.84</v>
      </c>
      <c r="Q471" s="139">
        <f t="shared" si="361"/>
        <v>0.78930215384615388</v>
      </c>
      <c r="R471" s="336">
        <v>32500</v>
      </c>
      <c r="S471" s="359" t="s">
        <v>1948</v>
      </c>
      <c r="T471" s="305">
        <v>0.78930215384615388</v>
      </c>
      <c r="U471" s="12"/>
      <c r="V471" s="100"/>
      <c r="W471" s="110">
        <f t="shared" si="362"/>
        <v>32500</v>
      </c>
      <c r="X471" s="110">
        <f t="shared" si="363"/>
        <v>823.84</v>
      </c>
      <c r="Y471" s="110">
        <f t="shared" si="364"/>
        <v>2600</v>
      </c>
      <c r="Z471" s="110">
        <f t="shared" si="365"/>
        <v>12826.16</v>
      </c>
      <c r="AA471" s="260">
        <f t="shared" si="366"/>
        <v>0.78930215384615388</v>
      </c>
      <c r="AB471" s="28">
        <f t="shared" si="367"/>
        <v>10.7</v>
      </c>
      <c r="AC471" s="261">
        <f t="shared" si="368"/>
        <v>0.78899766124037451</v>
      </c>
      <c r="AD471" s="111">
        <f t="shared" si="369"/>
        <v>2.4</v>
      </c>
      <c r="AE471" s="262">
        <f t="shared" si="370"/>
        <v>5.9281239696669902E-2</v>
      </c>
      <c r="AF471" s="100"/>
      <c r="AG471" s="111">
        <f t="shared" si="371"/>
        <v>3.8</v>
      </c>
      <c r="AH471" s="262">
        <f t="shared" si="372"/>
        <v>0.40586183559789679</v>
      </c>
      <c r="AI471" s="100"/>
      <c r="AJ471" s="111">
        <f t="shared" si="373"/>
        <v>3.5</v>
      </c>
      <c r="AK471" s="262">
        <f t="shared" si="374"/>
        <v>0.35493570722057366</v>
      </c>
      <c r="AL471" s="100"/>
      <c r="AM471" s="111">
        <f t="shared" si="375"/>
        <v>3.2</v>
      </c>
      <c r="AN471" s="262">
        <f t="shared" si="376"/>
        <v>0.29446092977250249</v>
      </c>
      <c r="AO471" s="100"/>
      <c r="AP471" s="24" t="e">
        <f>VLOOKUP(C471,#REF!,6,FALSE)</f>
        <v>#REF!</v>
      </c>
      <c r="AQ471" s="24" t="e">
        <f>VLOOKUP(C471,#REF!,7,FALSE)</f>
        <v>#REF!</v>
      </c>
      <c r="AR471" s="24" t="e">
        <f>VLOOKUP(C471,#REF!,12,FALSE)</f>
        <v>#REF!</v>
      </c>
      <c r="AS471" s="24" t="e">
        <f>VLOOKUP(C471,#REF!,13,FALSE)</f>
        <v>#REF!</v>
      </c>
      <c r="AT471" s="100"/>
      <c r="AU471" s="100"/>
      <c r="AV471" s="100">
        <v>455</v>
      </c>
      <c r="AW471" s="100"/>
      <c r="AY471" s="9">
        <v>32500</v>
      </c>
    </row>
    <row r="472" spans="1:51" s="2" customFormat="1" ht="12.75" customHeight="1" x14ac:dyDescent="0.2">
      <c r="A472" s="6" t="s">
        <v>1340</v>
      </c>
      <c r="B472" s="8">
        <v>9789500213981</v>
      </c>
      <c r="C472" s="8">
        <v>707945</v>
      </c>
      <c r="D472" s="41">
        <v>224</v>
      </c>
      <c r="E472" s="7" t="s">
        <v>799</v>
      </c>
      <c r="F472" s="6" t="s">
        <v>800</v>
      </c>
      <c r="G472" s="107">
        <v>45139</v>
      </c>
      <c r="H472" s="108">
        <v>45108</v>
      </c>
      <c r="I472" s="7">
        <v>5048</v>
      </c>
      <c r="J472" s="28" t="s">
        <v>2136</v>
      </c>
      <c r="K472" s="117">
        <v>612.24</v>
      </c>
      <c r="L472" s="112">
        <v>30900</v>
      </c>
      <c r="M472" s="112">
        <f>+L472*0.08</f>
        <v>2472</v>
      </c>
      <c r="N472" s="9">
        <f t="shared" si="358"/>
        <v>15450</v>
      </c>
      <c r="O472" s="9">
        <f t="shared" si="359"/>
        <v>12365.76</v>
      </c>
      <c r="P472" s="9">
        <f t="shared" si="360"/>
        <v>3084.24</v>
      </c>
      <c r="Q472" s="139">
        <f t="shared" si="361"/>
        <v>0.80037281553398054</v>
      </c>
      <c r="R472" s="336">
        <v>30900</v>
      </c>
      <c r="S472" s="359" t="s">
        <v>1948</v>
      </c>
      <c r="T472" s="305">
        <v>0.80037281553398054</v>
      </c>
      <c r="U472" s="12"/>
      <c r="V472" s="100"/>
      <c r="W472" s="110">
        <f t="shared" si="362"/>
        <v>30900</v>
      </c>
      <c r="X472" s="110">
        <f t="shared" si="363"/>
        <v>612.24</v>
      </c>
      <c r="Y472" s="110">
        <f t="shared" si="364"/>
        <v>2472</v>
      </c>
      <c r="Z472" s="110">
        <f t="shared" si="365"/>
        <v>12365.76</v>
      </c>
      <c r="AA472" s="260">
        <f t="shared" si="366"/>
        <v>0.80037281553398054</v>
      </c>
      <c r="AB472" s="28">
        <f t="shared" si="367"/>
        <v>10.199999999999999</v>
      </c>
      <c r="AC472" s="261">
        <f t="shared" si="368"/>
        <v>0.80060898741296715</v>
      </c>
      <c r="AD472" s="111">
        <f t="shared" si="369"/>
        <v>2.1</v>
      </c>
      <c r="AE472" s="262">
        <f t="shared" si="370"/>
        <v>3.1529367434411898E-2</v>
      </c>
      <c r="AF472" s="100"/>
      <c r="AG472" s="111">
        <f t="shared" si="371"/>
        <v>3.4</v>
      </c>
      <c r="AH472" s="262">
        <f t="shared" si="372"/>
        <v>0.40182696223890146</v>
      </c>
      <c r="AI472" s="100"/>
      <c r="AJ472" s="111">
        <f t="shared" si="373"/>
        <v>3.1</v>
      </c>
      <c r="AK472" s="262">
        <f t="shared" si="374"/>
        <v>0.34393924890718242</v>
      </c>
      <c r="AL472" s="100"/>
      <c r="AM472" s="111">
        <f t="shared" si="375"/>
        <v>2.9</v>
      </c>
      <c r="AN472" s="262">
        <f t="shared" si="376"/>
        <v>0.29869367986629825</v>
      </c>
      <c r="AO472" s="100"/>
      <c r="AP472" s="24" t="e">
        <f>VLOOKUP(C472,#REF!,6,FALSE)</f>
        <v>#REF!</v>
      </c>
      <c r="AQ472" s="24" t="e">
        <f>VLOOKUP(C472,#REF!,7,FALSE)</f>
        <v>#REF!</v>
      </c>
      <c r="AR472" s="24" t="e">
        <f>VLOOKUP(C472,#REF!,12,FALSE)</f>
        <v>#REF!</v>
      </c>
      <c r="AS472" s="24" t="e">
        <f>VLOOKUP(C472,#REF!,13,FALSE)</f>
        <v>#REF!</v>
      </c>
      <c r="AT472" s="100"/>
      <c r="AU472" s="100"/>
      <c r="AV472" s="100">
        <v>456</v>
      </c>
      <c r="AW472" s="100"/>
      <c r="AY472" s="112">
        <v>30900</v>
      </c>
    </row>
    <row r="473" spans="1:51" s="2" customFormat="1" ht="12.75" customHeight="1" x14ac:dyDescent="0.2">
      <c r="A473" s="7" t="s">
        <v>1341</v>
      </c>
      <c r="B473" s="8">
        <v>9789500210867</v>
      </c>
      <c r="C473" s="8">
        <v>677293</v>
      </c>
      <c r="D473" s="25">
        <v>344</v>
      </c>
      <c r="E473" s="7" t="s">
        <v>497</v>
      </c>
      <c r="F473" s="116" t="s">
        <v>498</v>
      </c>
      <c r="G473" s="107">
        <v>44075</v>
      </c>
      <c r="H473" s="108">
        <v>44317</v>
      </c>
      <c r="I473" s="24">
        <v>3030</v>
      </c>
      <c r="J473" s="28" t="s">
        <v>1762</v>
      </c>
      <c r="K473" s="28">
        <v>195.02</v>
      </c>
      <c r="L473" s="112">
        <v>24900</v>
      </c>
      <c r="M473" s="112">
        <f>+L473*0.08</f>
        <v>1992</v>
      </c>
      <c r="N473" s="9">
        <f t="shared" si="358"/>
        <v>12450</v>
      </c>
      <c r="O473" s="9">
        <f t="shared" si="359"/>
        <v>10262.98</v>
      </c>
      <c r="P473" s="9">
        <f t="shared" si="360"/>
        <v>2187.02</v>
      </c>
      <c r="Q473" s="139">
        <f t="shared" si="361"/>
        <v>0.8243357429718875</v>
      </c>
      <c r="R473" s="336">
        <v>24900</v>
      </c>
      <c r="S473" s="359" t="s">
        <v>1948</v>
      </c>
      <c r="T473" s="305">
        <v>0.8243357429718875</v>
      </c>
      <c r="U473" s="140"/>
      <c r="V473" s="100"/>
      <c r="W473" s="110">
        <f t="shared" si="362"/>
        <v>24900</v>
      </c>
      <c r="X473" s="110">
        <f t="shared" si="363"/>
        <v>195.02</v>
      </c>
      <c r="Y473" s="110">
        <f t="shared" si="364"/>
        <v>1992</v>
      </c>
      <c r="Z473" s="110">
        <f t="shared" si="365"/>
        <v>10262.98</v>
      </c>
      <c r="AA473" s="260">
        <f t="shared" si="366"/>
        <v>0.8243357429718875</v>
      </c>
      <c r="AB473" s="28">
        <f t="shared" si="367"/>
        <v>8.1999999999999993</v>
      </c>
      <c r="AC473" s="261">
        <f t="shared" si="368"/>
        <v>0.82412808697819906</v>
      </c>
      <c r="AD473" s="111">
        <f t="shared" si="369"/>
        <v>1.5</v>
      </c>
      <c r="AE473" s="262">
        <f t="shared" si="370"/>
        <v>3.8566875480822077E-2</v>
      </c>
      <c r="AF473" s="100"/>
      <c r="AG473" s="111">
        <f t="shared" si="371"/>
        <v>2.4</v>
      </c>
      <c r="AH473" s="262">
        <f t="shared" si="372"/>
        <v>0.39910429717551377</v>
      </c>
      <c r="AI473" s="100"/>
      <c r="AJ473" s="111">
        <f t="shared" si="373"/>
        <v>2.2000000000000002</v>
      </c>
      <c r="AK473" s="262">
        <f t="shared" si="374"/>
        <v>0.34447741510056057</v>
      </c>
      <c r="AL473" s="100"/>
      <c r="AM473" s="111">
        <f t="shared" si="375"/>
        <v>2.1</v>
      </c>
      <c r="AN473" s="262">
        <f t="shared" si="376"/>
        <v>0.31326205391487294</v>
      </c>
      <c r="AO473" s="100"/>
      <c r="AP473" s="24" t="e">
        <f>VLOOKUP(C473,#REF!,6,FALSE)</f>
        <v>#REF!</v>
      </c>
      <c r="AQ473" s="24" t="e">
        <f>VLOOKUP(C473,#REF!,7,FALSE)</f>
        <v>#REF!</v>
      </c>
      <c r="AR473" s="24" t="e">
        <f>VLOOKUP(C473,#REF!,12,FALSE)</f>
        <v>#REF!</v>
      </c>
      <c r="AS473" s="24" t="e">
        <f>VLOOKUP(C473,#REF!,13,FALSE)</f>
        <v>#REF!</v>
      </c>
      <c r="AT473" s="100"/>
      <c r="AU473" s="100"/>
      <c r="AV473" s="100">
        <v>457</v>
      </c>
      <c r="AW473" s="100"/>
      <c r="AY473" s="112">
        <v>24900</v>
      </c>
    </row>
    <row r="474" spans="1:51" s="2" customFormat="1" ht="12.75" customHeight="1" x14ac:dyDescent="0.2">
      <c r="A474" s="7" t="s">
        <v>1342</v>
      </c>
      <c r="B474" s="8">
        <v>9789500211116</v>
      </c>
      <c r="C474" s="8">
        <v>678454</v>
      </c>
      <c r="D474" s="25">
        <v>368</v>
      </c>
      <c r="E474" s="7" t="s">
        <v>505</v>
      </c>
      <c r="F474" s="7" t="s">
        <v>506</v>
      </c>
      <c r="G474" s="107">
        <v>44136</v>
      </c>
      <c r="H474" s="108">
        <v>45231</v>
      </c>
      <c r="I474" s="7">
        <v>3026</v>
      </c>
      <c r="J474" s="28" t="s">
        <v>1333</v>
      </c>
      <c r="K474" s="117">
        <v>1506.26</v>
      </c>
      <c r="L474" s="112">
        <v>28900</v>
      </c>
      <c r="M474" s="112">
        <f>+L474*0.1</f>
        <v>2890</v>
      </c>
      <c r="N474" s="9">
        <f t="shared" si="358"/>
        <v>14450</v>
      </c>
      <c r="O474" s="9">
        <f t="shared" si="359"/>
        <v>10053.74</v>
      </c>
      <c r="P474" s="9">
        <f t="shared" si="360"/>
        <v>4396.26</v>
      </c>
      <c r="Q474" s="139">
        <f t="shared" si="361"/>
        <v>0.69576055363321798</v>
      </c>
      <c r="R474" s="336">
        <v>28900</v>
      </c>
      <c r="S474" s="359" t="s">
        <v>1948</v>
      </c>
      <c r="T474" s="305">
        <v>0.69576055363321798</v>
      </c>
      <c r="U474" s="115"/>
      <c r="V474" s="100"/>
      <c r="W474" s="110">
        <f t="shared" si="362"/>
        <v>28900</v>
      </c>
      <c r="X474" s="110">
        <f t="shared" si="363"/>
        <v>1506.26</v>
      </c>
      <c r="Y474" s="110">
        <f t="shared" si="364"/>
        <v>2890</v>
      </c>
      <c r="Z474" s="110">
        <f t="shared" si="365"/>
        <v>10053.74</v>
      </c>
      <c r="AA474" s="260">
        <f t="shared" si="366"/>
        <v>0.69576055363321798</v>
      </c>
      <c r="AB474" s="28">
        <f t="shared" si="367"/>
        <v>9.5</v>
      </c>
      <c r="AC474" s="261">
        <f t="shared" si="368"/>
        <v>0.69484720703836744</v>
      </c>
      <c r="AD474" s="111">
        <f t="shared" si="369"/>
        <v>3.1</v>
      </c>
      <c r="AE474" s="262">
        <f t="shared" si="370"/>
        <v>6.4854344149835735E-2</v>
      </c>
      <c r="AF474" s="100"/>
      <c r="AG474" s="111">
        <f t="shared" si="371"/>
        <v>4.8</v>
      </c>
      <c r="AH474" s="262">
        <f t="shared" si="372"/>
        <v>0.39605176393010216</v>
      </c>
      <c r="AI474" s="100"/>
      <c r="AJ474" s="111">
        <f t="shared" si="373"/>
        <v>4.5</v>
      </c>
      <c r="AK474" s="262">
        <f t="shared" si="374"/>
        <v>0.35578854819210898</v>
      </c>
      <c r="AL474" s="100"/>
      <c r="AM474" s="111">
        <f t="shared" si="375"/>
        <v>4.0999999999999996</v>
      </c>
      <c r="AN474" s="262">
        <f t="shared" si="376"/>
        <v>0.2929386504547537</v>
      </c>
      <c r="AO474" s="100"/>
      <c r="AP474" s="24" t="e">
        <f>VLOOKUP(C474,#REF!,6,FALSE)</f>
        <v>#REF!</v>
      </c>
      <c r="AQ474" s="24" t="e">
        <f>VLOOKUP(C474,#REF!,7,FALSE)</f>
        <v>#REF!</v>
      </c>
      <c r="AR474" s="24" t="e">
        <f>VLOOKUP(C474,#REF!,12,FALSE)</f>
        <v>#REF!</v>
      </c>
      <c r="AS474" s="24" t="e">
        <f>VLOOKUP(C474,#REF!,13,FALSE)</f>
        <v>#REF!</v>
      </c>
      <c r="AT474" s="100"/>
      <c r="AU474" s="100"/>
      <c r="AV474" s="100">
        <v>458</v>
      </c>
      <c r="AW474" s="100"/>
      <c r="AY474" s="112">
        <v>28900</v>
      </c>
    </row>
    <row r="475" spans="1:51" s="2" customFormat="1" ht="12.75" customHeight="1" x14ac:dyDescent="0.2">
      <c r="A475" s="7" t="s">
        <v>1343</v>
      </c>
      <c r="B475" s="8">
        <v>9789500211277</v>
      </c>
      <c r="C475" s="8">
        <v>679308</v>
      </c>
      <c r="D475" s="25">
        <v>320</v>
      </c>
      <c r="E475" s="7" t="s">
        <v>513</v>
      </c>
      <c r="F475" s="7" t="s">
        <v>514</v>
      </c>
      <c r="G475" s="107">
        <v>44166</v>
      </c>
      <c r="H475" s="108">
        <v>45078</v>
      </c>
      <c r="I475" s="24">
        <v>3071</v>
      </c>
      <c r="J475" s="28" t="s">
        <v>1762</v>
      </c>
      <c r="K475" s="117">
        <v>661.32</v>
      </c>
      <c r="L475" s="112">
        <v>34900</v>
      </c>
      <c r="M475" s="112">
        <f>+L475*0.1</f>
        <v>3490</v>
      </c>
      <c r="N475" s="9">
        <f t="shared" si="358"/>
        <v>17450</v>
      </c>
      <c r="O475" s="9">
        <f t="shared" si="359"/>
        <v>13298.68</v>
      </c>
      <c r="P475" s="9">
        <f t="shared" si="360"/>
        <v>4151.32</v>
      </c>
      <c r="Q475" s="139">
        <f t="shared" si="361"/>
        <v>0.762102005730659</v>
      </c>
      <c r="R475" s="336">
        <v>34900</v>
      </c>
      <c r="S475" s="359" t="s">
        <v>1948</v>
      </c>
      <c r="T475" s="305">
        <v>0.762102005730659</v>
      </c>
      <c r="U475" s="115"/>
      <c r="V475" s="100"/>
      <c r="W475" s="110">
        <f t="shared" si="362"/>
        <v>34900</v>
      </c>
      <c r="X475" s="110">
        <f t="shared" si="363"/>
        <v>661.32</v>
      </c>
      <c r="Y475" s="110">
        <f t="shared" si="364"/>
        <v>3490</v>
      </c>
      <c r="Z475" s="110">
        <f t="shared" si="365"/>
        <v>13298.68</v>
      </c>
      <c r="AA475" s="260">
        <f t="shared" si="366"/>
        <v>0.762102005730659</v>
      </c>
      <c r="AB475" s="28">
        <f t="shared" si="367"/>
        <v>11.5</v>
      </c>
      <c r="AC475" s="261">
        <f t="shared" si="368"/>
        <v>0.76196218409094174</v>
      </c>
      <c r="AD475" s="111">
        <f t="shared" si="369"/>
        <v>2.9</v>
      </c>
      <c r="AE475" s="262">
        <f t="shared" si="370"/>
        <v>5.6056936912354749E-2</v>
      </c>
      <c r="AF475" s="100"/>
      <c r="AG475" s="111">
        <f t="shared" si="371"/>
        <v>4.5999999999999996</v>
      </c>
      <c r="AH475" s="262">
        <f t="shared" si="372"/>
        <v>0.40490546022735419</v>
      </c>
      <c r="AI475" s="100"/>
      <c r="AJ475" s="111">
        <f t="shared" si="373"/>
        <v>4.2</v>
      </c>
      <c r="AK475" s="262">
        <f t="shared" si="374"/>
        <v>0.34822978977281654</v>
      </c>
      <c r="AL475" s="100"/>
      <c r="AM475" s="111">
        <f t="shared" si="375"/>
        <v>3.9</v>
      </c>
      <c r="AN475" s="262">
        <f t="shared" si="376"/>
        <v>0.29809361975534082</v>
      </c>
      <c r="AO475" s="100"/>
      <c r="AP475" s="24" t="e">
        <f>VLOOKUP(C475,#REF!,6,FALSE)</f>
        <v>#REF!</v>
      </c>
      <c r="AQ475" s="24" t="e">
        <f>VLOOKUP(C475,#REF!,7,FALSE)</f>
        <v>#REF!</v>
      </c>
      <c r="AR475" s="24" t="e">
        <f>VLOOKUP(C475,#REF!,12,FALSE)</f>
        <v>#REF!</v>
      </c>
      <c r="AS475" s="24" t="e">
        <f>VLOOKUP(C475,#REF!,13,FALSE)</f>
        <v>#REF!</v>
      </c>
      <c r="AT475" s="100"/>
      <c r="AU475" s="100"/>
      <c r="AV475" s="100">
        <v>459</v>
      </c>
      <c r="AW475" s="100"/>
      <c r="AY475" s="112">
        <v>34900</v>
      </c>
    </row>
    <row r="476" spans="1:51" s="2" customFormat="1" ht="12.75" customHeight="1" x14ac:dyDescent="0.2">
      <c r="A476" s="7" t="s">
        <v>1344</v>
      </c>
      <c r="B476" s="8">
        <v>9789500212274</v>
      </c>
      <c r="C476" s="8">
        <v>688416</v>
      </c>
      <c r="D476" s="25">
        <v>560</v>
      </c>
      <c r="E476" s="7" t="s">
        <v>505</v>
      </c>
      <c r="F476" s="7" t="s">
        <v>1345</v>
      </c>
      <c r="G476" s="107">
        <v>44501</v>
      </c>
      <c r="H476" s="108">
        <v>44470</v>
      </c>
      <c r="I476" s="7">
        <v>2980</v>
      </c>
      <c r="J476" s="28" t="s">
        <v>1333</v>
      </c>
      <c r="K476" s="9">
        <v>355.69</v>
      </c>
      <c r="L476" s="112">
        <v>51900</v>
      </c>
      <c r="M476" s="112">
        <f>+L476*0.1</f>
        <v>5190</v>
      </c>
      <c r="N476" s="9">
        <f t="shared" si="358"/>
        <v>25950</v>
      </c>
      <c r="O476" s="9">
        <f t="shared" ref="O476:O480" si="377">+N476-M476-K476</f>
        <v>20404.310000000001</v>
      </c>
      <c r="P476" s="9">
        <f t="shared" si="360"/>
        <v>5545.69</v>
      </c>
      <c r="Q476" s="139">
        <f t="shared" si="361"/>
        <v>0.78629325626204249</v>
      </c>
      <c r="R476" s="336">
        <v>51900</v>
      </c>
      <c r="S476" s="359" t="s">
        <v>1948</v>
      </c>
      <c r="T476" s="305">
        <v>0.78629325626204249</v>
      </c>
      <c r="U476" s="115"/>
      <c r="V476" s="100"/>
      <c r="W476" s="110">
        <f t="shared" si="362"/>
        <v>51900</v>
      </c>
      <c r="X476" s="110">
        <f t="shared" si="363"/>
        <v>355.69</v>
      </c>
      <c r="Y476" s="110">
        <f t="shared" si="364"/>
        <v>5190</v>
      </c>
      <c r="Z476" s="110">
        <f t="shared" ref="Z476:Z480" si="378">+W476/2-X476-Y476</f>
        <v>20404.310000000001</v>
      </c>
      <c r="AA476" s="260">
        <f t="shared" ref="AA476:AA480" si="379">+Z476/(W476/2)</f>
        <v>0.78629325626204249</v>
      </c>
      <c r="AB476" s="28">
        <f t="shared" si="367"/>
        <v>17.100000000000001</v>
      </c>
      <c r="AC476" s="261">
        <f t="shared" ref="AC476:AC480" si="380">+(AB476*$X$1-$X476-$Y476)/(AB476*$X$1)</f>
        <v>0.7861461544839129</v>
      </c>
      <c r="AD476" s="111">
        <f t="shared" si="369"/>
        <v>3.8</v>
      </c>
      <c r="AE476" s="262">
        <f t="shared" ref="AE476:AE480" si="381">+(AD476*$X$1-$X476-$Y476)/(AD476*$X$1)</f>
        <v>3.765769517760776E-2</v>
      </c>
      <c r="AF476" s="100"/>
      <c r="AG476" s="111">
        <f t="shared" si="371"/>
        <v>6.1</v>
      </c>
      <c r="AH476" s="262">
        <f t="shared" ref="AH476:AH480" si="382">+(AG476*$X$1-$X476-$Y476)/(AG476*$X$1)</f>
        <v>0.40050807240572278</v>
      </c>
      <c r="AI476" s="100"/>
      <c r="AJ476" s="111">
        <f t="shared" si="373"/>
        <v>5.6</v>
      </c>
      <c r="AK476" s="262">
        <f t="shared" ref="AK476:AK480" si="383">+(AJ476*$X$1-$X476-$Y476)/(AJ476*$X$1)</f>
        <v>0.34698200744194813</v>
      </c>
      <c r="AL476" s="100"/>
      <c r="AM476" s="111">
        <f t="shared" si="375"/>
        <v>5.2</v>
      </c>
      <c r="AN476" s="262">
        <f t="shared" ref="AN476:AN480" si="384">+(AM476*$X$1-$X476-$Y476)/(AM476*$X$1)</f>
        <v>0.29674985416825184</v>
      </c>
      <c r="AO476" s="100"/>
      <c r="AP476" s="24" t="e">
        <f>VLOOKUP(C476,#REF!,6,FALSE)</f>
        <v>#REF!</v>
      </c>
      <c r="AQ476" s="24" t="e">
        <f>VLOOKUP(C476,#REF!,7,FALSE)</f>
        <v>#REF!</v>
      </c>
      <c r="AR476" s="24" t="e">
        <f>VLOOKUP(C476,#REF!,12,FALSE)</f>
        <v>#REF!</v>
      </c>
      <c r="AS476" s="24" t="e">
        <f>VLOOKUP(C476,#REF!,13,FALSE)</f>
        <v>#REF!</v>
      </c>
      <c r="AT476" s="100"/>
      <c r="AU476" s="100"/>
      <c r="AV476" s="100">
        <v>460</v>
      </c>
      <c r="AW476" s="100"/>
      <c r="AY476" s="112">
        <v>51900</v>
      </c>
    </row>
    <row r="477" spans="1:51" s="2" customFormat="1" ht="12.75" customHeight="1" x14ac:dyDescent="0.2">
      <c r="A477" s="7" t="s">
        <v>1346</v>
      </c>
      <c r="B477" s="8">
        <v>9789500212250</v>
      </c>
      <c r="C477" s="8">
        <v>688410</v>
      </c>
      <c r="D477" s="25">
        <v>192</v>
      </c>
      <c r="E477" s="7" t="s">
        <v>505</v>
      </c>
      <c r="F477" s="7" t="s">
        <v>1347</v>
      </c>
      <c r="G477" s="107">
        <v>44501</v>
      </c>
      <c r="H477" s="108">
        <v>44470</v>
      </c>
      <c r="I477" s="7">
        <v>6100</v>
      </c>
      <c r="J477" s="28" t="s">
        <v>1333</v>
      </c>
      <c r="K477" s="9">
        <v>126.75</v>
      </c>
      <c r="L477" s="112">
        <v>26800</v>
      </c>
      <c r="M477" s="112">
        <f>+L477*0.1</f>
        <v>2680</v>
      </c>
      <c r="N477" s="9">
        <f t="shared" si="358"/>
        <v>13400</v>
      </c>
      <c r="O477" s="9">
        <f t="shared" si="377"/>
        <v>10593.25</v>
      </c>
      <c r="P477" s="9">
        <f t="shared" si="360"/>
        <v>2806.75</v>
      </c>
      <c r="Q477" s="139">
        <f t="shared" si="361"/>
        <v>0.79054104477611942</v>
      </c>
      <c r="R477" s="336">
        <v>26800</v>
      </c>
      <c r="S477" s="359" t="s">
        <v>1948</v>
      </c>
      <c r="T477" s="305">
        <v>0.79054104477611942</v>
      </c>
      <c r="U477" s="144"/>
      <c r="V477" s="100"/>
      <c r="W477" s="110">
        <f t="shared" si="362"/>
        <v>26800</v>
      </c>
      <c r="X477" s="110">
        <f t="shared" si="363"/>
        <v>126.75</v>
      </c>
      <c r="Y477" s="110">
        <f t="shared" si="364"/>
        <v>2680</v>
      </c>
      <c r="Z477" s="110">
        <f t="shared" si="378"/>
        <v>10593.25</v>
      </c>
      <c r="AA477" s="260">
        <f t="shared" si="379"/>
        <v>0.79054104477611942</v>
      </c>
      <c r="AB477" s="28">
        <f t="shared" si="367"/>
        <v>8.8000000000000007</v>
      </c>
      <c r="AC477" s="261">
        <f t="shared" si="380"/>
        <v>0.78968093396876782</v>
      </c>
      <c r="AD477" s="111">
        <f t="shared" si="369"/>
        <v>1.9</v>
      </c>
      <c r="AE477" s="262">
        <f t="shared" si="381"/>
        <v>2.5890641539556079E-2</v>
      </c>
      <c r="AF477" s="100"/>
      <c r="AG477" s="111">
        <f t="shared" si="371"/>
        <v>3.1</v>
      </c>
      <c r="AH477" s="262">
        <f t="shared" si="382"/>
        <v>0.40296523191134093</v>
      </c>
      <c r="AI477" s="100"/>
      <c r="AJ477" s="111">
        <f t="shared" si="373"/>
        <v>2.8</v>
      </c>
      <c r="AK477" s="262">
        <f t="shared" si="383"/>
        <v>0.33899722104469876</v>
      </c>
      <c r="AL477" s="100"/>
      <c r="AM477" s="111">
        <f t="shared" si="375"/>
        <v>2.6</v>
      </c>
      <c r="AN477" s="262">
        <f t="shared" si="384"/>
        <v>0.28815085343275254</v>
      </c>
      <c r="AO477" s="100"/>
      <c r="AP477" s="24" t="e">
        <f>VLOOKUP(C477,#REF!,6,FALSE)</f>
        <v>#REF!</v>
      </c>
      <c r="AQ477" s="24" t="e">
        <f>VLOOKUP(C477,#REF!,7,FALSE)</f>
        <v>#REF!</v>
      </c>
      <c r="AR477" s="24" t="e">
        <f>VLOOKUP(C477,#REF!,12,FALSE)</f>
        <v>#REF!</v>
      </c>
      <c r="AS477" s="24" t="e">
        <f>VLOOKUP(C477,#REF!,13,FALSE)</f>
        <v>#REF!</v>
      </c>
      <c r="AT477" s="100"/>
      <c r="AU477" s="100"/>
      <c r="AV477" s="100">
        <v>461</v>
      </c>
      <c r="AW477" s="100"/>
      <c r="AY477" s="112">
        <v>26800</v>
      </c>
    </row>
    <row r="478" spans="1:51" s="2" customFormat="1" ht="12.75" customHeight="1" x14ac:dyDescent="0.2">
      <c r="A478" s="7" t="s">
        <v>1348</v>
      </c>
      <c r="B478" s="8">
        <v>9789500212755</v>
      </c>
      <c r="C478" s="8">
        <v>695680</v>
      </c>
      <c r="D478" s="25">
        <v>320</v>
      </c>
      <c r="E478" s="7" t="s">
        <v>696</v>
      </c>
      <c r="F478" s="7" t="s">
        <v>697</v>
      </c>
      <c r="G478" s="107">
        <v>44743</v>
      </c>
      <c r="H478" s="108">
        <v>44713</v>
      </c>
      <c r="I478" s="7">
        <v>4077</v>
      </c>
      <c r="J478" s="28" t="s">
        <v>2136</v>
      </c>
      <c r="K478" s="9">
        <v>274.44</v>
      </c>
      <c r="L478" s="112">
        <v>25900</v>
      </c>
      <c r="M478" s="112">
        <f>+L478*0.08</f>
        <v>2072</v>
      </c>
      <c r="N478" s="9">
        <f t="shared" si="358"/>
        <v>12950</v>
      </c>
      <c r="O478" s="9">
        <f t="shared" si="377"/>
        <v>10603.56</v>
      </c>
      <c r="P478" s="9">
        <f t="shared" si="360"/>
        <v>2346.44</v>
      </c>
      <c r="Q478" s="139">
        <f t="shared" si="361"/>
        <v>0.81880772200772201</v>
      </c>
      <c r="R478" s="336">
        <v>25900</v>
      </c>
      <c r="S478" s="359" t="s">
        <v>1948</v>
      </c>
      <c r="T478" s="305">
        <v>0.81880772200772201</v>
      </c>
      <c r="U478" s="144"/>
      <c r="V478" s="100"/>
      <c r="W478" s="110">
        <f t="shared" si="362"/>
        <v>25900</v>
      </c>
      <c r="X478" s="110">
        <f t="shared" si="363"/>
        <v>274.44</v>
      </c>
      <c r="Y478" s="110">
        <f t="shared" si="364"/>
        <v>2072</v>
      </c>
      <c r="Z478" s="110">
        <f t="shared" si="378"/>
        <v>10603.56</v>
      </c>
      <c r="AA478" s="260">
        <f t="shared" si="379"/>
        <v>0.81880772200772201</v>
      </c>
      <c r="AB478" s="28">
        <f t="shared" si="367"/>
        <v>8.5</v>
      </c>
      <c r="AC478" s="261">
        <f t="shared" si="380"/>
        <v>0.81796784391303501</v>
      </c>
      <c r="AD478" s="111">
        <f t="shared" si="369"/>
        <v>1.6</v>
      </c>
      <c r="AE478" s="262">
        <f t="shared" si="381"/>
        <v>3.2954170787998692E-2</v>
      </c>
      <c r="AF478" s="100"/>
      <c r="AG478" s="111">
        <f t="shared" si="371"/>
        <v>2.6</v>
      </c>
      <c r="AH478" s="262">
        <f t="shared" si="382"/>
        <v>0.40489487433107613</v>
      </c>
      <c r="AI478" s="100"/>
      <c r="AJ478" s="111">
        <f t="shared" si="373"/>
        <v>2.4</v>
      </c>
      <c r="AK478" s="262">
        <f t="shared" si="383"/>
        <v>0.35530278052533243</v>
      </c>
      <c r="AL478" s="100"/>
      <c r="AM478" s="111">
        <f t="shared" si="375"/>
        <v>2.2000000000000002</v>
      </c>
      <c r="AN478" s="262">
        <f t="shared" si="384"/>
        <v>0.29669394239127178</v>
      </c>
      <c r="AO478" s="100"/>
      <c r="AP478" s="24" t="e">
        <f>VLOOKUP(C478,#REF!,6,FALSE)</f>
        <v>#REF!</v>
      </c>
      <c r="AQ478" s="24" t="e">
        <f>VLOOKUP(C478,#REF!,7,FALSE)</f>
        <v>#REF!</v>
      </c>
      <c r="AR478" s="24" t="e">
        <f>VLOOKUP(C478,#REF!,12,FALSE)</f>
        <v>#REF!</v>
      </c>
      <c r="AS478" s="24" t="e">
        <f>VLOOKUP(C478,#REF!,13,FALSE)</f>
        <v>#REF!</v>
      </c>
      <c r="AT478" s="100"/>
      <c r="AU478" s="100"/>
      <c r="AV478" s="100">
        <v>462</v>
      </c>
      <c r="AW478" s="100"/>
      <c r="AY478" s="112">
        <v>25900</v>
      </c>
    </row>
    <row r="479" spans="1:51" s="2" customFormat="1" ht="12.75" customHeight="1" x14ac:dyDescent="0.2">
      <c r="A479" s="7" t="s">
        <v>1349</v>
      </c>
      <c r="B479" s="8">
        <v>9789500212618</v>
      </c>
      <c r="C479" s="8">
        <v>692861</v>
      </c>
      <c r="D479" s="25">
        <v>472</v>
      </c>
      <c r="E479" s="7" t="s">
        <v>674</v>
      </c>
      <c r="F479" s="7" t="s">
        <v>675</v>
      </c>
      <c r="G479" s="107">
        <v>44652</v>
      </c>
      <c r="H479" s="108">
        <v>44866</v>
      </c>
      <c r="I479" s="7">
        <v>3020</v>
      </c>
      <c r="J479" s="28" t="s">
        <v>1762</v>
      </c>
      <c r="K479" s="117">
        <v>1104.0999999999999</v>
      </c>
      <c r="L479" s="112">
        <v>35900</v>
      </c>
      <c r="M479" s="112">
        <f>+L479*0.08</f>
        <v>2872</v>
      </c>
      <c r="N479" s="9">
        <f t="shared" si="358"/>
        <v>17950</v>
      </c>
      <c r="O479" s="9">
        <f t="shared" si="377"/>
        <v>13973.9</v>
      </c>
      <c r="P479" s="9">
        <f t="shared" si="360"/>
        <v>3976.1</v>
      </c>
      <c r="Q479" s="139">
        <f t="shared" si="361"/>
        <v>0.77849025069637878</v>
      </c>
      <c r="R479" s="336">
        <v>35900</v>
      </c>
      <c r="S479" s="359" t="s">
        <v>1948</v>
      </c>
      <c r="T479" s="305">
        <v>0.77849025069637878</v>
      </c>
      <c r="U479" s="12"/>
      <c r="V479" s="100"/>
      <c r="W479" s="110">
        <f t="shared" si="362"/>
        <v>35900</v>
      </c>
      <c r="X479" s="110">
        <f t="shared" si="363"/>
        <v>1104.0999999999999</v>
      </c>
      <c r="Y479" s="110">
        <f t="shared" si="364"/>
        <v>2872</v>
      </c>
      <c r="Z479" s="110">
        <f t="shared" si="378"/>
        <v>13973.900000000001</v>
      </c>
      <c r="AA479" s="260">
        <f t="shared" si="379"/>
        <v>0.77849025069637889</v>
      </c>
      <c r="AB479" s="28">
        <f t="shared" si="367"/>
        <v>11.8</v>
      </c>
      <c r="AC479" s="261">
        <f t="shared" si="380"/>
        <v>0.77780571901177453</v>
      </c>
      <c r="AD479" s="111">
        <f t="shared" si="369"/>
        <v>2.8</v>
      </c>
      <c r="AE479" s="262">
        <f t="shared" si="381"/>
        <v>6.3609815835335107E-2</v>
      </c>
      <c r="AF479" s="100"/>
      <c r="AG479" s="111">
        <f t="shared" si="371"/>
        <v>4.4000000000000004</v>
      </c>
      <c r="AH479" s="262">
        <f t="shared" si="382"/>
        <v>0.40411533734975869</v>
      </c>
      <c r="AI479" s="100"/>
      <c r="AJ479" s="111">
        <f t="shared" si="373"/>
        <v>4</v>
      </c>
      <c r="AK479" s="262">
        <f t="shared" si="383"/>
        <v>0.34452687108473451</v>
      </c>
      <c r="AL479" s="100"/>
      <c r="AM479" s="111">
        <f t="shared" si="375"/>
        <v>3.7</v>
      </c>
      <c r="AN479" s="262">
        <f t="shared" si="384"/>
        <v>0.29138040117268615</v>
      </c>
      <c r="AO479" s="100"/>
      <c r="AP479" s="24" t="e">
        <f>VLOOKUP(C479,#REF!,6,FALSE)</f>
        <v>#REF!</v>
      </c>
      <c r="AQ479" s="24" t="e">
        <f>VLOOKUP(C479,#REF!,7,FALSE)</f>
        <v>#REF!</v>
      </c>
      <c r="AR479" s="24" t="e">
        <f>VLOOKUP(C479,#REF!,12,FALSE)</f>
        <v>#REF!</v>
      </c>
      <c r="AS479" s="24" t="e">
        <f>VLOOKUP(C479,#REF!,13,FALSE)</f>
        <v>#REF!</v>
      </c>
      <c r="AT479" s="100"/>
      <c r="AU479" s="100"/>
      <c r="AV479" s="100">
        <v>463</v>
      </c>
      <c r="AW479" s="100"/>
      <c r="AY479" s="112">
        <v>35900</v>
      </c>
    </row>
    <row r="480" spans="1:51" s="2" customFormat="1" ht="12.75" customHeight="1" x14ac:dyDescent="0.2">
      <c r="A480" s="6" t="s">
        <v>1350</v>
      </c>
      <c r="B480" s="8">
        <v>9789500212861</v>
      </c>
      <c r="C480" s="6">
        <v>696628</v>
      </c>
      <c r="D480" s="25">
        <v>304</v>
      </c>
      <c r="E480" s="7" t="s">
        <v>703</v>
      </c>
      <c r="F480" s="7" t="s">
        <v>704</v>
      </c>
      <c r="G480" s="107">
        <v>44774</v>
      </c>
      <c r="H480" s="108">
        <v>44958</v>
      </c>
      <c r="I480" s="7">
        <v>2010</v>
      </c>
      <c r="J480" s="28" t="s">
        <v>1762</v>
      </c>
      <c r="K480" s="9">
        <v>753</v>
      </c>
      <c r="L480" s="112">
        <v>31700</v>
      </c>
      <c r="M480" s="112">
        <f>+L480*0.1</f>
        <v>3170</v>
      </c>
      <c r="N480" s="9">
        <f t="shared" si="358"/>
        <v>15850</v>
      </c>
      <c r="O480" s="9">
        <f t="shared" si="377"/>
        <v>11927</v>
      </c>
      <c r="P480" s="9">
        <f t="shared" si="360"/>
        <v>3923</v>
      </c>
      <c r="Q480" s="139">
        <f t="shared" si="361"/>
        <v>0.75249211356466872</v>
      </c>
      <c r="R480" s="336">
        <v>31700</v>
      </c>
      <c r="S480" s="359" t="s">
        <v>1948</v>
      </c>
      <c r="T480" s="305">
        <v>0.75249211356466872</v>
      </c>
      <c r="U480" s="144"/>
      <c r="V480" s="100"/>
      <c r="W480" s="110">
        <f t="shared" si="362"/>
        <v>31700</v>
      </c>
      <c r="X480" s="110">
        <f t="shared" si="363"/>
        <v>753</v>
      </c>
      <c r="Y480" s="110">
        <f t="shared" si="364"/>
        <v>3170</v>
      </c>
      <c r="Z480" s="110">
        <f t="shared" si="378"/>
        <v>11927</v>
      </c>
      <c r="AA480" s="260">
        <f t="shared" si="379"/>
        <v>0.75249211356466872</v>
      </c>
      <c r="AB480" s="28">
        <f t="shared" si="367"/>
        <v>10.5</v>
      </c>
      <c r="AC480" s="261">
        <f t="shared" si="380"/>
        <v>0.75363069725087528</v>
      </c>
      <c r="AD480" s="111">
        <f t="shared" si="369"/>
        <v>2.7</v>
      </c>
      <c r="AE480" s="262">
        <f t="shared" si="381"/>
        <v>4.1897155975626182E-2</v>
      </c>
      <c r="AF480" s="100"/>
      <c r="AG480" s="111">
        <f t="shared" si="371"/>
        <v>4.3</v>
      </c>
      <c r="AH480" s="262">
        <f t="shared" si="382"/>
        <v>0.39840053979864898</v>
      </c>
      <c r="AI480" s="100"/>
      <c r="AJ480" s="111">
        <f t="shared" si="373"/>
        <v>4</v>
      </c>
      <c r="AK480" s="262">
        <f t="shared" si="383"/>
        <v>0.35328058028354764</v>
      </c>
      <c r="AL480" s="100"/>
      <c r="AM480" s="111">
        <f t="shared" si="375"/>
        <v>3.7</v>
      </c>
      <c r="AN480" s="262">
        <f t="shared" si="384"/>
        <v>0.30084387057680828</v>
      </c>
      <c r="AO480" s="100"/>
      <c r="AP480" s="24" t="e">
        <f>VLOOKUP(C480,#REF!,6,FALSE)</f>
        <v>#REF!</v>
      </c>
      <c r="AQ480" s="24" t="e">
        <f>VLOOKUP(C480,#REF!,7,FALSE)</f>
        <v>#REF!</v>
      </c>
      <c r="AR480" s="24" t="e">
        <f>VLOOKUP(C480,#REF!,12,FALSE)</f>
        <v>#REF!</v>
      </c>
      <c r="AS480" s="24" t="e">
        <f>VLOOKUP(C480,#REF!,13,FALSE)</f>
        <v>#REF!</v>
      </c>
      <c r="AT480" s="100"/>
      <c r="AU480" s="100"/>
      <c r="AV480" s="100">
        <v>464</v>
      </c>
      <c r="AW480" s="100"/>
      <c r="AY480" s="112">
        <v>31700</v>
      </c>
    </row>
    <row r="481" spans="1:51" s="2" customFormat="1" ht="12.75" customHeight="1" thickBot="1" x14ac:dyDescent="0.3">
      <c r="B481" s="379"/>
      <c r="C481" s="3"/>
      <c r="D481" s="17"/>
      <c r="H481" s="132"/>
      <c r="I481" s="132"/>
      <c r="J481" s="134"/>
      <c r="K481" s="132"/>
      <c r="L481" s="18"/>
      <c r="M481" s="132"/>
      <c r="N481" s="132"/>
      <c r="O481" s="132"/>
      <c r="P481" s="132"/>
      <c r="Q481" s="147"/>
      <c r="R481" s="356"/>
      <c r="S481" s="360"/>
      <c r="T481" s="307"/>
      <c r="U481" s="135"/>
      <c r="V481" s="100"/>
      <c r="W481"/>
      <c r="X481"/>
      <c r="Y481"/>
      <c r="Z481"/>
      <c r="AA481"/>
      <c r="AB481"/>
      <c r="AC481"/>
      <c r="AD481" s="263"/>
      <c r="AE481"/>
      <c r="AF481" s="100"/>
      <c r="AG481" s="263"/>
      <c r="AH481"/>
      <c r="AI481" s="100"/>
      <c r="AJ481" s="263"/>
      <c r="AK481"/>
      <c r="AL481" s="100"/>
      <c r="AM481" s="263"/>
      <c r="AN481"/>
      <c r="AO481" s="100"/>
      <c r="AP481" s="100"/>
      <c r="AQ481" s="100"/>
      <c r="AR481" s="100"/>
      <c r="AS481" s="100"/>
      <c r="AT481" s="100"/>
      <c r="AU481" s="100"/>
      <c r="AV481" s="100">
        <v>465</v>
      </c>
      <c r="AW481" s="100"/>
      <c r="AY481" s="18"/>
    </row>
    <row r="482" spans="1:51" s="2" customFormat="1" ht="12.75" customHeight="1" x14ac:dyDescent="0.25">
      <c r="A482" s="132"/>
      <c r="B482" s="355"/>
      <c r="C482" s="133"/>
      <c r="D482" s="154"/>
      <c r="E482" s="155" t="s">
        <v>839</v>
      </c>
      <c r="F482" s="156"/>
      <c r="G482" s="132"/>
      <c r="H482" s="132"/>
      <c r="I482" s="132"/>
      <c r="J482" s="134"/>
      <c r="K482" s="132"/>
      <c r="L482" s="134"/>
      <c r="M482" s="132"/>
      <c r="N482" s="132"/>
      <c r="O482" s="132"/>
      <c r="P482" s="132"/>
      <c r="Q482" s="147"/>
      <c r="R482" s="356"/>
      <c r="S482" s="360"/>
      <c r="T482" s="307"/>
      <c r="U482" s="135"/>
      <c r="V482" s="100"/>
      <c r="W482"/>
      <c r="X482"/>
      <c r="Y482"/>
      <c r="Z482"/>
      <c r="AA482"/>
      <c r="AB482"/>
      <c r="AC482"/>
      <c r="AD482" s="263"/>
      <c r="AE482"/>
      <c r="AF482" s="100"/>
      <c r="AG482" s="263"/>
      <c r="AH482"/>
      <c r="AI482" s="100"/>
      <c r="AJ482" s="263"/>
      <c r="AK482"/>
      <c r="AL482" s="100"/>
      <c r="AM482" s="263"/>
      <c r="AN482"/>
      <c r="AO482" s="100"/>
      <c r="AP482" s="100"/>
      <c r="AQ482" s="100"/>
      <c r="AR482" s="100"/>
      <c r="AS482" s="100"/>
      <c r="AT482" s="100"/>
      <c r="AU482" s="100"/>
      <c r="AV482" s="100">
        <v>466</v>
      </c>
      <c r="AW482" s="100"/>
      <c r="AY482" s="134"/>
    </row>
    <row r="483" spans="1:51" s="2" customFormat="1" ht="12.75" customHeight="1" x14ac:dyDescent="0.2">
      <c r="A483" s="6" t="s">
        <v>1992</v>
      </c>
      <c r="B483" s="279">
        <v>9789500216005</v>
      </c>
      <c r="C483" s="6">
        <v>727019</v>
      </c>
      <c r="D483" s="41">
        <v>192</v>
      </c>
      <c r="E483" s="6" t="s">
        <v>1993</v>
      </c>
      <c r="F483" s="6" t="s">
        <v>1994</v>
      </c>
      <c r="G483" s="107">
        <v>45717</v>
      </c>
      <c r="H483" s="108">
        <v>45778</v>
      </c>
      <c r="I483" s="264">
        <v>2028</v>
      </c>
      <c r="J483" s="116" t="s">
        <v>1762</v>
      </c>
      <c r="K483" s="148">
        <v>1123.33</v>
      </c>
      <c r="L483" s="9">
        <v>21900</v>
      </c>
      <c r="M483" s="112">
        <f>+L483*0.08</f>
        <v>1752</v>
      </c>
      <c r="N483" s="9">
        <f>+L483/2</f>
        <v>10950</v>
      </c>
      <c r="O483" s="9">
        <f>+N483-M483-K483</f>
        <v>8074.67</v>
      </c>
      <c r="P483" s="9">
        <f>+M483+K483</f>
        <v>2875.33</v>
      </c>
      <c r="Q483" s="139">
        <f>+O483/N483</f>
        <v>0.73741278538812782</v>
      </c>
      <c r="R483" s="336">
        <v>21900</v>
      </c>
      <c r="S483" s="359" t="s">
        <v>1948</v>
      </c>
      <c r="T483" s="305">
        <v>0.73741278538812782</v>
      </c>
      <c r="U483" s="144"/>
      <c r="V483" s="100"/>
      <c r="W483" s="110">
        <f>+L483</f>
        <v>21900</v>
      </c>
      <c r="X483" s="110">
        <f>+K483</f>
        <v>1123.33</v>
      </c>
      <c r="Y483" s="110">
        <f>+M483</f>
        <v>1752</v>
      </c>
      <c r="Z483" s="110">
        <f>+W483/2-X483-Y483</f>
        <v>8074.67</v>
      </c>
      <c r="AA483" s="260">
        <f>+Z483/(W483/2)</f>
        <v>0.73741278538812782</v>
      </c>
      <c r="AB483" s="28">
        <f>ROUND($W483/2/$X$1,1)</f>
        <v>7.2</v>
      </c>
      <c r="AC483" s="261">
        <f>+(AB483*$X$1-$X483-$Y483)/(AB483*$X$1)</f>
        <v>0.73666245374949635</v>
      </c>
      <c r="AD483" s="111">
        <f>+IFERROR(ROUND(($X483+$Y483)/(1-$X$2)/$X$1,1),0)</f>
        <v>2</v>
      </c>
      <c r="AE483" s="262">
        <f>+(AD483*$X$1-$X483-$Y483)/(AD483*$X$1)</f>
        <v>5.1984833498186639E-2</v>
      </c>
      <c r="AF483" s="100"/>
      <c r="AG483" s="111">
        <f>+IFERROR(ROUND(($X483+$Y483)/(1-$AG$2)/$X$1,1),0)</f>
        <v>3.2</v>
      </c>
      <c r="AH483" s="262">
        <f>+(AG483*$X$1-$X483-$Y483)/(AG483*$X$1)</f>
        <v>0.40749052093636667</v>
      </c>
      <c r="AI483" s="100"/>
      <c r="AJ483" s="111">
        <f>+IFERROR(ROUND(($X483+$Y483)/(1-$AJ$2)/$X$1,1),0)</f>
        <v>2.9</v>
      </c>
      <c r="AK483" s="262">
        <f>+(AJ483*$X$1-$X483-$Y483)/(AJ483*$X$1)</f>
        <v>0.34619643689530105</v>
      </c>
      <c r="AL483" s="100"/>
      <c r="AM483" s="111">
        <f>+IFERROR(ROUND(($X483+$Y483)/(1-$AM$2)/$X$1,1),0)</f>
        <v>2.7</v>
      </c>
      <c r="AN483" s="262">
        <f>+(AM483*$X$1-$X483-$Y483)/(AM483*$X$1)</f>
        <v>0.29776654333199015</v>
      </c>
      <c r="AO483" s="100"/>
      <c r="AP483" s="24" t="e">
        <f>VLOOKUP(C483,#REF!,6,FALSE)</f>
        <v>#REF!</v>
      </c>
      <c r="AQ483" s="24" t="e">
        <f>VLOOKUP(C483,#REF!,7,FALSE)</f>
        <v>#REF!</v>
      </c>
      <c r="AR483" s="24" t="e">
        <f>VLOOKUP(C483,#REF!,12,FALSE)</f>
        <v>#REF!</v>
      </c>
      <c r="AS483" s="24" t="e">
        <f>VLOOKUP(C483,#REF!,13,FALSE)</f>
        <v>#REF!</v>
      </c>
      <c r="AT483" s="100"/>
      <c r="AU483" s="100"/>
      <c r="AV483" s="100">
        <v>467</v>
      </c>
      <c r="AW483" s="100"/>
      <c r="AY483" s="9">
        <v>21900</v>
      </c>
    </row>
    <row r="484" spans="1:51" s="2" customFormat="1" ht="12.75" customHeight="1" x14ac:dyDescent="0.25">
      <c r="A484" s="132"/>
      <c r="B484" s="354"/>
      <c r="C484" s="133"/>
      <c r="D484" s="132"/>
      <c r="E484" s="132"/>
      <c r="F484" s="132"/>
      <c r="G484" s="132"/>
      <c r="H484" s="132"/>
      <c r="I484" s="132"/>
      <c r="J484" s="134"/>
      <c r="K484" s="132"/>
      <c r="L484" s="134"/>
      <c r="M484" s="132"/>
      <c r="N484" s="132"/>
      <c r="O484" s="132"/>
      <c r="P484" s="132"/>
      <c r="Q484" s="147"/>
      <c r="R484" s="356"/>
      <c r="S484" s="360"/>
      <c r="T484" s="307"/>
      <c r="U484" s="135"/>
      <c r="V484" s="100"/>
      <c r="W484"/>
      <c r="X484"/>
      <c r="Y484"/>
      <c r="Z484"/>
      <c r="AA484"/>
      <c r="AB484"/>
      <c r="AC484"/>
      <c r="AD484" s="263"/>
      <c r="AE484"/>
      <c r="AF484" s="100"/>
      <c r="AG484" s="263"/>
      <c r="AH484"/>
      <c r="AI484" s="100"/>
      <c r="AJ484" s="263"/>
      <c r="AK484"/>
      <c r="AL484" s="100"/>
      <c r="AM484" s="263"/>
      <c r="AN484"/>
      <c r="AO484" s="100"/>
      <c r="AP484" s="100"/>
      <c r="AQ484" s="100"/>
      <c r="AR484" s="100"/>
      <c r="AS484" s="100"/>
      <c r="AT484" s="100"/>
      <c r="AU484" s="100"/>
      <c r="AV484" s="100">
        <v>468</v>
      </c>
      <c r="AW484" s="100"/>
      <c r="AY484" s="134"/>
    </row>
    <row r="485" spans="1:51" s="2" customFormat="1" ht="12.75" customHeight="1" x14ac:dyDescent="0.25">
      <c r="A485" s="160" t="s">
        <v>2011</v>
      </c>
      <c r="B485" s="168"/>
      <c r="C485" s="161"/>
      <c r="D485" s="376"/>
      <c r="E485" s="374"/>
      <c r="F485" s="162"/>
      <c r="G485" s="162"/>
      <c r="H485" s="132"/>
      <c r="I485" s="132"/>
      <c r="J485" s="132"/>
      <c r="K485" s="132"/>
      <c r="L485" s="134"/>
      <c r="M485" s="132"/>
      <c r="N485" s="132"/>
      <c r="O485" s="132"/>
      <c r="P485" s="132"/>
      <c r="Q485" s="147"/>
      <c r="R485" s="356"/>
      <c r="S485" s="360"/>
      <c r="T485" s="307"/>
      <c r="U485" s="135"/>
      <c r="V485" s="100"/>
      <c r="W485"/>
      <c r="X485"/>
      <c r="Y485"/>
      <c r="Z485"/>
      <c r="AA485"/>
      <c r="AB485"/>
      <c r="AC485"/>
      <c r="AD485" s="263"/>
      <c r="AE485"/>
      <c r="AF485" s="100"/>
      <c r="AG485" s="263"/>
      <c r="AH485"/>
      <c r="AI485" s="100"/>
      <c r="AJ485" s="263"/>
      <c r="AK485"/>
      <c r="AL485" s="100"/>
      <c r="AM485" s="263"/>
      <c r="AN485"/>
      <c r="AO485" s="100"/>
      <c r="AP485" s="100"/>
      <c r="AQ485" s="100"/>
      <c r="AR485" s="100"/>
      <c r="AS485" s="100"/>
      <c r="AT485" s="100"/>
      <c r="AU485" s="100"/>
      <c r="AV485" s="100">
        <v>469</v>
      </c>
      <c r="AW485" s="100"/>
      <c r="AY485" s="134"/>
    </row>
    <row r="486" spans="1:51" s="2" customFormat="1" ht="12.75" customHeight="1" x14ac:dyDescent="0.2">
      <c r="A486" s="6" t="s">
        <v>2334</v>
      </c>
      <c r="B486" s="8">
        <v>9789500217712</v>
      </c>
      <c r="C486" s="8">
        <v>745987</v>
      </c>
      <c r="D486" s="167">
        <v>208</v>
      </c>
      <c r="E486" s="6" t="s">
        <v>2335</v>
      </c>
      <c r="F486" s="6" t="s">
        <v>2336</v>
      </c>
      <c r="G486" s="107">
        <v>46174</v>
      </c>
      <c r="H486" s="108">
        <v>46143</v>
      </c>
      <c r="I486" s="7">
        <v>3096</v>
      </c>
      <c r="J486" s="8" t="s">
        <v>1762</v>
      </c>
      <c r="K486" s="148">
        <v>2580.0300000000002</v>
      </c>
      <c r="L486" s="352">
        <v>18500</v>
      </c>
      <c r="M486" s="112">
        <f>+L486*0.08</f>
        <v>1480</v>
      </c>
      <c r="N486" s="9">
        <f t="shared" ref="N486:N497" si="385">+L486/2</f>
        <v>9250</v>
      </c>
      <c r="O486" s="9">
        <f t="shared" ref="O486:O497" si="386">+N486-M486-K486</f>
        <v>5189.9699999999993</v>
      </c>
      <c r="P486" s="9">
        <f t="shared" ref="P486:P497" si="387">+M486+K486</f>
        <v>4060.03</v>
      </c>
      <c r="Q486" s="139">
        <f t="shared" ref="Q486:Q497" si="388">+O486/N486</f>
        <v>0.56107783783783771</v>
      </c>
      <c r="R486" s="345">
        <v>18500</v>
      </c>
      <c r="S486" s="359" t="s">
        <v>1948</v>
      </c>
      <c r="T486" s="305">
        <v>0.56107783783783771</v>
      </c>
      <c r="U486" s="144"/>
      <c r="V486" s="100"/>
      <c r="W486" s="110">
        <f t="shared" ref="W486:W497" si="389">+L486</f>
        <v>18500</v>
      </c>
      <c r="X486" s="110">
        <f t="shared" ref="X486:X497" si="390">+K486</f>
        <v>2580.0300000000002</v>
      </c>
      <c r="Y486" s="110">
        <f t="shared" ref="Y486:Y497" si="391">+M486</f>
        <v>1480</v>
      </c>
      <c r="Z486" s="110">
        <f t="shared" ref="Z486:Z497" si="392">+W486/2-X486-Y486</f>
        <v>5189.9699999999993</v>
      </c>
      <c r="AA486" s="260">
        <f t="shared" ref="AA486:AA497" si="393">+Z486/(W486/2)</f>
        <v>0.56107783783783771</v>
      </c>
      <c r="AB486" s="28">
        <f t="shared" ref="AB486:AB497" si="394">ROUND($W486/2/$X$1,1)</f>
        <v>6.1</v>
      </c>
      <c r="AC486" s="261">
        <f t="shared" ref="AC486:AC497" si="395">+(AB486*$X$1-$X486-$Y486)/(AB486*$X$1)</f>
        <v>0.56110867884959426</v>
      </c>
      <c r="AD486" s="111">
        <f t="shared" ref="AD486:AD497" si="396">+IFERROR(ROUND(($X486+$Y486)/(1-$X$2)/$X$1,1),0)</f>
        <v>2.8</v>
      </c>
      <c r="AE486" s="262">
        <f t="shared" ref="AE486:AE497" si="397">+(AD486*$X$1-$X486-$Y486)/(AD486*$X$1)</f>
        <v>4.3843907493759035E-2</v>
      </c>
      <c r="AF486" s="100"/>
      <c r="AG486" s="111">
        <f t="shared" ref="AG486:AG497" si="398">+IFERROR(ROUND(($X486+$Y486)/(1-$AG$2)/$X$1,1),0)</f>
        <v>4.5</v>
      </c>
      <c r="AH486" s="262">
        <f t="shared" ref="AH486:AH497" si="399">+(AG486*$X$1-$X486-$Y486)/(AG486*$X$1)</f>
        <v>0.40505843132945002</v>
      </c>
      <c r="AI486" s="100"/>
      <c r="AJ486" s="111">
        <f t="shared" ref="AJ486:AJ497" si="400">+IFERROR(ROUND(($X486+$Y486)/(1-$AJ$2)/$X$1,1),0)</f>
        <v>4.0999999999999996</v>
      </c>
      <c r="AK486" s="262">
        <f t="shared" ref="AK486:AK497" si="401">+(AJ486*$X$1-$X486-$Y486)/(AJ486*$X$1)</f>
        <v>0.34701535145915252</v>
      </c>
      <c r="AL486" s="100"/>
      <c r="AM486" s="111">
        <f t="shared" ref="AM486:AM497" si="402">+IFERROR(ROUND(($X486+$Y486)/(1-$AM$2)/$X$1,1),0)</f>
        <v>3.8</v>
      </c>
      <c r="AN486" s="262">
        <f t="shared" ref="AN486:AN497" si="403">+(AM486*$X$1-$X486-$Y486)/(AM486*$X$1)</f>
        <v>0.29546393183750669</v>
      </c>
      <c r="AO486" s="100"/>
      <c r="AP486" s="24" t="e">
        <f>VLOOKUP(C486,#REF!,6,FALSE)</f>
        <v>#REF!</v>
      </c>
      <c r="AQ486" s="24" t="e">
        <f>VLOOKUP(C486,#REF!,7,FALSE)</f>
        <v>#REF!</v>
      </c>
      <c r="AR486" s="24" t="e">
        <f>VLOOKUP(C486,#REF!,12,FALSE)</f>
        <v>#REF!</v>
      </c>
      <c r="AS486" s="24" t="e">
        <f>VLOOKUP(C486,#REF!,13,FALSE)</f>
        <v>#REF!</v>
      </c>
      <c r="AT486" s="100"/>
      <c r="AU486" s="3"/>
      <c r="AV486" s="100">
        <v>470</v>
      </c>
      <c r="AW486" s="100"/>
      <c r="AY486" s="352">
        <v>18500</v>
      </c>
    </row>
    <row r="487" spans="1:51" s="2" customFormat="1" ht="12.75" customHeight="1" x14ac:dyDescent="0.2">
      <c r="A487" s="6" t="s">
        <v>2289</v>
      </c>
      <c r="B487" s="282">
        <v>9789500217439</v>
      </c>
      <c r="C487" s="6">
        <v>743065</v>
      </c>
      <c r="D487" s="41">
        <v>256</v>
      </c>
      <c r="E487" s="6" t="s">
        <v>2290</v>
      </c>
      <c r="F487" s="6" t="s">
        <v>2291</v>
      </c>
      <c r="G487" s="107">
        <v>46113</v>
      </c>
      <c r="H487" s="108">
        <v>46204</v>
      </c>
      <c r="I487" s="7">
        <v>500</v>
      </c>
      <c r="J487" s="6" t="s">
        <v>1333</v>
      </c>
      <c r="K487" s="148">
        <v>3135.51</v>
      </c>
      <c r="L487" s="9">
        <v>18500</v>
      </c>
      <c r="M487" s="9">
        <f>+L487*0.08</f>
        <v>1480</v>
      </c>
      <c r="N487" s="9">
        <f t="shared" si="385"/>
        <v>9250</v>
      </c>
      <c r="O487" s="9">
        <f t="shared" si="386"/>
        <v>4634.49</v>
      </c>
      <c r="P487" s="9">
        <f t="shared" si="387"/>
        <v>4615.51</v>
      </c>
      <c r="Q487" s="139">
        <f t="shared" si="388"/>
        <v>0.50102594594594596</v>
      </c>
      <c r="R487" s="336">
        <v>18500</v>
      </c>
      <c r="S487" s="359" t="s">
        <v>1948</v>
      </c>
      <c r="T487" s="305">
        <v>0.63319729515739021</v>
      </c>
      <c r="U487" s="140"/>
      <c r="V487" s="100"/>
      <c r="W487" s="110">
        <f t="shared" si="389"/>
        <v>18500</v>
      </c>
      <c r="X487" s="110">
        <f t="shared" si="390"/>
        <v>3135.51</v>
      </c>
      <c r="Y487" s="110">
        <f t="shared" si="391"/>
        <v>1480</v>
      </c>
      <c r="Z487" s="110">
        <f t="shared" si="392"/>
        <v>4634.49</v>
      </c>
      <c r="AA487" s="260">
        <f t="shared" si="393"/>
        <v>0.50102594594594596</v>
      </c>
      <c r="AB487" s="28">
        <f t="shared" si="394"/>
        <v>6.1</v>
      </c>
      <c r="AC487" s="261">
        <f t="shared" si="395"/>
        <v>0.50106100652386587</v>
      </c>
      <c r="AD487" s="111">
        <f t="shared" si="396"/>
        <v>3.2</v>
      </c>
      <c r="AE487" s="262">
        <f t="shared" si="397"/>
        <v>4.8897543686119344E-2</v>
      </c>
      <c r="AF487" s="100"/>
      <c r="AG487" s="111">
        <f t="shared" si="398"/>
        <v>5.0999999999999996</v>
      </c>
      <c r="AH487" s="262">
        <f t="shared" si="399"/>
        <v>0.40322983133246698</v>
      </c>
      <c r="AI487" s="100"/>
      <c r="AJ487" s="111">
        <f t="shared" si="400"/>
        <v>4.7</v>
      </c>
      <c r="AK487" s="262">
        <f t="shared" si="401"/>
        <v>0.35244088080757063</v>
      </c>
      <c r="AL487" s="100"/>
      <c r="AM487" s="111">
        <f t="shared" si="402"/>
        <v>4.3</v>
      </c>
      <c r="AN487" s="262">
        <f t="shared" si="403"/>
        <v>0.29220282320827484</v>
      </c>
      <c r="AO487" s="100"/>
      <c r="AP487" s="24" t="e">
        <f>VLOOKUP(C487,#REF!,6,FALSE)</f>
        <v>#REF!</v>
      </c>
      <c r="AQ487" s="24" t="e">
        <f>VLOOKUP(C487,#REF!,7,FALSE)</f>
        <v>#REF!</v>
      </c>
      <c r="AR487" s="24" t="e">
        <f>VLOOKUP(C487,#REF!,12,FALSE)</f>
        <v>#REF!</v>
      </c>
      <c r="AS487" s="24" t="e">
        <f>VLOOKUP(C487,#REF!,13,FALSE)</f>
        <v>#REF!</v>
      </c>
      <c r="AT487" s="100"/>
      <c r="AU487" s="100"/>
      <c r="AV487" s="100">
        <v>471</v>
      </c>
      <c r="AW487" s="100"/>
      <c r="AY487" s="9">
        <v>18500</v>
      </c>
    </row>
    <row r="488" spans="1:51" s="2" customFormat="1" ht="12.75" customHeight="1" x14ac:dyDescent="0.2">
      <c r="A488" s="6" t="s">
        <v>2182</v>
      </c>
      <c r="B488" s="153">
        <v>9789500217323</v>
      </c>
      <c r="C488" s="6">
        <v>741695</v>
      </c>
      <c r="D488" s="41">
        <v>224</v>
      </c>
      <c r="E488" s="6" t="s">
        <v>2252</v>
      </c>
      <c r="F488" s="6" t="s">
        <v>2253</v>
      </c>
      <c r="G488" s="107">
        <v>46082</v>
      </c>
      <c r="H488" s="108">
        <v>46054</v>
      </c>
      <c r="I488" s="267">
        <v>3106</v>
      </c>
      <c r="J488" s="8" t="s">
        <v>1333</v>
      </c>
      <c r="K488" s="148">
        <v>1398.6491468126208</v>
      </c>
      <c r="L488" s="9">
        <v>18500</v>
      </c>
      <c r="M488" s="9">
        <f>+L488*0.08</f>
        <v>1480</v>
      </c>
      <c r="N488" s="9">
        <f t="shared" si="385"/>
        <v>9250</v>
      </c>
      <c r="O488" s="9">
        <f t="shared" si="386"/>
        <v>6371.3508531873795</v>
      </c>
      <c r="P488" s="9">
        <f t="shared" si="387"/>
        <v>2878.6491468126205</v>
      </c>
      <c r="Q488" s="139">
        <f t="shared" si="388"/>
        <v>0.68879468683106804</v>
      </c>
      <c r="R488" s="336">
        <v>18500</v>
      </c>
      <c r="S488" s="359" t="s">
        <v>1948</v>
      </c>
      <c r="T488" s="305">
        <v>0.68879468683106804</v>
      </c>
      <c r="U488" s="140"/>
      <c r="V488" s="100"/>
      <c r="W488" s="110">
        <f t="shared" si="389"/>
        <v>18500</v>
      </c>
      <c r="X488" s="110">
        <f t="shared" si="390"/>
        <v>1398.6491468126208</v>
      </c>
      <c r="Y488" s="110">
        <f t="shared" si="391"/>
        <v>1480</v>
      </c>
      <c r="Z488" s="110">
        <f t="shared" si="392"/>
        <v>6371.3508531873795</v>
      </c>
      <c r="AA488" s="260">
        <f t="shared" si="393"/>
        <v>0.68879468683106804</v>
      </c>
      <c r="AB488" s="28">
        <f t="shared" si="394"/>
        <v>6.1</v>
      </c>
      <c r="AC488" s="261">
        <f t="shared" si="395"/>
        <v>0.68881655377593787</v>
      </c>
      <c r="AD488" s="111">
        <f t="shared" si="396"/>
        <v>2</v>
      </c>
      <c r="AE488" s="262">
        <f t="shared" si="397"/>
        <v>5.089048901661037E-2</v>
      </c>
      <c r="AF488" s="100"/>
      <c r="AG488" s="111">
        <f t="shared" si="398"/>
        <v>3.2</v>
      </c>
      <c r="AH488" s="262">
        <f t="shared" si="399"/>
        <v>0.40680655563538154</v>
      </c>
      <c r="AI488" s="100"/>
      <c r="AJ488" s="111">
        <f t="shared" si="400"/>
        <v>2.9</v>
      </c>
      <c r="AK488" s="262">
        <f t="shared" si="401"/>
        <v>0.34544171656317951</v>
      </c>
      <c r="AL488" s="100"/>
      <c r="AM488" s="111">
        <f t="shared" si="402"/>
        <v>2.7</v>
      </c>
      <c r="AN488" s="262">
        <f t="shared" si="403"/>
        <v>0.29695591779008185</v>
      </c>
      <c r="AO488" s="100"/>
      <c r="AP488" s="24" t="e">
        <f>VLOOKUP(C488,#REF!,6,FALSE)</f>
        <v>#REF!</v>
      </c>
      <c r="AQ488" s="24" t="e">
        <f>VLOOKUP(C488,#REF!,7,FALSE)</f>
        <v>#REF!</v>
      </c>
      <c r="AR488" s="24" t="e">
        <f>VLOOKUP(C488,#REF!,12,FALSE)</f>
        <v>#REF!</v>
      </c>
      <c r="AS488" s="24" t="e">
        <f>VLOOKUP(C488,#REF!,13,FALSE)</f>
        <v>#REF!</v>
      </c>
      <c r="AT488" s="100"/>
      <c r="AU488" s="100"/>
      <c r="AV488" s="100">
        <v>472</v>
      </c>
      <c r="AW488" s="100"/>
      <c r="AY488" s="9">
        <v>18500</v>
      </c>
    </row>
    <row r="489" spans="1:51" s="2" customFormat="1" ht="12.75" customHeight="1" x14ac:dyDescent="0.2">
      <c r="A489" s="6" t="s">
        <v>2045</v>
      </c>
      <c r="B489" s="279">
        <v>9789500216197</v>
      </c>
      <c r="C489" s="6">
        <v>729379</v>
      </c>
      <c r="D489" s="41">
        <v>288</v>
      </c>
      <c r="E489" s="6" t="s">
        <v>2046</v>
      </c>
      <c r="F489" s="8" t="s">
        <v>2047</v>
      </c>
      <c r="G489" s="118">
        <v>45778</v>
      </c>
      <c r="H489" s="108">
        <v>45901</v>
      </c>
      <c r="I489" s="264">
        <v>2025</v>
      </c>
      <c r="J489" s="6" t="s">
        <v>1333</v>
      </c>
      <c r="K489" s="148">
        <v>1526.98</v>
      </c>
      <c r="L489" s="295">
        <v>18500</v>
      </c>
      <c r="M489" s="9">
        <f>+L489*0.1</f>
        <v>1850</v>
      </c>
      <c r="N489" s="9">
        <f t="shared" si="385"/>
        <v>9250</v>
      </c>
      <c r="O489" s="9">
        <f t="shared" si="386"/>
        <v>5873.02</v>
      </c>
      <c r="P489" s="9">
        <f t="shared" si="387"/>
        <v>3376.98</v>
      </c>
      <c r="Q489" s="139">
        <f t="shared" si="388"/>
        <v>0.63492108108108114</v>
      </c>
      <c r="R489" s="336">
        <v>18500</v>
      </c>
      <c r="S489" s="359" t="s">
        <v>1948</v>
      </c>
      <c r="T489" s="305">
        <v>0.63492108108108114</v>
      </c>
      <c r="U489" s="140"/>
      <c r="V489" s="100"/>
      <c r="W489" s="110">
        <f t="shared" si="389"/>
        <v>18500</v>
      </c>
      <c r="X489" s="110">
        <f t="shared" si="390"/>
        <v>1526.98</v>
      </c>
      <c r="Y489" s="110">
        <f t="shared" si="391"/>
        <v>1850</v>
      </c>
      <c r="Z489" s="110">
        <f t="shared" si="392"/>
        <v>5873.02</v>
      </c>
      <c r="AA489" s="260">
        <f t="shared" si="393"/>
        <v>0.63492108108108114</v>
      </c>
      <c r="AB489" s="28">
        <f t="shared" si="394"/>
        <v>6.1</v>
      </c>
      <c r="AC489" s="261">
        <f t="shared" si="395"/>
        <v>0.63494673347278308</v>
      </c>
      <c r="AD489" s="111">
        <f t="shared" si="396"/>
        <v>2.2999999999999998</v>
      </c>
      <c r="AE489" s="262">
        <f t="shared" si="397"/>
        <v>3.1815249645207017E-2</v>
      </c>
      <c r="AF489" s="100"/>
      <c r="AG489" s="111">
        <f t="shared" si="398"/>
        <v>3.7</v>
      </c>
      <c r="AH489" s="262">
        <f t="shared" si="399"/>
        <v>0.39815542545512872</v>
      </c>
      <c r="AI489" s="100"/>
      <c r="AJ489" s="111">
        <f t="shared" si="400"/>
        <v>3.4</v>
      </c>
      <c r="AK489" s="262">
        <f t="shared" si="401"/>
        <v>0.3450514924070518</v>
      </c>
      <c r="AL489" s="100"/>
      <c r="AM489" s="111">
        <f t="shared" si="402"/>
        <v>3.2</v>
      </c>
      <c r="AN489" s="262">
        <f t="shared" si="403"/>
        <v>0.30411721068249259</v>
      </c>
      <c r="AO489" s="100"/>
      <c r="AP489" s="24" t="e">
        <f>VLOOKUP(C489,#REF!,6,FALSE)</f>
        <v>#REF!</v>
      </c>
      <c r="AQ489" s="24" t="e">
        <f>VLOOKUP(C489,#REF!,7,FALSE)</f>
        <v>#REF!</v>
      </c>
      <c r="AR489" s="24" t="e">
        <f>VLOOKUP(C489,#REF!,12,FALSE)</f>
        <v>#REF!</v>
      </c>
      <c r="AS489" s="24" t="e">
        <f>VLOOKUP(C489,#REF!,13,FALSE)</f>
        <v>#REF!</v>
      </c>
      <c r="AT489" s="100"/>
      <c r="AU489" s="100"/>
      <c r="AV489" s="100">
        <v>473</v>
      </c>
      <c r="AW489" s="100"/>
      <c r="AY489" s="295">
        <v>18500</v>
      </c>
    </row>
    <row r="490" spans="1:51" s="2" customFormat="1" ht="12.75" customHeight="1" x14ac:dyDescent="0.2">
      <c r="A490" s="165" t="s">
        <v>1900</v>
      </c>
      <c r="B490" s="158">
        <v>9789500215473</v>
      </c>
      <c r="C490" s="158">
        <v>719964</v>
      </c>
      <c r="D490" s="41">
        <v>192</v>
      </c>
      <c r="E490" s="7" t="s">
        <v>1901</v>
      </c>
      <c r="F490" s="25" t="s">
        <v>1895</v>
      </c>
      <c r="G490" s="107">
        <v>45536</v>
      </c>
      <c r="H490" s="108">
        <v>45505</v>
      </c>
      <c r="I490" s="267">
        <v>2089</v>
      </c>
      <c r="J490" s="28" t="s">
        <v>1333</v>
      </c>
      <c r="K490" s="148">
        <v>1563.7</v>
      </c>
      <c r="L490" s="9">
        <v>18500</v>
      </c>
      <c r="M490" s="9">
        <f>+L490*0.08</f>
        <v>1480</v>
      </c>
      <c r="N490" s="9">
        <f t="shared" si="385"/>
        <v>9250</v>
      </c>
      <c r="O490" s="9">
        <f t="shared" si="386"/>
        <v>6206.3</v>
      </c>
      <c r="P490" s="9">
        <f t="shared" si="387"/>
        <v>3043.7</v>
      </c>
      <c r="Q490" s="139">
        <f t="shared" si="388"/>
        <v>0.67095135135135142</v>
      </c>
      <c r="R490" s="336">
        <v>18500</v>
      </c>
      <c r="S490" s="359" t="s">
        <v>1948</v>
      </c>
      <c r="T490" s="305">
        <v>0.67095135135135142</v>
      </c>
      <c r="U490" s="140"/>
      <c r="V490" s="100"/>
      <c r="W490" s="110">
        <f t="shared" si="389"/>
        <v>18500</v>
      </c>
      <c r="X490" s="110">
        <f t="shared" si="390"/>
        <v>1563.7</v>
      </c>
      <c r="Y490" s="110">
        <f t="shared" si="391"/>
        <v>1480</v>
      </c>
      <c r="Z490" s="110">
        <f t="shared" si="392"/>
        <v>6206.3</v>
      </c>
      <c r="AA490" s="260">
        <f t="shared" si="393"/>
        <v>0.67095135135135142</v>
      </c>
      <c r="AB490" s="28">
        <f t="shared" si="394"/>
        <v>6.1</v>
      </c>
      <c r="AC490" s="261">
        <f t="shared" si="395"/>
        <v>0.67097447206412519</v>
      </c>
      <c r="AD490" s="111">
        <f t="shared" si="396"/>
        <v>2.1</v>
      </c>
      <c r="AE490" s="262">
        <f t="shared" si="397"/>
        <v>4.4259180757697088E-2</v>
      </c>
      <c r="AF490" s="100"/>
      <c r="AG490" s="111">
        <f t="shared" si="398"/>
        <v>3.3</v>
      </c>
      <c r="AH490" s="262">
        <f t="shared" si="399"/>
        <v>0.39180129684580722</v>
      </c>
      <c r="AI490" s="100"/>
      <c r="AJ490" s="111">
        <f t="shared" si="400"/>
        <v>3.1</v>
      </c>
      <c r="AK490" s="262">
        <f t="shared" si="401"/>
        <v>0.3525626708358594</v>
      </c>
      <c r="AL490" s="100"/>
      <c r="AM490" s="111">
        <f t="shared" si="402"/>
        <v>2.9</v>
      </c>
      <c r="AN490" s="262">
        <f t="shared" si="403"/>
        <v>0.30791182054867716</v>
      </c>
      <c r="AO490" s="100"/>
      <c r="AP490" s="24" t="e">
        <f>VLOOKUP(C490,#REF!,6,FALSE)</f>
        <v>#REF!</v>
      </c>
      <c r="AQ490" s="24" t="e">
        <f>VLOOKUP(C490,#REF!,7,FALSE)</f>
        <v>#REF!</v>
      </c>
      <c r="AR490" s="24" t="e">
        <f>VLOOKUP(C490,#REF!,12,FALSE)</f>
        <v>#REF!</v>
      </c>
      <c r="AS490" s="24" t="e">
        <f>VLOOKUP(C490,#REF!,13,FALSE)</f>
        <v>#REF!</v>
      </c>
      <c r="AT490" s="100"/>
      <c r="AU490" s="100"/>
      <c r="AV490" s="100">
        <v>474</v>
      </c>
      <c r="AW490" s="100"/>
      <c r="AY490" s="9">
        <v>18500</v>
      </c>
    </row>
    <row r="491" spans="1:51" s="2" customFormat="1" ht="12.75" customHeight="1" x14ac:dyDescent="0.2">
      <c r="A491" s="7" t="s">
        <v>1839</v>
      </c>
      <c r="B491" s="8">
        <v>9789500215190</v>
      </c>
      <c r="C491" s="8">
        <v>716994</v>
      </c>
      <c r="D491" s="25">
        <v>264</v>
      </c>
      <c r="E491" s="7" t="s">
        <v>1840</v>
      </c>
      <c r="F491" s="25" t="s">
        <v>1841</v>
      </c>
      <c r="G491" s="107">
        <v>45444</v>
      </c>
      <c r="H491" s="108">
        <v>45931</v>
      </c>
      <c r="I491" s="264">
        <v>2047</v>
      </c>
      <c r="J491" s="25" t="s">
        <v>1333</v>
      </c>
      <c r="K491" s="148">
        <v>1094.44</v>
      </c>
      <c r="L491" s="9">
        <v>18500</v>
      </c>
      <c r="M491" s="9">
        <f>+L491*0.08</f>
        <v>1480</v>
      </c>
      <c r="N491" s="9">
        <f t="shared" si="385"/>
        <v>9250</v>
      </c>
      <c r="O491" s="9">
        <f t="shared" si="386"/>
        <v>6675.5599999999995</v>
      </c>
      <c r="P491" s="9">
        <f t="shared" si="387"/>
        <v>2574.44</v>
      </c>
      <c r="Q491" s="139">
        <f t="shared" si="388"/>
        <v>0.72168216216216208</v>
      </c>
      <c r="R491" s="336">
        <v>18500</v>
      </c>
      <c r="S491" s="359" t="s">
        <v>1948</v>
      </c>
      <c r="T491" s="305">
        <v>0.72168216216216208</v>
      </c>
      <c r="U491" s="140"/>
      <c r="V491" s="100"/>
      <c r="W491" s="110">
        <f t="shared" si="389"/>
        <v>18500</v>
      </c>
      <c r="X491" s="110">
        <f t="shared" si="390"/>
        <v>1094.44</v>
      </c>
      <c r="Y491" s="110">
        <f t="shared" si="391"/>
        <v>1480</v>
      </c>
      <c r="Z491" s="110">
        <f t="shared" si="392"/>
        <v>6675.5599999999995</v>
      </c>
      <c r="AA491" s="260">
        <f t="shared" si="393"/>
        <v>0.72168216216216208</v>
      </c>
      <c r="AB491" s="28">
        <f t="shared" si="394"/>
        <v>6.1</v>
      </c>
      <c r="AC491" s="261">
        <f t="shared" si="395"/>
        <v>0.72170171825763585</v>
      </c>
      <c r="AD491" s="111">
        <f t="shared" si="396"/>
        <v>1.8</v>
      </c>
      <c r="AE491" s="262">
        <f t="shared" si="397"/>
        <v>5.6878045206433019E-2</v>
      </c>
      <c r="AF491" s="100"/>
      <c r="AG491" s="111">
        <f t="shared" si="398"/>
        <v>2.8</v>
      </c>
      <c r="AH491" s="262">
        <f t="shared" si="399"/>
        <v>0.39370731477556398</v>
      </c>
      <c r="AI491" s="100"/>
      <c r="AJ491" s="111">
        <f t="shared" si="400"/>
        <v>2.6</v>
      </c>
      <c r="AK491" s="262">
        <f t="shared" si="401"/>
        <v>0.34706941591214591</v>
      </c>
      <c r="AL491" s="100"/>
      <c r="AM491" s="111">
        <f t="shared" si="402"/>
        <v>2.4</v>
      </c>
      <c r="AN491" s="262">
        <f t="shared" si="403"/>
        <v>0.29265853390482466</v>
      </c>
      <c r="AO491" s="100"/>
      <c r="AP491" s="24" t="e">
        <f>VLOOKUP(C491,#REF!,6,FALSE)</f>
        <v>#REF!</v>
      </c>
      <c r="AQ491" s="24" t="e">
        <f>VLOOKUP(C491,#REF!,7,FALSE)</f>
        <v>#REF!</v>
      </c>
      <c r="AR491" s="24" t="e">
        <f>VLOOKUP(C491,#REF!,12,FALSE)</f>
        <v>#REF!</v>
      </c>
      <c r="AS491" s="24" t="e">
        <f>VLOOKUP(C491,#REF!,13,FALSE)</f>
        <v>#REF!</v>
      </c>
      <c r="AT491" s="100"/>
      <c r="AU491" s="100"/>
      <c r="AV491" s="100">
        <v>475</v>
      </c>
      <c r="AW491" s="100"/>
      <c r="AY491" s="9">
        <v>18500</v>
      </c>
    </row>
    <row r="492" spans="1:51" s="2" customFormat="1" ht="12.75" customHeight="1" x14ac:dyDescent="0.2">
      <c r="A492" s="6" t="s">
        <v>1351</v>
      </c>
      <c r="B492" s="8">
        <v>9789500213424</v>
      </c>
      <c r="C492" s="8">
        <v>703397</v>
      </c>
      <c r="D492" s="41">
        <v>224</v>
      </c>
      <c r="E492" s="7" t="s">
        <v>765</v>
      </c>
      <c r="F492" s="7" t="s">
        <v>644</v>
      </c>
      <c r="G492" s="107">
        <v>44986</v>
      </c>
      <c r="H492" s="108">
        <v>44958</v>
      </c>
      <c r="I492" s="7">
        <v>2086</v>
      </c>
      <c r="J492" s="28" t="s">
        <v>1333</v>
      </c>
      <c r="K492" s="9">
        <v>381.69</v>
      </c>
      <c r="L492" s="28">
        <v>18500</v>
      </c>
      <c r="M492" s="9">
        <f>+L492*0.08</f>
        <v>1480</v>
      </c>
      <c r="N492" s="9">
        <f t="shared" si="385"/>
        <v>9250</v>
      </c>
      <c r="O492" s="9">
        <f t="shared" si="386"/>
        <v>7388.31</v>
      </c>
      <c r="P492" s="9">
        <f t="shared" si="387"/>
        <v>1861.69</v>
      </c>
      <c r="Q492" s="139">
        <f t="shared" si="388"/>
        <v>0.79873621621621627</v>
      </c>
      <c r="R492" s="336">
        <v>18500</v>
      </c>
      <c r="S492" s="359" t="s">
        <v>1948</v>
      </c>
      <c r="T492" s="305">
        <v>0.79873621621621627</v>
      </c>
      <c r="U492" s="140"/>
      <c r="V492" s="100"/>
      <c r="W492" s="110">
        <f t="shared" si="389"/>
        <v>18500</v>
      </c>
      <c r="X492" s="110">
        <f t="shared" si="390"/>
        <v>381.69</v>
      </c>
      <c r="Y492" s="110">
        <f t="shared" si="391"/>
        <v>1480</v>
      </c>
      <c r="Z492" s="110">
        <f t="shared" si="392"/>
        <v>7388.3099999999995</v>
      </c>
      <c r="AA492" s="260">
        <f t="shared" si="393"/>
        <v>0.79873621621621615</v>
      </c>
      <c r="AB492" s="28">
        <f t="shared" si="394"/>
        <v>6.1</v>
      </c>
      <c r="AC492" s="261">
        <f t="shared" si="395"/>
        <v>0.79875035808294548</v>
      </c>
      <c r="AD492" s="111">
        <f t="shared" si="396"/>
        <v>1.3</v>
      </c>
      <c r="AE492" s="262">
        <f t="shared" si="397"/>
        <v>5.5674757158436679E-2</v>
      </c>
      <c r="AF492" s="100"/>
      <c r="AG492" s="111">
        <f t="shared" si="398"/>
        <v>2</v>
      </c>
      <c r="AH492" s="262">
        <f t="shared" si="399"/>
        <v>0.38618859215298385</v>
      </c>
      <c r="AI492" s="100"/>
      <c r="AJ492" s="111">
        <f t="shared" si="400"/>
        <v>1.9</v>
      </c>
      <c r="AK492" s="262">
        <f t="shared" si="401"/>
        <v>0.35388272858208819</v>
      </c>
      <c r="AL492" s="100"/>
      <c r="AM492" s="111">
        <f t="shared" si="402"/>
        <v>1.8</v>
      </c>
      <c r="AN492" s="262">
        <f t="shared" si="403"/>
        <v>0.31798732461442653</v>
      </c>
      <c r="AO492" s="100"/>
      <c r="AP492" s="24" t="e">
        <f>VLOOKUP(C492,#REF!,6,FALSE)</f>
        <v>#REF!</v>
      </c>
      <c r="AQ492" s="24" t="e">
        <f>VLOOKUP(C492,#REF!,7,FALSE)</f>
        <v>#REF!</v>
      </c>
      <c r="AR492" s="24" t="e">
        <f>VLOOKUP(C492,#REF!,12,FALSE)</f>
        <v>#REF!</v>
      </c>
      <c r="AS492" s="24" t="e">
        <f>VLOOKUP(C492,#REF!,13,FALSE)</f>
        <v>#REF!</v>
      </c>
      <c r="AT492" s="100"/>
      <c r="AU492" s="100"/>
      <c r="AV492" s="100">
        <v>476</v>
      </c>
      <c r="AW492" s="100"/>
      <c r="AY492" s="28">
        <v>18500</v>
      </c>
    </row>
    <row r="493" spans="1:51" s="2" customFormat="1" ht="12.75" customHeight="1" x14ac:dyDescent="0.2">
      <c r="A493" s="7" t="s">
        <v>1352</v>
      </c>
      <c r="B493" s="8">
        <v>9789500210614</v>
      </c>
      <c r="C493" s="8">
        <v>676167</v>
      </c>
      <c r="D493" s="25">
        <v>176</v>
      </c>
      <c r="E493" s="7" t="s">
        <v>488</v>
      </c>
      <c r="F493" s="7" t="s">
        <v>828</v>
      </c>
      <c r="G493" s="107">
        <v>43983</v>
      </c>
      <c r="H493" s="108">
        <v>46174</v>
      </c>
      <c r="I493" s="7">
        <v>500</v>
      </c>
      <c r="J493" s="28" t="s">
        <v>1333</v>
      </c>
      <c r="K493" s="292">
        <v>2359.88</v>
      </c>
      <c r="L493" s="28">
        <v>18500</v>
      </c>
      <c r="M493" s="9">
        <f>+L493*0.1</f>
        <v>1850</v>
      </c>
      <c r="N493" s="9">
        <f t="shared" si="385"/>
        <v>9250</v>
      </c>
      <c r="O493" s="9">
        <f t="shared" si="386"/>
        <v>5040.12</v>
      </c>
      <c r="P493" s="9">
        <f t="shared" si="387"/>
        <v>4209.88</v>
      </c>
      <c r="Q493" s="139">
        <f t="shared" si="388"/>
        <v>0.54487783783783783</v>
      </c>
      <c r="R493" s="336">
        <v>18500</v>
      </c>
      <c r="S493" s="359" t="s">
        <v>1948</v>
      </c>
      <c r="T493" s="305">
        <v>0.52471567567567567</v>
      </c>
      <c r="U493" s="140"/>
      <c r="V493" s="100"/>
      <c r="W493" s="110">
        <f t="shared" si="389"/>
        <v>18500</v>
      </c>
      <c r="X493" s="110">
        <f t="shared" si="390"/>
        <v>2359.88</v>
      </c>
      <c r="Y493" s="110">
        <f t="shared" si="391"/>
        <v>1850</v>
      </c>
      <c r="Z493" s="110">
        <f t="shared" si="392"/>
        <v>5040.12</v>
      </c>
      <c r="AA493" s="260">
        <f t="shared" si="393"/>
        <v>0.54487783783783783</v>
      </c>
      <c r="AB493" s="28">
        <f t="shared" si="394"/>
        <v>6.1</v>
      </c>
      <c r="AC493" s="261">
        <f t="shared" si="395"/>
        <v>0.54490981714798414</v>
      </c>
      <c r="AD493" s="111">
        <f t="shared" si="396"/>
        <v>2.9</v>
      </c>
      <c r="AE493" s="262">
        <f t="shared" si="397"/>
        <v>4.2741339518173507E-2</v>
      </c>
      <c r="AF493" s="100"/>
      <c r="AG493" s="111">
        <f t="shared" si="398"/>
        <v>4.5999999999999996</v>
      </c>
      <c r="AH493" s="262">
        <f t="shared" si="399"/>
        <v>0.39651084447884855</v>
      </c>
      <c r="AI493" s="100"/>
      <c r="AJ493" s="111">
        <f t="shared" si="400"/>
        <v>4.3</v>
      </c>
      <c r="AK493" s="262">
        <f t="shared" si="401"/>
        <v>0.35440694990760546</v>
      </c>
      <c r="AL493" s="100"/>
      <c r="AM493" s="111">
        <f t="shared" si="402"/>
        <v>4</v>
      </c>
      <c r="AN493" s="262">
        <f t="shared" si="403"/>
        <v>0.30598747115067587</v>
      </c>
      <c r="AO493" s="100"/>
      <c r="AP493" s="24" t="e">
        <f>VLOOKUP(C493,#REF!,6,FALSE)</f>
        <v>#REF!</v>
      </c>
      <c r="AQ493" s="24" t="e">
        <f>VLOOKUP(C493,#REF!,7,FALSE)</f>
        <v>#REF!</v>
      </c>
      <c r="AR493" s="24" t="e">
        <f>VLOOKUP(C493,#REF!,12,FALSE)</f>
        <v>#REF!</v>
      </c>
      <c r="AS493" s="24" t="e">
        <f>VLOOKUP(C493,#REF!,13,FALSE)</f>
        <v>#REF!</v>
      </c>
      <c r="AT493" s="100"/>
      <c r="AU493" s="100"/>
      <c r="AV493" s="100">
        <v>477</v>
      </c>
      <c r="AW493" s="100"/>
      <c r="AY493" s="28">
        <v>18500</v>
      </c>
    </row>
    <row r="494" spans="1:51" s="2" customFormat="1" ht="12.75" customHeight="1" x14ac:dyDescent="0.2">
      <c r="A494" s="7" t="s">
        <v>1353</v>
      </c>
      <c r="B494" s="8">
        <v>9789500211536</v>
      </c>
      <c r="C494" s="8">
        <v>681370</v>
      </c>
      <c r="D494" s="25">
        <v>192</v>
      </c>
      <c r="E494" s="7" t="s">
        <v>526</v>
      </c>
      <c r="F494" s="7" t="s">
        <v>527</v>
      </c>
      <c r="G494" s="107">
        <v>44228</v>
      </c>
      <c r="H494" s="108">
        <v>44197</v>
      </c>
      <c r="I494" s="24">
        <v>3071</v>
      </c>
      <c r="J494" s="28" t="s">
        <v>1333</v>
      </c>
      <c r="K494" s="9">
        <v>75.37</v>
      </c>
      <c r="L494" s="28">
        <v>18500</v>
      </c>
      <c r="M494" s="112">
        <f>+L494*0.1</f>
        <v>1850</v>
      </c>
      <c r="N494" s="9">
        <f t="shared" si="385"/>
        <v>9250</v>
      </c>
      <c r="O494" s="9">
        <f t="shared" si="386"/>
        <v>7324.63</v>
      </c>
      <c r="P494" s="9">
        <f t="shared" si="387"/>
        <v>1925.37</v>
      </c>
      <c r="Q494" s="139">
        <f t="shared" si="388"/>
        <v>0.79185189189189187</v>
      </c>
      <c r="R494" s="336">
        <v>18500</v>
      </c>
      <c r="S494" s="359" t="s">
        <v>1948</v>
      </c>
      <c r="T494" s="305">
        <v>0.79185189189189187</v>
      </c>
      <c r="U494" s="140"/>
      <c r="V494" s="100"/>
      <c r="W494" s="110">
        <f t="shared" si="389"/>
        <v>18500</v>
      </c>
      <c r="X494" s="110">
        <f t="shared" si="390"/>
        <v>75.37</v>
      </c>
      <c r="Y494" s="110">
        <f t="shared" si="391"/>
        <v>1850</v>
      </c>
      <c r="Z494" s="110">
        <f t="shared" si="392"/>
        <v>7324.6299999999992</v>
      </c>
      <c r="AA494" s="260">
        <f t="shared" si="393"/>
        <v>0.79185189189189176</v>
      </c>
      <c r="AB494" s="28">
        <f t="shared" si="394"/>
        <v>6.1</v>
      </c>
      <c r="AC494" s="261">
        <f t="shared" si="395"/>
        <v>0.79186651748796022</v>
      </c>
      <c r="AD494" s="111">
        <f t="shared" si="396"/>
        <v>1.3</v>
      </c>
      <c r="AE494" s="262">
        <f t="shared" si="397"/>
        <v>2.3373658981967551E-2</v>
      </c>
      <c r="AF494" s="100"/>
      <c r="AG494" s="111">
        <f t="shared" si="398"/>
        <v>2.1</v>
      </c>
      <c r="AH494" s="262">
        <f t="shared" si="399"/>
        <v>0.39542178889359902</v>
      </c>
      <c r="AI494" s="100"/>
      <c r="AJ494" s="111">
        <f t="shared" si="400"/>
        <v>2</v>
      </c>
      <c r="AK494" s="262">
        <f t="shared" si="401"/>
        <v>0.36519287833827896</v>
      </c>
      <c r="AL494" s="100"/>
      <c r="AM494" s="111">
        <f t="shared" si="402"/>
        <v>1.8</v>
      </c>
      <c r="AN494" s="262">
        <f t="shared" si="403"/>
        <v>0.29465875370919892</v>
      </c>
      <c r="AO494" s="100"/>
      <c r="AP494" s="24" t="e">
        <f>VLOOKUP(C494,#REF!,6,FALSE)</f>
        <v>#REF!</v>
      </c>
      <c r="AQ494" s="24" t="e">
        <f>VLOOKUP(C494,#REF!,7,FALSE)</f>
        <v>#REF!</v>
      </c>
      <c r="AR494" s="24" t="e">
        <f>VLOOKUP(C494,#REF!,12,FALSE)</f>
        <v>#REF!</v>
      </c>
      <c r="AS494" s="24" t="e">
        <f>VLOOKUP(C494,#REF!,13,FALSE)</f>
        <v>#REF!</v>
      </c>
      <c r="AT494" s="100"/>
      <c r="AU494" s="100"/>
      <c r="AV494" s="100">
        <v>478</v>
      </c>
      <c r="AW494" s="100"/>
      <c r="AY494" s="28">
        <v>18500</v>
      </c>
    </row>
    <row r="495" spans="1:51" s="132" customFormat="1" ht="12.75" customHeight="1" x14ac:dyDescent="0.2">
      <c r="A495" s="7" t="s">
        <v>1354</v>
      </c>
      <c r="B495" s="8">
        <v>9789500212625</v>
      </c>
      <c r="C495" s="8">
        <v>693798</v>
      </c>
      <c r="D495" s="25">
        <v>128</v>
      </c>
      <c r="E495" s="9" t="s">
        <v>688</v>
      </c>
      <c r="F495" s="7" t="s">
        <v>689</v>
      </c>
      <c r="G495" s="107">
        <v>44682</v>
      </c>
      <c r="H495" s="107">
        <v>46235</v>
      </c>
      <c r="I495" s="7">
        <v>500</v>
      </c>
      <c r="J495" s="28" t="s">
        <v>1333</v>
      </c>
      <c r="K495" s="9">
        <v>2228.73</v>
      </c>
      <c r="L495" s="28">
        <v>18500</v>
      </c>
      <c r="M495" s="9">
        <f>+L495*0.08</f>
        <v>1480</v>
      </c>
      <c r="N495" s="9">
        <f t="shared" si="385"/>
        <v>9250</v>
      </c>
      <c r="O495" s="9">
        <f t="shared" si="386"/>
        <v>5541.27</v>
      </c>
      <c r="P495" s="9">
        <f t="shared" si="387"/>
        <v>3708.73</v>
      </c>
      <c r="Q495" s="139">
        <f t="shared" si="388"/>
        <v>0.5990562162162163</v>
      </c>
      <c r="R495" s="336">
        <v>18500</v>
      </c>
      <c r="S495" s="359" t="s">
        <v>1948</v>
      </c>
      <c r="T495" s="305">
        <v>0.80148756756756756</v>
      </c>
      <c r="U495" s="12"/>
      <c r="V495" s="100"/>
      <c r="W495" s="110">
        <f t="shared" si="389"/>
        <v>18500</v>
      </c>
      <c r="X495" s="110">
        <f t="shared" si="390"/>
        <v>2228.73</v>
      </c>
      <c r="Y495" s="110">
        <f t="shared" si="391"/>
        <v>1480</v>
      </c>
      <c r="Z495" s="110">
        <f t="shared" si="392"/>
        <v>5541.27</v>
      </c>
      <c r="AA495" s="260">
        <f t="shared" si="393"/>
        <v>0.5990562162162163</v>
      </c>
      <c r="AB495" s="28">
        <f t="shared" si="394"/>
        <v>6.1</v>
      </c>
      <c r="AC495" s="261">
        <f t="shared" si="395"/>
        <v>0.59908438866458036</v>
      </c>
      <c r="AD495" s="111">
        <f t="shared" si="396"/>
        <v>2.6</v>
      </c>
      <c r="AE495" s="262">
        <f t="shared" si="397"/>
        <v>5.9390296482284631E-2</v>
      </c>
      <c r="AF495" s="100"/>
      <c r="AG495" s="111">
        <f t="shared" si="398"/>
        <v>4.0999999999999996</v>
      </c>
      <c r="AH495" s="262">
        <f t="shared" si="399"/>
        <v>0.40351579776925361</v>
      </c>
      <c r="AI495" s="100"/>
      <c r="AJ495" s="111">
        <f t="shared" si="400"/>
        <v>3.8</v>
      </c>
      <c r="AK495" s="262">
        <f t="shared" si="401"/>
        <v>0.35642493969840522</v>
      </c>
      <c r="AL495" s="100"/>
      <c r="AM495" s="111">
        <f t="shared" si="402"/>
        <v>3.5</v>
      </c>
      <c r="AN495" s="262">
        <f t="shared" si="403"/>
        <v>0.30126136310112572</v>
      </c>
      <c r="AO495" s="100"/>
      <c r="AP495" s="24" t="e">
        <f>VLOOKUP(C495,#REF!,6,FALSE)</f>
        <v>#REF!</v>
      </c>
      <c r="AQ495" s="24" t="e">
        <f>VLOOKUP(C495,#REF!,7,FALSE)</f>
        <v>#REF!</v>
      </c>
      <c r="AR495" s="24" t="e">
        <f>VLOOKUP(C495,#REF!,12,FALSE)</f>
        <v>#REF!</v>
      </c>
      <c r="AS495" s="24" t="e">
        <f>VLOOKUP(C495,#REF!,13,FALSE)</f>
        <v>#REF!</v>
      </c>
      <c r="AT495" s="100"/>
      <c r="AU495" s="100"/>
      <c r="AV495" s="100">
        <v>479</v>
      </c>
      <c r="AW495" s="100"/>
      <c r="AY495" s="28">
        <v>18500</v>
      </c>
    </row>
    <row r="496" spans="1:51" s="2" customFormat="1" ht="12.75" customHeight="1" x14ac:dyDescent="0.2">
      <c r="A496" s="7" t="s">
        <v>1355</v>
      </c>
      <c r="B496" s="8">
        <v>9789500212472</v>
      </c>
      <c r="C496" s="8">
        <v>691782</v>
      </c>
      <c r="D496" s="25">
        <v>224</v>
      </c>
      <c r="E496" s="9" t="s">
        <v>656</v>
      </c>
      <c r="F496" s="7" t="s">
        <v>658</v>
      </c>
      <c r="G496" s="107">
        <v>44621</v>
      </c>
      <c r="H496" s="108">
        <v>44593</v>
      </c>
      <c r="I496" s="7">
        <v>2079</v>
      </c>
      <c r="J496" s="28" t="s">
        <v>1333</v>
      </c>
      <c r="K496" s="9">
        <v>491.02</v>
      </c>
      <c r="L496" s="28">
        <v>18500</v>
      </c>
      <c r="M496" s="9">
        <f>+L496*0.08</f>
        <v>1480</v>
      </c>
      <c r="N496" s="9">
        <f t="shared" si="385"/>
        <v>9250</v>
      </c>
      <c r="O496" s="9">
        <f t="shared" si="386"/>
        <v>7278.98</v>
      </c>
      <c r="P496" s="9">
        <f t="shared" si="387"/>
        <v>1971.02</v>
      </c>
      <c r="Q496" s="139">
        <f t="shared" si="388"/>
        <v>0.78691675675675676</v>
      </c>
      <c r="R496" s="336">
        <v>18500</v>
      </c>
      <c r="S496" s="359" t="s">
        <v>1948</v>
      </c>
      <c r="T496" s="305">
        <v>0.78691675675675676</v>
      </c>
      <c r="U496" s="12"/>
      <c r="V496" s="100"/>
      <c r="W496" s="110">
        <f t="shared" si="389"/>
        <v>18500</v>
      </c>
      <c r="X496" s="110">
        <f t="shared" si="390"/>
        <v>491.02</v>
      </c>
      <c r="Y496" s="110">
        <f t="shared" si="391"/>
        <v>1480</v>
      </c>
      <c r="Z496" s="110">
        <f t="shared" si="392"/>
        <v>7278.98</v>
      </c>
      <c r="AA496" s="260">
        <f t="shared" si="393"/>
        <v>0.78691675675675676</v>
      </c>
      <c r="AB496" s="28">
        <f t="shared" si="394"/>
        <v>6.1</v>
      </c>
      <c r="AC496" s="261">
        <f t="shared" si="395"/>
        <v>0.78693172912173737</v>
      </c>
      <c r="AD496" s="111">
        <f t="shared" si="396"/>
        <v>1.4</v>
      </c>
      <c r="AE496" s="262">
        <f t="shared" si="397"/>
        <v>7.1631105458998603E-2</v>
      </c>
      <c r="AF496" s="100"/>
      <c r="AG496" s="111">
        <f t="shared" si="398"/>
        <v>2.2000000000000002</v>
      </c>
      <c r="AH496" s="262">
        <f t="shared" si="399"/>
        <v>0.40921979438299916</v>
      </c>
      <c r="AI496" s="100"/>
      <c r="AJ496" s="111">
        <f t="shared" si="400"/>
        <v>2</v>
      </c>
      <c r="AK496" s="262">
        <f t="shared" si="401"/>
        <v>0.35014177382129907</v>
      </c>
      <c r="AL496" s="100"/>
      <c r="AM496" s="111">
        <f t="shared" si="402"/>
        <v>1.9</v>
      </c>
      <c r="AN496" s="262">
        <f t="shared" si="403"/>
        <v>0.31593870928557793</v>
      </c>
      <c r="AO496" s="100"/>
      <c r="AP496" s="24" t="e">
        <f>VLOOKUP(C496,#REF!,6,FALSE)</f>
        <v>#REF!</v>
      </c>
      <c r="AQ496" s="24" t="e">
        <f>VLOOKUP(C496,#REF!,7,FALSE)</f>
        <v>#REF!</v>
      </c>
      <c r="AR496" s="24" t="e">
        <f>VLOOKUP(C496,#REF!,12,FALSE)</f>
        <v>#REF!</v>
      </c>
      <c r="AS496" s="24" t="e">
        <f>VLOOKUP(C496,#REF!,13,FALSE)</f>
        <v>#REF!</v>
      </c>
      <c r="AT496" s="100"/>
      <c r="AU496" s="100"/>
      <c r="AV496" s="100">
        <v>480</v>
      </c>
      <c r="AW496" s="100"/>
      <c r="AY496" s="28">
        <v>18500</v>
      </c>
    </row>
    <row r="497" spans="1:51" s="2" customFormat="1" ht="12.75" customHeight="1" x14ac:dyDescent="0.2">
      <c r="A497" s="6" t="s">
        <v>1356</v>
      </c>
      <c r="B497" s="8">
        <v>9789500211796</v>
      </c>
      <c r="C497" s="8">
        <v>683961</v>
      </c>
      <c r="D497" s="7">
        <v>168</v>
      </c>
      <c r="E497" s="30" t="s">
        <v>550</v>
      </c>
      <c r="F497" s="7" t="s">
        <v>829</v>
      </c>
      <c r="G497" s="107">
        <v>44348</v>
      </c>
      <c r="H497" s="108">
        <v>44470</v>
      </c>
      <c r="I497" s="7">
        <v>4049</v>
      </c>
      <c r="J497" s="28" t="s">
        <v>1333</v>
      </c>
      <c r="K497" s="117">
        <v>62.53</v>
      </c>
      <c r="L497" s="28">
        <v>18500</v>
      </c>
      <c r="M497" s="112">
        <f>+L497*0.08</f>
        <v>1480</v>
      </c>
      <c r="N497" s="9">
        <f t="shared" si="385"/>
        <v>9250</v>
      </c>
      <c r="O497" s="9">
        <f t="shared" si="386"/>
        <v>7707.47</v>
      </c>
      <c r="P497" s="9">
        <f t="shared" si="387"/>
        <v>1542.53</v>
      </c>
      <c r="Q497" s="139">
        <f t="shared" si="388"/>
        <v>0.83323999999999998</v>
      </c>
      <c r="R497" s="336">
        <v>18500</v>
      </c>
      <c r="S497" s="359" t="s">
        <v>1948</v>
      </c>
      <c r="T497" s="305">
        <v>0.83323999999999998</v>
      </c>
      <c r="U497" s="140"/>
      <c r="V497" s="100"/>
      <c r="W497" s="110">
        <f t="shared" si="389"/>
        <v>18500</v>
      </c>
      <c r="X497" s="110">
        <f t="shared" si="390"/>
        <v>62.53</v>
      </c>
      <c r="Y497" s="110">
        <f t="shared" si="391"/>
        <v>1480</v>
      </c>
      <c r="Z497" s="110">
        <f t="shared" si="392"/>
        <v>7707.4699999999993</v>
      </c>
      <c r="AA497" s="260">
        <f t="shared" si="393"/>
        <v>0.83323999999999998</v>
      </c>
      <c r="AB497" s="28">
        <f t="shared" si="394"/>
        <v>6.1</v>
      </c>
      <c r="AC497" s="261">
        <f t="shared" si="395"/>
        <v>0.83325171744688198</v>
      </c>
      <c r="AD497" s="111">
        <f t="shared" si="396"/>
        <v>1.1000000000000001</v>
      </c>
      <c r="AE497" s="262">
        <f t="shared" si="397"/>
        <v>7.5304978569073588E-2</v>
      </c>
      <c r="AF497" s="100"/>
      <c r="AG497" s="111">
        <f t="shared" si="398"/>
        <v>1.7</v>
      </c>
      <c r="AH497" s="262">
        <f t="shared" si="399"/>
        <v>0.40166792730940037</v>
      </c>
      <c r="AI497" s="100"/>
      <c r="AJ497" s="111">
        <f t="shared" si="400"/>
        <v>1.6</v>
      </c>
      <c r="AK497" s="262">
        <f t="shared" si="401"/>
        <v>0.36427217276623797</v>
      </c>
      <c r="AL497" s="100"/>
      <c r="AM497" s="111">
        <f t="shared" si="402"/>
        <v>1.5</v>
      </c>
      <c r="AN497" s="262">
        <f t="shared" si="403"/>
        <v>0.32189031761732051</v>
      </c>
      <c r="AO497" s="100"/>
      <c r="AP497" s="24" t="e">
        <f>VLOOKUP(C497,#REF!,6,FALSE)</f>
        <v>#REF!</v>
      </c>
      <c r="AQ497" s="24" t="e">
        <f>VLOOKUP(C497,#REF!,7,FALSE)</f>
        <v>#REF!</v>
      </c>
      <c r="AR497" s="24" t="e">
        <f>VLOOKUP(C497,#REF!,12,FALSE)</f>
        <v>#REF!</v>
      </c>
      <c r="AS497" s="24" t="e">
        <f>VLOOKUP(C497,#REF!,13,FALSE)</f>
        <v>#REF!</v>
      </c>
      <c r="AT497" s="100"/>
      <c r="AU497" s="100"/>
      <c r="AV497" s="100">
        <v>481</v>
      </c>
      <c r="AW497" s="100"/>
      <c r="AY497" s="28">
        <v>18500</v>
      </c>
    </row>
    <row r="498" spans="1:51" s="2" customFormat="1" ht="12.75" customHeight="1" thickBot="1" x14ac:dyDescent="0.3">
      <c r="A498" s="132"/>
      <c r="B498" s="354"/>
      <c r="C498" s="133"/>
      <c r="D498" s="132"/>
      <c r="E498" s="132"/>
      <c r="F498" s="132"/>
      <c r="G498" s="132"/>
      <c r="H498" s="132"/>
      <c r="I498" s="132"/>
      <c r="J498" s="134"/>
      <c r="K498" s="132"/>
      <c r="L498" s="134"/>
      <c r="M498" s="132"/>
      <c r="N498" s="132"/>
      <c r="O498" s="132"/>
      <c r="P498" s="132"/>
      <c r="Q498" s="147"/>
      <c r="R498" s="356"/>
      <c r="S498" s="360"/>
      <c r="T498" s="307"/>
      <c r="U498" s="135"/>
      <c r="V498" s="100"/>
      <c r="W498"/>
      <c r="X498"/>
      <c r="Y498"/>
      <c r="Z498"/>
      <c r="AA498"/>
      <c r="AB498"/>
      <c r="AC498"/>
      <c r="AD498" s="263"/>
      <c r="AE498"/>
      <c r="AF498" s="100"/>
      <c r="AG498" s="263"/>
      <c r="AH498"/>
      <c r="AI498" s="100"/>
      <c r="AJ498" s="263"/>
      <c r="AK498"/>
      <c r="AL498" s="100"/>
      <c r="AM498" s="263"/>
      <c r="AN498"/>
      <c r="AO498" s="100"/>
      <c r="AP498" s="100"/>
      <c r="AQ498" s="100"/>
      <c r="AR498" s="100"/>
      <c r="AS498" s="100"/>
      <c r="AT498" s="100"/>
      <c r="AU498" s="100"/>
      <c r="AV498" s="100">
        <v>482</v>
      </c>
      <c r="AW498" s="100"/>
      <c r="AY498" s="134"/>
    </row>
    <row r="499" spans="1:51" s="2" customFormat="1" ht="12.75" customHeight="1" x14ac:dyDescent="0.25">
      <c r="A499" s="132"/>
      <c r="B499" s="355"/>
      <c r="C499" s="133"/>
      <c r="D499" s="154"/>
      <c r="E499" s="155" t="s">
        <v>1357</v>
      </c>
      <c r="F499" s="156"/>
      <c r="G499" s="132"/>
      <c r="H499" s="132"/>
      <c r="I499" s="132"/>
      <c r="J499" s="134"/>
      <c r="K499" s="132"/>
      <c r="L499" s="134"/>
      <c r="M499" s="132"/>
      <c r="N499" s="132"/>
      <c r="O499" s="132"/>
      <c r="P499" s="132"/>
      <c r="Q499" s="147"/>
      <c r="R499" s="356"/>
      <c r="S499" s="360"/>
      <c r="T499" s="307"/>
      <c r="U499" s="135"/>
      <c r="V499" s="100"/>
      <c r="W499"/>
      <c r="X499"/>
      <c r="Y499"/>
      <c r="Z499"/>
      <c r="AA499"/>
      <c r="AB499"/>
      <c r="AC499"/>
      <c r="AD499" s="263"/>
      <c r="AE499"/>
      <c r="AF499" s="100"/>
      <c r="AG499" s="263"/>
      <c r="AH499"/>
      <c r="AI499" s="100"/>
      <c r="AJ499" s="263"/>
      <c r="AK499"/>
      <c r="AL499" s="100"/>
      <c r="AM499" s="263"/>
      <c r="AN499"/>
      <c r="AO499" s="100"/>
      <c r="AP499" s="100"/>
      <c r="AQ499" s="100"/>
      <c r="AR499" s="100"/>
      <c r="AS499" s="100"/>
      <c r="AT499" s="100"/>
      <c r="AU499" s="100"/>
      <c r="AV499" s="100">
        <v>483</v>
      </c>
      <c r="AW499" s="100"/>
      <c r="AY499" s="134"/>
    </row>
    <row r="500" spans="1:51" s="2" customFormat="1" ht="12.75" customHeight="1" x14ac:dyDescent="0.2">
      <c r="A500" s="7" t="s">
        <v>1358</v>
      </c>
      <c r="B500" s="8">
        <v>9789500210232</v>
      </c>
      <c r="C500" s="14">
        <v>670527</v>
      </c>
      <c r="D500" s="25">
        <v>400</v>
      </c>
      <c r="E500" s="9" t="s">
        <v>462</v>
      </c>
      <c r="F500" s="116" t="s">
        <v>463</v>
      </c>
      <c r="G500" s="107">
        <v>43770</v>
      </c>
      <c r="H500" s="108">
        <v>43739</v>
      </c>
      <c r="I500" s="7">
        <v>3065</v>
      </c>
      <c r="J500" s="28" t="s">
        <v>1762</v>
      </c>
      <c r="K500" s="9">
        <v>100.67</v>
      </c>
      <c r="L500" s="112">
        <v>33900</v>
      </c>
      <c r="M500" s="112">
        <f>+L500*0.1</f>
        <v>3390</v>
      </c>
      <c r="N500" s="9">
        <f>+L500/2</f>
        <v>16950</v>
      </c>
      <c r="O500" s="9">
        <f>+N500-M500-K500</f>
        <v>13459.33</v>
      </c>
      <c r="P500" s="9">
        <f>+M500+K500</f>
        <v>3490.67</v>
      </c>
      <c r="Q500" s="139">
        <f>+O500/N500</f>
        <v>0.79406076696165195</v>
      </c>
      <c r="R500" s="335">
        <v>33900</v>
      </c>
      <c r="S500" s="359" t="s">
        <v>1948</v>
      </c>
      <c r="T500" s="305">
        <v>0.79406076696165195</v>
      </c>
      <c r="U500" s="140"/>
      <c r="V500" s="100"/>
      <c r="W500" s="110">
        <f>+L500</f>
        <v>33900</v>
      </c>
      <c r="X500" s="110">
        <f>+K500</f>
        <v>100.67</v>
      </c>
      <c r="Y500" s="110">
        <f>+M500</f>
        <v>3390</v>
      </c>
      <c r="Z500" s="110">
        <f>+W500/2-X500-Y500</f>
        <v>13459.330000000002</v>
      </c>
      <c r="AA500" s="260">
        <f>+Z500/(W500/2)</f>
        <v>0.79406076696165206</v>
      </c>
      <c r="AB500" s="28">
        <f>ROUND($W500/2/$X$1,1)</f>
        <v>11.2</v>
      </c>
      <c r="AC500" s="261">
        <f>+(AB500*$X$1-$X500-$Y500)/(AB500*$X$1)</f>
        <v>0.79448271395600778</v>
      </c>
      <c r="AD500" s="111">
        <f>+IFERROR(ROUND(($X500+$Y500)/(1-$X$2)/$X$1,1),0)</f>
        <v>2.4</v>
      </c>
      <c r="AE500" s="262">
        <f>+(AD500*$X$1-$X500-$Y500)/(AD500*$X$1)</f>
        <v>4.0919331794702668E-2</v>
      </c>
      <c r="AF500" s="100"/>
      <c r="AG500" s="111">
        <f>+IFERROR(ROUND(($X500+$Y500)/(1-$AG$2)/$X$1,1),0)</f>
        <v>3.8</v>
      </c>
      <c r="AH500" s="262">
        <f>+(AG500*$X$1-$X500-$Y500)/(AG500*$X$1)</f>
        <v>0.39426484113349641</v>
      </c>
      <c r="AI500" s="100"/>
      <c r="AJ500" s="111">
        <f>+IFERROR(ROUND(($X500+$Y500)/(1-$AJ$2)/$X$1,1),0)</f>
        <v>3.5</v>
      </c>
      <c r="AK500" s="262">
        <f>+(AJ500*$X$1-$X500-$Y500)/(AJ500*$X$1)</f>
        <v>0.34234468465922469</v>
      </c>
      <c r="AL500" s="100"/>
      <c r="AM500" s="111">
        <f>+IFERROR(ROUND(($X500+$Y500)/(1-$AM$2)/$X$1,1),0)</f>
        <v>3.3</v>
      </c>
      <c r="AN500" s="262">
        <f>+(AM500*$X$1-$X500-$Y500)/(AM500*$X$1)</f>
        <v>0.30248678675978374</v>
      </c>
      <c r="AO500" s="100"/>
      <c r="AP500" s="24" t="e">
        <f>VLOOKUP(C500,#REF!,6,FALSE)</f>
        <v>#REF!</v>
      </c>
      <c r="AQ500" s="24" t="e">
        <f>VLOOKUP(C500,#REF!,7,FALSE)</f>
        <v>#REF!</v>
      </c>
      <c r="AR500" s="24" t="e">
        <f>VLOOKUP(C500,#REF!,12,FALSE)</f>
        <v>#REF!</v>
      </c>
      <c r="AS500" s="24" t="e">
        <f>VLOOKUP(C500,#REF!,13,FALSE)</f>
        <v>#REF!</v>
      </c>
      <c r="AT500" s="100"/>
      <c r="AU500" s="100"/>
      <c r="AV500" s="100">
        <v>484</v>
      </c>
      <c r="AW500" s="100"/>
      <c r="AY500" s="112">
        <v>33900</v>
      </c>
    </row>
    <row r="501" spans="1:51" s="2" customFormat="1" ht="12.75" customHeight="1" x14ac:dyDescent="0.2">
      <c r="A501" s="7" t="s">
        <v>1359</v>
      </c>
      <c r="B501" s="8">
        <v>9789500207881</v>
      </c>
      <c r="C501" s="8">
        <v>577626</v>
      </c>
      <c r="D501" s="7">
        <v>224</v>
      </c>
      <c r="E501" s="130" t="s">
        <v>212</v>
      </c>
      <c r="F501" s="7" t="s">
        <v>213</v>
      </c>
      <c r="G501" s="107">
        <v>41760</v>
      </c>
      <c r="H501" s="108">
        <v>43252</v>
      </c>
      <c r="I501" s="24">
        <v>1000</v>
      </c>
      <c r="J501" s="28" t="s">
        <v>1762</v>
      </c>
      <c r="K501" s="28">
        <v>40.299999999999997</v>
      </c>
      <c r="L501" s="112">
        <v>31900</v>
      </c>
      <c r="M501" s="112">
        <f>+L501*0.1</f>
        <v>3190</v>
      </c>
      <c r="N501" s="9">
        <f>+L501/2</f>
        <v>15950</v>
      </c>
      <c r="O501" s="9">
        <f>+N501-M501-K501</f>
        <v>12719.7</v>
      </c>
      <c r="P501" s="9">
        <f>+M501+K501</f>
        <v>3230.3</v>
      </c>
      <c r="Q501" s="139">
        <f>+O501/N501</f>
        <v>0.79747335423197496</v>
      </c>
      <c r="R501" s="335">
        <v>31900</v>
      </c>
      <c r="S501" s="359" t="s">
        <v>1948</v>
      </c>
      <c r="T501" s="305">
        <v>0.79747335423197496</v>
      </c>
      <c r="U501" s="140"/>
      <c r="V501" s="100"/>
      <c r="W501" s="110">
        <f>+L501</f>
        <v>31900</v>
      </c>
      <c r="X501" s="110">
        <f>+K501</f>
        <v>40.299999999999997</v>
      </c>
      <c r="Y501" s="110">
        <f>+M501</f>
        <v>3190</v>
      </c>
      <c r="Z501" s="110">
        <f>+W501/2-X501-Y501</f>
        <v>12719.7</v>
      </c>
      <c r="AA501" s="260">
        <f>+Z501/(W501/2)</f>
        <v>0.79747335423197496</v>
      </c>
      <c r="AB501" s="28">
        <f>ROUND($W501/2/$X$1,1)</f>
        <v>10.5</v>
      </c>
      <c r="AC501" s="261">
        <f>+(AB501*$X$1-$X501-$Y501)/(AB501*$X$1)</f>
        <v>0.79713312294914673</v>
      </c>
      <c r="AD501" s="111">
        <f>+IFERROR(ROUND(($X501+$Y501)/(1-$X$2)/$X$1,1),0)</f>
        <v>2.2000000000000002</v>
      </c>
      <c r="AE501" s="262">
        <f>+(AD501*$X$1-$X501-$Y501)/(AD501*$X$1)</f>
        <v>3.1771723166381917E-2</v>
      </c>
      <c r="AF501" s="100"/>
      <c r="AG501" s="111">
        <f>+IFERROR(ROUND(($X501+$Y501)/(1-$AG$2)/$X$1,1),0)</f>
        <v>3.6</v>
      </c>
      <c r="AH501" s="262">
        <f>+(AG501*$X$1-$X501-$Y501)/(AG501*$X$1)</f>
        <v>0.40830494193501121</v>
      </c>
      <c r="AI501" s="100"/>
      <c r="AJ501" s="111">
        <f>+IFERROR(ROUND(($X501+$Y501)/(1-$AJ$2)/$X$1,1),0)</f>
        <v>3.3</v>
      </c>
      <c r="AK501" s="262">
        <f>+(AJ501*$X$1-$X501-$Y501)/(AJ501*$X$1)</f>
        <v>0.35451448211092124</v>
      </c>
      <c r="AL501" s="100"/>
      <c r="AM501" s="111">
        <f>+IFERROR(ROUND(($X501+$Y501)/(1-$AM$2)/$X$1,1),0)</f>
        <v>3</v>
      </c>
      <c r="AN501" s="262">
        <f>+(AM501*$X$1-$X501-$Y501)/(AM501*$X$1)</f>
        <v>0.28996593032201334</v>
      </c>
      <c r="AO501" s="100"/>
      <c r="AP501" s="24" t="e">
        <f>VLOOKUP(C501,#REF!,6,FALSE)</f>
        <v>#REF!</v>
      </c>
      <c r="AQ501" s="24" t="e">
        <f>VLOOKUP(C501,#REF!,7,FALSE)</f>
        <v>#REF!</v>
      </c>
      <c r="AR501" s="24" t="e">
        <f>VLOOKUP(C501,#REF!,12,FALSE)</f>
        <v>#REF!</v>
      </c>
      <c r="AS501" s="24" t="e">
        <f>VLOOKUP(C501,#REF!,13,FALSE)</f>
        <v>#REF!</v>
      </c>
      <c r="AT501" s="100"/>
      <c r="AU501" s="100"/>
      <c r="AV501" s="100">
        <v>485</v>
      </c>
      <c r="AW501" s="100"/>
      <c r="AY501" s="112">
        <v>31900</v>
      </c>
    </row>
    <row r="502" spans="1:51" s="132" customFormat="1" ht="12.75" customHeight="1" x14ac:dyDescent="0.2">
      <c r="A502" s="6" t="s">
        <v>1360</v>
      </c>
      <c r="B502" s="8">
        <v>9789500208727</v>
      </c>
      <c r="C502" s="8">
        <v>595688</v>
      </c>
      <c r="D502" s="7">
        <v>240</v>
      </c>
      <c r="E502" s="7" t="s">
        <v>432</v>
      </c>
      <c r="F502" s="6" t="s">
        <v>1361</v>
      </c>
      <c r="G502" s="107">
        <v>42248</v>
      </c>
      <c r="H502" s="108">
        <v>42217</v>
      </c>
      <c r="I502" s="24">
        <v>3052</v>
      </c>
      <c r="J502" s="28" t="s">
        <v>1946</v>
      </c>
      <c r="K502" s="28">
        <v>24.03</v>
      </c>
      <c r="L502" s="112">
        <v>19100</v>
      </c>
      <c r="M502" s="112">
        <f>+L502*0.1</f>
        <v>1910</v>
      </c>
      <c r="N502" s="9">
        <f>+L502/2</f>
        <v>9550</v>
      </c>
      <c r="O502" s="9">
        <f>+N502-M502-K502</f>
        <v>7615.97</v>
      </c>
      <c r="P502" s="9">
        <f>+M502+K502</f>
        <v>1934.03</v>
      </c>
      <c r="Q502" s="139">
        <f>+O502/N502</f>
        <v>0.79748376963350787</v>
      </c>
      <c r="R502" s="335">
        <v>19100</v>
      </c>
      <c r="S502" s="359" t="s">
        <v>1948</v>
      </c>
      <c r="T502" s="305">
        <v>0.79748376963350787</v>
      </c>
      <c r="U502" s="144"/>
      <c r="V502" s="100"/>
      <c r="W502" s="110">
        <f>+L502</f>
        <v>19100</v>
      </c>
      <c r="X502" s="110">
        <f>+K502</f>
        <v>24.03</v>
      </c>
      <c r="Y502" s="110">
        <f>+M502</f>
        <v>1910</v>
      </c>
      <c r="Z502" s="110">
        <f>+W502/2-X502-Y502</f>
        <v>7615.9699999999993</v>
      </c>
      <c r="AA502" s="260">
        <f>+Z502/(W502/2)</f>
        <v>0.79748376963350776</v>
      </c>
      <c r="AB502" s="28">
        <f>ROUND($W502/2/$X$1,1)</f>
        <v>6.3</v>
      </c>
      <c r="AC502" s="261">
        <f>+(AB502*$X$1-$X502-$Y502)/(AB502*$X$1)</f>
        <v>0.79756749825988194</v>
      </c>
      <c r="AD502" s="111">
        <f>+IFERROR(ROUND(($X502+$Y502)/(1-$X$2)/$X$1,1),0)</f>
        <v>1.3</v>
      </c>
      <c r="AE502" s="262">
        <f>+(AD502*$X$1-$X502-$Y502)/(AD502*$X$1)</f>
        <v>1.8980953105582222E-2</v>
      </c>
      <c r="AF502" s="100"/>
      <c r="AG502" s="111">
        <f>+IFERROR(ROUND(($X502+$Y502)/(1-$AG$2)/$X$1,1),0)</f>
        <v>2.1</v>
      </c>
      <c r="AH502" s="262">
        <f>+(AG502*$X$1-$X502-$Y502)/(AG502*$X$1)</f>
        <v>0.39270249477964608</v>
      </c>
      <c r="AI502" s="100"/>
      <c r="AJ502" s="111">
        <f>+IFERROR(ROUND(($X502+$Y502)/(1-$AJ$2)/$X$1,1),0)</f>
        <v>2</v>
      </c>
      <c r="AK502" s="262">
        <f>+(AJ502*$X$1-$X502-$Y502)/(AJ502*$X$1)</f>
        <v>0.36233761951862836</v>
      </c>
      <c r="AL502" s="100"/>
      <c r="AM502" s="111">
        <f>+IFERROR(ROUND(($X502+$Y502)/(1-$AM$2)/$X$1,1),0)</f>
        <v>1.8</v>
      </c>
      <c r="AN502" s="262">
        <f>+(AM502*$X$1-$X502-$Y502)/(AM502*$X$1)</f>
        <v>0.29148624390958711</v>
      </c>
      <c r="AO502" s="100"/>
      <c r="AP502" s="24" t="e">
        <f>VLOOKUP(C502,#REF!,6,FALSE)</f>
        <v>#REF!</v>
      </c>
      <c r="AQ502" s="24" t="e">
        <f>VLOOKUP(C502,#REF!,7,FALSE)</f>
        <v>#REF!</v>
      </c>
      <c r="AR502" s="24" t="e">
        <f>VLOOKUP(C502,#REF!,12,FALSE)</f>
        <v>#REF!</v>
      </c>
      <c r="AS502" s="24" t="e">
        <f>VLOOKUP(C502,#REF!,13,FALSE)</f>
        <v>#REF!</v>
      </c>
      <c r="AT502" s="100"/>
      <c r="AU502" s="100"/>
      <c r="AV502" s="100">
        <v>486</v>
      </c>
      <c r="AW502" s="100"/>
      <c r="AY502" s="112">
        <v>19100</v>
      </c>
    </row>
    <row r="503" spans="1:51" s="132" customFormat="1" ht="12.75" customHeight="1" x14ac:dyDescent="0.25">
      <c r="B503" s="133"/>
      <c r="C503" s="133"/>
      <c r="J503" s="134"/>
      <c r="L503" s="134"/>
      <c r="Q503" s="147"/>
      <c r="R503" s="356"/>
      <c r="S503" s="360"/>
      <c r="T503" s="307"/>
      <c r="U503" s="135"/>
      <c r="V503" s="100"/>
      <c r="W503"/>
      <c r="X503"/>
      <c r="Y503"/>
      <c r="Z503"/>
      <c r="AA503"/>
      <c r="AB503"/>
      <c r="AC503"/>
      <c r="AD503" s="263"/>
      <c r="AE503"/>
      <c r="AF503" s="100"/>
      <c r="AG503" s="263"/>
      <c r="AH503"/>
      <c r="AI503" s="100"/>
      <c r="AJ503" s="263"/>
      <c r="AK503"/>
      <c r="AL503" s="100"/>
      <c r="AM503" s="263"/>
      <c r="AN503"/>
      <c r="AO503" s="100"/>
      <c r="AP503" s="100"/>
      <c r="AQ503" s="100"/>
      <c r="AR503" s="100"/>
      <c r="AS503" s="100"/>
      <c r="AT503" s="100"/>
      <c r="AU503" s="100"/>
      <c r="AV503" s="100">
        <v>487</v>
      </c>
      <c r="AW503" s="100"/>
      <c r="AY503" s="134"/>
    </row>
    <row r="504" spans="1:51" s="2" customFormat="1" ht="12.75" customHeight="1" thickBot="1" x14ac:dyDescent="0.3">
      <c r="A504" s="132"/>
      <c r="B504" s="133"/>
      <c r="C504" s="133"/>
      <c r="D504" s="132"/>
      <c r="E504" s="132"/>
      <c r="F504" s="132"/>
      <c r="G504" s="132"/>
      <c r="H504" s="132"/>
      <c r="I504" s="132"/>
      <c r="J504" s="134"/>
      <c r="K504" s="132"/>
      <c r="L504" s="134"/>
      <c r="M504" s="132"/>
      <c r="N504" s="132"/>
      <c r="O504" s="132"/>
      <c r="P504" s="132"/>
      <c r="Q504" s="147"/>
      <c r="R504" s="356"/>
      <c r="S504" s="360"/>
      <c r="T504" s="307"/>
      <c r="U504" s="135"/>
      <c r="V504" s="100"/>
      <c r="W504"/>
      <c r="X504"/>
      <c r="Y504"/>
      <c r="Z504"/>
      <c r="AA504"/>
      <c r="AB504"/>
      <c r="AC504"/>
      <c r="AD504" s="263"/>
      <c r="AE504"/>
      <c r="AF504" s="100"/>
      <c r="AG504" s="263"/>
      <c r="AH504"/>
      <c r="AI504" s="100"/>
      <c r="AJ504" s="263"/>
      <c r="AK504"/>
      <c r="AL504" s="100"/>
      <c r="AM504" s="263"/>
      <c r="AN504"/>
      <c r="AO504" s="100"/>
      <c r="AP504" s="100"/>
      <c r="AQ504" s="100"/>
      <c r="AR504" s="100"/>
      <c r="AS504" s="100"/>
      <c r="AT504" s="100"/>
      <c r="AU504" s="100"/>
      <c r="AV504" s="100">
        <v>488</v>
      </c>
      <c r="AW504" s="100"/>
      <c r="AY504" s="134"/>
    </row>
    <row r="505" spans="1:51" s="2" customFormat="1" ht="12.75" customHeight="1" x14ac:dyDescent="0.25">
      <c r="A505" s="132"/>
      <c r="B505" s="133"/>
      <c r="C505" s="133"/>
      <c r="D505" s="154"/>
      <c r="E505" s="104" t="s">
        <v>631</v>
      </c>
      <c r="F505" s="105"/>
      <c r="G505" s="132"/>
      <c r="H505" s="132"/>
      <c r="I505" s="132"/>
      <c r="J505" s="134"/>
      <c r="K505" s="132"/>
      <c r="L505" s="134"/>
      <c r="M505" s="132"/>
      <c r="N505" s="132"/>
      <c r="O505" s="132"/>
      <c r="P505" s="132"/>
      <c r="Q505" s="147"/>
      <c r="R505" s="356"/>
      <c r="S505" s="360"/>
      <c r="T505" s="307"/>
      <c r="U505" s="135"/>
      <c r="V505" s="100"/>
      <c r="W505"/>
      <c r="X505"/>
      <c r="Y505"/>
      <c r="Z505"/>
      <c r="AA505"/>
      <c r="AB505"/>
      <c r="AC505"/>
      <c r="AD505" s="263"/>
      <c r="AE505"/>
      <c r="AF505" s="100"/>
      <c r="AG505" s="263"/>
      <c r="AH505"/>
      <c r="AI505" s="100"/>
      <c r="AJ505" s="263"/>
      <c r="AK505"/>
      <c r="AL505" s="100"/>
      <c r="AM505" s="263"/>
      <c r="AN505"/>
      <c r="AO505" s="100"/>
      <c r="AP505" s="100"/>
      <c r="AQ505" s="100"/>
      <c r="AR505" s="100"/>
      <c r="AS505" s="100"/>
      <c r="AT505" s="100"/>
      <c r="AU505" s="100"/>
      <c r="AV505" s="100">
        <v>489</v>
      </c>
      <c r="AW505" s="100"/>
      <c r="AY505" s="134"/>
    </row>
    <row r="506" spans="1:51" s="132" customFormat="1" ht="12.75" customHeight="1" x14ac:dyDescent="0.2">
      <c r="A506" s="6" t="s">
        <v>2169</v>
      </c>
      <c r="B506" s="153">
        <v>9789500216883</v>
      </c>
      <c r="C506" s="6">
        <v>737014</v>
      </c>
      <c r="D506" s="41">
        <v>272</v>
      </c>
      <c r="E506" s="6" t="s">
        <v>2170</v>
      </c>
      <c r="F506" s="29" t="s">
        <v>2171</v>
      </c>
      <c r="G506" s="329">
        <v>45962</v>
      </c>
      <c r="H506" s="108">
        <v>45931</v>
      </c>
      <c r="I506" s="7">
        <v>3027</v>
      </c>
      <c r="J506" s="28" t="s">
        <v>1333</v>
      </c>
      <c r="K506" s="148">
        <v>2359.91</v>
      </c>
      <c r="L506" s="28">
        <v>32900</v>
      </c>
      <c r="M506" s="112">
        <f>+L506*0.1</f>
        <v>3290</v>
      </c>
      <c r="N506" s="9">
        <f t="shared" ref="N506:N520" si="404">+L506/2</f>
        <v>16450</v>
      </c>
      <c r="O506" s="9">
        <f t="shared" ref="O506:O520" si="405">+N506-M506-K506</f>
        <v>10800.09</v>
      </c>
      <c r="P506" s="9">
        <f t="shared" ref="P506:P520" si="406">+M506+K506</f>
        <v>5649.91</v>
      </c>
      <c r="Q506" s="139">
        <f t="shared" ref="Q506:Q520" si="407">+O506/N506</f>
        <v>0.65654042553191494</v>
      </c>
      <c r="R506" s="335">
        <v>32900</v>
      </c>
      <c r="S506" s="359" t="s">
        <v>1948</v>
      </c>
      <c r="T506" s="305">
        <v>0.65654042553191494</v>
      </c>
      <c r="U506" s="6"/>
      <c r="V506" s="100"/>
      <c r="W506" s="110">
        <f t="shared" ref="W506:W520" si="408">+L506</f>
        <v>32900</v>
      </c>
      <c r="X506" s="110">
        <f t="shared" ref="X506:X520" si="409">+K506</f>
        <v>2359.91</v>
      </c>
      <c r="Y506" s="110">
        <f t="shared" ref="Y506:Y520" si="410">+M506</f>
        <v>3290</v>
      </c>
      <c r="Z506" s="110">
        <f t="shared" ref="Z506:Z520" si="411">+W506/2-X506-Y506</f>
        <v>10800.09</v>
      </c>
      <c r="AA506" s="260">
        <f t="shared" ref="AA506:AA520" si="412">+Z506/(W506/2)</f>
        <v>0.65654042553191494</v>
      </c>
      <c r="AB506" s="28">
        <f t="shared" ref="AB506:AB520" si="413">ROUND($W506/2/$X$1,1)</f>
        <v>10.8</v>
      </c>
      <c r="AC506" s="261">
        <f t="shared" ref="AC506:AC520" si="414">+(AB506*$X$1-$X506-$Y506)/(AB506*$X$1)</f>
        <v>0.65503474130246309</v>
      </c>
      <c r="AD506" s="111">
        <f t="shared" ref="AD506:AD520" si="415">+IFERROR(ROUND(($X506+$Y506)/(1-$X$2)/$X$1,1),0)</f>
        <v>3.9</v>
      </c>
      <c r="AE506" s="262">
        <f t="shared" ref="AE506:AE520" si="416">+(AD506*$X$1-$X506-$Y506)/(AD506*$X$1)</f>
        <v>4.4711591299128328E-2</v>
      </c>
      <c r="AF506" s="100"/>
      <c r="AG506" s="111">
        <f t="shared" ref="AG506:AG520" si="417">+IFERROR(ROUND(($X506+$Y506)/(1-$AG$2)/$X$1,1),0)</f>
        <v>6.2</v>
      </c>
      <c r="AH506" s="262">
        <f t="shared" ref="AH506:AH520" si="418">+(AG506*$X$1-$X506-$Y506)/(AG506*$X$1)</f>
        <v>0.39909277517203245</v>
      </c>
      <c r="AI506" s="100"/>
      <c r="AJ506" s="111">
        <f t="shared" ref="AJ506:AJ520" si="419">+IFERROR(ROUND(($X506+$Y506)/(1-$AJ$2)/$X$1,1),0)</f>
        <v>5.7</v>
      </c>
      <c r="AK506" s="262">
        <f t="shared" ref="AK506:AK520" si="420">+(AJ506*$X$1-$X506-$Y506)/(AJ506*$X$1)</f>
        <v>0.34638161509940374</v>
      </c>
      <c r="AL506" s="100"/>
      <c r="AM506" s="111">
        <f t="shared" ref="AM506:AM520" si="421">+IFERROR(ROUND(($X506+$Y506)/(1-$AM$2)/$X$1,1),0)</f>
        <v>5.3</v>
      </c>
      <c r="AN506" s="262">
        <f t="shared" ref="AN506:AN520" si="422">+(AM506*$X$1-$X506-$Y506)/(AM506*$X$1)</f>
        <v>0.29705192567294353</v>
      </c>
      <c r="AO506" s="100"/>
      <c r="AP506" s="24" t="e">
        <f>VLOOKUP(C506,#REF!,6,FALSE)</f>
        <v>#REF!</v>
      </c>
      <c r="AQ506" s="24" t="e">
        <f>VLOOKUP(C506,#REF!,7,FALSE)</f>
        <v>#REF!</v>
      </c>
      <c r="AR506" s="24" t="e">
        <f>VLOOKUP(C506,#REF!,12,FALSE)</f>
        <v>#REF!</v>
      </c>
      <c r="AS506" s="24" t="e">
        <f>VLOOKUP(C506,#REF!,13,FALSE)</f>
        <v>#REF!</v>
      </c>
      <c r="AT506" s="100"/>
      <c r="AU506" s="100"/>
      <c r="AV506" s="100">
        <v>490</v>
      </c>
      <c r="AW506" s="100"/>
      <c r="AY506" s="28">
        <v>32900</v>
      </c>
    </row>
    <row r="507" spans="1:51" s="2" customFormat="1" ht="12.75" customHeight="1" x14ac:dyDescent="0.2">
      <c r="A507" s="6" t="s">
        <v>2060</v>
      </c>
      <c r="B507" s="279">
        <v>9789500216364</v>
      </c>
      <c r="C507" s="6">
        <v>730438</v>
      </c>
      <c r="D507" s="41">
        <v>224</v>
      </c>
      <c r="E507" s="8" t="s">
        <v>2061</v>
      </c>
      <c r="F507" s="6" t="s">
        <v>2062</v>
      </c>
      <c r="G507" s="108">
        <v>45809</v>
      </c>
      <c r="H507" s="108">
        <v>45901</v>
      </c>
      <c r="I507" s="264">
        <v>2036</v>
      </c>
      <c r="J507" s="6" t="s">
        <v>2219</v>
      </c>
      <c r="K507" s="292">
        <v>1830.58</v>
      </c>
      <c r="L507" s="9">
        <v>27900</v>
      </c>
      <c r="M507" s="9">
        <f>+L507*0.08</f>
        <v>2232</v>
      </c>
      <c r="N507" s="9">
        <f t="shared" si="404"/>
        <v>13950</v>
      </c>
      <c r="O507" s="9">
        <f t="shared" si="405"/>
        <v>9887.42</v>
      </c>
      <c r="P507" s="9">
        <f t="shared" si="406"/>
        <v>4062.58</v>
      </c>
      <c r="Q507" s="139">
        <f t="shared" si="407"/>
        <v>0.70877562724014342</v>
      </c>
      <c r="R507" s="335">
        <v>27900</v>
      </c>
      <c r="S507" s="359" t="s">
        <v>1948</v>
      </c>
      <c r="T507" s="305">
        <v>0.70877562724014342</v>
      </c>
      <c r="U507" s="140"/>
      <c r="V507" s="100"/>
      <c r="W507" s="110">
        <f t="shared" si="408"/>
        <v>27900</v>
      </c>
      <c r="X507" s="110">
        <f t="shared" si="409"/>
        <v>1830.58</v>
      </c>
      <c r="Y507" s="110">
        <f t="shared" si="410"/>
        <v>2232</v>
      </c>
      <c r="Z507" s="110">
        <f t="shared" si="411"/>
        <v>9887.42</v>
      </c>
      <c r="AA507" s="260">
        <f t="shared" si="412"/>
        <v>0.70877562724014342</v>
      </c>
      <c r="AB507" s="28">
        <f t="shared" si="413"/>
        <v>9.1999999999999993</v>
      </c>
      <c r="AC507" s="261">
        <f t="shared" si="414"/>
        <v>0.70881319973050072</v>
      </c>
      <c r="AD507" s="111">
        <f t="shared" si="415"/>
        <v>2.8</v>
      </c>
      <c r="AE507" s="262">
        <f t="shared" si="416"/>
        <v>4.3243370543073784E-2</v>
      </c>
      <c r="AF507" s="100"/>
      <c r="AG507" s="111">
        <f t="shared" si="417"/>
        <v>4.5</v>
      </c>
      <c r="AH507" s="262">
        <f t="shared" si="418"/>
        <v>0.40468476389346814</v>
      </c>
      <c r="AI507" s="100"/>
      <c r="AJ507" s="111">
        <f t="shared" si="419"/>
        <v>4.0999999999999996</v>
      </c>
      <c r="AK507" s="262">
        <f t="shared" si="420"/>
        <v>0.34660522866356258</v>
      </c>
      <c r="AL507" s="100"/>
      <c r="AM507" s="111">
        <f t="shared" si="421"/>
        <v>3.8</v>
      </c>
      <c r="AN507" s="262">
        <f t="shared" si="422"/>
        <v>0.29502143092647543</v>
      </c>
      <c r="AO507" s="100"/>
      <c r="AP507" s="24" t="e">
        <f>VLOOKUP(C507,#REF!,6,FALSE)</f>
        <v>#REF!</v>
      </c>
      <c r="AQ507" s="24" t="e">
        <f>VLOOKUP(C507,#REF!,7,FALSE)</f>
        <v>#REF!</v>
      </c>
      <c r="AR507" s="24" t="e">
        <f>VLOOKUP(C507,#REF!,12,FALSE)</f>
        <v>#REF!</v>
      </c>
      <c r="AS507" s="24" t="e">
        <f>VLOOKUP(C507,#REF!,13,FALSE)</f>
        <v>#REF!</v>
      </c>
      <c r="AT507" s="100"/>
      <c r="AU507" s="100"/>
      <c r="AV507" s="100">
        <v>491</v>
      </c>
      <c r="AW507" s="100"/>
      <c r="AY507" s="9">
        <v>27900</v>
      </c>
    </row>
    <row r="508" spans="1:51" s="2" customFormat="1" ht="12.75" customHeight="1" x14ac:dyDescent="0.2">
      <c r="A508" s="7" t="s">
        <v>1362</v>
      </c>
      <c r="B508" s="8">
        <v>9789500212519</v>
      </c>
      <c r="C508" s="8">
        <v>691773</v>
      </c>
      <c r="D508" s="25">
        <v>360</v>
      </c>
      <c r="E508" s="7" t="s">
        <v>450</v>
      </c>
      <c r="F508" s="7" t="s">
        <v>2196</v>
      </c>
      <c r="G508" s="107">
        <v>44621</v>
      </c>
      <c r="H508" s="108">
        <v>45931</v>
      </c>
      <c r="I508" s="7">
        <v>720</v>
      </c>
      <c r="J508" s="28" t="s">
        <v>1762</v>
      </c>
      <c r="K508" s="9">
        <v>5225.97</v>
      </c>
      <c r="L508" s="9">
        <v>69900</v>
      </c>
      <c r="M508" s="9">
        <f>+L508*0.1</f>
        <v>6990</v>
      </c>
      <c r="N508" s="9">
        <f t="shared" si="404"/>
        <v>34950</v>
      </c>
      <c r="O508" s="9">
        <f t="shared" si="405"/>
        <v>22734.03</v>
      </c>
      <c r="P508" s="9">
        <f t="shared" si="406"/>
        <v>12215.970000000001</v>
      </c>
      <c r="Q508" s="180">
        <f t="shared" si="407"/>
        <v>0.6504729613733905</v>
      </c>
      <c r="R508" s="335">
        <v>69900</v>
      </c>
      <c r="S508" s="359" t="s">
        <v>1948</v>
      </c>
      <c r="T508" s="305">
        <v>0.6504729613733905</v>
      </c>
      <c r="U508" s="12"/>
      <c r="V508" s="100"/>
      <c r="W508" s="110">
        <f t="shared" si="408"/>
        <v>69900</v>
      </c>
      <c r="X508" s="110">
        <f t="shared" si="409"/>
        <v>5225.97</v>
      </c>
      <c r="Y508" s="110">
        <f t="shared" si="410"/>
        <v>6990</v>
      </c>
      <c r="Z508" s="110">
        <f t="shared" si="411"/>
        <v>22734.03</v>
      </c>
      <c r="AA508" s="260">
        <f t="shared" si="412"/>
        <v>0.6504729613733905</v>
      </c>
      <c r="AB508" s="28">
        <f t="shared" si="413"/>
        <v>23</v>
      </c>
      <c r="AC508" s="261">
        <f t="shared" si="414"/>
        <v>0.64976648174429108</v>
      </c>
      <c r="AD508" s="111">
        <f t="shared" si="415"/>
        <v>8.5</v>
      </c>
      <c r="AE508" s="262">
        <f t="shared" si="416"/>
        <v>5.230930354337579E-2</v>
      </c>
      <c r="AF508" s="100"/>
      <c r="AG508" s="111">
        <f t="shared" si="417"/>
        <v>13.4</v>
      </c>
      <c r="AH508" s="262">
        <f t="shared" si="418"/>
        <v>0.39885291642676823</v>
      </c>
      <c r="AI508" s="100"/>
      <c r="AJ508" s="111">
        <f t="shared" si="419"/>
        <v>12.4</v>
      </c>
      <c r="AK508" s="262">
        <f t="shared" si="420"/>
        <v>0.35037331291279794</v>
      </c>
      <c r="AL508" s="100"/>
      <c r="AM508" s="111">
        <f t="shared" si="421"/>
        <v>11.5</v>
      </c>
      <c r="AN508" s="262">
        <f t="shared" si="422"/>
        <v>0.29953296348858205</v>
      </c>
      <c r="AO508" s="100"/>
      <c r="AP508" s="24" t="e">
        <f>VLOOKUP(C508,#REF!,6,FALSE)</f>
        <v>#REF!</v>
      </c>
      <c r="AQ508" s="24" t="e">
        <f>VLOOKUP(C508,#REF!,7,FALSE)</f>
        <v>#REF!</v>
      </c>
      <c r="AR508" s="24" t="e">
        <f>VLOOKUP(C508,#REF!,12,FALSE)</f>
        <v>#REF!</v>
      </c>
      <c r="AS508" s="24" t="e">
        <f>VLOOKUP(C508,#REF!,13,FALSE)</f>
        <v>#REF!</v>
      </c>
      <c r="AT508" s="100"/>
      <c r="AU508" s="100"/>
      <c r="AV508" s="100">
        <v>492</v>
      </c>
      <c r="AW508" s="100"/>
      <c r="AY508" s="9">
        <v>69900</v>
      </c>
    </row>
    <row r="509" spans="1:51" s="2" customFormat="1" ht="12.75" customHeight="1" x14ac:dyDescent="0.2">
      <c r="A509" s="7" t="s">
        <v>1363</v>
      </c>
      <c r="B509" s="8">
        <v>9789500212397</v>
      </c>
      <c r="C509" s="8">
        <v>690478</v>
      </c>
      <c r="D509" s="25">
        <v>304</v>
      </c>
      <c r="E509" s="7" t="s">
        <v>640</v>
      </c>
      <c r="F509" s="7" t="s">
        <v>641</v>
      </c>
      <c r="G509" s="107">
        <v>44562</v>
      </c>
      <c r="H509" s="107">
        <v>44562</v>
      </c>
      <c r="I509" s="7">
        <v>5000</v>
      </c>
      <c r="J509" s="28" t="s">
        <v>1762</v>
      </c>
      <c r="K509" s="9">
        <v>514.32000000000005</v>
      </c>
      <c r="L509" s="9">
        <v>53900</v>
      </c>
      <c r="M509" s="112">
        <f>+L509*0.08</f>
        <v>4312</v>
      </c>
      <c r="N509" s="9">
        <f t="shared" si="404"/>
        <v>26950</v>
      </c>
      <c r="O509" s="9">
        <f t="shared" si="405"/>
        <v>22123.68</v>
      </c>
      <c r="P509" s="9">
        <f t="shared" si="406"/>
        <v>4826.32</v>
      </c>
      <c r="Q509" s="180">
        <f t="shared" si="407"/>
        <v>0.82091576994434134</v>
      </c>
      <c r="R509" s="335">
        <v>53900</v>
      </c>
      <c r="S509" s="359" t="s">
        <v>1948</v>
      </c>
      <c r="T509" s="305">
        <v>0.82091576994434134</v>
      </c>
      <c r="U509" s="140"/>
      <c r="V509" s="100"/>
      <c r="W509" s="110">
        <f t="shared" si="408"/>
        <v>53900</v>
      </c>
      <c r="X509" s="110">
        <f t="shared" si="409"/>
        <v>514.32000000000005</v>
      </c>
      <c r="Y509" s="110">
        <f t="shared" si="410"/>
        <v>4312</v>
      </c>
      <c r="Z509" s="110">
        <f t="shared" si="411"/>
        <v>22123.68</v>
      </c>
      <c r="AA509" s="260">
        <f t="shared" si="412"/>
        <v>0.82091576994434134</v>
      </c>
      <c r="AB509" s="28">
        <f t="shared" si="413"/>
        <v>17.8</v>
      </c>
      <c r="AC509" s="261">
        <f t="shared" si="414"/>
        <v>0.82120568873477884</v>
      </c>
      <c r="AD509" s="111">
        <f t="shared" si="415"/>
        <v>3.4</v>
      </c>
      <c r="AE509" s="262">
        <f t="shared" si="416"/>
        <v>6.3959193964430436E-2</v>
      </c>
      <c r="AF509" s="100"/>
      <c r="AG509" s="111">
        <f t="shared" si="417"/>
        <v>5.3</v>
      </c>
      <c r="AH509" s="262">
        <f t="shared" si="418"/>
        <v>0.39952099235454031</v>
      </c>
      <c r="AI509" s="100"/>
      <c r="AJ509" s="111">
        <f t="shared" si="419"/>
        <v>4.9000000000000004</v>
      </c>
      <c r="AK509" s="262">
        <f t="shared" si="420"/>
        <v>0.35050229785287018</v>
      </c>
      <c r="AL509" s="100"/>
      <c r="AM509" s="111">
        <f t="shared" si="421"/>
        <v>4.5</v>
      </c>
      <c r="AN509" s="262">
        <f t="shared" si="422"/>
        <v>0.29276916877312531</v>
      </c>
      <c r="AO509" s="100"/>
      <c r="AP509" s="24" t="e">
        <f>VLOOKUP(C509,#REF!,6,FALSE)</f>
        <v>#REF!</v>
      </c>
      <c r="AQ509" s="24" t="e">
        <f>VLOOKUP(C509,#REF!,7,FALSE)</f>
        <v>#REF!</v>
      </c>
      <c r="AR509" s="24" t="e">
        <f>VLOOKUP(C509,#REF!,12,FALSE)</f>
        <v>#REF!</v>
      </c>
      <c r="AS509" s="24" t="e">
        <f>VLOOKUP(C509,#REF!,13,FALSE)</f>
        <v>#REF!</v>
      </c>
      <c r="AT509" s="100"/>
      <c r="AU509" s="100"/>
      <c r="AV509" s="100">
        <v>493</v>
      </c>
      <c r="AW509" s="100"/>
      <c r="AY509" s="9">
        <v>53900</v>
      </c>
    </row>
    <row r="510" spans="1:51" s="132" customFormat="1" ht="12.75" customHeight="1" x14ac:dyDescent="0.2">
      <c r="A510" s="7" t="s">
        <v>1364</v>
      </c>
      <c r="B510" s="8">
        <v>9789500212311</v>
      </c>
      <c r="C510" s="8">
        <v>689371</v>
      </c>
      <c r="D510" s="25">
        <v>304</v>
      </c>
      <c r="E510" s="9" t="s">
        <v>626</v>
      </c>
      <c r="F510" s="7" t="s">
        <v>623</v>
      </c>
      <c r="G510" s="107">
        <v>44531</v>
      </c>
      <c r="H510" s="108">
        <v>44501</v>
      </c>
      <c r="I510" s="7">
        <v>4023</v>
      </c>
      <c r="J510" s="28" t="s">
        <v>1762</v>
      </c>
      <c r="K510" s="9">
        <v>208.52</v>
      </c>
      <c r="L510" s="9">
        <v>35900</v>
      </c>
      <c r="M510" s="112">
        <f t="shared" ref="M510:M516" si="423">+L510*0.1</f>
        <v>3590</v>
      </c>
      <c r="N510" s="9">
        <f t="shared" si="404"/>
        <v>17950</v>
      </c>
      <c r="O510" s="9">
        <f t="shared" si="405"/>
        <v>14151.48</v>
      </c>
      <c r="P510" s="9">
        <f t="shared" si="406"/>
        <v>3798.52</v>
      </c>
      <c r="Q510" s="180">
        <f t="shared" si="407"/>
        <v>0.78838328690807802</v>
      </c>
      <c r="R510" s="335">
        <v>35900</v>
      </c>
      <c r="S510" s="359" t="s">
        <v>1948</v>
      </c>
      <c r="T510" s="305">
        <v>0.78838328690807802</v>
      </c>
      <c r="U510" s="140"/>
      <c r="V510" s="100"/>
      <c r="W510" s="110">
        <f t="shared" si="408"/>
        <v>35900</v>
      </c>
      <c r="X510" s="110">
        <f t="shared" si="409"/>
        <v>208.52</v>
      </c>
      <c r="Y510" s="110">
        <f t="shared" si="410"/>
        <v>3590</v>
      </c>
      <c r="Z510" s="110">
        <f t="shared" si="411"/>
        <v>14151.48</v>
      </c>
      <c r="AA510" s="260">
        <f t="shared" si="412"/>
        <v>0.78838328690807802</v>
      </c>
      <c r="AB510" s="28">
        <f t="shared" si="413"/>
        <v>11.8</v>
      </c>
      <c r="AC510" s="261">
        <f t="shared" si="414"/>
        <v>0.7877293276780275</v>
      </c>
      <c r="AD510" s="111">
        <f t="shared" si="415"/>
        <v>2.6</v>
      </c>
      <c r="AE510" s="262">
        <f t="shared" si="416"/>
        <v>3.6617717923355934E-2</v>
      </c>
      <c r="AF510" s="100"/>
      <c r="AG510" s="111">
        <f t="shared" si="417"/>
        <v>4.2</v>
      </c>
      <c r="AH510" s="262">
        <f t="shared" si="418"/>
        <v>0.40362049204779171</v>
      </c>
      <c r="AI510" s="100"/>
      <c r="AJ510" s="111">
        <f t="shared" si="419"/>
        <v>3.9</v>
      </c>
      <c r="AK510" s="262">
        <f t="shared" si="420"/>
        <v>0.35774514528223716</v>
      </c>
      <c r="AL510" s="100"/>
      <c r="AM510" s="111">
        <f t="shared" si="421"/>
        <v>3.6</v>
      </c>
      <c r="AN510" s="262">
        <f t="shared" si="422"/>
        <v>0.30422390738909039</v>
      </c>
      <c r="AO510" s="100"/>
      <c r="AP510" s="24" t="e">
        <f>VLOOKUP(C510,#REF!,6,FALSE)</f>
        <v>#REF!</v>
      </c>
      <c r="AQ510" s="24" t="e">
        <f>VLOOKUP(C510,#REF!,7,FALSE)</f>
        <v>#REF!</v>
      </c>
      <c r="AR510" s="24" t="e">
        <f>VLOOKUP(C510,#REF!,12,FALSE)</f>
        <v>#REF!</v>
      </c>
      <c r="AS510" s="24" t="e">
        <f>VLOOKUP(C510,#REF!,13,FALSE)</f>
        <v>#REF!</v>
      </c>
      <c r="AT510" s="100"/>
      <c r="AU510" s="100"/>
      <c r="AV510" s="100">
        <v>494</v>
      </c>
      <c r="AW510" s="100"/>
      <c r="AY510" s="9">
        <v>35900</v>
      </c>
    </row>
    <row r="511" spans="1:51" s="132" customFormat="1" ht="12.75" customHeight="1" x14ac:dyDescent="0.2">
      <c r="A511" s="6" t="s">
        <v>1365</v>
      </c>
      <c r="B511" s="8">
        <v>9789500214490</v>
      </c>
      <c r="C511" s="6">
        <v>711848</v>
      </c>
      <c r="D511" s="41">
        <v>384</v>
      </c>
      <c r="E511" s="7" t="s">
        <v>414</v>
      </c>
      <c r="F511" s="7" t="s">
        <v>864</v>
      </c>
      <c r="G511" s="107">
        <v>45261</v>
      </c>
      <c r="H511" s="108">
        <v>45231</v>
      </c>
      <c r="I511" s="7">
        <v>4084</v>
      </c>
      <c r="J511" s="28" t="s">
        <v>1333</v>
      </c>
      <c r="K511" s="9">
        <v>1314.04</v>
      </c>
      <c r="L511" s="28">
        <v>32900</v>
      </c>
      <c r="M511" s="112">
        <f t="shared" si="423"/>
        <v>3290</v>
      </c>
      <c r="N511" s="9">
        <f t="shared" si="404"/>
        <v>16450</v>
      </c>
      <c r="O511" s="9">
        <f t="shared" si="405"/>
        <v>11845.96</v>
      </c>
      <c r="P511" s="9">
        <f t="shared" si="406"/>
        <v>4604.04</v>
      </c>
      <c r="Q511" s="139">
        <f t="shared" si="407"/>
        <v>0.72011914893617013</v>
      </c>
      <c r="R511" s="335">
        <v>32900</v>
      </c>
      <c r="S511" s="359" t="s">
        <v>1948</v>
      </c>
      <c r="T511" s="305">
        <v>0.72011914893617013</v>
      </c>
      <c r="U511" s="6"/>
      <c r="V511" s="100"/>
      <c r="W511" s="110">
        <f t="shared" si="408"/>
        <v>32900</v>
      </c>
      <c r="X511" s="110">
        <f t="shared" si="409"/>
        <v>1314.04</v>
      </c>
      <c r="Y511" s="110">
        <f t="shared" si="410"/>
        <v>3290</v>
      </c>
      <c r="Z511" s="110">
        <f t="shared" si="411"/>
        <v>11845.96</v>
      </c>
      <c r="AA511" s="260">
        <f t="shared" si="412"/>
        <v>0.72011914893617013</v>
      </c>
      <c r="AB511" s="28">
        <f t="shared" si="413"/>
        <v>10.8</v>
      </c>
      <c r="AC511" s="261">
        <f t="shared" si="414"/>
        <v>0.71889218595450044</v>
      </c>
      <c r="AD511" s="111">
        <f t="shared" si="415"/>
        <v>3.2</v>
      </c>
      <c r="AE511" s="262">
        <f t="shared" si="416"/>
        <v>5.1261127596439214E-2</v>
      </c>
      <c r="AF511" s="100"/>
      <c r="AG511" s="111">
        <f t="shared" si="417"/>
        <v>5.0999999999999996</v>
      </c>
      <c r="AH511" s="262">
        <f t="shared" si="418"/>
        <v>0.40471286437423631</v>
      </c>
      <c r="AI511" s="100"/>
      <c r="AJ511" s="111">
        <f t="shared" si="419"/>
        <v>4.7</v>
      </c>
      <c r="AK511" s="262">
        <f t="shared" si="420"/>
        <v>0.35405012942736286</v>
      </c>
      <c r="AL511" s="100"/>
      <c r="AM511" s="111">
        <f t="shared" si="421"/>
        <v>4.3</v>
      </c>
      <c r="AN511" s="262">
        <f t="shared" si="422"/>
        <v>0.29396176937409424</v>
      </c>
      <c r="AO511" s="100"/>
      <c r="AP511" s="24" t="e">
        <f>VLOOKUP(C511,#REF!,6,FALSE)</f>
        <v>#REF!</v>
      </c>
      <c r="AQ511" s="24" t="e">
        <f>VLOOKUP(C511,#REF!,7,FALSE)</f>
        <v>#REF!</v>
      </c>
      <c r="AR511" s="24" t="e">
        <f>VLOOKUP(C511,#REF!,12,FALSE)</f>
        <v>#REF!</v>
      </c>
      <c r="AS511" s="24" t="e">
        <f>VLOOKUP(C511,#REF!,13,FALSE)</f>
        <v>#REF!</v>
      </c>
      <c r="AT511" s="100"/>
      <c r="AU511" s="100"/>
      <c r="AV511" s="100">
        <v>495</v>
      </c>
      <c r="AW511" s="100"/>
      <c r="AY511" s="28">
        <v>32900</v>
      </c>
    </row>
    <row r="512" spans="1:51" s="132" customFormat="1" ht="12.75" customHeight="1" x14ac:dyDescent="0.2">
      <c r="A512" s="7" t="s">
        <v>1366</v>
      </c>
      <c r="B512" s="8">
        <v>9789500212328</v>
      </c>
      <c r="C512" s="8">
        <v>689373</v>
      </c>
      <c r="D512" s="25">
        <v>256</v>
      </c>
      <c r="E512" s="9" t="s">
        <v>414</v>
      </c>
      <c r="F512" s="7" t="s">
        <v>621</v>
      </c>
      <c r="G512" s="107">
        <v>44531</v>
      </c>
      <c r="H512" s="108">
        <v>44501</v>
      </c>
      <c r="I512" s="7">
        <v>4110</v>
      </c>
      <c r="J512" s="28" t="s">
        <v>1333</v>
      </c>
      <c r="K512" s="9">
        <v>155.68</v>
      </c>
      <c r="L512" s="28">
        <v>32900</v>
      </c>
      <c r="M512" s="112">
        <f t="shared" si="423"/>
        <v>3290</v>
      </c>
      <c r="N512" s="9">
        <f t="shared" si="404"/>
        <v>16450</v>
      </c>
      <c r="O512" s="9">
        <f t="shared" si="405"/>
        <v>13004.32</v>
      </c>
      <c r="P512" s="9">
        <f t="shared" si="406"/>
        <v>3445.68</v>
      </c>
      <c r="Q512" s="180">
        <f t="shared" si="407"/>
        <v>0.7905361702127659</v>
      </c>
      <c r="R512" s="335">
        <v>32900</v>
      </c>
      <c r="S512" s="359" t="s">
        <v>1948</v>
      </c>
      <c r="T512" s="305">
        <v>0.7905361702127659</v>
      </c>
      <c r="U512" s="140"/>
      <c r="V512" s="100"/>
      <c r="W512" s="110">
        <f t="shared" si="408"/>
        <v>32900</v>
      </c>
      <c r="X512" s="110">
        <f t="shared" si="409"/>
        <v>155.68</v>
      </c>
      <c r="Y512" s="110">
        <f t="shared" si="410"/>
        <v>3290</v>
      </c>
      <c r="Z512" s="110">
        <f t="shared" si="411"/>
        <v>13004.32</v>
      </c>
      <c r="AA512" s="260">
        <f t="shared" si="412"/>
        <v>0.7905361702127659</v>
      </c>
      <c r="AB512" s="28">
        <f t="shared" si="413"/>
        <v>10.8</v>
      </c>
      <c r="AC512" s="261">
        <f t="shared" si="414"/>
        <v>0.78961790672967724</v>
      </c>
      <c r="AD512" s="111">
        <f t="shared" si="415"/>
        <v>2.4</v>
      </c>
      <c r="AE512" s="262">
        <f t="shared" si="416"/>
        <v>5.3280580283547666E-2</v>
      </c>
      <c r="AF512" s="100"/>
      <c r="AG512" s="111">
        <f t="shared" si="417"/>
        <v>3.8</v>
      </c>
      <c r="AH512" s="262">
        <f t="shared" si="418"/>
        <v>0.40207194544224056</v>
      </c>
      <c r="AI512" s="100"/>
      <c r="AJ512" s="111">
        <f t="shared" si="419"/>
        <v>3.5</v>
      </c>
      <c r="AK512" s="262">
        <f t="shared" si="420"/>
        <v>0.35082096933728973</v>
      </c>
      <c r="AL512" s="100"/>
      <c r="AM512" s="111">
        <f t="shared" si="421"/>
        <v>3.2</v>
      </c>
      <c r="AN512" s="262">
        <f t="shared" si="422"/>
        <v>0.28996043521266068</v>
      </c>
      <c r="AO512" s="100"/>
      <c r="AP512" s="24" t="e">
        <f>VLOOKUP(C512,#REF!,6,FALSE)</f>
        <v>#REF!</v>
      </c>
      <c r="AQ512" s="24" t="e">
        <f>VLOOKUP(C512,#REF!,7,FALSE)</f>
        <v>#REF!</v>
      </c>
      <c r="AR512" s="24" t="e">
        <f>VLOOKUP(C512,#REF!,12,FALSE)</f>
        <v>#REF!</v>
      </c>
      <c r="AS512" s="24" t="e">
        <f>VLOOKUP(C512,#REF!,13,FALSE)</f>
        <v>#REF!</v>
      </c>
      <c r="AT512" s="100"/>
      <c r="AU512" s="100"/>
      <c r="AV512" s="100">
        <v>496</v>
      </c>
      <c r="AW512" s="100"/>
      <c r="AY512" s="28">
        <v>32900</v>
      </c>
    </row>
    <row r="513" spans="1:51" s="2" customFormat="1" ht="12.75" customHeight="1" x14ac:dyDescent="0.2">
      <c r="A513" s="7" t="s">
        <v>1367</v>
      </c>
      <c r="B513" s="8">
        <v>9789500212090</v>
      </c>
      <c r="C513" s="8">
        <v>688420</v>
      </c>
      <c r="D513" s="25">
        <v>288</v>
      </c>
      <c r="E513" s="9" t="s">
        <v>414</v>
      </c>
      <c r="F513" s="7" t="s">
        <v>588</v>
      </c>
      <c r="G513" s="107">
        <v>44501</v>
      </c>
      <c r="H513" s="108">
        <v>44470</v>
      </c>
      <c r="I513" s="7">
        <v>3095</v>
      </c>
      <c r="J513" s="28" t="s">
        <v>1333</v>
      </c>
      <c r="K513" s="9">
        <v>169.95</v>
      </c>
      <c r="L513" s="28">
        <v>32900</v>
      </c>
      <c r="M513" s="112">
        <f t="shared" si="423"/>
        <v>3290</v>
      </c>
      <c r="N513" s="9">
        <f t="shared" si="404"/>
        <v>16450</v>
      </c>
      <c r="O513" s="9">
        <f t="shared" si="405"/>
        <v>12990.05</v>
      </c>
      <c r="P513" s="9">
        <f t="shared" si="406"/>
        <v>3459.95</v>
      </c>
      <c r="Q513" s="180">
        <f t="shared" si="407"/>
        <v>0.78966869300911846</v>
      </c>
      <c r="R513" s="335">
        <v>32900</v>
      </c>
      <c r="S513" s="359" t="s">
        <v>1948</v>
      </c>
      <c r="T513" s="305">
        <v>0.78966869300911846</v>
      </c>
      <c r="U513" s="144"/>
      <c r="V513" s="100"/>
      <c r="W513" s="110">
        <f t="shared" si="408"/>
        <v>32900</v>
      </c>
      <c r="X513" s="110">
        <f t="shared" si="409"/>
        <v>169.95</v>
      </c>
      <c r="Y513" s="110">
        <f t="shared" si="410"/>
        <v>3290</v>
      </c>
      <c r="Z513" s="110">
        <f t="shared" si="411"/>
        <v>12990.05</v>
      </c>
      <c r="AA513" s="260">
        <f t="shared" si="412"/>
        <v>0.78966869300911846</v>
      </c>
      <c r="AB513" s="28">
        <f t="shared" si="413"/>
        <v>10.8</v>
      </c>
      <c r="AC513" s="261">
        <f t="shared" si="414"/>
        <v>0.78874662661342509</v>
      </c>
      <c r="AD513" s="111">
        <f t="shared" si="415"/>
        <v>2.4</v>
      </c>
      <c r="AE513" s="262">
        <f t="shared" si="416"/>
        <v>4.9359819760413259E-2</v>
      </c>
      <c r="AF513" s="100"/>
      <c r="AG513" s="111">
        <f t="shared" si="417"/>
        <v>3.8</v>
      </c>
      <c r="AH513" s="262">
        <f t="shared" si="418"/>
        <v>0.39959567563815573</v>
      </c>
      <c r="AI513" s="100"/>
      <c r="AJ513" s="111">
        <f t="shared" si="419"/>
        <v>3.5</v>
      </c>
      <c r="AK513" s="262">
        <f t="shared" si="420"/>
        <v>0.34813244783571196</v>
      </c>
      <c r="AL513" s="100"/>
      <c r="AM513" s="111">
        <f t="shared" si="421"/>
        <v>3.3</v>
      </c>
      <c r="AN513" s="262">
        <f t="shared" si="422"/>
        <v>0.30862532346211874</v>
      </c>
      <c r="AO513" s="100"/>
      <c r="AP513" s="24" t="e">
        <f>VLOOKUP(C513,#REF!,6,FALSE)</f>
        <v>#REF!</v>
      </c>
      <c r="AQ513" s="24" t="e">
        <f>VLOOKUP(C513,#REF!,7,FALSE)</f>
        <v>#REF!</v>
      </c>
      <c r="AR513" s="24" t="e">
        <f>VLOOKUP(C513,#REF!,12,FALSE)</f>
        <v>#REF!</v>
      </c>
      <c r="AS513" s="24" t="e">
        <f>VLOOKUP(C513,#REF!,13,FALSE)</f>
        <v>#REF!</v>
      </c>
      <c r="AT513" s="100"/>
      <c r="AU513" s="100"/>
      <c r="AV513" s="100">
        <v>497</v>
      </c>
      <c r="AW513" s="100"/>
      <c r="AY513" s="28">
        <v>32900</v>
      </c>
    </row>
    <row r="514" spans="1:51" s="2" customFormat="1" ht="12.75" customHeight="1" x14ac:dyDescent="0.2">
      <c r="A514" s="6" t="s">
        <v>1368</v>
      </c>
      <c r="B514" s="8">
        <v>9789500209878</v>
      </c>
      <c r="C514" s="6">
        <v>656689</v>
      </c>
      <c r="D514" s="7">
        <v>288</v>
      </c>
      <c r="E514" s="22" t="s">
        <v>414</v>
      </c>
      <c r="F514" s="10" t="s">
        <v>415</v>
      </c>
      <c r="G514" s="107">
        <v>43405</v>
      </c>
      <c r="H514" s="108">
        <v>43739</v>
      </c>
      <c r="I514" s="24">
        <v>2042</v>
      </c>
      <c r="J514" s="28" t="s">
        <v>1333</v>
      </c>
      <c r="K514" s="9">
        <v>67.89</v>
      </c>
      <c r="L514" s="28">
        <v>32900</v>
      </c>
      <c r="M514" s="112">
        <f t="shared" si="423"/>
        <v>3290</v>
      </c>
      <c r="N514" s="9">
        <f t="shared" si="404"/>
        <v>16450</v>
      </c>
      <c r="O514" s="9">
        <f t="shared" si="405"/>
        <v>13092.11</v>
      </c>
      <c r="P514" s="9">
        <f t="shared" si="406"/>
        <v>3357.89</v>
      </c>
      <c r="Q514" s="180">
        <f t="shared" si="407"/>
        <v>0.79587294832826749</v>
      </c>
      <c r="R514" s="335">
        <v>32900</v>
      </c>
      <c r="S514" s="359" t="s">
        <v>1948</v>
      </c>
      <c r="T514" s="305">
        <v>0.79587294832826749</v>
      </c>
      <c r="U514" s="140"/>
      <c r="V514" s="100"/>
      <c r="W514" s="110">
        <f t="shared" si="408"/>
        <v>32900</v>
      </c>
      <c r="X514" s="110">
        <f t="shared" si="409"/>
        <v>67.89</v>
      </c>
      <c r="Y514" s="110">
        <f t="shared" si="410"/>
        <v>3290</v>
      </c>
      <c r="Z514" s="110">
        <f t="shared" si="411"/>
        <v>13092.11</v>
      </c>
      <c r="AA514" s="260">
        <f t="shared" si="412"/>
        <v>0.79587294832826749</v>
      </c>
      <c r="AB514" s="28">
        <f t="shared" si="413"/>
        <v>10.8</v>
      </c>
      <c r="AC514" s="261">
        <f t="shared" si="414"/>
        <v>0.79497808061935993</v>
      </c>
      <c r="AD514" s="111">
        <f t="shared" si="415"/>
        <v>2.2999999999999998</v>
      </c>
      <c r="AE514" s="262">
        <f t="shared" si="416"/>
        <v>3.7288378560472471E-2</v>
      </c>
      <c r="AF514" s="100"/>
      <c r="AG514" s="111">
        <f t="shared" si="417"/>
        <v>3.7</v>
      </c>
      <c r="AH514" s="262">
        <f t="shared" si="418"/>
        <v>0.40155764072678013</v>
      </c>
      <c r="AI514" s="100"/>
      <c r="AJ514" s="111">
        <f t="shared" si="419"/>
        <v>3.4</v>
      </c>
      <c r="AK514" s="262">
        <f t="shared" si="420"/>
        <v>0.34875390314384891</v>
      </c>
      <c r="AL514" s="100"/>
      <c r="AM514" s="111">
        <f t="shared" si="421"/>
        <v>3.2</v>
      </c>
      <c r="AN514" s="262">
        <f t="shared" si="422"/>
        <v>0.30805102209033958</v>
      </c>
      <c r="AO514" s="100"/>
      <c r="AP514" s="24" t="e">
        <f>VLOOKUP(C514,#REF!,6,FALSE)</f>
        <v>#REF!</v>
      </c>
      <c r="AQ514" s="24" t="e">
        <f>VLOOKUP(C514,#REF!,7,FALSE)</f>
        <v>#REF!</v>
      </c>
      <c r="AR514" s="24" t="e">
        <f>VLOOKUP(C514,#REF!,12,FALSE)</f>
        <v>#REF!</v>
      </c>
      <c r="AS514" s="24" t="e">
        <f>VLOOKUP(C514,#REF!,13,FALSE)</f>
        <v>#REF!</v>
      </c>
      <c r="AT514" s="100"/>
      <c r="AU514" s="100"/>
      <c r="AV514" s="100">
        <v>498</v>
      </c>
      <c r="AW514" s="100"/>
      <c r="AY514" s="28">
        <v>32900</v>
      </c>
    </row>
    <row r="515" spans="1:51" s="2" customFormat="1" ht="12.75" customHeight="1" x14ac:dyDescent="0.2">
      <c r="A515" s="7" t="s">
        <v>1369</v>
      </c>
      <c r="B515" s="8">
        <v>9789500212120</v>
      </c>
      <c r="C515" s="8">
        <v>688421</v>
      </c>
      <c r="D515" s="25">
        <v>304</v>
      </c>
      <c r="E515" s="9" t="s">
        <v>414</v>
      </c>
      <c r="F515" s="7" t="s">
        <v>1370</v>
      </c>
      <c r="G515" s="107">
        <v>44501</v>
      </c>
      <c r="H515" s="108">
        <v>44470</v>
      </c>
      <c r="I515" s="7">
        <v>3045</v>
      </c>
      <c r="J515" s="28" t="s">
        <v>1333</v>
      </c>
      <c r="K515" s="9">
        <v>171.17</v>
      </c>
      <c r="L515" s="28">
        <v>32900</v>
      </c>
      <c r="M515" s="112">
        <f t="shared" si="423"/>
        <v>3290</v>
      </c>
      <c r="N515" s="9">
        <f t="shared" si="404"/>
        <v>16450</v>
      </c>
      <c r="O515" s="9">
        <f t="shared" si="405"/>
        <v>12988.83</v>
      </c>
      <c r="P515" s="9">
        <f t="shared" si="406"/>
        <v>3461.17</v>
      </c>
      <c r="Q515" s="139">
        <f t="shared" si="407"/>
        <v>0.78959452887537995</v>
      </c>
      <c r="R515" s="335">
        <v>32900</v>
      </c>
      <c r="S515" s="359" t="s">
        <v>1948</v>
      </c>
      <c r="T515" s="305">
        <v>0.78959452887537995</v>
      </c>
      <c r="U515" s="140"/>
      <c r="V515" s="100"/>
      <c r="W515" s="110">
        <f t="shared" si="408"/>
        <v>32900</v>
      </c>
      <c r="X515" s="110">
        <f t="shared" si="409"/>
        <v>171.17</v>
      </c>
      <c r="Y515" s="110">
        <f t="shared" si="410"/>
        <v>3290</v>
      </c>
      <c r="Z515" s="110">
        <f t="shared" si="411"/>
        <v>12988.83</v>
      </c>
      <c r="AA515" s="260">
        <f t="shared" si="412"/>
        <v>0.78959452887537995</v>
      </c>
      <c r="AB515" s="28">
        <f t="shared" si="413"/>
        <v>10.8</v>
      </c>
      <c r="AC515" s="261">
        <f t="shared" si="414"/>
        <v>0.7886721373533111</v>
      </c>
      <c r="AD515" s="111">
        <f t="shared" si="415"/>
        <v>2.4</v>
      </c>
      <c r="AE515" s="262">
        <f t="shared" si="416"/>
        <v>4.9024618089899948E-2</v>
      </c>
      <c r="AF515" s="100"/>
      <c r="AG515" s="111">
        <f t="shared" si="417"/>
        <v>3.8</v>
      </c>
      <c r="AH515" s="262">
        <f t="shared" si="418"/>
        <v>0.3993839693199368</v>
      </c>
      <c r="AI515" s="100"/>
      <c r="AJ515" s="111">
        <f t="shared" si="419"/>
        <v>3.5</v>
      </c>
      <c r="AK515" s="262">
        <f t="shared" si="420"/>
        <v>0.34790259526164569</v>
      </c>
      <c r="AL515" s="100"/>
      <c r="AM515" s="111">
        <f t="shared" si="421"/>
        <v>3.3</v>
      </c>
      <c r="AN515" s="262">
        <f t="shared" si="422"/>
        <v>0.30838154042901811</v>
      </c>
      <c r="AO515" s="100"/>
      <c r="AP515" s="24" t="e">
        <f>VLOOKUP(C515,#REF!,6,FALSE)</f>
        <v>#REF!</v>
      </c>
      <c r="AQ515" s="24" t="e">
        <f>VLOOKUP(C515,#REF!,7,FALSE)</f>
        <v>#REF!</v>
      </c>
      <c r="AR515" s="24" t="e">
        <f>VLOOKUP(C515,#REF!,12,FALSE)</f>
        <v>#REF!</v>
      </c>
      <c r="AS515" s="24" t="e">
        <f>VLOOKUP(C515,#REF!,13,FALSE)</f>
        <v>#REF!</v>
      </c>
      <c r="AT515" s="100"/>
      <c r="AU515" s="100"/>
      <c r="AV515" s="100">
        <v>499</v>
      </c>
      <c r="AW515" s="100"/>
      <c r="AY515" s="28">
        <v>32900</v>
      </c>
    </row>
    <row r="516" spans="1:51" s="2" customFormat="1" ht="12.75" customHeight="1" x14ac:dyDescent="0.2">
      <c r="A516" s="7" t="s">
        <v>1371</v>
      </c>
      <c r="B516" s="8">
        <v>9789500210218</v>
      </c>
      <c r="C516" s="14">
        <v>670526</v>
      </c>
      <c r="D516" s="25">
        <v>304</v>
      </c>
      <c r="E516" s="7" t="s">
        <v>414</v>
      </c>
      <c r="F516" s="7" t="s">
        <v>1372</v>
      </c>
      <c r="G516" s="107">
        <v>43770</v>
      </c>
      <c r="H516" s="108">
        <v>43739</v>
      </c>
      <c r="I516" s="7">
        <v>4062</v>
      </c>
      <c r="J516" s="28" t="s">
        <v>1333</v>
      </c>
      <c r="K516" s="9">
        <v>67.180000000000007</v>
      </c>
      <c r="L516" s="28">
        <v>32900</v>
      </c>
      <c r="M516" s="112">
        <f t="shared" si="423"/>
        <v>3290</v>
      </c>
      <c r="N516" s="9">
        <f t="shared" si="404"/>
        <v>16450</v>
      </c>
      <c r="O516" s="9">
        <f t="shared" si="405"/>
        <v>13092.82</v>
      </c>
      <c r="P516" s="9">
        <f t="shared" si="406"/>
        <v>3357.18</v>
      </c>
      <c r="Q516" s="139">
        <f t="shared" si="407"/>
        <v>0.79591610942249236</v>
      </c>
      <c r="R516" s="335">
        <v>32900</v>
      </c>
      <c r="S516" s="359" t="s">
        <v>1948</v>
      </c>
      <c r="T516" s="305">
        <v>0.79591610942249236</v>
      </c>
      <c r="U516" s="140"/>
      <c r="V516" s="100"/>
      <c r="W516" s="110">
        <f t="shared" si="408"/>
        <v>32900</v>
      </c>
      <c r="X516" s="110">
        <f t="shared" si="409"/>
        <v>67.180000000000007</v>
      </c>
      <c r="Y516" s="110">
        <f t="shared" si="410"/>
        <v>3290</v>
      </c>
      <c r="Z516" s="110">
        <f t="shared" si="411"/>
        <v>13092.82</v>
      </c>
      <c r="AA516" s="260">
        <f t="shared" si="412"/>
        <v>0.79591610942249236</v>
      </c>
      <c r="AB516" s="28">
        <f t="shared" si="413"/>
        <v>10.8</v>
      </c>
      <c r="AC516" s="261">
        <f t="shared" si="414"/>
        <v>0.79502143092647548</v>
      </c>
      <c r="AD516" s="111">
        <f t="shared" si="415"/>
        <v>2.2999999999999998</v>
      </c>
      <c r="AE516" s="262">
        <f t="shared" si="416"/>
        <v>3.7491936524319439E-2</v>
      </c>
      <c r="AF516" s="100"/>
      <c r="AG516" s="111">
        <f t="shared" si="417"/>
        <v>3.7</v>
      </c>
      <c r="AH516" s="262">
        <f t="shared" si="418"/>
        <v>0.40168417675836071</v>
      </c>
      <c r="AI516" s="100"/>
      <c r="AJ516" s="111">
        <f t="shared" si="419"/>
        <v>3.4</v>
      </c>
      <c r="AK516" s="262">
        <f t="shared" si="420"/>
        <v>0.34889160411939246</v>
      </c>
      <c r="AL516" s="100"/>
      <c r="AM516" s="111">
        <f t="shared" si="421"/>
        <v>3.2</v>
      </c>
      <c r="AN516" s="262">
        <f t="shared" si="422"/>
        <v>0.30819732937685457</v>
      </c>
      <c r="AO516" s="100"/>
      <c r="AP516" s="24" t="e">
        <f>VLOOKUP(C516,#REF!,6,FALSE)</f>
        <v>#REF!</v>
      </c>
      <c r="AQ516" s="24" t="e">
        <f>VLOOKUP(C516,#REF!,7,FALSE)</f>
        <v>#REF!</v>
      </c>
      <c r="AR516" s="24" t="e">
        <f>VLOOKUP(C516,#REF!,12,FALSE)</f>
        <v>#REF!</v>
      </c>
      <c r="AS516" s="24" t="e">
        <f>VLOOKUP(C516,#REF!,13,FALSE)</f>
        <v>#REF!</v>
      </c>
      <c r="AT516" s="100"/>
      <c r="AU516" s="100"/>
      <c r="AV516" s="100">
        <v>500</v>
      </c>
      <c r="AW516" s="100"/>
      <c r="AY516" s="28">
        <v>32900</v>
      </c>
    </row>
    <row r="517" spans="1:51" s="2" customFormat="1" ht="12.75" customHeight="1" x14ac:dyDescent="0.2">
      <c r="A517" s="7" t="s">
        <v>1373</v>
      </c>
      <c r="B517" s="8">
        <v>9789500211253</v>
      </c>
      <c r="C517" s="8">
        <v>679307</v>
      </c>
      <c r="D517" s="25">
        <v>408</v>
      </c>
      <c r="E517" s="7" t="s">
        <v>512</v>
      </c>
      <c r="F517" s="7" t="s">
        <v>509</v>
      </c>
      <c r="G517" s="107">
        <v>44166</v>
      </c>
      <c r="H517" s="108">
        <v>44228</v>
      </c>
      <c r="I517" s="7">
        <v>3037</v>
      </c>
      <c r="J517" s="28" t="s">
        <v>1333</v>
      </c>
      <c r="K517" s="9">
        <v>116.91</v>
      </c>
      <c r="L517" s="28">
        <v>32900</v>
      </c>
      <c r="M517" s="112">
        <f>+L517*0.12</f>
        <v>3948</v>
      </c>
      <c r="N517" s="9">
        <f t="shared" si="404"/>
        <v>16450</v>
      </c>
      <c r="O517" s="9">
        <f t="shared" si="405"/>
        <v>12385.09</v>
      </c>
      <c r="P517" s="9">
        <f t="shared" si="406"/>
        <v>4064.91</v>
      </c>
      <c r="Q517" s="139">
        <f t="shared" si="407"/>
        <v>0.75289300911854107</v>
      </c>
      <c r="R517" s="335">
        <v>32900</v>
      </c>
      <c r="S517" s="359" t="s">
        <v>1948</v>
      </c>
      <c r="T517" s="305">
        <v>0.75289300911854107</v>
      </c>
      <c r="U517" s="140"/>
      <c r="V517" s="100"/>
      <c r="W517" s="110">
        <f t="shared" si="408"/>
        <v>32900</v>
      </c>
      <c r="X517" s="110">
        <f t="shared" si="409"/>
        <v>116.91</v>
      </c>
      <c r="Y517" s="110">
        <f t="shared" si="410"/>
        <v>3948</v>
      </c>
      <c r="Z517" s="110">
        <f t="shared" si="411"/>
        <v>12385.09</v>
      </c>
      <c r="AA517" s="260">
        <f t="shared" si="412"/>
        <v>0.75289300911854107</v>
      </c>
      <c r="AB517" s="28">
        <f t="shared" si="413"/>
        <v>10.8</v>
      </c>
      <c r="AC517" s="261">
        <f t="shared" si="414"/>
        <v>0.75180972268014801</v>
      </c>
      <c r="AD517" s="111">
        <f t="shared" si="415"/>
        <v>2.8</v>
      </c>
      <c r="AE517" s="262">
        <f t="shared" si="416"/>
        <v>4.2694644623428001E-2</v>
      </c>
      <c r="AF517" s="100"/>
      <c r="AG517" s="111">
        <f t="shared" si="417"/>
        <v>4.5</v>
      </c>
      <c r="AH517" s="262">
        <f t="shared" si="418"/>
        <v>0.40434333443235521</v>
      </c>
      <c r="AI517" s="100"/>
      <c r="AJ517" s="111">
        <f t="shared" si="419"/>
        <v>4.0999999999999996</v>
      </c>
      <c r="AK517" s="262">
        <f t="shared" si="420"/>
        <v>0.34623048901112152</v>
      </c>
      <c r="AL517" s="100"/>
      <c r="AM517" s="111">
        <f t="shared" si="421"/>
        <v>3.8</v>
      </c>
      <c r="AN517" s="262">
        <f t="shared" si="422"/>
        <v>0.29461710656463119</v>
      </c>
      <c r="AO517" s="100"/>
      <c r="AP517" s="24" t="e">
        <f>VLOOKUP(C517,#REF!,6,FALSE)</f>
        <v>#REF!</v>
      </c>
      <c r="AQ517" s="24" t="e">
        <f>VLOOKUP(C517,#REF!,7,FALSE)</f>
        <v>#REF!</v>
      </c>
      <c r="AR517" s="24" t="e">
        <f>VLOOKUP(C517,#REF!,12,FALSE)</f>
        <v>#REF!</v>
      </c>
      <c r="AS517" s="24" t="e">
        <f>VLOOKUP(C517,#REF!,13,FALSE)</f>
        <v>#REF!</v>
      </c>
      <c r="AT517" s="100"/>
      <c r="AU517" s="100"/>
      <c r="AV517" s="100">
        <v>501</v>
      </c>
      <c r="AW517" s="100"/>
      <c r="AY517" s="28">
        <v>32900</v>
      </c>
    </row>
    <row r="518" spans="1:51" s="2" customFormat="1" ht="12.75" customHeight="1" x14ac:dyDescent="0.2">
      <c r="A518" s="7" t="s">
        <v>1374</v>
      </c>
      <c r="B518" s="8">
        <v>9789500207744</v>
      </c>
      <c r="C518" s="21">
        <v>572862</v>
      </c>
      <c r="D518" s="25">
        <v>272</v>
      </c>
      <c r="E518" s="22" t="s">
        <v>214</v>
      </c>
      <c r="F518" s="6" t="s">
        <v>215</v>
      </c>
      <c r="G518" s="107">
        <v>41609</v>
      </c>
      <c r="H518" s="108">
        <v>43862</v>
      </c>
      <c r="I518" s="24">
        <v>1579</v>
      </c>
      <c r="J518" s="28" t="s">
        <v>2136</v>
      </c>
      <c r="K518" s="28">
        <v>80.75</v>
      </c>
      <c r="L518" s="112">
        <v>28900</v>
      </c>
      <c r="M518" s="112">
        <f>+L518*0.1</f>
        <v>2890</v>
      </c>
      <c r="N518" s="9">
        <f t="shared" si="404"/>
        <v>14450</v>
      </c>
      <c r="O518" s="9">
        <f t="shared" si="405"/>
        <v>11479.25</v>
      </c>
      <c r="P518" s="9">
        <f t="shared" si="406"/>
        <v>2970.75</v>
      </c>
      <c r="Q518" s="139">
        <f t="shared" si="407"/>
        <v>0.79441176470588237</v>
      </c>
      <c r="R518" s="335">
        <v>28900</v>
      </c>
      <c r="S518" s="359" t="s">
        <v>1948</v>
      </c>
      <c r="T518" s="305">
        <v>0.79441176470588237</v>
      </c>
      <c r="U518" s="144"/>
      <c r="V518" s="100"/>
      <c r="W518" s="110">
        <f t="shared" si="408"/>
        <v>28900</v>
      </c>
      <c r="X518" s="110">
        <f t="shared" si="409"/>
        <v>80.75</v>
      </c>
      <c r="Y518" s="110">
        <f t="shared" si="410"/>
        <v>2890</v>
      </c>
      <c r="Z518" s="110">
        <f t="shared" si="411"/>
        <v>11479.25</v>
      </c>
      <c r="AA518" s="260">
        <f t="shared" si="412"/>
        <v>0.79441176470588237</v>
      </c>
      <c r="AB518" s="28">
        <f t="shared" si="413"/>
        <v>9.5</v>
      </c>
      <c r="AC518" s="261">
        <f t="shared" si="414"/>
        <v>0.79379457545942012</v>
      </c>
      <c r="AD518" s="111">
        <f t="shared" si="415"/>
        <v>2.1</v>
      </c>
      <c r="AE518" s="262">
        <f t="shared" si="416"/>
        <v>6.7165936602138404E-2</v>
      </c>
      <c r="AF518" s="100"/>
      <c r="AG518" s="111">
        <f t="shared" si="417"/>
        <v>3.3</v>
      </c>
      <c r="AH518" s="262">
        <f t="shared" si="418"/>
        <v>0.40637832329226986</v>
      </c>
      <c r="AI518" s="100"/>
      <c r="AJ518" s="111">
        <f t="shared" si="419"/>
        <v>3</v>
      </c>
      <c r="AK518" s="262">
        <f t="shared" si="420"/>
        <v>0.34701615562149685</v>
      </c>
      <c r="AL518" s="100"/>
      <c r="AM518" s="111">
        <f t="shared" si="421"/>
        <v>2.8</v>
      </c>
      <c r="AN518" s="262">
        <f t="shared" si="422"/>
        <v>0.30037445245160377</v>
      </c>
      <c r="AO518" s="100"/>
      <c r="AP518" s="24" t="e">
        <f>VLOOKUP(C518,#REF!,6,FALSE)</f>
        <v>#REF!</v>
      </c>
      <c r="AQ518" s="24" t="e">
        <f>VLOOKUP(C518,#REF!,7,FALSE)</f>
        <v>#REF!</v>
      </c>
      <c r="AR518" s="24" t="e">
        <f>VLOOKUP(C518,#REF!,12,FALSE)</f>
        <v>#REF!</v>
      </c>
      <c r="AS518" s="24" t="e">
        <f>VLOOKUP(C518,#REF!,13,FALSE)</f>
        <v>#REF!</v>
      </c>
      <c r="AT518" s="100"/>
      <c r="AU518" s="100"/>
      <c r="AV518" s="100">
        <v>502</v>
      </c>
      <c r="AW518" s="100"/>
      <c r="AY518" s="112">
        <v>28900</v>
      </c>
    </row>
    <row r="519" spans="1:51" s="2" customFormat="1" ht="12.75" customHeight="1" x14ac:dyDescent="0.2">
      <c r="A519" s="6" t="s">
        <v>1375</v>
      </c>
      <c r="B519" s="8">
        <v>9789500208789</v>
      </c>
      <c r="C519" s="8">
        <v>599837</v>
      </c>
      <c r="D519" s="7">
        <v>208</v>
      </c>
      <c r="E519" s="6" t="s">
        <v>1376</v>
      </c>
      <c r="F519" s="6" t="s">
        <v>216</v>
      </c>
      <c r="G519" s="107">
        <v>42339</v>
      </c>
      <c r="H519" s="108">
        <v>43405</v>
      </c>
      <c r="I519" s="24">
        <v>1042</v>
      </c>
      <c r="J519" s="28" t="s">
        <v>2136</v>
      </c>
      <c r="K519" s="28">
        <v>52.92</v>
      </c>
      <c r="L519" s="112">
        <v>28900</v>
      </c>
      <c r="M519" s="112">
        <f>+L519*0.1</f>
        <v>2890</v>
      </c>
      <c r="N519" s="9">
        <f t="shared" si="404"/>
        <v>14450</v>
      </c>
      <c r="O519" s="9">
        <f t="shared" si="405"/>
        <v>11507.08</v>
      </c>
      <c r="P519" s="9">
        <f t="shared" si="406"/>
        <v>2942.92</v>
      </c>
      <c r="Q519" s="139">
        <f t="shared" si="407"/>
        <v>0.79633771626297578</v>
      </c>
      <c r="R519" s="335">
        <v>28900</v>
      </c>
      <c r="S519" s="359" t="s">
        <v>1948</v>
      </c>
      <c r="T519" s="305">
        <v>0.79633771626297578</v>
      </c>
      <c r="U519" s="140"/>
      <c r="V519" s="100"/>
      <c r="W519" s="110">
        <f t="shared" si="408"/>
        <v>28900</v>
      </c>
      <c r="X519" s="110">
        <f t="shared" si="409"/>
        <v>52.92</v>
      </c>
      <c r="Y519" s="110">
        <f t="shared" si="410"/>
        <v>2890</v>
      </c>
      <c r="Z519" s="110">
        <f t="shared" si="411"/>
        <v>11507.08</v>
      </c>
      <c r="AA519" s="260">
        <f t="shared" si="412"/>
        <v>0.79633771626297578</v>
      </c>
      <c r="AB519" s="28">
        <f t="shared" si="413"/>
        <v>9.5</v>
      </c>
      <c r="AC519" s="261">
        <f t="shared" si="414"/>
        <v>0.79572630884828288</v>
      </c>
      <c r="AD519" s="111">
        <f t="shared" si="415"/>
        <v>2</v>
      </c>
      <c r="AE519" s="262">
        <f t="shared" si="416"/>
        <v>2.9699967029343861E-2</v>
      </c>
      <c r="AF519" s="100"/>
      <c r="AG519" s="111">
        <f t="shared" si="417"/>
        <v>3.2</v>
      </c>
      <c r="AH519" s="262">
        <f t="shared" si="418"/>
        <v>0.39356247939333994</v>
      </c>
      <c r="AI519" s="100"/>
      <c r="AJ519" s="111">
        <f t="shared" si="419"/>
        <v>3</v>
      </c>
      <c r="AK519" s="262">
        <f t="shared" si="420"/>
        <v>0.35313331135289588</v>
      </c>
      <c r="AL519" s="100"/>
      <c r="AM519" s="111">
        <f t="shared" si="421"/>
        <v>2.8</v>
      </c>
      <c r="AN519" s="262">
        <f t="shared" si="422"/>
        <v>0.30692854787810275</v>
      </c>
      <c r="AO519" s="100"/>
      <c r="AP519" s="24" t="e">
        <f>VLOOKUP(C519,#REF!,6,FALSE)</f>
        <v>#REF!</v>
      </c>
      <c r="AQ519" s="24" t="e">
        <f>VLOOKUP(C519,#REF!,7,FALSE)</f>
        <v>#REF!</v>
      </c>
      <c r="AR519" s="24" t="e">
        <f>VLOOKUP(C519,#REF!,12,FALSE)</f>
        <v>#REF!</v>
      </c>
      <c r="AS519" s="24" t="e">
        <f>VLOOKUP(C519,#REF!,13,FALSE)</f>
        <v>#REF!</v>
      </c>
      <c r="AT519" s="100"/>
      <c r="AU519" s="100"/>
      <c r="AV519" s="100">
        <v>503</v>
      </c>
      <c r="AW519" s="100"/>
      <c r="AY519" s="112">
        <v>28900</v>
      </c>
    </row>
    <row r="520" spans="1:51" s="2" customFormat="1" ht="12.75" customHeight="1" x14ac:dyDescent="0.2">
      <c r="A520" s="7" t="s">
        <v>1377</v>
      </c>
      <c r="B520" s="8">
        <v>9789500263849</v>
      </c>
      <c r="C520" s="8">
        <v>390368</v>
      </c>
      <c r="D520" s="25">
        <v>264</v>
      </c>
      <c r="E520" s="7" t="s">
        <v>217</v>
      </c>
      <c r="F520" s="7" t="s">
        <v>218</v>
      </c>
      <c r="G520" s="107">
        <v>38231</v>
      </c>
      <c r="H520" s="108">
        <v>43040</v>
      </c>
      <c r="I520" s="24">
        <v>1533</v>
      </c>
      <c r="J520" s="28" t="s">
        <v>2136</v>
      </c>
      <c r="K520" s="28">
        <v>56.1</v>
      </c>
      <c r="L520" s="112">
        <v>28900</v>
      </c>
      <c r="M520" s="9">
        <f>+L520*0.1</f>
        <v>2890</v>
      </c>
      <c r="N520" s="9">
        <f t="shared" si="404"/>
        <v>14450</v>
      </c>
      <c r="O520" s="9">
        <f t="shared" si="405"/>
        <v>11503.9</v>
      </c>
      <c r="P520" s="9">
        <f t="shared" si="406"/>
        <v>2946.1</v>
      </c>
      <c r="Q520" s="139">
        <f t="shared" si="407"/>
        <v>0.79611764705882349</v>
      </c>
      <c r="R520" s="335">
        <v>28900</v>
      </c>
      <c r="S520" s="359" t="s">
        <v>1948</v>
      </c>
      <c r="T520" s="305">
        <v>0.79611764705882349</v>
      </c>
      <c r="U520" s="140"/>
      <c r="V520" s="100"/>
      <c r="W520" s="110">
        <f t="shared" si="408"/>
        <v>28900</v>
      </c>
      <c r="X520" s="110">
        <f t="shared" si="409"/>
        <v>56.1</v>
      </c>
      <c r="Y520" s="110">
        <f t="shared" si="410"/>
        <v>2890</v>
      </c>
      <c r="Z520" s="110">
        <f t="shared" si="411"/>
        <v>11503.9</v>
      </c>
      <c r="AA520" s="260">
        <f t="shared" si="412"/>
        <v>0.79611764705882349</v>
      </c>
      <c r="AB520" s="28">
        <f t="shared" si="413"/>
        <v>9.5</v>
      </c>
      <c r="AC520" s="261">
        <f t="shared" si="414"/>
        <v>0.7955055789820743</v>
      </c>
      <c r="AD520" s="111">
        <f t="shared" si="415"/>
        <v>2</v>
      </c>
      <c r="AE520" s="262">
        <f t="shared" si="416"/>
        <v>2.8651500164853311E-2</v>
      </c>
      <c r="AF520" s="100"/>
      <c r="AG520" s="111">
        <f t="shared" si="417"/>
        <v>3.2</v>
      </c>
      <c r="AH520" s="262">
        <f t="shared" si="418"/>
        <v>0.39290718760303323</v>
      </c>
      <c r="AI520" s="100"/>
      <c r="AJ520" s="111">
        <f t="shared" si="419"/>
        <v>3</v>
      </c>
      <c r="AK520" s="262">
        <f t="shared" si="420"/>
        <v>0.35243433344323544</v>
      </c>
      <c r="AL520" s="100"/>
      <c r="AM520" s="111">
        <f t="shared" si="421"/>
        <v>2.8</v>
      </c>
      <c r="AN520" s="262">
        <f t="shared" si="422"/>
        <v>0.30617964297489508</v>
      </c>
      <c r="AO520" s="100"/>
      <c r="AP520" s="24" t="e">
        <f>VLOOKUP(C520,#REF!,6,FALSE)</f>
        <v>#REF!</v>
      </c>
      <c r="AQ520" s="24" t="e">
        <f>VLOOKUP(C520,#REF!,7,FALSE)</f>
        <v>#REF!</v>
      </c>
      <c r="AR520" s="24" t="e">
        <f>VLOOKUP(C520,#REF!,12,FALSE)</f>
        <v>#REF!</v>
      </c>
      <c r="AS520" s="24" t="e">
        <f>VLOOKUP(C520,#REF!,13,FALSE)</f>
        <v>#REF!</v>
      </c>
      <c r="AT520" s="100"/>
      <c r="AU520" s="100"/>
      <c r="AV520" s="100">
        <v>504</v>
      </c>
      <c r="AW520" s="100"/>
      <c r="AY520" s="112">
        <v>28900</v>
      </c>
    </row>
    <row r="521" spans="1:51" s="2" customFormat="1" ht="12.75" customHeight="1" x14ac:dyDescent="0.25">
      <c r="B521" s="379"/>
      <c r="C521" s="3"/>
      <c r="D521" s="17"/>
      <c r="H521" s="132"/>
      <c r="I521" s="132"/>
      <c r="J521" s="134"/>
      <c r="K521" s="132"/>
      <c r="L521" s="18"/>
      <c r="M521" s="132"/>
      <c r="N521" s="132"/>
      <c r="O521" s="132"/>
      <c r="P521" s="132"/>
      <c r="Q521" s="147"/>
      <c r="R521" s="356"/>
      <c r="S521" s="360"/>
      <c r="T521" s="307"/>
      <c r="U521" s="135"/>
      <c r="V521" s="100"/>
      <c r="W521"/>
      <c r="X521"/>
      <c r="Y521"/>
      <c r="Z521"/>
      <c r="AA521"/>
      <c r="AB521"/>
      <c r="AC521"/>
      <c r="AD521" s="263"/>
      <c r="AE521"/>
      <c r="AF521" s="100"/>
      <c r="AG521" s="263"/>
      <c r="AH521"/>
      <c r="AI521" s="100"/>
      <c r="AJ521" s="263"/>
      <c r="AK521"/>
      <c r="AL521" s="100"/>
      <c r="AM521" s="263"/>
      <c r="AN521"/>
      <c r="AO521" s="100"/>
      <c r="AP521" s="100"/>
      <c r="AQ521" s="100"/>
      <c r="AR521" s="100"/>
      <c r="AS521" s="100"/>
      <c r="AT521" s="100"/>
      <c r="AU521" s="100"/>
      <c r="AV521" s="100">
        <v>505</v>
      </c>
      <c r="AW521" s="100"/>
      <c r="AY521" s="18"/>
    </row>
    <row r="522" spans="1:51" s="2" customFormat="1" ht="12.75" customHeight="1" x14ac:dyDescent="0.25">
      <c r="A522" s="160" t="s">
        <v>1378</v>
      </c>
      <c r="B522" s="168"/>
      <c r="C522" s="161"/>
      <c r="D522" s="162"/>
      <c r="E522" s="383"/>
      <c r="F522" s="383"/>
      <c r="G522" s="162"/>
      <c r="H522" s="132"/>
      <c r="I522" s="132"/>
      <c r="J522" s="134"/>
      <c r="K522" s="132"/>
      <c r="L522" s="18"/>
      <c r="M522" s="132"/>
      <c r="N522" s="132"/>
      <c r="O522" s="132"/>
      <c r="P522" s="132"/>
      <c r="Q522" s="147"/>
      <c r="R522" s="356"/>
      <c r="S522" s="360"/>
      <c r="T522" s="307"/>
      <c r="U522" s="135"/>
      <c r="V522" s="100"/>
      <c r="W522"/>
      <c r="X522"/>
      <c r="Y522"/>
      <c r="Z522"/>
      <c r="AA522"/>
      <c r="AB522"/>
      <c r="AC522"/>
      <c r="AD522" s="263"/>
      <c r="AE522"/>
      <c r="AF522" s="100"/>
      <c r="AG522" s="263"/>
      <c r="AH522"/>
      <c r="AI522" s="100"/>
      <c r="AJ522" s="263"/>
      <c r="AK522"/>
      <c r="AL522" s="100"/>
      <c r="AM522" s="263"/>
      <c r="AN522"/>
      <c r="AO522" s="100"/>
      <c r="AP522" s="100"/>
      <c r="AQ522" s="100"/>
      <c r="AR522" s="100"/>
      <c r="AS522" s="100"/>
      <c r="AT522" s="100"/>
      <c r="AU522" s="100"/>
      <c r="AV522" s="100">
        <v>506</v>
      </c>
      <c r="AW522" s="100"/>
      <c r="AY522" s="18"/>
    </row>
    <row r="523" spans="1:51" s="2" customFormat="1" ht="12.75" customHeight="1" x14ac:dyDescent="0.2">
      <c r="A523" s="6" t="s">
        <v>1975</v>
      </c>
      <c r="B523" s="8">
        <v>9789500215862</v>
      </c>
      <c r="C523" s="6">
        <v>725691</v>
      </c>
      <c r="D523" s="41">
        <v>256</v>
      </c>
      <c r="E523" s="288" t="s">
        <v>1976</v>
      </c>
      <c r="F523" s="6" t="s">
        <v>1977</v>
      </c>
      <c r="G523" s="107">
        <v>45689</v>
      </c>
      <c r="H523" s="108">
        <v>45658</v>
      </c>
      <c r="I523" s="264">
        <v>3119</v>
      </c>
      <c r="J523" s="28" t="s">
        <v>1762</v>
      </c>
      <c r="K523" s="292">
        <v>5331.04</v>
      </c>
      <c r="L523" s="9">
        <v>53900</v>
      </c>
      <c r="M523" s="9">
        <f>+L523*0.1</f>
        <v>5390</v>
      </c>
      <c r="N523" s="9">
        <f t="shared" ref="N523:N534" si="424">+L523/2</f>
        <v>26950</v>
      </c>
      <c r="O523" s="9">
        <f t="shared" ref="O523:O534" si="425">+N523-M523-K523</f>
        <v>16228.96</v>
      </c>
      <c r="P523" s="9">
        <f t="shared" ref="P523:P534" si="426">+M523+K523</f>
        <v>10721.04</v>
      </c>
      <c r="Q523" s="109">
        <f t="shared" ref="Q523:Q534" si="427">+O523/N523</f>
        <v>0.60218775510204081</v>
      </c>
      <c r="R523" s="336">
        <v>53900</v>
      </c>
      <c r="S523" s="359" t="s">
        <v>1948</v>
      </c>
      <c r="T523" s="305">
        <v>0.60218775510204081</v>
      </c>
      <c r="U523" s="12"/>
      <c r="V523" s="100"/>
      <c r="W523" s="110">
        <f t="shared" ref="W523:W534" si="428">+L523</f>
        <v>53900</v>
      </c>
      <c r="X523" s="110">
        <f t="shared" ref="X523:X534" si="429">+K523</f>
        <v>5331.04</v>
      </c>
      <c r="Y523" s="110">
        <f t="shared" ref="Y523:Y534" si="430">+M523</f>
        <v>5390</v>
      </c>
      <c r="Z523" s="110">
        <f t="shared" ref="Z523:Z534" si="431">+W523/2-X523-Y523</f>
        <v>16228.96</v>
      </c>
      <c r="AA523" s="260">
        <f t="shared" ref="AA523:AA534" si="432">+Z523/(W523/2)</f>
        <v>0.60218775510204081</v>
      </c>
      <c r="AB523" s="28">
        <f t="shared" ref="AB523:AB534" si="433">ROUND($W523/2/$X$1,1)</f>
        <v>17.8</v>
      </c>
      <c r="AC523" s="261">
        <f t="shared" ref="AC523:AC534" si="434">+(AB523*$X$1-$X523-$Y523)/(AB523*$X$1)</f>
        <v>0.60283177185787795</v>
      </c>
      <c r="AD523" s="111">
        <f t="shared" ref="AD523:AD534" si="435">+IFERROR(ROUND(($X523+$Y523)/(1-$X$2)/$X$1,1),0)</f>
        <v>7.4</v>
      </c>
      <c r="AE523" s="262">
        <f t="shared" ref="AE523:AE534" si="436">+(AD523*$X$1-$X523-$Y523)/(AD523*$X$1)</f>
        <v>4.4649397171652401E-2</v>
      </c>
      <c r="AF523" s="100"/>
      <c r="AG523" s="111">
        <f t="shared" ref="AG523:AG534" si="437">+IFERROR(ROUND(($X523+$Y523)/(1-$AG$2)/$X$1,1),0)</f>
        <v>11.8</v>
      </c>
      <c r="AH523" s="262">
        <f t="shared" ref="AH523:AH534" si="438">+(AG523*$X$1-$X523-$Y523)/(AG523*$X$1)</f>
        <v>0.40088182534493449</v>
      </c>
      <c r="AI523" s="100"/>
      <c r="AJ523" s="111">
        <f t="shared" ref="AJ523:AJ534" si="439">+IFERROR(ROUND(($X523+$Y523)/(1-$AJ$2)/$X$1,1),0)</f>
        <v>10.9</v>
      </c>
      <c r="AK523" s="262">
        <f t="shared" ref="AK523:AK534" si="440">+(AJ523*$X$1-$X523-$Y523)/(AJ523*$X$1)</f>
        <v>0.3514133522082778</v>
      </c>
      <c r="AL523" s="100"/>
      <c r="AM523" s="111">
        <f t="shared" ref="AM523:AM534" si="441">+IFERROR(ROUND(($X523+$Y523)/(1-$AM$2)/$X$1,1),0)</f>
        <v>10.1</v>
      </c>
      <c r="AN523" s="262">
        <f t="shared" ref="AN523:AN534" si="442">+(AM523*$X$1-$X523-$Y523)/(AM523*$X$1)</f>
        <v>0.30004015238319087</v>
      </c>
      <c r="AO523" s="100"/>
      <c r="AP523" s="24" t="e">
        <f>VLOOKUP(C523,#REF!,6,FALSE)</f>
        <v>#REF!</v>
      </c>
      <c r="AQ523" s="24" t="e">
        <f>VLOOKUP(C523,#REF!,7,FALSE)</f>
        <v>#REF!</v>
      </c>
      <c r="AR523" s="24" t="e">
        <f>VLOOKUP(C523,#REF!,12,FALSE)</f>
        <v>#REF!</v>
      </c>
      <c r="AS523" s="24" t="e">
        <f>VLOOKUP(C523,#REF!,13,FALSE)</f>
        <v>#REF!</v>
      </c>
      <c r="AT523" s="100"/>
      <c r="AU523" s="100"/>
      <c r="AV523" s="100">
        <v>507</v>
      </c>
      <c r="AW523" s="100"/>
      <c r="AY523" s="9">
        <v>53900</v>
      </c>
    </row>
    <row r="524" spans="1:51" s="2" customFormat="1" ht="12.75" customHeight="1" x14ac:dyDescent="0.2">
      <c r="A524" s="6" t="s">
        <v>1925</v>
      </c>
      <c r="B524" s="282">
        <v>9789500215602</v>
      </c>
      <c r="C524" s="8">
        <v>722599</v>
      </c>
      <c r="D524" s="25">
        <v>208</v>
      </c>
      <c r="E524" s="25" t="s">
        <v>1926</v>
      </c>
      <c r="F524" s="25" t="s">
        <v>1927</v>
      </c>
      <c r="G524" s="107">
        <v>45597</v>
      </c>
      <c r="H524" s="108">
        <v>45566</v>
      </c>
      <c r="I524" s="7">
        <v>5040</v>
      </c>
      <c r="J524" s="28" t="s">
        <v>2136</v>
      </c>
      <c r="K524" s="148">
        <v>3335.87</v>
      </c>
      <c r="L524" s="9">
        <v>44900</v>
      </c>
      <c r="M524" s="112">
        <f t="shared" ref="M524:M530" si="443">+L524*0.08</f>
        <v>3592</v>
      </c>
      <c r="N524" s="9">
        <f t="shared" si="424"/>
        <v>22450</v>
      </c>
      <c r="O524" s="9">
        <f t="shared" si="425"/>
        <v>15522.130000000001</v>
      </c>
      <c r="P524" s="9">
        <f t="shared" si="426"/>
        <v>6927.87</v>
      </c>
      <c r="Q524" s="139">
        <f t="shared" si="427"/>
        <v>0.69140890868596883</v>
      </c>
      <c r="R524" s="336">
        <v>44900</v>
      </c>
      <c r="S524" s="359" t="s">
        <v>1948</v>
      </c>
      <c r="T524" s="305">
        <v>0.69140890868596883</v>
      </c>
      <c r="U524" s="36"/>
      <c r="V524" s="100"/>
      <c r="W524" s="110">
        <f t="shared" si="428"/>
        <v>44900</v>
      </c>
      <c r="X524" s="110">
        <f t="shared" si="429"/>
        <v>3335.87</v>
      </c>
      <c r="Y524" s="110">
        <f t="shared" si="430"/>
        <v>3592</v>
      </c>
      <c r="Z524" s="110">
        <f t="shared" si="431"/>
        <v>15522.130000000001</v>
      </c>
      <c r="AA524" s="260">
        <f t="shared" si="432"/>
        <v>0.69140890868596883</v>
      </c>
      <c r="AB524" s="28">
        <f t="shared" si="433"/>
        <v>14.8</v>
      </c>
      <c r="AC524" s="261">
        <f t="shared" si="434"/>
        <v>0.69132916299088409</v>
      </c>
      <c r="AD524" s="111">
        <f t="shared" si="435"/>
        <v>4.8</v>
      </c>
      <c r="AE524" s="262">
        <f t="shared" si="436"/>
        <v>4.8264919221892508E-2</v>
      </c>
      <c r="AF524" s="100"/>
      <c r="AG524" s="111">
        <f t="shared" si="437"/>
        <v>7.6</v>
      </c>
      <c r="AH524" s="262">
        <f t="shared" si="438"/>
        <v>0.39890415950856367</v>
      </c>
      <c r="AI524" s="100"/>
      <c r="AJ524" s="111">
        <f t="shared" si="439"/>
        <v>7</v>
      </c>
      <c r="AK524" s="262">
        <f t="shared" si="440"/>
        <v>0.34738165889501205</v>
      </c>
      <c r="AL524" s="100"/>
      <c r="AM524" s="111">
        <f t="shared" si="441"/>
        <v>6.5</v>
      </c>
      <c r="AN524" s="262">
        <f t="shared" si="442"/>
        <v>0.29718024804078219</v>
      </c>
      <c r="AO524" s="100"/>
      <c r="AP524" s="24" t="e">
        <f>VLOOKUP(C524,#REF!,6,FALSE)</f>
        <v>#REF!</v>
      </c>
      <c r="AQ524" s="24" t="e">
        <f>VLOOKUP(C524,#REF!,7,FALSE)</f>
        <v>#REF!</v>
      </c>
      <c r="AR524" s="24" t="e">
        <f>VLOOKUP(C524,#REF!,12,FALSE)</f>
        <v>#REF!</v>
      </c>
      <c r="AS524" s="24" t="e">
        <f>VLOOKUP(C524,#REF!,13,FALSE)</f>
        <v>#REF!</v>
      </c>
      <c r="AT524" s="100"/>
      <c r="AU524" s="100"/>
      <c r="AV524" s="100">
        <v>508</v>
      </c>
      <c r="AW524" s="100"/>
      <c r="AY524" s="9">
        <v>44900</v>
      </c>
    </row>
    <row r="525" spans="1:51" s="2" customFormat="1" ht="12.75" customHeight="1" x14ac:dyDescent="0.2">
      <c r="A525" s="36" t="s">
        <v>1379</v>
      </c>
      <c r="B525" s="37">
        <v>9789500214735</v>
      </c>
      <c r="C525" s="37">
        <v>713082</v>
      </c>
      <c r="D525" s="149">
        <v>560</v>
      </c>
      <c r="E525" s="38" t="s">
        <v>698</v>
      </c>
      <c r="F525" s="38" t="s">
        <v>872</v>
      </c>
      <c r="G525" s="107">
        <v>45292</v>
      </c>
      <c r="H525" s="108">
        <v>45261</v>
      </c>
      <c r="I525" s="7">
        <v>2980</v>
      </c>
      <c r="J525" s="28" t="s">
        <v>1762</v>
      </c>
      <c r="K525" s="148">
        <v>8581.51</v>
      </c>
      <c r="L525" s="35">
        <v>75400</v>
      </c>
      <c r="M525" s="112">
        <f t="shared" si="443"/>
        <v>6032</v>
      </c>
      <c r="N525" s="9">
        <f t="shared" si="424"/>
        <v>37700</v>
      </c>
      <c r="O525" s="9">
        <f t="shared" si="425"/>
        <v>23086.489999999998</v>
      </c>
      <c r="P525" s="9">
        <f t="shared" si="426"/>
        <v>14613.51</v>
      </c>
      <c r="Q525" s="139">
        <f t="shared" si="427"/>
        <v>0.61237374005305034</v>
      </c>
      <c r="R525" s="336">
        <v>75400</v>
      </c>
      <c r="S525" s="359" t="s">
        <v>1948</v>
      </c>
      <c r="T525" s="305">
        <v>0.61237374005305034</v>
      </c>
      <c r="U525" s="36"/>
      <c r="V525" s="100"/>
      <c r="W525" s="110">
        <f t="shared" si="428"/>
        <v>75400</v>
      </c>
      <c r="X525" s="110">
        <f t="shared" si="429"/>
        <v>8581.51</v>
      </c>
      <c r="Y525" s="110">
        <f t="shared" si="430"/>
        <v>6032</v>
      </c>
      <c r="Z525" s="110">
        <f t="shared" si="431"/>
        <v>23086.489999999998</v>
      </c>
      <c r="AA525" s="260">
        <f t="shared" si="432"/>
        <v>0.61237374005305034</v>
      </c>
      <c r="AB525" s="28">
        <f t="shared" si="433"/>
        <v>24.9</v>
      </c>
      <c r="AC525" s="261">
        <f t="shared" si="434"/>
        <v>0.61299838324613976</v>
      </c>
      <c r="AD525" s="111">
        <f t="shared" si="435"/>
        <v>10.1</v>
      </c>
      <c r="AE525" s="262">
        <f t="shared" si="436"/>
        <v>4.590690523058237E-2</v>
      </c>
      <c r="AF525" s="100"/>
      <c r="AG525" s="111">
        <f t="shared" si="437"/>
        <v>16.100000000000001</v>
      </c>
      <c r="AH525" s="262">
        <f t="shared" si="438"/>
        <v>0.40146954924403</v>
      </c>
      <c r="AI525" s="100"/>
      <c r="AJ525" s="111">
        <f t="shared" si="439"/>
        <v>14.8</v>
      </c>
      <c r="AK525" s="262">
        <f t="shared" si="440"/>
        <v>0.34889592856951906</v>
      </c>
      <c r="AL525" s="100"/>
      <c r="AM525" s="111">
        <f t="shared" si="441"/>
        <v>13.8</v>
      </c>
      <c r="AN525" s="262">
        <f t="shared" si="442"/>
        <v>0.30171447411803498</v>
      </c>
      <c r="AO525" s="100"/>
      <c r="AP525" s="24" t="e">
        <f>VLOOKUP(C525,#REF!,6,FALSE)</f>
        <v>#REF!</v>
      </c>
      <c r="AQ525" s="24" t="e">
        <f>VLOOKUP(C525,#REF!,7,FALSE)</f>
        <v>#REF!</v>
      </c>
      <c r="AR525" s="24" t="e">
        <f>VLOOKUP(C525,#REF!,12,FALSE)</f>
        <v>#REF!</v>
      </c>
      <c r="AS525" s="24" t="e">
        <f>VLOOKUP(C525,#REF!,13,FALSE)</f>
        <v>#REF!</v>
      </c>
      <c r="AT525" s="100"/>
      <c r="AU525" s="100"/>
      <c r="AV525" s="100">
        <v>509</v>
      </c>
      <c r="AW525" s="100"/>
      <c r="AY525" s="35">
        <v>75400</v>
      </c>
    </row>
    <row r="526" spans="1:51" s="2" customFormat="1" ht="12.75" customHeight="1" x14ac:dyDescent="0.2">
      <c r="A526" s="6" t="s">
        <v>1380</v>
      </c>
      <c r="B526" s="8">
        <v>9789500214216</v>
      </c>
      <c r="C526" s="8">
        <v>710539</v>
      </c>
      <c r="D526" s="41">
        <v>272</v>
      </c>
      <c r="E526" s="7" t="s">
        <v>858</v>
      </c>
      <c r="F526" s="6" t="s">
        <v>859</v>
      </c>
      <c r="G526" s="107">
        <v>45231</v>
      </c>
      <c r="H526" s="108">
        <v>45200</v>
      </c>
      <c r="I526" s="7">
        <v>3052</v>
      </c>
      <c r="J526" s="28" t="s">
        <v>1762</v>
      </c>
      <c r="K526" s="117">
        <v>3959.42</v>
      </c>
      <c r="L526" s="9">
        <v>72300</v>
      </c>
      <c r="M526" s="9">
        <f t="shared" si="443"/>
        <v>5784</v>
      </c>
      <c r="N526" s="9">
        <f t="shared" si="424"/>
        <v>36150</v>
      </c>
      <c r="O526" s="9">
        <f t="shared" si="425"/>
        <v>26406.58</v>
      </c>
      <c r="P526" s="9">
        <f t="shared" si="426"/>
        <v>9743.42</v>
      </c>
      <c r="Q526" s="139">
        <f t="shared" si="427"/>
        <v>0.73047247579529739</v>
      </c>
      <c r="R526" s="336">
        <v>72300</v>
      </c>
      <c r="S526" s="359" t="s">
        <v>1948</v>
      </c>
      <c r="T526" s="305">
        <v>0.73047247579529739</v>
      </c>
      <c r="U526" s="140"/>
      <c r="V526" s="100"/>
      <c r="W526" s="110">
        <f t="shared" si="428"/>
        <v>72300</v>
      </c>
      <c r="X526" s="110">
        <f t="shared" si="429"/>
        <v>3959.42</v>
      </c>
      <c r="Y526" s="110">
        <f t="shared" si="430"/>
        <v>5784</v>
      </c>
      <c r="Z526" s="110">
        <f t="shared" si="431"/>
        <v>26406.58</v>
      </c>
      <c r="AA526" s="260">
        <f t="shared" si="432"/>
        <v>0.73047247579529739</v>
      </c>
      <c r="AB526" s="28">
        <f t="shared" si="433"/>
        <v>23.8</v>
      </c>
      <c r="AC526" s="261">
        <f t="shared" si="434"/>
        <v>0.730044579651841</v>
      </c>
      <c r="AD526" s="111">
        <f t="shared" si="435"/>
        <v>6.8</v>
      </c>
      <c r="AE526" s="262">
        <f t="shared" si="436"/>
        <v>5.5156028781443232E-2</v>
      </c>
      <c r="AF526" s="100"/>
      <c r="AG526" s="111">
        <f t="shared" si="437"/>
        <v>10.7</v>
      </c>
      <c r="AH526" s="262">
        <f t="shared" si="438"/>
        <v>0.39953841081437519</v>
      </c>
      <c r="AI526" s="100"/>
      <c r="AJ526" s="111">
        <f t="shared" si="439"/>
        <v>9.9</v>
      </c>
      <c r="AK526" s="262">
        <f t="shared" si="440"/>
        <v>0.35101626219331461</v>
      </c>
      <c r="AL526" s="100"/>
      <c r="AM526" s="111">
        <f t="shared" si="441"/>
        <v>9.1999999999999993</v>
      </c>
      <c r="AN526" s="262">
        <f t="shared" si="442"/>
        <v>0.30163706475150154</v>
      </c>
      <c r="AO526" s="100"/>
      <c r="AP526" s="24" t="e">
        <f>VLOOKUP(C526,#REF!,6,FALSE)</f>
        <v>#REF!</v>
      </c>
      <c r="AQ526" s="24" t="e">
        <f>VLOOKUP(C526,#REF!,7,FALSE)</f>
        <v>#REF!</v>
      </c>
      <c r="AR526" s="24" t="e">
        <f>VLOOKUP(C526,#REF!,12,FALSE)</f>
        <v>#REF!</v>
      </c>
      <c r="AS526" s="24" t="e">
        <f>VLOOKUP(C526,#REF!,13,FALSE)</f>
        <v>#REF!</v>
      </c>
      <c r="AT526" s="100"/>
      <c r="AU526" s="100"/>
      <c r="AV526" s="100">
        <v>510</v>
      </c>
      <c r="AW526" s="100"/>
      <c r="AY526" s="9">
        <v>72300</v>
      </c>
    </row>
    <row r="527" spans="1:51" s="2" customFormat="1" ht="12.75" customHeight="1" x14ac:dyDescent="0.2">
      <c r="A527" s="6" t="s">
        <v>1381</v>
      </c>
      <c r="B527" s="8">
        <v>9789500213899</v>
      </c>
      <c r="C527" s="6">
        <v>707253</v>
      </c>
      <c r="D527" s="41">
        <v>144</v>
      </c>
      <c r="E527" s="7" t="s">
        <v>803</v>
      </c>
      <c r="F527" s="7" t="s">
        <v>802</v>
      </c>
      <c r="G527" s="107">
        <v>45108</v>
      </c>
      <c r="H527" s="108">
        <v>45078</v>
      </c>
      <c r="I527" s="7">
        <v>4070</v>
      </c>
      <c r="J527" s="28" t="s">
        <v>2136</v>
      </c>
      <c r="K527" s="9">
        <v>1137.9100000000001</v>
      </c>
      <c r="L527" s="9">
        <v>39900</v>
      </c>
      <c r="M527" s="9">
        <f t="shared" si="443"/>
        <v>3192</v>
      </c>
      <c r="N527" s="9">
        <f t="shared" si="424"/>
        <v>19950</v>
      </c>
      <c r="O527" s="9">
        <f t="shared" si="425"/>
        <v>15620.09</v>
      </c>
      <c r="P527" s="9">
        <f t="shared" si="426"/>
        <v>4329.91</v>
      </c>
      <c r="Q527" s="139">
        <f t="shared" si="427"/>
        <v>0.78296190476190475</v>
      </c>
      <c r="R527" s="336">
        <v>39900</v>
      </c>
      <c r="S527" s="359" t="s">
        <v>1948</v>
      </c>
      <c r="T527" s="305">
        <v>0.78296190476190475</v>
      </c>
      <c r="U527" s="140"/>
      <c r="V527" s="100"/>
      <c r="W527" s="110">
        <f t="shared" si="428"/>
        <v>39900</v>
      </c>
      <c r="X527" s="110">
        <f t="shared" si="429"/>
        <v>1137.9100000000001</v>
      </c>
      <c r="Y527" s="110">
        <f t="shared" si="430"/>
        <v>3192</v>
      </c>
      <c r="Z527" s="110">
        <f t="shared" si="431"/>
        <v>15620.09</v>
      </c>
      <c r="AA527" s="260">
        <f t="shared" si="432"/>
        <v>0.78296190476190475</v>
      </c>
      <c r="AB527" s="28">
        <f t="shared" si="433"/>
        <v>13.2</v>
      </c>
      <c r="AC527" s="261">
        <f t="shared" si="434"/>
        <v>0.78369700966140132</v>
      </c>
      <c r="AD527" s="111">
        <f t="shared" si="435"/>
        <v>3</v>
      </c>
      <c r="AE527" s="262">
        <f t="shared" si="436"/>
        <v>4.8266842510165983E-2</v>
      </c>
      <c r="AF527" s="100"/>
      <c r="AG527" s="111">
        <f t="shared" si="437"/>
        <v>4.8</v>
      </c>
      <c r="AH527" s="262">
        <f t="shared" si="438"/>
        <v>0.40516677656885375</v>
      </c>
      <c r="AI527" s="100"/>
      <c r="AJ527" s="111">
        <f t="shared" si="439"/>
        <v>4.4000000000000004</v>
      </c>
      <c r="AK527" s="262">
        <f t="shared" si="440"/>
        <v>0.35109102898420413</v>
      </c>
      <c r="AL527" s="100"/>
      <c r="AM527" s="111">
        <f t="shared" si="441"/>
        <v>4.0999999999999996</v>
      </c>
      <c r="AN527" s="262">
        <f t="shared" si="442"/>
        <v>0.30360988476353606</v>
      </c>
      <c r="AO527" s="100"/>
      <c r="AP527" s="24" t="e">
        <f>VLOOKUP(C527,#REF!,6,FALSE)</f>
        <v>#REF!</v>
      </c>
      <c r="AQ527" s="24" t="e">
        <f>VLOOKUP(C527,#REF!,7,FALSE)</f>
        <v>#REF!</v>
      </c>
      <c r="AR527" s="24" t="e">
        <f>VLOOKUP(C527,#REF!,12,FALSE)</f>
        <v>#REF!</v>
      </c>
      <c r="AS527" s="24" t="e">
        <f>VLOOKUP(C527,#REF!,13,FALSE)</f>
        <v>#REF!</v>
      </c>
      <c r="AT527" s="100"/>
      <c r="AU527" s="100"/>
      <c r="AV527" s="100">
        <v>511</v>
      </c>
      <c r="AW527" s="100"/>
      <c r="AY527" s="9">
        <v>39900</v>
      </c>
    </row>
    <row r="528" spans="1:51" s="2" customFormat="1" ht="12.75" customHeight="1" x14ac:dyDescent="0.2">
      <c r="A528" s="6" t="s">
        <v>1333</v>
      </c>
      <c r="B528" s="8">
        <v>9789500213615</v>
      </c>
      <c r="C528" s="8">
        <v>704435</v>
      </c>
      <c r="D528" s="41">
        <v>336</v>
      </c>
      <c r="E528" s="7" t="s">
        <v>770</v>
      </c>
      <c r="F528" s="7" t="s">
        <v>771</v>
      </c>
      <c r="G528" s="107">
        <v>45017</v>
      </c>
      <c r="H528" s="108">
        <v>44986</v>
      </c>
      <c r="I528" s="7">
        <v>5065</v>
      </c>
      <c r="J528" s="28" t="s">
        <v>1762</v>
      </c>
      <c r="K528" s="9">
        <v>1492.33</v>
      </c>
      <c r="L528" s="9">
        <v>49900</v>
      </c>
      <c r="M528" s="112">
        <f t="shared" si="443"/>
        <v>3992</v>
      </c>
      <c r="N528" s="9">
        <f t="shared" si="424"/>
        <v>24950</v>
      </c>
      <c r="O528" s="9">
        <f t="shared" si="425"/>
        <v>19465.669999999998</v>
      </c>
      <c r="P528" s="9">
        <f t="shared" si="426"/>
        <v>5484.33</v>
      </c>
      <c r="Q528" s="139">
        <f t="shared" si="427"/>
        <v>0.78018717434869733</v>
      </c>
      <c r="R528" s="336">
        <v>49900</v>
      </c>
      <c r="S528" s="359" t="s">
        <v>1948</v>
      </c>
      <c r="T528" s="305">
        <v>0.78018717434869733</v>
      </c>
      <c r="U528" s="144"/>
      <c r="V528" s="100"/>
      <c r="W528" s="110">
        <f t="shared" si="428"/>
        <v>49900</v>
      </c>
      <c r="X528" s="110">
        <f t="shared" si="429"/>
        <v>1492.33</v>
      </c>
      <c r="Y528" s="110">
        <f t="shared" si="430"/>
        <v>3992</v>
      </c>
      <c r="Z528" s="110">
        <f t="shared" si="431"/>
        <v>19465.669999999998</v>
      </c>
      <c r="AA528" s="260">
        <f t="shared" si="432"/>
        <v>0.78018717434869733</v>
      </c>
      <c r="AB528" s="28">
        <f t="shared" si="433"/>
        <v>16.5</v>
      </c>
      <c r="AC528" s="261">
        <f t="shared" si="434"/>
        <v>0.78082186853700197</v>
      </c>
      <c r="AD528" s="111">
        <f t="shared" si="435"/>
        <v>3.8</v>
      </c>
      <c r="AE528" s="262">
        <f t="shared" si="436"/>
        <v>4.8305481805403699E-2</v>
      </c>
      <c r="AF528" s="100"/>
      <c r="AG528" s="111">
        <f t="shared" si="437"/>
        <v>6</v>
      </c>
      <c r="AH528" s="262">
        <f t="shared" si="438"/>
        <v>0.39726013847675568</v>
      </c>
      <c r="AI528" s="100"/>
      <c r="AJ528" s="111">
        <f t="shared" si="439"/>
        <v>5.6</v>
      </c>
      <c r="AK528" s="262">
        <f t="shared" si="440"/>
        <v>0.35420729122509537</v>
      </c>
      <c r="AL528" s="100"/>
      <c r="AM528" s="111">
        <f t="shared" si="441"/>
        <v>5.2</v>
      </c>
      <c r="AN528" s="262">
        <f t="shared" si="442"/>
        <v>0.30453092901164119</v>
      </c>
      <c r="AO528" s="100"/>
      <c r="AP528" s="24" t="e">
        <f>VLOOKUP(C528,#REF!,6,FALSE)</f>
        <v>#REF!</v>
      </c>
      <c r="AQ528" s="24" t="e">
        <f>VLOOKUP(C528,#REF!,7,FALSE)</f>
        <v>#REF!</v>
      </c>
      <c r="AR528" s="24" t="e">
        <f>VLOOKUP(C528,#REF!,12,FALSE)</f>
        <v>#REF!</v>
      </c>
      <c r="AS528" s="24" t="e">
        <f>VLOOKUP(C528,#REF!,13,FALSE)</f>
        <v>#REF!</v>
      </c>
      <c r="AT528" s="100"/>
      <c r="AU528" s="100"/>
      <c r="AV528" s="100">
        <v>512</v>
      </c>
      <c r="AW528" s="100"/>
      <c r="AY528" s="9">
        <v>49900</v>
      </c>
    </row>
    <row r="529" spans="1:51" s="162" customFormat="1" ht="12.75" customHeight="1" x14ac:dyDescent="0.2">
      <c r="A529" s="6" t="s">
        <v>1382</v>
      </c>
      <c r="B529" s="8">
        <v>9789500212878</v>
      </c>
      <c r="C529" s="6">
        <v>697475</v>
      </c>
      <c r="D529" s="41">
        <v>272</v>
      </c>
      <c r="E529" s="7" t="s">
        <v>715</v>
      </c>
      <c r="F529" s="7" t="s">
        <v>716</v>
      </c>
      <c r="G529" s="107">
        <v>44805</v>
      </c>
      <c r="H529" s="108">
        <v>44774</v>
      </c>
      <c r="I529" s="7">
        <v>5068</v>
      </c>
      <c r="J529" s="28" t="s">
        <v>1762</v>
      </c>
      <c r="K529" s="9">
        <v>1151.54</v>
      </c>
      <c r="L529" s="112">
        <v>59900</v>
      </c>
      <c r="M529" s="112">
        <f t="shared" si="443"/>
        <v>4792</v>
      </c>
      <c r="N529" s="9">
        <f t="shared" si="424"/>
        <v>29950</v>
      </c>
      <c r="O529" s="9">
        <f t="shared" si="425"/>
        <v>24006.46</v>
      </c>
      <c r="P529" s="9">
        <f t="shared" si="426"/>
        <v>5943.54</v>
      </c>
      <c r="Q529" s="139">
        <f t="shared" si="427"/>
        <v>0.80155125208681133</v>
      </c>
      <c r="R529" s="336">
        <v>59900</v>
      </c>
      <c r="S529" s="359" t="s">
        <v>1948</v>
      </c>
      <c r="T529" s="305">
        <v>0.80155125208681133</v>
      </c>
      <c r="U529" s="140"/>
      <c r="V529" s="100"/>
      <c r="W529" s="110">
        <f t="shared" si="428"/>
        <v>59900</v>
      </c>
      <c r="X529" s="110">
        <f t="shared" si="429"/>
        <v>1151.54</v>
      </c>
      <c r="Y529" s="110">
        <f t="shared" si="430"/>
        <v>4792</v>
      </c>
      <c r="Z529" s="110">
        <f t="shared" si="431"/>
        <v>24006.46</v>
      </c>
      <c r="AA529" s="260">
        <f t="shared" si="432"/>
        <v>0.80155125208681133</v>
      </c>
      <c r="AB529" s="28">
        <f t="shared" si="433"/>
        <v>19.7</v>
      </c>
      <c r="AC529" s="261">
        <f t="shared" si="434"/>
        <v>0.80105338735834752</v>
      </c>
      <c r="AD529" s="111">
        <f t="shared" si="435"/>
        <v>4.0999999999999996</v>
      </c>
      <c r="AE529" s="262">
        <f t="shared" si="436"/>
        <v>4.408578803888924E-2</v>
      </c>
      <c r="AF529" s="100"/>
      <c r="AG529" s="111">
        <f t="shared" si="437"/>
        <v>6.5</v>
      </c>
      <c r="AH529" s="262">
        <f t="shared" si="438"/>
        <v>0.39703872783991467</v>
      </c>
      <c r="AI529" s="100"/>
      <c r="AJ529" s="111">
        <f t="shared" si="439"/>
        <v>6</v>
      </c>
      <c r="AK529" s="262">
        <f t="shared" si="440"/>
        <v>0.34679195515990768</v>
      </c>
      <c r="AL529" s="100"/>
      <c r="AM529" s="111">
        <f t="shared" si="441"/>
        <v>5.6</v>
      </c>
      <c r="AN529" s="262">
        <f t="shared" si="442"/>
        <v>0.30013423767132963</v>
      </c>
      <c r="AO529" s="100"/>
      <c r="AP529" s="24" t="e">
        <f>VLOOKUP(C529,#REF!,6,FALSE)</f>
        <v>#REF!</v>
      </c>
      <c r="AQ529" s="24" t="e">
        <f>VLOOKUP(C529,#REF!,7,FALSE)</f>
        <v>#REF!</v>
      </c>
      <c r="AR529" s="24" t="e">
        <f>VLOOKUP(C529,#REF!,12,FALSE)</f>
        <v>#REF!</v>
      </c>
      <c r="AS529" s="24" t="e">
        <f>VLOOKUP(C529,#REF!,13,FALSE)</f>
        <v>#REF!</v>
      </c>
      <c r="AT529" s="100"/>
      <c r="AU529" s="100"/>
      <c r="AV529" s="100">
        <v>513</v>
      </c>
      <c r="AW529" s="100"/>
      <c r="AY529" s="112">
        <v>59900</v>
      </c>
    </row>
    <row r="530" spans="1:51" s="2" customFormat="1" ht="12.75" customHeight="1" x14ac:dyDescent="0.2">
      <c r="A530" s="6" t="s">
        <v>1383</v>
      </c>
      <c r="B530" s="8">
        <v>9789500211635</v>
      </c>
      <c r="C530" s="8">
        <v>682656</v>
      </c>
      <c r="D530" s="7">
        <v>256</v>
      </c>
      <c r="E530" s="7" t="s">
        <v>539</v>
      </c>
      <c r="F530" s="7" t="s">
        <v>1384</v>
      </c>
      <c r="G530" s="107">
        <v>44287</v>
      </c>
      <c r="H530" s="108">
        <v>45748</v>
      </c>
      <c r="I530" s="7">
        <v>2032</v>
      </c>
      <c r="J530" s="28" t="s">
        <v>1762</v>
      </c>
      <c r="K530" s="117">
        <v>4615.05</v>
      </c>
      <c r="L530" s="9">
        <v>57300</v>
      </c>
      <c r="M530" s="112">
        <f t="shared" si="443"/>
        <v>4584</v>
      </c>
      <c r="N530" s="9">
        <f t="shared" si="424"/>
        <v>28650</v>
      </c>
      <c r="O530" s="9">
        <f t="shared" si="425"/>
        <v>19450.95</v>
      </c>
      <c r="P530" s="9">
        <f t="shared" si="426"/>
        <v>9199.0499999999993</v>
      </c>
      <c r="Q530" s="139">
        <f t="shared" si="427"/>
        <v>0.67891623036649218</v>
      </c>
      <c r="R530" s="336">
        <v>57300</v>
      </c>
      <c r="S530" s="359" t="s">
        <v>1948</v>
      </c>
      <c r="T530" s="305">
        <v>0.67891623036649218</v>
      </c>
      <c r="U530" s="140"/>
      <c r="V530" s="100"/>
      <c r="W530" s="110">
        <f t="shared" si="428"/>
        <v>57300</v>
      </c>
      <c r="X530" s="110">
        <f t="shared" si="429"/>
        <v>4615.05</v>
      </c>
      <c r="Y530" s="110">
        <f t="shared" si="430"/>
        <v>4584</v>
      </c>
      <c r="Z530" s="110">
        <f t="shared" si="431"/>
        <v>19450.95</v>
      </c>
      <c r="AA530" s="260">
        <f t="shared" si="432"/>
        <v>0.67891623036649218</v>
      </c>
      <c r="AB530" s="28">
        <f t="shared" si="433"/>
        <v>18.899999999999999</v>
      </c>
      <c r="AC530" s="261">
        <f t="shared" si="434"/>
        <v>0.67904897974136358</v>
      </c>
      <c r="AD530" s="111">
        <f t="shared" si="435"/>
        <v>6.4</v>
      </c>
      <c r="AE530" s="262">
        <f t="shared" si="436"/>
        <v>5.2191518298714164E-2</v>
      </c>
      <c r="AF530" s="100"/>
      <c r="AG530" s="111">
        <f t="shared" si="437"/>
        <v>10.1</v>
      </c>
      <c r="AH530" s="262">
        <f t="shared" si="438"/>
        <v>0.39940848684274949</v>
      </c>
      <c r="AI530" s="100"/>
      <c r="AJ530" s="111">
        <f t="shared" si="439"/>
        <v>9.3000000000000007</v>
      </c>
      <c r="AK530" s="262">
        <f t="shared" si="440"/>
        <v>0.34774470076470659</v>
      </c>
      <c r="AL530" s="100"/>
      <c r="AM530" s="111">
        <f t="shared" si="441"/>
        <v>8.6999999999999993</v>
      </c>
      <c r="AN530" s="262">
        <f t="shared" si="442"/>
        <v>0.30276157667951387</v>
      </c>
      <c r="AO530" s="100"/>
      <c r="AP530" s="24" t="e">
        <f>VLOOKUP(C530,#REF!,6,FALSE)</f>
        <v>#REF!</v>
      </c>
      <c r="AQ530" s="24" t="e">
        <f>VLOOKUP(C530,#REF!,7,FALSE)</f>
        <v>#REF!</v>
      </c>
      <c r="AR530" s="24" t="e">
        <f>VLOOKUP(C530,#REF!,12,FALSE)</f>
        <v>#REF!</v>
      </c>
      <c r="AS530" s="24" t="e">
        <f>VLOOKUP(C530,#REF!,13,FALSE)</f>
        <v>#REF!</v>
      </c>
      <c r="AT530" s="100"/>
      <c r="AU530" s="100"/>
      <c r="AV530" s="100">
        <v>514</v>
      </c>
      <c r="AW530" s="100"/>
      <c r="AY530" s="9">
        <v>57300</v>
      </c>
    </row>
    <row r="531" spans="1:51" s="2" customFormat="1" ht="12.75" customHeight="1" x14ac:dyDescent="0.2">
      <c r="A531" s="7" t="s">
        <v>1385</v>
      </c>
      <c r="B531" s="8">
        <v>9789500210072</v>
      </c>
      <c r="C531" s="6">
        <v>666997</v>
      </c>
      <c r="D531" s="25">
        <v>360</v>
      </c>
      <c r="E531" s="7" t="s">
        <v>450</v>
      </c>
      <c r="F531" s="6" t="s">
        <v>830</v>
      </c>
      <c r="G531" s="107">
        <v>43678</v>
      </c>
      <c r="H531" s="108">
        <v>43647</v>
      </c>
      <c r="I531" s="24">
        <v>2050</v>
      </c>
      <c r="J531" s="28" t="s">
        <v>1946</v>
      </c>
      <c r="K531" s="28">
        <v>82.42</v>
      </c>
      <c r="L531" s="112">
        <v>21700</v>
      </c>
      <c r="M531" s="112">
        <f>+L531*0.1</f>
        <v>2170</v>
      </c>
      <c r="N531" s="9">
        <f t="shared" si="424"/>
        <v>10850</v>
      </c>
      <c r="O531" s="9">
        <f t="shared" si="425"/>
        <v>8597.58</v>
      </c>
      <c r="P531" s="9">
        <f t="shared" si="426"/>
        <v>2252.42</v>
      </c>
      <c r="Q531" s="139">
        <f t="shared" si="427"/>
        <v>0.79240368663594474</v>
      </c>
      <c r="R531" s="336">
        <v>21700</v>
      </c>
      <c r="S531" s="359" t="s">
        <v>1948</v>
      </c>
      <c r="T531" s="305">
        <v>0.79240368663594474</v>
      </c>
      <c r="U531" s="140"/>
      <c r="V531" s="100"/>
      <c r="W531" s="110">
        <f t="shared" si="428"/>
        <v>21700</v>
      </c>
      <c r="X531" s="110">
        <f t="shared" si="429"/>
        <v>82.42</v>
      </c>
      <c r="Y531" s="110">
        <f t="shared" si="430"/>
        <v>2170</v>
      </c>
      <c r="Z531" s="110">
        <f t="shared" si="431"/>
        <v>8597.58</v>
      </c>
      <c r="AA531" s="260">
        <f t="shared" si="432"/>
        <v>0.79240368663594474</v>
      </c>
      <c r="AB531" s="28">
        <f t="shared" si="433"/>
        <v>7.2</v>
      </c>
      <c r="AC531" s="261">
        <f t="shared" si="434"/>
        <v>0.79371176319742098</v>
      </c>
      <c r="AD531" s="111">
        <f t="shared" si="435"/>
        <v>1.6</v>
      </c>
      <c r="AE531" s="262">
        <f t="shared" si="436"/>
        <v>7.170293438839434E-2</v>
      </c>
      <c r="AF531" s="100"/>
      <c r="AG531" s="111">
        <f t="shared" si="437"/>
        <v>2.5</v>
      </c>
      <c r="AH531" s="262">
        <f t="shared" si="438"/>
        <v>0.40588987800857235</v>
      </c>
      <c r="AI531" s="100"/>
      <c r="AJ531" s="111">
        <f t="shared" si="439"/>
        <v>2.2999999999999998</v>
      </c>
      <c r="AK531" s="262">
        <f t="shared" si="440"/>
        <v>0.35422812827018729</v>
      </c>
      <c r="AL531" s="100"/>
      <c r="AM531" s="111">
        <f t="shared" si="441"/>
        <v>2.1</v>
      </c>
      <c r="AN531" s="262">
        <f t="shared" si="442"/>
        <v>0.29272604524830043</v>
      </c>
      <c r="AO531" s="100"/>
      <c r="AP531" s="24" t="e">
        <f>VLOOKUP(C531,#REF!,6,FALSE)</f>
        <v>#REF!</v>
      </c>
      <c r="AQ531" s="24" t="e">
        <f>VLOOKUP(C531,#REF!,7,FALSE)</f>
        <v>#REF!</v>
      </c>
      <c r="AR531" s="24" t="e">
        <f>VLOOKUP(C531,#REF!,12,FALSE)</f>
        <v>#REF!</v>
      </c>
      <c r="AS531" s="24" t="e">
        <f>VLOOKUP(C531,#REF!,13,FALSE)</f>
        <v>#REF!</v>
      </c>
      <c r="AT531" s="100"/>
      <c r="AU531" s="100"/>
      <c r="AV531" s="100">
        <v>515</v>
      </c>
      <c r="AW531" s="100"/>
      <c r="AY531" s="112">
        <v>21700</v>
      </c>
    </row>
    <row r="532" spans="1:51" s="2" customFormat="1" ht="12.75" customHeight="1" x14ac:dyDescent="0.2">
      <c r="A532" s="7" t="s">
        <v>1386</v>
      </c>
      <c r="B532" s="8">
        <v>9789500210188</v>
      </c>
      <c r="C532" s="14">
        <v>669516</v>
      </c>
      <c r="D532" s="25">
        <v>128</v>
      </c>
      <c r="E532" s="9" t="s">
        <v>457</v>
      </c>
      <c r="F532" s="116" t="s">
        <v>458</v>
      </c>
      <c r="G532" s="107">
        <v>43739</v>
      </c>
      <c r="H532" s="108">
        <v>43709</v>
      </c>
      <c r="I532" s="24">
        <v>2085</v>
      </c>
      <c r="J532" s="28" t="s">
        <v>1762</v>
      </c>
      <c r="K532" s="28">
        <v>129.72999999999999</v>
      </c>
      <c r="L532" s="112">
        <v>49900</v>
      </c>
      <c r="M532" s="112">
        <f>+L532*0.1</f>
        <v>4990</v>
      </c>
      <c r="N532" s="9">
        <f t="shared" si="424"/>
        <v>24950</v>
      </c>
      <c r="O532" s="9">
        <f t="shared" si="425"/>
        <v>19830.27</v>
      </c>
      <c r="P532" s="9">
        <f t="shared" si="426"/>
        <v>5119.7299999999996</v>
      </c>
      <c r="Q532" s="139">
        <f t="shared" si="427"/>
        <v>0.79480040080160319</v>
      </c>
      <c r="R532" s="336">
        <v>49900</v>
      </c>
      <c r="S532" s="359" t="s">
        <v>1948</v>
      </c>
      <c r="T532" s="305">
        <v>0.79480040080160319</v>
      </c>
      <c r="U532" s="140"/>
      <c r="V532" s="100"/>
      <c r="W532" s="110">
        <f t="shared" si="428"/>
        <v>49900</v>
      </c>
      <c r="X532" s="110">
        <f t="shared" si="429"/>
        <v>129.72999999999999</v>
      </c>
      <c r="Y532" s="110">
        <f t="shared" si="430"/>
        <v>4990</v>
      </c>
      <c r="Z532" s="110">
        <f t="shared" si="431"/>
        <v>19830.27</v>
      </c>
      <c r="AA532" s="260">
        <f t="shared" si="432"/>
        <v>0.79480040080160319</v>
      </c>
      <c r="AB532" s="28">
        <f t="shared" si="433"/>
        <v>16.5</v>
      </c>
      <c r="AC532" s="261">
        <f t="shared" si="434"/>
        <v>0.79539290031871634</v>
      </c>
      <c r="AD532" s="111">
        <f t="shared" si="435"/>
        <v>3.6</v>
      </c>
      <c r="AE532" s="262">
        <f t="shared" si="436"/>
        <v>6.221745979411674E-2</v>
      </c>
      <c r="AF532" s="100"/>
      <c r="AG532" s="111">
        <f t="shared" si="437"/>
        <v>5.6</v>
      </c>
      <c r="AH532" s="262">
        <f t="shared" si="438"/>
        <v>0.39713979558193213</v>
      </c>
      <c r="AI532" s="100"/>
      <c r="AJ532" s="111">
        <f t="shared" si="439"/>
        <v>5.2</v>
      </c>
      <c r="AK532" s="262">
        <f t="shared" si="440"/>
        <v>0.35076593370361925</v>
      </c>
      <c r="AL532" s="100"/>
      <c r="AM532" s="111">
        <f t="shared" si="441"/>
        <v>4.8</v>
      </c>
      <c r="AN532" s="262">
        <f t="shared" si="442"/>
        <v>0.29666309484558745</v>
      </c>
      <c r="AO532" s="100"/>
      <c r="AP532" s="24" t="e">
        <f>VLOOKUP(C532,#REF!,6,FALSE)</f>
        <v>#REF!</v>
      </c>
      <c r="AQ532" s="24" t="e">
        <f>VLOOKUP(C532,#REF!,7,FALSE)</f>
        <v>#REF!</v>
      </c>
      <c r="AR532" s="24" t="e">
        <f>VLOOKUP(C532,#REF!,12,FALSE)</f>
        <v>#REF!</v>
      </c>
      <c r="AS532" s="24" t="e">
        <f>VLOOKUP(C532,#REF!,13,FALSE)</f>
        <v>#REF!</v>
      </c>
      <c r="AT532" s="100"/>
      <c r="AU532" s="100"/>
      <c r="AV532" s="100">
        <v>516</v>
      </c>
      <c r="AW532" s="100"/>
      <c r="AY532" s="112">
        <v>49900</v>
      </c>
    </row>
    <row r="533" spans="1:51" s="2" customFormat="1" ht="12.75" customHeight="1" x14ac:dyDescent="0.2">
      <c r="A533" s="7" t="s">
        <v>1336</v>
      </c>
      <c r="B533" s="8">
        <v>9789500210324</v>
      </c>
      <c r="C533" s="13">
        <v>671438</v>
      </c>
      <c r="D533" s="25">
        <v>176</v>
      </c>
      <c r="E533" s="7" t="s">
        <v>477</v>
      </c>
      <c r="F533" s="7" t="s">
        <v>478</v>
      </c>
      <c r="G533" s="107">
        <v>43862</v>
      </c>
      <c r="H533" s="108">
        <v>44470</v>
      </c>
      <c r="I533" s="7">
        <v>3100</v>
      </c>
      <c r="J533" s="28" t="s">
        <v>1762</v>
      </c>
      <c r="K533" s="9">
        <v>233.52</v>
      </c>
      <c r="L533" s="112">
        <v>57600</v>
      </c>
      <c r="M533" s="112">
        <f>+L533*0.08</f>
        <v>4608</v>
      </c>
      <c r="N533" s="9">
        <f t="shared" si="424"/>
        <v>28800</v>
      </c>
      <c r="O533" s="9">
        <f t="shared" si="425"/>
        <v>23958.48</v>
      </c>
      <c r="P533" s="9">
        <f t="shared" si="426"/>
        <v>4841.5200000000004</v>
      </c>
      <c r="Q533" s="139">
        <f t="shared" si="427"/>
        <v>0.8318916666666667</v>
      </c>
      <c r="R533" s="336">
        <v>57600</v>
      </c>
      <c r="S533" s="359" t="s">
        <v>1948</v>
      </c>
      <c r="T533" s="305">
        <v>0.8318916666666667</v>
      </c>
      <c r="U533" s="140"/>
      <c r="V533" s="100"/>
      <c r="W533" s="110">
        <f t="shared" si="428"/>
        <v>57600</v>
      </c>
      <c r="X533" s="110">
        <f t="shared" si="429"/>
        <v>233.52</v>
      </c>
      <c r="Y533" s="110">
        <f t="shared" si="430"/>
        <v>4608</v>
      </c>
      <c r="Z533" s="110">
        <f t="shared" si="431"/>
        <v>23958.48</v>
      </c>
      <c r="AA533" s="260">
        <f t="shared" si="432"/>
        <v>0.8318916666666667</v>
      </c>
      <c r="AB533" s="28">
        <f t="shared" si="433"/>
        <v>19</v>
      </c>
      <c r="AC533" s="261">
        <f t="shared" si="434"/>
        <v>0.83197043052735697</v>
      </c>
      <c r="AD533" s="111">
        <f t="shared" si="435"/>
        <v>3.4</v>
      </c>
      <c r="AE533" s="262">
        <f t="shared" si="436"/>
        <v>6.1011229417582871E-2</v>
      </c>
      <c r="AF533" s="100"/>
      <c r="AG533" s="111">
        <f t="shared" si="437"/>
        <v>5.3</v>
      </c>
      <c r="AH533" s="262">
        <f t="shared" si="438"/>
        <v>0.39762984528675133</v>
      </c>
      <c r="AI533" s="100"/>
      <c r="AJ533" s="111">
        <f t="shared" si="439"/>
        <v>4.9000000000000004</v>
      </c>
      <c r="AK533" s="262">
        <f t="shared" si="440"/>
        <v>0.34845677143260861</v>
      </c>
      <c r="AL533" s="100"/>
      <c r="AM533" s="111">
        <f t="shared" si="441"/>
        <v>4.5999999999999996</v>
      </c>
      <c r="AN533" s="262">
        <f t="shared" si="442"/>
        <v>0.30596482174343087</v>
      </c>
      <c r="AO533" s="100"/>
      <c r="AP533" s="24" t="e">
        <f>VLOOKUP(C533,#REF!,6,FALSE)</f>
        <v>#REF!</v>
      </c>
      <c r="AQ533" s="24" t="e">
        <f>VLOOKUP(C533,#REF!,7,FALSE)</f>
        <v>#REF!</v>
      </c>
      <c r="AR533" s="24" t="e">
        <f>VLOOKUP(C533,#REF!,12,FALSE)</f>
        <v>#REF!</v>
      </c>
      <c r="AS533" s="24" t="e">
        <f>VLOOKUP(C533,#REF!,13,FALSE)</f>
        <v>#REF!</v>
      </c>
      <c r="AT533" s="100"/>
      <c r="AU533" s="100"/>
      <c r="AV533" s="100">
        <v>517</v>
      </c>
      <c r="AW533" s="100"/>
      <c r="AY533" s="112">
        <v>57600</v>
      </c>
    </row>
    <row r="534" spans="1:51" s="2" customFormat="1" ht="12.75" customHeight="1" x14ac:dyDescent="0.2">
      <c r="A534" s="6" t="s">
        <v>1387</v>
      </c>
      <c r="B534" s="8">
        <v>9789500213257</v>
      </c>
      <c r="C534" s="8">
        <v>700534</v>
      </c>
      <c r="D534" s="41">
        <v>256</v>
      </c>
      <c r="E534" s="7" t="s">
        <v>736</v>
      </c>
      <c r="F534" s="7" t="s">
        <v>737</v>
      </c>
      <c r="G534" s="107">
        <v>44896</v>
      </c>
      <c r="H534" s="108">
        <v>45444</v>
      </c>
      <c r="I534" s="7">
        <v>2103</v>
      </c>
      <c r="J534" s="28" t="s">
        <v>1762</v>
      </c>
      <c r="K534" s="9">
        <v>4210.7</v>
      </c>
      <c r="L534" s="9">
        <v>59900</v>
      </c>
      <c r="M534" s="112">
        <f>+L534*0.08</f>
        <v>4792</v>
      </c>
      <c r="N534" s="9">
        <f t="shared" si="424"/>
        <v>29950</v>
      </c>
      <c r="O534" s="9">
        <f t="shared" si="425"/>
        <v>20947.3</v>
      </c>
      <c r="P534" s="9">
        <f t="shared" si="426"/>
        <v>9002.7000000000007</v>
      </c>
      <c r="Q534" s="139">
        <f t="shared" si="427"/>
        <v>0.69940901502504171</v>
      </c>
      <c r="R534" s="336">
        <v>59900</v>
      </c>
      <c r="S534" s="359" t="s">
        <v>1948</v>
      </c>
      <c r="T534" s="305">
        <v>0.69940901502504171</v>
      </c>
      <c r="U534" s="140"/>
      <c r="V534" s="100"/>
      <c r="W534" s="110">
        <f t="shared" si="428"/>
        <v>59900</v>
      </c>
      <c r="X534" s="110">
        <f t="shared" si="429"/>
        <v>4210.7</v>
      </c>
      <c r="Y534" s="110">
        <f t="shared" si="430"/>
        <v>4792</v>
      </c>
      <c r="Z534" s="110">
        <f t="shared" si="431"/>
        <v>20947.3</v>
      </c>
      <c r="AA534" s="260">
        <f t="shared" si="432"/>
        <v>0.69940901502504171</v>
      </c>
      <c r="AB534" s="28">
        <f t="shared" si="433"/>
        <v>19.7</v>
      </c>
      <c r="AC534" s="261">
        <f t="shared" si="434"/>
        <v>0.69865489764870681</v>
      </c>
      <c r="AD534" s="111">
        <f t="shared" si="435"/>
        <v>6.2</v>
      </c>
      <c r="AE534" s="262">
        <f t="shared" si="436"/>
        <v>4.2500239303149362E-2</v>
      </c>
      <c r="AF534" s="100"/>
      <c r="AG534" s="111">
        <f t="shared" si="437"/>
        <v>9.9</v>
      </c>
      <c r="AH534" s="262">
        <f t="shared" si="438"/>
        <v>0.40035368522015413</v>
      </c>
      <c r="AI534" s="100"/>
      <c r="AJ534" s="111">
        <f t="shared" si="439"/>
        <v>9.1</v>
      </c>
      <c r="AK534" s="262">
        <f t="shared" si="440"/>
        <v>0.34763752567906875</v>
      </c>
      <c r="AL534" s="100"/>
      <c r="AM534" s="111">
        <f t="shared" si="441"/>
        <v>8.5</v>
      </c>
      <c r="AN534" s="262">
        <f t="shared" si="442"/>
        <v>0.30158840984464996</v>
      </c>
      <c r="AO534" s="100"/>
      <c r="AP534" s="24" t="e">
        <f>VLOOKUP(C534,#REF!,6,FALSE)</f>
        <v>#REF!</v>
      </c>
      <c r="AQ534" s="24" t="e">
        <f>VLOOKUP(C534,#REF!,7,FALSE)</f>
        <v>#REF!</v>
      </c>
      <c r="AR534" s="24" t="e">
        <f>VLOOKUP(C534,#REF!,12,FALSE)</f>
        <v>#REF!</v>
      </c>
      <c r="AS534" s="24" t="e">
        <f>VLOOKUP(C534,#REF!,13,FALSE)</f>
        <v>#REF!</v>
      </c>
      <c r="AT534" s="100"/>
      <c r="AU534" s="100"/>
      <c r="AV534" s="100">
        <v>518</v>
      </c>
      <c r="AW534" s="100"/>
      <c r="AY534" s="9">
        <v>59900</v>
      </c>
    </row>
    <row r="535" spans="1:51" s="2" customFormat="1" ht="12.75" customHeight="1" x14ac:dyDescent="0.25">
      <c r="B535" s="379"/>
      <c r="C535" s="3"/>
      <c r="D535" s="17"/>
      <c r="H535" s="132"/>
      <c r="I535" s="132"/>
      <c r="J535" s="134"/>
      <c r="K535" s="132"/>
      <c r="L535" s="18"/>
      <c r="M535" s="132"/>
      <c r="N535" s="132"/>
      <c r="O535" s="132"/>
      <c r="P535" s="132"/>
      <c r="Q535" s="147"/>
      <c r="R535" s="356"/>
      <c r="S535" s="360"/>
      <c r="T535" s="307"/>
      <c r="U535" s="135"/>
      <c r="V535" s="100"/>
      <c r="W535"/>
      <c r="X535"/>
      <c r="Y535"/>
      <c r="Z535"/>
      <c r="AA535"/>
      <c r="AB535"/>
      <c r="AC535"/>
      <c r="AD535" s="263"/>
      <c r="AE535"/>
      <c r="AF535" s="100"/>
      <c r="AG535" s="263"/>
      <c r="AH535"/>
      <c r="AI535" s="100"/>
      <c r="AJ535" s="263"/>
      <c r="AK535"/>
      <c r="AL535" s="100"/>
      <c r="AM535" s="263"/>
      <c r="AN535"/>
      <c r="AO535" s="100"/>
      <c r="AP535" s="100"/>
      <c r="AQ535" s="100"/>
      <c r="AR535" s="100"/>
      <c r="AS535" s="100"/>
      <c r="AT535" s="100"/>
      <c r="AU535" s="100"/>
      <c r="AV535" s="100">
        <v>519</v>
      </c>
      <c r="AW535" s="100"/>
      <c r="AY535" s="18"/>
    </row>
    <row r="536" spans="1:51" s="2" customFormat="1" ht="12.75" customHeight="1" x14ac:dyDescent="0.25">
      <c r="A536" s="160" t="s">
        <v>664</v>
      </c>
      <c r="B536" s="168"/>
      <c r="C536" s="161"/>
      <c r="D536" s="162"/>
      <c r="E536" s="383"/>
      <c r="F536" s="383"/>
      <c r="G536" s="162"/>
      <c r="H536" s="132"/>
      <c r="I536" s="132"/>
      <c r="J536" s="134"/>
      <c r="K536" s="132"/>
      <c r="L536" s="18"/>
      <c r="M536" s="132"/>
      <c r="N536" s="132"/>
      <c r="O536" s="132"/>
      <c r="P536" s="132"/>
      <c r="Q536" s="147"/>
      <c r="R536" s="356"/>
      <c r="S536" s="360"/>
      <c r="T536" s="307"/>
      <c r="U536" s="135"/>
      <c r="V536" s="100"/>
      <c r="W536"/>
      <c r="X536"/>
      <c r="Y536"/>
      <c r="Z536"/>
      <c r="AA536"/>
      <c r="AB536"/>
      <c r="AC536"/>
      <c r="AD536" s="263"/>
      <c r="AE536"/>
      <c r="AF536" s="100"/>
      <c r="AG536" s="263"/>
      <c r="AH536"/>
      <c r="AI536" s="100"/>
      <c r="AJ536" s="263"/>
      <c r="AK536"/>
      <c r="AL536" s="100"/>
      <c r="AM536" s="263"/>
      <c r="AN536"/>
      <c r="AO536" s="100"/>
      <c r="AP536" s="100"/>
      <c r="AQ536" s="100"/>
      <c r="AR536" s="100"/>
      <c r="AS536" s="100"/>
      <c r="AT536" s="100"/>
      <c r="AU536" s="100"/>
      <c r="AV536" s="100">
        <v>520</v>
      </c>
      <c r="AW536" s="100"/>
      <c r="AY536" s="18"/>
    </row>
    <row r="537" spans="1:51" s="2" customFormat="1" ht="12.75" customHeight="1" x14ac:dyDescent="0.2">
      <c r="A537" s="7" t="s">
        <v>1388</v>
      </c>
      <c r="B537" s="8">
        <v>9789500206884</v>
      </c>
      <c r="C537" s="8">
        <v>558909</v>
      </c>
      <c r="D537" s="7">
        <v>192</v>
      </c>
      <c r="E537" s="7" t="s">
        <v>156</v>
      </c>
      <c r="F537" s="7" t="s">
        <v>1389</v>
      </c>
      <c r="G537" s="107">
        <v>41244</v>
      </c>
      <c r="H537" s="108">
        <v>42309</v>
      </c>
      <c r="I537" s="24">
        <v>3104</v>
      </c>
      <c r="J537" s="28" t="s">
        <v>1894</v>
      </c>
      <c r="K537" s="28">
        <v>7.72</v>
      </c>
      <c r="L537" s="112">
        <v>6900</v>
      </c>
      <c r="M537" s="9">
        <f>+L537*0.1</f>
        <v>690</v>
      </c>
      <c r="N537" s="9">
        <f>+L537/2</f>
        <v>3450</v>
      </c>
      <c r="O537" s="9">
        <f>+N537-M537-K537</f>
        <v>2752.28</v>
      </c>
      <c r="P537" s="9">
        <f>+M537+K537</f>
        <v>697.72</v>
      </c>
      <c r="Q537" s="139">
        <f>+O537/N537</f>
        <v>0.7977623188405798</v>
      </c>
      <c r="R537" s="335">
        <v>6900</v>
      </c>
      <c r="S537" s="359" t="s">
        <v>1948</v>
      </c>
      <c r="T537" s="305">
        <v>0.7977623188405798</v>
      </c>
      <c r="U537" s="144"/>
      <c r="V537" s="100"/>
      <c r="W537" s="110">
        <f>+L537</f>
        <v>6900</v>
      </c>
      <c r="X537" s="110">
        <f>+K537</f>
        <v>7.72</v>
      </c>
      <c r="Y537" s="110">
        <f>+M537</f>
        <v>690</v>
      </c>
      <c r="Z537" s="110">
        <f>+W537/2-X537-Y537</f>
        <v>2752.28</v>
      </c>
      <c r="AA537" s="260">
        <f>+Z537/(W537/2)</f>
        <v>0.7977623188405798</v>
      </c>
      <c r="AB537" s="28">
        <f>ROUND($W537/2/$X$1,1)</f>
        <v>2.2999999999999998</v>
      </c>
      <c r="AC537" s="261">
        <f>+(AB537*$X$1-$X537-$Y537)/(AB537*$X$1)</f>
        <v>0.79996272882352104</v>
      </c>
      <c r="AD537" s="111">
        <f>+IFERROR(ROUND(($X537+$Y537)/(1-$X$2)/$X$1,1),0)</f>
        <v>0.5</v>
      </c>
      <c r="AE537" s="262">
        <f>+(AD537*$X$1-$X537-$Y537)/(AD537*$X$1)</f>
        <v>7.9828552588196475E-2</v>
      </c>
      <c r="AF537" s="100"/>
      <c r="AG537" s="111">
        <f>+IFERROR(ROUND(($X537+$Y537)/(1-$AG$2)/$X$1,1),0)</f>
        <v>0.8</v>
      </c>
      <c r="AH537" s="262">
        <f>+(AG537*$X$1-$X537-$Y537)/(AG537*$X$1)</f>
        <v>0.42489284536762284</v>
      </c>
      <c r="AI537" s="100"/>
      <c r="AJ537" s="111">
        <f>+IFERROR(ROUND(($X537+$Y537)/(1-$AJ$2)/$X$1,1),0)</f>
        <v>0.7</v>
      </c>
      <c r="AK537" s="262">
        <f>+(AJ537*$X$1-$X537-$Y537)/(AJ537*$X$1)</f>
        <v>0.34273468042014033</v>
      </c>
      <c r="AL537" s="100"/>
      <c r="AM537" s="111">
        <f>+IFERROR(ROUND(($X537+$Y537)/(1-$AM$2)/$X$1,1),0)</f>
        <v>0.7</v>
      </c>
      <c r="AN537" s="262">
        <f>+(AM537*$X$1-$X537-$Y537)/(AM537*$X$1)</f>
        <v>0.34273468042014033</v>
      </c>
      <c r="AO537" s="100"/>
      <c r="AP537" s="24" t="e">
        <f>VLOOKUP(C537,#REF!,6,FALSE)</f>
        <v>#REF!</v>
      </c>
      <c r="AQ537" s="24" t="e">
        <f>VLOOKUP(C537,#REF!,7,FALSE)</f>
        <v>#REF!</v>
      </c>
      <c r="AR537" s="24" t="e">
        <f>VLOOKUP(C537,#REF!,12,FALSE)</f>
        <v>#REF!</v>
      </c>
      <c r="AS537" s="24" t="e">
        <f>VLOOKUP(C537,#REF!,13,FALSE)</f>
        <v>#REF!</v>
      </c>
      <c r="AT537" s="100"/>
      <c r="AU537" s="100"/>
      <c r="AV537" s="100">
        <v>521</v>
      </c>
      <c r="AW537" s="100"/>
      <c r="AY537" s="112">
        <v>6900</v>
      </c>
    </row>
    <row r="538" spans="1:51" s="2" customFormat="1" ht="12.75" customHeight="1" x14ac:dyDescent="0.2">
      <c r="A538" s="7" t="s">
        <v>1390</v>
      </c>
      <c r="B538" s="8">
        <v>9789500206877</v>
      </c>
      <c r="C538" s="8">
        <v>558911</v>
      </c>
      <c r="D538" s="7">
        <v>192</v>
      </c>
      <c r="E538" s="7" t="s">
        <v>156</v>
      </c>
      <c r="F538" s="7" t="s">
        <v>1391</v>
      </c>
      <c r="G538" s="107">
        <v>41244</v>
      </c>
      <c r="H538" s="108">
        <v>42309</v>
      </c>
      <c r="I538" s="24">
        <v>3021</v>
      </c>
      <c r="J538" s="28" t="s">
        <v>1894</v>
      </c>
      <c r="K538" s="28">
        <v>7.82</v>
      </c>
      <c r="L538" s="112">
        <v>6900</v>
      </c>
      <c r="M538" s="9">
        <f>+L538*0.1</f>
        <v>690</v>
      </c>
      <c r="N538" s="9">
        <f>+L538/2</f>
        <v>3450</v>
      </c>
      <c r="O538" s="9">
        <f>+N538-M538-K538</f>
        <v>2752.18</v>
      </c>
      <c r="P538" s="9">
        <f>+M538+K538</f>
        <v>697.82</v>
      </c>
      <c r="Q538" s="139">
        <f>+O538/N538</f>
        <v>0.79773333333333329</v>
      </c>
      <c r="R538" s="335">
        <v>6900</v>
      </c>
      <c r="S538" s="359" t="s">
        <v>1948</v>
      </c>
      <c r="T538" s="305">
        <v>0.79773333333333329</v>
      </c>
      <c r="U538" s="144"/>
      <c r="V538" s="100"/>
      <c r="W538" s="110">
        <f>+L538</f>
        <v>6900</v>
      </c>
      <c r="X538" s="110">
        <f>+K538</f>
        <v>7.82</v>
      </c>
      <c r="Y538" s="110">
        <f>+M538</f>
        <v>690</v>
      </c>
      <c r="Z538" s="110">
        <f>+W538/2-X538-Y538</f>
        <v>2752.18</v>
      </c>
      <c r="AA538" s="260">
        <f>+Z538/(W538/2)</f>
        <v>0.79773333333333329</v>
      </c>
      <c r="AB538" s="28">
        <f>ROUND($W538/2/$X$1,1)</f>
        <v>2.2999999999999998</v>
      </c>
      <c r="AC538" s="261">
        <f>+(AB538*$X$1-$X538-$Y538)/(AB538*$X$1)</f>
        <v>0.79993405868776779</v>
      </c>
      <c r="AD538" s="111">
        <f>+IFERROR(ROUND(($X538+$Y538)/(1-$X$2)/$X$1,1),0)</f>
        <v>0.5</v>
      </c>
      <c r="AE538" s="262">
        <f>+(AD538*$X$1-$X538-$Y538)/(AD538*$X$1)</f>
        <v>7.9696669963732217E-2</v>
      </c>
      <c r="AF538" s="100"/>
      <c r="AG538" s="111">
        <f>+IFERROR(ROUND(($X538+$Y538)/(1-$AG$2)/$X$1,1),0)</f>
        <v>0.8</v>
      </c>
      <c r="AH538" s="262">
        <f>+(AG538*$X$1-$X538-$Y538)/(AG538*$X$1)</f>
        <v>0.42481041872733277</v>
      </c>
      <c r="AI538" s="100"/>
      <c r="AJ538" s="111">
        <f>+IFERROR(ROUND(($X538+$Y538)/(1-$AJ$2)/$X$1,1),0)</f>
        <v>0.7</v>
      </c>
      <c r="AK538" s="262">
        <f>+(AJ538*$X$1-$X538-$Y538)/(AJ538*$X$1)</f>
        <v>0.3426404785455231</v>
      </c>
      <c r="AL538" s="100"/>
      <c r="AM538" s="111">
        <f>+IFERROR(ROUND(($X538+$Y538)/(1-$AM$2)/$X$1,1),0)</f>
        <v>0.7</v>
      </c>
      <c r="AN538" s="262">
        <f>+(AM538*$X$1-$X538-$Y538)/(AM538*$X$1)</f>
        <v>0.3426404785455231</v>
      </c>
      <c r="AO538" s="100"/>
      <c r="AP538" s="24" t="e">
        <f>VLOOKUP(C538,#REF!,6,FALSE)</f>
        <v>#REF!</v>
      </c>
      <c r="AQ538" s="24" t="e">
        <f>VLOOKUP(C538,#REF!,7,FALSE)</f>
        <v>#REF!</v>
      </c>
      <c r="AR538" s="24" t="e">
        <f>VLOOKUP(C538,#REF!,12,FALSE)</f>
        <v>#REF!</v>
      </c>
      <c r="AS538" s="24" t="e">
        <f>VLOOKUP(C538,#REF!,13,FALSE)</f>
        <v>#REF!</v>
      </c>
      <c r="AT538" s="100"/>
      <c r="AU538" s="100"/>
      <c r="AV538" s="100">
        <v>522</v>
      </c>
      <c r="AW538" s="100"/>
      <c r="AY538" s="112">
        <v>6900</v>
      </c>
    </row>
    <row r="539" spans="1:51" s="2" customFormat="1" ht="12.75" customHeight="1" x14ac:dyDescent="0.25">
      <c r="A539" s="132"/>
      <c r="B539" s="133"/>
      <c r="C539" s="133"/>
      <c r="D539" s="154"/>
      <c r="E539" s="132"/>
      <c r="F539" s="132"/>
      <c r="G539" s="132"/>
      <c r="H539" s="132"/>
      <c r="I539" s="132"/>
      <c r="J539" s="134"/>
      <c r="K539" s="132"/>
      <c r="L539" s="134"/>
      <c r="M539" s="132"/>
      <c r="N539" s="132"/>
      <c r="O539" s="132"/>
      <c r="P539" s="132"/>
      <c r="Q539" s="147"/>
      <c r="R539" s="356"/>
      <c r="S539" s="360"/>
      <c r="T539" s="307"/>
      <c r="U539" s="135"/>
      <c r="V539" s="100"/>
      <c r="W539"/>
      <c r="X539"/>
      <c r="Y539"/>
      <c r="Z539"/>
      <c r="AA539"/>
      <c r="AB539"/>
      <c r="AC539"/>
      <c r="AD539" s="263"/>
      <c r="AE539"/>
      <c r="AF539" s="100"/>
      <c r="AG539" s="263"/>
      <c r="AH539"/>
      <c r="AI539" s="100"/>
      <c r="AJ539" s="263"/>
      <c r="AK539"/>
      <c r="AL539" s="100"/>
      <c r="AM539" s="263"/>
      <c r="AN539"/>
      <c r="AO539" s="100"/>
      <c r="AP539" s="100"/>
      <c r="AQ539" s="100"/>
      <c r="AR539" s="100"/>
      <c r="AS539" s="100"/>
      <c r="AT539" s="100"/>
      <c r="AU539" s="100"/>
      <c r="AV539" s="100">
        <v>523</v>
      </c>
      <c r="AW539" s="100"/>
      <c r="AY539" s="134"/>
    </row>
    <row r="540" spans="1:51" s="2" customFormat="1" ht="12.75" customHeight="1" thickBot="1" x14ac:dyDescent="0.3">
      <c r="A540" s="132"/>
      <c r="B540" s="133"/>
      <c r="C540" s="133"/>
      <c r="D540" s="154"/>
      <c r="E540" s="132"/>
      <c r="F540" s="132"/>
      <c r="G540" s="132"/>
      <c r="H540" s="132"/>
      <c r="I540" s="132"/>
      <c r="J540" s="134"/>
      <c r="K540" s="132"/>
      <c r="L540" s="134"/>
      <c r="M540" s="132"/>
      <c r="N540" s="132"/>
      <c r="O540" s="132"/>
      <c r="P540" s="132"/>
      <c r="Q540" s="147"/>
      <c r="R540" s="356"/>
      <c r="S540" s="360"/>
      <c r="T540" s="307"/>
      <c r="U540" s="135"/>
      <c r="V540" s="100"/>
      <c r="W540"/>
      <c r="X540"/>
      <c r="Y540"/>
      <c r="Z540"/>
      <c r="AA540"/>
      <c r="AB540"/>
      <c r="AC540"/>
      <c r="AD540" s="263"/>
      <c r="AE540"/>
      <c r="AF540" s="100"/>
      <c r="AG540" s="263"/>
      <c r="AH540"/>
      <c r="AI540" s="100"/>
      <c r="AJ540" s="263"/>
      <c r="AK540"/>
      <c r="AL540" s="100"/>
      <c r="AM540" s="263"/>
      <c r="AN540"/>
      <c r="AO540" s="100"/>
      <c r="AP540" s="100"/>
      <c r="AQ540" s="100"/>
      <c r="AR540" s="100"/>
      <c r="AS540" s="100"/>
      <c r="AT540" s="100"/>
      <c r="AU540" s="100"/>
      <c r="AV540" s="100">
        <v>524</v>
      </c>
      <c r="AW540" s="100"/>
      <c r="AY540" s="134"/>
    </row>
    <row r="541" spans="1:51" s="162" customFormat="1" ht="12.75" customHeight="1" x14ac:dyDescent="0.25">
      <c r="A541" s="132"/>
      <c r="B541" s="133"/>
      <c r="C541" s="133"/>
      <c r="D541" s="132"/>
      <c r="E541" s="104" t="s">
        <v>633</v>
      </c>
      <c r="F541" s="105"/>
      <c r="G541" s="132"/>
      <c r="H541" s="132"/>
      <c r="I541" s="132"/>
      <c r="J541" s="134"/>
      <c r="K541" s="132"/>
      <c r="L541" s="134"/>
      <c r="M541" s="132"/>
      <c r="N541" s="132"/>
      <c r="O541" s="132"/>
      <c r="P541" s="132"/>
      <c r="Q541" s="147"/>
      <c r="R541" s="356"/>
      <c r="S541" s="360"/>
      <c r="T541" s="307"/>
      <c r="U541" s="135"/>
      <c r="V541" s="100"/>
      <c r="W541"/>
      <c r="X541"/>
      <c r="Y541"/>
      <c r="Z541"/>
      <c r="AA541"/>
      <c r="AB541"/>
      <c r="AC541"/>
      <c r="AD541" s="263"/>
      <c r="AE541"/>
      <c r="AF541" s="100"/>
      <c r="AG541" s="263"/>
      <c r="AH541"/>
      <c r="AI541" s="100"/>
      <c r="AJ541" s="263"/>
      <c r="AK541"/>
      <c r="AL541" s="100"/>
      <c r="AM541" s="263"/>
      <c r="AN541"/>
      <c r="AO541" s="100"/>
      <c r="AP541" s="100"/>
      <c r="AQ541" s="100"/>
      <c r="AR541" s="100"/>
      <c r="AS541" s="100"/>
      <c r="AT541" s="100"/>
      <c r="AU541" s="100"/>
      <c r="AV541" s="100">
        <v>525</v>
      </c>
      <c r="AW541" s="100"/>
      <c r="AY541" s="134"/>
    </row>
    <row r="542" spans="1:51" s="2" customFormat="1" ht="12.75" customHeight="1" x14ac:dyDescent="0.2">
      <c r="A542" s="6" t="s">
        <v>1392</v>
      </c>
      <c r="B542" s="8">
        <v>9789500299145</v>
      </c>
      <c r="C542" s="8">
        <v>618574</v>
      </c>
      <c r="D542" s="7">
        <v>320</v>
      </c>
      <c r="E542" s="31" t="s">
        <v>222</v>
      </c>
      <c r="F542" s="32" t="s">
        <v>223</v>
      </c>
      <c r="G542" s="107">
        <v>42614</v>
      </c>
      <c r="H542" s="108">
        <v>42552</v>
      </c>
      <c r="I542" s="24">
        <v>2000</v>
      </c>
      <c r="J542" s="28" t="s">
        <v>1946</v>
      </c>
      <c r="K542" s="28">
        <v>108.37</v>
      </c>
      <c r="L542" s="112">
        <v>46600</v>
      </c>
      <c r="M542" s="9"/>
      <c r="N542" s="9">
        <f>+L542/2</f>
        <v>23300</v>
      </c>
      <c r="O542" s="9">
        <f>+N542-M542-K542</f>
        <v>23191.63</v>
      </c>
      <c r="P542" s="9">
        <f>+M542+K542</f>
        <v>108.37</v>
      </c>
      <c r="Q542" s="139">
        <f>+O542/N542</f>
        <v>0.99534892703862665</v>
      </c>
      <c r="R542" s="335">
        <v>46600</v>
      </c>
      <c r="S542" s="359" t="s">
        <v>1948</v>
      </c>
      <c r="T542" s="305">
        <v>0.99534892703862665</v>
      </c>
      <c r="U542" s="144"/>
      <c r="V542" s="100"/>
      <c r="W542" s="110">
        <f>+L542</f>
        <v>46600</v>
      </c>
      <c r="X542" s="110">
        <f>+K542</f>
        <v>108.37</v>
      </c>
      <c r="Y542" s="110">
        <f>+M542</f>
        <v>0</v>
      </c>
      <c r="Z542" s="110">
        <f>+W542/2-X542-Y542</f>
        <v>23191.63</v>
      </c>
      <c r="AA542" s="260">
        <f>+Z542/(W542/2)</f>
        <v>0.99534892703862665</v>
      </c>
      <c r="AB542" s="28">
        <f>ROUND($W542/2/$X$1,1)</f>
        <v>15.4</v>
      </c>
      <c r="AC542" s="261">
        <f>+(AB542*$X$1-$X542-$Y542)/(AB542*$X$1)</f>
        <v>0.99535970129441942</v>
      </c>
      <c r="AD542" s="111">
        <f>+IFERROR(ROUND(($X542+$Y542)/(1-$X$2)/$X$1,1),0)</f>
        <v>0.1</v>
      </c>
      <c r="AE542" s="262">
        <f>+(AD542*$X$1-$X542-$Y542)/(AD542*$X$1)</f>
        <v>0.2853939993405869</v>
      </c>
      <c r="AF542" s="100"/>
      <c r="AG542" s="111">
        <f>+IFERROR(ROUND(($X542+$Y542)/(1-$AG$2)/$X$1,1),0)</f>
        <v>0.1</v>
      </c>
      <c r="AH542" s="262">
        <f>+(AG542*$X$1-$X542-$Y542)/(AG542*$X$1)</f>
        <v>0.2853939993405869</v>
      </c>
      <c r="AI542" s="100"/>
      <c r="AJ542" s="111">
        <f>+IFERROR(ROUND(($X542+$Y542)/(1-$AJ$2)/$X$1,1),0)</f>
        <v>0.1</v>
      </c>
      <c r="AK542" s="262">
        <f>+(AJ542*$X$1-$X542-$Y542)/(AJ542*$X$1)</f>
        <v>0.2853939993405869</v>
      </c>
      <c r="AL542" s="100"/>
      <c r="AM542" s="111">
        <f>+IFERROR(ROUND(($X542+$Y542)/(1-$AM$2)/$X$1,1),0)</f>
        <v>0.1</v>
      </c>
      <c r="AN542" s="262">
        <f>+(AM542*$X$1-$X542-$Y542)/(AM542*$X$1)</f>
        <v>0.2853939993405869</v>
      </c>
      <c r="AO542" s="100"/>
      <c r="AP542" s="24" t="e">
        <f>VLOOKUP(C542,#REF!,6,FALSE)</f>
        <v>#REF!</v>
      </c>
      <c r="AQ542" s="24" t="e">
        <f>VLOOKUP(C542,#REF!,7,FALSE)</f>
        <v>#REF!</v>
      </c>
      <c r="AR542" s="24" t="e">
        <f>VLOOKUP(C542,#REF!,12,FALSE)</f>
        <v>#REF!</v>
      </c>
      <c r="AS542" s="24" t="e">
        <f>VLOOKUP(C542,#REF!,13,FALSE)</f>
        <v>#REF!</v>
      </c>
      <c r="AT542" s="100"/>
      <c r="AU542" s="100"/>
      <c r="AV542" s="100">
        <v>526</v>
      </c>
      <c r="AW542" s="100"/>
      <c r="AY542" s="112">
        <v>46600</v>
      </c>
    </row>
    <row r="543" spans="1:51" s="2" customFormat="1" ht="12.75" customHeight="1" x14ac:dyDescent="0.2">
      <c r="A543" s="6" t="s">
        <v>1393</v>
      </c>
      <c r="B543" s="8">
        <v>9789500299282</v>
      </c>
      <c r="C543" s="8">
        <v>622634</v>
      </c>
      <c r="D543" s="7">
        <v>48</v>
      </c>
      <c r="E543" s="7" t="s">
        <v>220</v>
      </c>
      <c r="F543" s="7" t="s">
        <v>221</v>
      </c>
      <c r="G543" s="107">
        <v>42675</v>
      </c>
      <c r="H543" s="108">
        <v>42644</v>
      </c>
      <c r="I543" s="24">
        <v>4068</v>
      </c>
      <c r="J543" s="28" t="s">
        <v>1946</v>
      </c>
      <c r="K543" s="28">
        <v>89.33</v>
      </c>
      <c r="L543" s="112">
        <v>32600</v>
      </c>
      <c r="M543" s="112"/>
      <c r="N543" s="9">
        <f>+L543/2</f>
        <v>16300</v>
      </c>
      <c r="O543" s="9">
        <f>+N543-M543-K543</f>
        <v>16210.67</v>
      </c>
      <c r="P543" s="9">
        <f>+M543+K543</f>
        <v>89.33</v>
      </c>
      <c r="Q543" s="139">
        <f>+O543/N543</f>
        <v>0.99451963190184045</v>
      </c>
      <c r="R543" s="335">
        <v>32600</v>
      </c>
      <c r="S543" s="359" t="s">
        <v>1948</v>
      </c>
      <c r="T543" s="305">
        <v>0.99451963190184045</v>
      </c>
      <c r="U543" s="144"/>
      <c r="V543" s="100"/>
      <c r="W543" s="110">
        <f>+L543</f>
        <v>32600</v>
      </c>
      <c r="X543" s="110">
        <f>+K543</f>
        <v>89.33</v>
      </c>
      <c r="Y543" s="110">
        <f>+M543</f>
        <v>0</v>
      </c>
      <c r="Z543" s="110">
        <f>+W543/2-X543-Y543</f>
        <v>16210.67</v>
      </c>
      <c r="AA543" s="260">
        <f>+Z543/(W543/2)</f>
        <v>0.99451963190184045</v>
      </c>
      <c r="AB543" s="28">
        <f>ROUND($W543/2/$X$1,1)</f>
        <v>10.7</v>
      </c>
      <c r="AC543" s="261">
        <f>+(AB543*$X$1-$X543-$Y543)/(AB543*$X$1)</f>
        <v>0.99449482483953766</v>
      </c>
      <c r="AD543" s="111">
        <f>+IFERROR(ROUND(($X543+$Y543)/(1-$X$2)/$X$1,1),0)</f>
        <v>0.1</v>
      </c>
      <c r="AE543" s="262">
        <f>+(AD543*$X$1-$X543-$Y543)/(AD543*$X$1)</f>
        <v>0.41094625783053085</v>
      </c>
      <c r="AF543" s="100"/>
      <c r="AG543" s="111">
        <f>+IFERROR(ROUND(($X543+$Y543)/(1-$AG$2)/$X$1,1),0)</f>
        <v>0.1</v>
      </c>
      <c r="AH543" s="262">
        <f>+(AG543*$X$1-$X543-$Y543)/(AG543*$X$1)</f>
        <v>0.41094625783053085</v>
      </c>
      <c r="AI543" s="100"/>
      <c r="AJ543" s="111">
        <f>+IFERROR(ROUND(($X543+$Y543)/(1-$AJ$2)/$X$1,1),0)</f>
        <v>0.1</v>
      </c>
      <c r="AK543" s="262">
        <f>+(AJ543*$X$1-$X543-$Y543)/(AJ543*$X$1)</f>
        <v>0.41094625783053085</v>
      </c>
      <c r="AL543" s="100"/>
      <c r="AM543" s="111">
        <f>+IFERROR(ROUND(($X543+$Y543)/(1-$AM$2)/$X$1,1),0)</f>
        <v>0.1</v>
      </c>
      <c r="AN543" s="262">
        <f>+(AM543*$X$1-$X543-$Y543)/(AM543*$X$1)</f>
        <v>0.41094625783053085</v>
      </c>
      <c r="AO543" s="100"/>
      <c r="AP543" s="24" t="e">
        <f>VLOOKUP(C543,#REF!,6,FALSE)</f>
        <v>#REF!</v>
      </c>
      <c r="AQ543" s="24" t="e">
        <f>VLOOKUP(C543,#REF!,7,FALSE)</f>
        <v>#REF!</v>
      </c>
      <c r="AR543" s="24" t="e">
        <f>VLOOKUP(C543,#REF!,12,FALSE)</f>
        <v>#REF!</v>
      </c>
      <c r="AS543" s="24" t="e">
        <f>VLOOKUP(C543,#REF!,13,FALSE)</f>
        <v>#REF!</v>
      </c>
      <c r="AT543" s="100"/>
      <c r="AU543" s="100"/>
      <c r="AV543" s="100">
        <v>527</v>
      </c>
      <c r="AW543" s="100"/>
      <c r="AY543" s="112">
        <v>32600</v>
      </c>
    </row>
    <row r="544" spans="1:51" s="132" customFormat="1" ht="12.75" customHeight="1" x14ac:dyDescent="0.25">
      <c r="B544" s="133"/>
      <c r="C544" s="133"/>
      <c r="D544" s="154"/>
      <c r="J544" s="134"/>
      <c r="L544" s="18"/>
      <c r="Q544" s="147"/>
      <c r="R544" s="356"/>
      <c r="S544" s="360"/>
      <c r="T544" s="307"/>
      <c r="U544" s="135"/>
      <c r="V544" s="100"/>
      <c r="W544"/>
      <c r="X544"/>
      <c r="Y544"/>
      <c r="Z544"/>
      <c r="AA544"/>
      <c r="AB544"/>
      <c r="AC544"/>
      <c r="AD544" s="263"/>
      <c r="AE544"/>
      <c r="AF544" s="100"/>
      <c r="AG544" s="263"/>
      <c r="AH544"/>
      <c r="AI544" s="100"/>
      <c r="AJ544" s="263"/>
      <c r="AK544"/>
      <c r="AL544" s="100"/>
      <c r="AM544" s="263"/>
      <c r="AN544"/>
      <c r="AO544" s="100"/>
      <c r="AP544" s="100"/>
      <c r="AQ544" s="100"/>
      <c r="AR544" s="100"/>
      <c r="AS544" s="100"/>
      <c r="AT544" s="100"/>
      <c r="AU544" s="100"/>
      <c r="AV544" s="100">
        <v>528</v>
      </c>
      <c r="AW544" s="100"/>
      <c r="AY544" s="18"/>
    </row>
    <row r="545" spans="1:51" s="132" customFormat="1" ht="12.75" customHeight="1" thickBot="1" x14ac:dyDescent="0.3">
      <c r="B545" s="133"/>
      <c r="C545" s="133"/>
      <c r="D545" s="154"/>
      <c r="J545" s="134"/>
      <c r="L545" s="18"/>
      <c r="Q545" s="147"/>
      <c r="R545" s="356"/>
      <c r="S545" s="360"/>
      <c r="T545" s="307"/>
      <c r="U545" s="135"/>
      <c r="V545" s="100"/>
      <c r="W545"/>
      <c r="X545"/>
      <c r="Y545"/>
      <c r="Z545"/>
      <c r="AA545"/>
      <c r="AB545"/>
      <c r="AC545"/>
      <c r="AD545" s="263"/>
      <c r="AE545"/>
      <c r="AF545" s="100"/>
      <c r="AG545" s="263"/>
      <c r="AH545"/>
      <c r="AI545" s="100"/>
      <c r="AJ545" s="263"/>
      <c r="AK545"/>
      <c r="AL545" s="100"/>
      <c r="AM545" s="263"/>
      <c r="AN545"/>
      <c r="AO545" s="100"/>
      <c r="AP545" s="100"/>
      <c r="AQ545" s="100"/>
      <c r="AR545" s="100"/>
      <c r="AS545" s="100"/>
      <c r="AT545" s="100"/>
      <c r="AU545" s="100"/>
      <c r="AV545" s="100">
        <v>529</v>
      </c>
      <c r="AW545" s="100"/>
      <c r="AY545" s="18"/>
    </row>
    <row r="546" spans="1:51" s="2" customFormat="1" ht="12.75" customHeight="1" x14ac:dyDescent="0.25">
      <c r="A546" s="132"/>
      <c r="B546" s="133"/>
      <c r="C546" s="133"/>
      <c r="D546" s="154"/>
      <c r="E546" s="155" t="s">
        <v>596</v>
      </c>
      <c r="F546" s="156"/>
      <c r="G546" s="132"/>
      <c r="H546" s="132"/>
      <c r="I546" s="132"/>
      <c r="J546" s="134"/>
      <c r="K546" s="132"/>
      <c r="L546" s="18"/>
      <c r="M546" s="132"/>
      <c r="N546" s="132"/>
      <c r="O546" s="132"/>
      <c r="P546" s="132"/>
      <c r="Q546" s="147"/>
      <c r="R546" s="356"/>
      <c r="S546" s="360"/>
      <c r="T546" s="307"/>
      <c r="U546" s="135"/>
      <c r="V546" s="100"/>
      <c r="W546"/>
      <c r="X546"/>
      <c r="Y546"/>
      <c r="Z546"/>
      <c r="AA546"/>
      <c r="AB546"/>
      <c r="AC546"/>
      <c r="AD546" s="263"/>
      <c r="AE546"/>
      <c r="AF546" s="100"/>
      <c r="AG546" s="263"/>
      <c r="AH546"/>
      <c r="AI546" s="100"/>
      <c r="AJ546" s="263"/>
      <c r="AK546"/>
      <c r="AL546" s="100"/>
      <c r="AM546" s="263"/>
      <c r="AN546"/>
      <c r="AO546" s="100"/>
      <c r="AP546" s="100"/>
      <c r="AQ546" s="100"/>
      <c r="AR546" s="100"/>
      <c r="AS546" s="100"/>
      <c r="AT546" s="100"/>
      <c r="AU546" s="100"/>
      <c r="AV546" s="100">
        <v>530</v>
      </c>
      <c r="AW546" s="100"/>
      <c r="AY546" s="18"/>
    </row>
    <row r="547" spans="1:51" s="2" customFormat="1" ht="12.75" customHeight="1" x14ac:dyDescent="0.2">
      <c r="A547" s="7" t="s">
        <v>1394</v>
      </c>
      <c r="B547" s="8">
        <v>9789500210560</v>
      </c>
      <c r="C547" s="8">
        <v>675902</v>
      </c>
      <c r="D547" s="25">
        <v>140</v>
      </c>
      <c r="E547" s="7" t="s">
        <v>487</v>
      </c>
      <c r="F547" s="116" t="s">
        <v>1395</v>
      </c>
      <c r="G547" s="107">
        <v>43952</v>
      </c>
      <c r="H547" s="108">
        <v>43922</v>
      </c>
      <c r="I547" s="7">
        <v>2980</v>
      </c>
      <c r="J547" s="28" t="s">
        <v>1946</v>
      </c>
      <c r="K547" s="9">
        <v>223.4</v>
      </c>
      <c r="L547" s="112">
        <v>40300</v>
      </c>
      <c r="M547" s="9">
        <f>+L547*0.1</f>
        <v>4030</v>
      </c>
      <c r="N547" s="9">
        <f t="shared" ref="N547:N552" si="444">+L547/2</f>
        <v>20150</v>
      </c>
      <c r="O547" s="9">
        <f t="shared" ref="O547:O552" si="445">+N547-M547-K547</f>
        <v>15896.6</v>
      </c>
      <c r="P547" s="9">
        <f t="shared" ref="P547:P552" si="446">+M547+K547</f>
        <v>4253.3999999999996</v>
      </c>
      <c r="Q547" s="139">
        <f t="shared" ref="Q547:Q552" si="447">+O547/N547</f>
        <v>0.78891315136476425</v>
      </c>
      <c r="R547" s="335">
        <v>40300</v>
      </c>
      <c r="S547" s="359" t="s">
        <v>1948</v>
      </c>
      <c r="T547" s="305">
        <v>0.78891315136476425</v>
      </c>
      <c r="U547" s="144"/>
      <c r="V547" s="100"/>
      <c r="W547" s="110">
        <f t="shared" ref="W547:W552" si="448">+L547</f>
        <v>40300</v>
      </c>
      <c r="X547" s="110">
        <f t="shared" ref="X547:X552" si="449">+K547</f>
        <v>223.4</v>
      </c>
      <c r="Y547" s="110">
        <f t="shared" ref="Y547:Y552" si="450">+M547</f>
        <v>4030</v>
      </c>
      <c r="Z547" s="110">
        <f t="shared" ref="Z547:Z552" si="451">+W547/2-X547-Y547</f>
        <v>15896.599999999999</v>
      </c>
      <c r="AA547" s="260">
        <f t="shared" ref="AA547:AA552" si="452">+Z547/(W547/2)</f>
        <v>0.78891315136476414</v>
      </c>
      <c r="AB547" s="28">
        <f t="shared" ref="AB547:AB552" si="453">ROUND($W547/2/$X$1,1)</f>
        <v>13.3</v>
      </c>
      <c r="AC547" s="261">
        <f t="shared" ref="AC547:AC552" si="454">+(AB547*$X$1-$X547-$Y547)/(AB547*$X$1)</f>
        <v>0.78911670868566064</v>
      </c>
      <c r="AD547" s="111">
        <f t="shared" ref="AD547:AD552" si="455">+IFERROR(ROUND(($X547+$Y547)/(1-$X$2)/$X$1,1),0)</f>
        <v>3</v>
      </c>
      <c r="AE547" s="262">
        <f t="shared" ref="AE547:AE552" si="456">+(AD547*$X$1-$X547-$Y547)/(AD547*$X$1)</f>
        <v>6.5084075173096029E-2</v>
      </c>
      <c r="AF547" s="100"/>
      <c r="AG547" s="111">
        <f t="shared" ref="AG547:AG552" si="457">+IFERROR(ROUND(($X547+$Y547)/(1-$AG$2)/$X$1,1),0)</f>
        <v>4.7</v>
      </c>
      <c r="AH547" s="262">
        <f t="shared" ref="AH547:AH552" si="458">+(AG547*$X$1-$X547-$Y547)/(AG547*$X$1)</f>
        <v>0.40324515436580599</v>
      </c>
      <c r="AI547" s="100"/>
      <c r="AJ547" s="111">
        <f t="shared" ref="AJ547:AJ552" si="459">+IFERROR(ROUND(($X547+$Y547)/(1-$AJ$2)/$X$1,1),0)</f>
        <v>4.3</v>
      </c>
      <c r="AK547" s="262">
        <f t="shared" ref="AK547:AK552" si="460">+(AJ547*$X$1-$X547-$Y547)/(AJ547*$X$1)</f>
        <v>0.34773307570216</v>
      </c>
      <c r="AL547" s="100"/>
      <c r="AM547" s="111">
        <f t="shared" ref="AM547:AM552" si="461">+IFERROR(ROUND(($X547+$Y547)/(1-$AM$2)/$X$1,1),0)</f>
        <v>4</v>
      </c>
      <c r="AN547" s="262">
        <f t="shared" ref="AN547:AN552" si="462">+(AM547*$X$1-$X547-$Y547)/(AM547*$X$1)</f>
        <v>0.29881305637982203</v>
      </c>
      <c r="AO547" s="100"/>
      <c r="AP547" s="24" t="e">
        <f>VLOOKUP(C547,#REF!,6,FALSE)</f>
        <v>#REF!</v>
      </c>
      <c r="AQ547" s="24" t="e">
        <f>VLOOKUP(C547,#REF!,7,FALSE)</f>
        <v>#REF!</v>
      </c>
      <c r="AR547" s="24" t="e">
        <f>VLOOKUP(C547,#REF!,12,FALSE)</f>
        <v>#REF!</v>
      </c>
      <c r="AS547" s="24" t="e">
        <f>VLOOKUP(C547,#REF!,13,FALSE)</f>
        <v>#REF!</v>
      </c>
      <c r="AT547" s="100"/>
      <c r="AU547" s="100"/>
      <c r="AV547" s="100">
        <v>531</v>
      </c>
      <c r="AW547" s="100"/>
      <c r="AY547" s="112">
        <v>40300</v>
      </c>
    </row>
    <row r="548" spans="1:51" s="2" customFormat="1" ht="12.75" customHeight="1" x14ac:dyDescent="0.2">
      <c r="A548" s="7" t="s">
        <v>1396</v>
      </c>
      <c r="B548" s="8">
        <v>9789500210577</v>
      </c>
      <c r="C548" s="8">
        <v>675903</v>
      </c>
      <c r="D548" s="25">
        <v>140</v>
      </c>
      <c r="E548" s="7" t="s">
        <v>487</v>
      </c>
      <c r="F548" s="7" t="s">
        <v>1397</v>
      </c>
      <c r="G548" s="107">
        <v>43952</v>
      </c>
      <c r="H548" s="108">
        <v>43922</v>
      </c>
      <c r="I548" s="7">
        <v>3080</v>
      </c>
      <c r="J548" s="28" t="s">
        <v>1946</v>
      </c>
      <c r="K548" s="9">
        <v>76.31</v>
      </c>
      <c r="L548" s="112">
        <v>19000</v>
      </c>
      <c r="M548" s="9">
        <f>+L548*0.1</f>
        <v>1900</v>
      </c>
      <c r="N548" s="9">
        <f t="shared" si="444"/>
        <v>9500</v>
      </c>
      <c r="O548" s="9">
        <f t="shared" si="445"/>
        <v>7523.69</v>
      </c>
      <c r="P548" s="9">
        <f t="shared" si="446"/>
        <v>1976.31</v>
      </c>
      <c r="Q548" s="139">
        <f t="shared" si="447"/>
        <v>0.79196736842105264</v>
      </c>
      <c r="R548" s="335">
        <v>19000</v>
      </c>
      <c r="S548" s="359" t="s">
        <v>1948</v>
      </c>
      <c r="T548" s="305">
        <v>0.79196736842105264</v>
      </c>
      <c r="U548" s="144"/>
      <c r="V548" s="100"/>
      <c r="W548" s="110">
        <f t="shared" si="448"/>
        <v>19000</v>
      </c>
      <c r="X548" s="110">
        <f t="shared" si="449"/>
        <v>76.31</v>
      </c>
      <c r="Y548" s="110">
        <f t="shared" si="450"/>
        <v>1900</v>
      </c>
      <c r="Z548" s="110">
        <f t="shared" si="451"/>
        <v>7523.6900000000005</v>
      </c>
      <c r="AA548" s="260">
        <f t="shared" si="452"/>
        <v>0.79196736842105264</v>
      </c>
      <c r="AB548" s="28">
        <f t="shared" si="453"/>
        <v>6.3</v>
      </c>
      <c r="AC548" s="261">
        <f t="shared" si="454"/>
        <v>0.79314210352786019</v>
      </c>
      <c r="AD548" s="111">
        <f t="shared" si="455"/>
        <v>1.4</v>
      </c>
      <c r="AE548" s="262">
        <f t="shared" si="456"/>
        <v>6.9139465875370912E-2</v>
      </c>
      <c r="AF548" s="100"/>
      <c r="AG548" s="111">
        <f t="shared" si="457"/>
        <v>2.2000000000000002</v>
      </c>
      <c r="AH548" s="262">
        <f t="shared" si="458"/>
        <v>0.40763420555705426</v>
      </c>
      <c r="AI548" s="100"/>
      <c r="AJ548" s="111">
        <f t="shared" si="459"/>
        <v>2</v>
      </c>
      <c r="AK548" s="262">
        <f t="shared" si="460"/>
        <v>0.34839762611275965</v>
      </c>
      <c r="AL548" s="100"/>
      <c r="AM548" s="111">
        <f t="shared" si="461"/>
        <v>1.9</v>
      </c>
      <c r="AN548" s="262">
        <f t="shared" si="462"/>
        <v>0.31410276432922069</v>
      </c>
      <c r="AO548" s="100"/>
      <c r="AP548" s="24" t="e">
        <f>VLOOKUP(C548,#REF!,6,FALSE)</f>
        <v>#REF!</v>
      </c>
      <c r="AQ548" s="24" t="e">
        <f>VLOOKUP(C548,#REF!,7,FALSE)</f>
        <v>#REF!</v>
      </c>
      <c r="AR548" s="24" t="e">
        <f>VLOOKUP(C548,#REF!,12,FALSE)</f>
        <v>#REF!</v>
      </c>
      <c r="AS548" s="24" t="e">
        <f>VLOOKUP(C548,#REF!,13,FALSE)</f>
        <v>#REF!</v>
      </c>
      <c r="AT548" s="100"/>
      <c r="AU548" s="100"/>
      <c r="AV548" s="100">
        <v>532</v>
      </c>
      <c r="AW548" s="100"/>
      <c r="AY548" s="112">
        <v>19000</v>
      </c>
    </row>
    <row r="549" spans="1:51" s="132" customFormat="1" ht="12.75" customHeight="1" x14ac:dyDescent="0.2">
      <c r="A549" s="7" t="s">
        <v>1398</v>
      </c>
      <c r="B549" s="8">
        <v>9789500259187</v>
      </c>
      <c r="C549" s="8">
        <v>417764</v>
      </c>
      <c r="D549" s="25">
        <v>272</v>
      </c>
      <c r="E549" s="9" t="s">
        <v>227</v>
      </c>
      <c r="F549" s="116" t="s">
        <v>228</v>
      </c>
      <c r="G549" s="107">
        <v>38687</v>
      </c>
      <c r="H549" s="108">
        <v>38657</v>
      </c>
      <c r="I549" s="24">
        <v>1500</v>
      </c>
      <c r="J549" s="28" t="s">
        <v>1762</v>
      </c>
      <c r="K549" s="28">
        <v>36</v>
      </c>
      <c r="L549" s="112">
        <v>66900</v>
      </c>
      <c r="M549" s="112"/>
      <c r="N549" s="9">
        <f t="shared" si="444"/>
        <v>33450</v>
      </c>
      <c r="O549" s="9">
        <f t="shared" si="445"/>
        <v>33414</v>
      </c>
      <c r="P549" s="9">
        <f t="shared" si="446"/>
        <v>36</v>
      </c>
      <c r="Q549" s="139">
        <f t="shared" si="447"/>
        <v>0.99892376681614348</v>
      </c>
      <c r="R549" s="335">
        <v>66900</v>
      </c>
      <c r="S549" s="359" t="s">
        <v>1948</v>
      </c>
      <c r="T549" s="305">
        <v>0.99892376681614348</v>
      </c>
      <c r="U549" s="144"/>
      <c r="V549" s="100"/>
      <c r="W549" s="110">
        <f t="shared" si="448"/>
        <v>66900</v>
      </c>
      <c r="X549" s="110">
        <f t="shared" si="449"/>
        <v>36</v>
      </c>
      <c r="Y549" s="110">
        <f t="shared" si="450"/>
        <v>0</v>
      </c>
      <c r="Z549" s="110">
        <f t="shared" si="451"/>
        <v>33414</v>
      </c>
      <c r="AA549" s="260">
        <f t="shared" si="452"/>
        <v>0.99892376681614348</v>
      </c>
      <c r="AB549" s="28">
        <f t="shared" si="453"/>
        <v>22.1</v>
      </c>
      <c r="AC549" s="261">
        <f t="shared" si="454"/>
        <v>0.99892584287766695</v>
      </c>
      <c r="AD549" s="111">
        <f t="shared" si="455"/>
        <v>0</v>
      </c>
      <c r="AE549" s="262" t="e">
        <f t="shared" si="456"/>
        <v>#DIV/0!</v>
      </c>
      <c r="AF549" s="100"/>
      <c r="AG549" s="111">
        <f t="shared" si="457"/>
        <v>0</v>
      </c>
      <c r="AH549" s="262" t="e">
        <f t="shared" si="458"/>
        <v>#DIV/0!</v>
      </c>
      <c r="AI549" s="100"/>
      <c r="AJ549" s="111">
        <f t="shared" si="459"/>
        <v>0</v>
      </c>
      <c r="AK549" s="262" t="e">
        <f t="shared" si="460"/>
        <v>#DIV/0!</v>
      </c>
      <c r="AL549" s="100"/>
      <c r="AM549" s="111">
        <f t="shared" si="461"/>
        <v>0</v>
      </c>
      <c r="AN549" s="262" t="e">
        <f t="shared" si="462"/>
        <v>#DIV/0!</v>
      </c>
      <c r="AO549" s="100"/>
      <c r="AP549" s="24" t="e">
        <f>VLOOKUP(C549,#REF!,6,FALSE)</f>
        <v>#REF!</v>
      </c>
      <c r="AQ549" s="24" t="e">
        <f>VLOOKUP(C549,#REF!,7,FALSE)</f>
        <v>#REF!</v>
      </c>
      <c r="AR549" s="24" t="e">
        <f>VLOOKUP(C549,#REF!,12,FALSE)</f>
        <v>#REF!</v>
      </c>
      <c r="AS549" s="24" t="e">
        <f>VLOOKUP(C549,#REF!,13,FALSE)</f>
        <v>#REF!</v>
      </c>
      <c r="AT549" s="100"/>
      <c r="AU549" s="100"/>
      <c r="AV549" s="100">
        <v>533</v>
      </c>
      <c r="AW549" s="100"/>
      <c r="AY549" s="112">
        <v>66900</v>
      </c>
    </row>
    <row r="550" spans="1:51" s="132" customFormat="1" ht="12.75" customHeight="1" x14ac:dyDescent="0.2">
      <c r="A550" s="7" t="s">
        <v>1399</v>
      </c>
      <c r="B550" s="8">
        <v>9789500259378</v>
      </c>
      <c r="C550" s="8">
        <v>439030</v>
      </c>
      <c r="D550" s="25">
        <v>376</v>
      </c>
      <c r="E550" s="6" t="s">
        <v>229</v>
      </c>
      <c r="F550" s="7" t="s">
        <v>230</v>
      </c>
      <c r="G550" s="107">
        <v>38991</v>
      </c>
      <c r="H550" s="108">
        <v>38991</v>
      </c>
      <c r="I550" s="24">
        <v>1438</v>
      </c>
      <c r="J550" s="28" t="s">
        <v>1762</v>
      </c>
      <c r="K550" s="28">
        <v>58.5</v>
      </c>
      <c r="L550" s="112">
        <v>77500</v>
      </c>
      <c r="M550" s="112"/>
      <c r="N550" s="9">
        <f t="shared" si="444"/>
        <v>38750</v>
      </c>
      <c r="O550" s="9">
        <f t="shared" si="445"/>
        <v>38691.5</v>
      </c>
      <c r="P550" s="9">
        <f t="shared" si="446"/>
        <v>58.5</v>
      </c>
      <c r="Q550" s="139">
        <f t="shared" si="447"/>
        <v>0.99849032258064518</v>
      </c>
      <c r="R550" s="335">
        <v>77500</v>
      </c>
      <c r="S550" s="359" t="s">
        <v>1948</v>
      </c>
      <c r="T550" s="305">
        <v>0.99849032258064518</v>
      </c>
      <c r="U550" s="144"/>
      <c r="V550" s="100"/>
      <c r="W550" s="110">
        <f t="shared" si="448"/>
        <v>77500</v>
      </c>
      <c r="X550" s="110">
        <f t="shared" si="449"/>
        <v>58.5</v>
      </c>
      <c r="Y550" s="110">
        <f t="shared" si="450"/>
        <v>0</v>
      </c>
      <c r="Z550" s="110">
        <f t="shared" si="451"/>
        <v>38691.5</v>
      </c>
      <c r="AA550" s="260">
        <f t="shared" si="452"/>
        <v>0.99849032258064518</v>
      </c>
      <c r="AB550" s="28">
        <f t="shared" si="453"/>
        <v>25.6</v>
      </c>
      <c r="AC550" s="261">
        <f t="shared" si="454"/>
        <v>0.99849313798219586</v>
      </c>
      <c r="AD550" s="111">
        <f t="shared" si="455"/>
        <v>0</v>
      </c>
      <c r="AE550" s="262" t="e">
        <f t="shared" si="456"/>
        <v>#DIV/0!</v>
      </c>
      <c r="AF550" s="100"/>
      <c r="AG550" s="111">
        <f t="shared" si="457"/>
        <v>0.1</v>
      </c>
      <c r="AH550" s="262">
        <f t="shared" si="458"/>
        <v>0.6142433234421365</v>
      </c>
      <c r="AI550" s="100"/>
      <c r="AJ550" s="111">
        <f t="shared" si="459"/>
        <v>0.1</v>
      </c>
      <c r="AK550" s="262">
        <f t="shared" si="460"/>
        <v>0.6142433234421365</v>
      </c>
      <c r="AL550" s="100"/>
      <c r="AM550" s="111">
        <f t="shared" si="461"/>
        <v>0.1</v>
      </c>
      <c r="AN550" s="262">
        <f t="shared" si="462"/>
        <v>0.6142433234421365</v>
      </c>
      <c r="AO550" s="100"/>
      <c r="AP550" s="24" t="e">
        <f>VLOOKUP(C550,#REF!,6,FALSE)</f>
        <v>#REF!</v>
      </c>
      <c r="AQ550" s="24" t="e">
        <f>VLOOKUP(C550,#REF!,7,FALSE)</f>
        <v>#REF!</v>
      </c>
      <c r="AR550" s="24" t="e">
        <f>VLOOKUP(C550,#REF!,12,FALSE)</f>
        <v>#REF!</v>
      </c>
      <c r="AS550" s="24" t="e">
        <f>VLOOKUP(C550,#REF!,13,FALSE)</f>
        <v>#REF!</v>
      </c>
      <c r="AT550" s="100"/>
      <c r="AU550" s="100"/>
      <c r="AV550" s="100">
        <v>534</v>
      </c>
      <c r="AW550" s="100"/>
      <c r="AY550" s="112">
        <v>77500</v>
      </c>
    </row>
    <row r="551" spans="1:51" s="132" customFormat="1" ht="12.75" customHeight="1" x14ac:dyDescent="0.2">
      <c r="A551" s="7" t="s">
        <v>1400</v>
      </c>
      <c r="B551" s="8">
        <v>9789500259224</v>
      </c>
      <c r="C551" s="8">
        <v>452787</v>
      </c>
      <c r="D551" s="25">
        <v>392</v>
      </c>
      <c r="E551" s="9" t="s">
        <v>225</v>
      </c>
      <c r="F551" s="7" t="s">
        <v>226</v>
      </c>
      <c r="G551" s="107">
        <v>39234</v>
      </c>
      <c r="H551" s="108">
        <v>39234</v>
      </c>
      <c r="I551" s="24">
        <v>1543</v>
      </c>
      <c r="J551" s="28" t="s">
        <v>1762</v>
      </c>
      <c r="K551" s="28">
        <v>84</v>
      </c>
      <c r="L551" s="112">
        <v>77500</v>
      </c>
      <c r="M551" s="112"/>
      <c r="N551" s="9">
        <f t="shared" si="444"/>
        <v>38750</v>
      </c>
      <c r="O551" s="9">
        <f t="shared" si="445"/>
        <v>38666</v>
      </c>
      <c r="P551" s="9">
        <f t="shared" si="446"/>
        <v>84</v>
      </c>
      <c r="Q551" s="139">
        <f t="shared" si="447"/>
        <v>0.99783225806451614</v>
      </c>
      <c r="R551" s="335">
        <v>77500</v>
      </c>
      <c r="S551" s="359" t="s">
        <v>1948</v>
      </c>
      <c r="T551" s="305">
        <v>0.99783225806451614</v>
      </c>
      <c r="U551" s="144"/>
      <c r="V551" s="100"/>
      <c r="W551" s="110">
        <f t="shared" si="448"/>
        <v>77500</v>
      </c>
      <c r="X551" s="110">
        <f t="shared" si="449"/>
        <v>84</v>
      </c>
      <c r="Y551" s="110">
        <f t="shared" si="450"/>
        <v>0</v>
      </c>
      <c r="Z551" s="110">
        <f t="shared" si="451"/>
        <v>38666</v>
      </c>
      <c r="AA551" s="260">
        <f t="shared" si="452"/>
        <v>0.99783225806451614</v>
      </c>
      <c r="AB551" s="28">
        <f t="shared" si="453"/>
        <v>25.6</v>
      </c>
      <c r="AC551" s="261">
        <f t="shared" si="454"/>
        <v>0.99783630069238383</v>
      </c>
      <c r="AD551" s="111">
        <f t="shared" si="455"/>
        <v>0.1</v>
      </c>
      <c r="AE551" s="262">
        <f t="shared" si="456"/>
        <v>0.44609297725024732</v>
      </c>
      <c r="AF551" s="100"/>
      <c r="AG551" s="111">
        <f t="shared" si="457"/>
        <v>0.1</v>
      </c>
      <c r="AH551" s="262">
        <f t="shared" si="458"/>
        <v>0.44609297725024732</v>
      </c>
      <c r="AI551" s="100"/>
      <c r="AJ551" s="111">
        <f t="shared" si="459"/>
        <v>0.1</v>
      </c>
      <c r="AK551" s="262">
        <f t="shared" si="460"/>
        <v>0.44609297725024732</v>
      </c>
      <c r="AL551" s="100"/>
      <c r="AM551" s="111">
        <f t="shared" si="461"/>
        <v>0.1</v>
      </c>
      <c r="AN551" s="262">
        <f t="shared" si="462"/>
        <v>0.44609297725024732</v>
      </c>
      <c r="AO551" s="100"/>
      <c r="AP551" s="24" t="e">
        <f>VLOOKUP(C551,#REF!,6,FALSE)</f>
        <v>#REF!</v>
      </c>
      <c r="AQ551" s="24" t="e">
        <f>VLOOKUP(C551,#REF!,7,FALSE)</f>
        <v>#REF!</v>
      </c>
      <c r="AR551" s="24" t="e">
        <f>VLOOKUP(C551,#REF!,12,FALSE)</f>
        <v>#REF!</v>
      </c>
      <c r="AS551" s="24" t="e">
        <f>VLOOKUP(C551,#REF!,13,FALSE)</f>
        <v>#REF!</v>
      </c>
      <c r="AT551" s="100"/>
      <c r="AU551" s="100"/>
      <c r="AV551" s="100">
        <v>535</v>
      </c>
      <c r="AW551" s="100"/>
      <c r="AY551" s="112">
        <v>77500</v>
      </c>
    </row>
    <row r="552" spans="1:51" s="2" customFormat="1" ht="12.75" customHeight="1" x14ac:dyDescent="0.2">
      <c r="A552" s="6" t="s">
        <v>1401</v>
      </c>
      <c r="B552" s="8">
        <v>9789500208970</v>
      </c>
      <c r="C552" s="8">
        <v>598710</v>
      </c>
      <c r="D552" s="7"/>
      <c r="E552" s="9" t="s">
        <v>224</v>
      </c>
      <c r="F552" s="7" t="s">
        <v>1402</v>
      </c>
      <c r="G552" s="107">
        <v>42309</v>
      </c>
      <c r="H552" s="108">
        <v>42278</v>
      </c>
      <c r="I552" s="24">
        <v>1400</v>
      </c>
      <c r="J552" s="28" t="s">
        <v>1762</v>
      </c>
      <c r="K552" s="28">
        <v>600</v>
      </c>
      <c r="L552" s="112">
        <v>130900</v>
      </c>
      <c r="M552" s="112"/>
      <c r="N552" s="9">
        <f t="shared" si="444"/>
        <v>65450</v>
      </c>
      <c r="O552" s="9">
        <f t="shared" si="445"/>
        <v>64850</v>
      </c>
      <c r="P552" s="9">
        <f t="shared" si="446"/>
        <v>600</v>
      </c>
      <c r="Q552" s="139">
        <f t="shared" si="447"/>
        <v>0.9908326967150497</v>
      </c>
      <c r="R552" s="335">
        <v>130900</v>
      </c>
      <c r="S552" s="359" t="s">
        <v>1948</v>
      </c>
      <c r="T552" s="305">
        <v>0.9908326967150497</v>
      </c>
      <c r="U552" s="144"/>
      <c r="V552" s="100"/>
      <c r="W552" s="110">
        <f t="shared" si="448"/>
        <v>130900</v>
      </c>
      <c r="X552" s="110">
        <f t="shared" si="449"/>
        <v>600</v>
      </c>
      <c r="Y552" s="110">
        <f t="shared" si="450"/>
        <v>0</v>
      </c>
      <c r="Z552" s="110">
        <f t="shared" si="451"/>
        <v>64850</v>
      </c>
      <c r="AA552" s="260">
        <f t="shared" si="452"/>
        <v>0.9908326967150497</v>
      </c>
      <c r="AB552" s="28">
        <f t="shared" si="453"/>
        <v>43.2</v>
      </c>
      <c r="AC552" s="261">
        <f t="shared" si="454"/>
        <v>0.99084148441220643</v>
      </c>
      <c r="AD552" s="111">
        <f t="shared" si="455"/>
        <v>0.4</v>
      </c>
      <c r="AE552" s="262">
        <f t="shared" si="456"/>
        <v>1.088031651829875E-2</v>
      </c>
      <c r="AF552" s="100"/>
      <c r="AG552" s="111">
        <f t="shared" si="457"/>
        <v>0.7</v>
      </c>
      <c r="AH552" s="262">
        <f t="shared" si="458"/>
        <v>0.43478875229617064</v>
      </c>
      <c r="AI552" s="100"/>
      <c r="AJ552" s="111">
        <f t="shared" si="459"/>
        <v>0.6</v>
      </c>
      <c r="AK552" s="262">
        <f t="shared" si="460"/>
        <v>0.34058687767886581</v>
      </c>
      <c r="AL552" s="100"/>
      <c r="AM552" s="111">
        <f t="shared" si="461"/>
        <v>0.6</v>
      </c>
      <c r="AN552" s="262">
        <f t="shared" si="462"/>
        <v>0.34058687767886581</v>
      </c>
      <c r="AO552" s="100"/>
      <c r="AP552" s="24" t="e">
        <f>VLOOKUP(C552,#REF!,6,FALSE)</f>
        <v>#REF!</v>
      </c>
      <c r="AQ552" s="24" t="e">
        <f>VLOOKUP(C552,#REF!,7,FALSE)</f>
        <v>#REF!</v>
      </c>
      <c r="AR552" s="24" t="e">
        <f>VLOOKUP(C552,#REF!,12,FALSE)</f>
        <v>#REF!</v>
      </c>
      <c r="AS552" s="24" t="e">
        <f>VLOOKUP(C552,#REF!,13,FALSE)</f>
        <v>#REF!</v>
      </c>
      <c r="AT552" s="100"/>
      <c r="AU552" s="100"/>
      <c r="AV552" s="100">
        <v>536</v>
      </c>
      <c r="AW552" s="100"/>
      <c r="AY552" s="112">
        <v>130900</v>
      </c>
    </row>
    <row r="553" spans="1:51" s="2" customFormat="1" ht="12.75" customHeight="1" x14ac:dyDescent="0.25">
      <c r="A553" s="132"/>
      <c r="B553" s="133"/>
      <c r="C553" s="133"/>
      <c r="D553" s="132"/>
      <c r="E553" s="382"/>
      <c r="F553" s="132"/>
      <c r="G553" s="132"/>
      <c r="H553" s="132"/>
      <c r="I553" s="132"/>
      <c r="J553" s="134"/>
      <c r="K553" s="132"/>
      <c r="L553" s="18"/>
      <c r="M553" s="132"/>
      <c r="N553" s="132"/>
      <c r="O553" s="132"/>
      <c r="P553" s="132"/>
      <c r="Q553" s="147"/>
      <c r="R553" s="356"/>
      <c r="S553" s="360"/>
      <c r="T553" s="307"/>
      <c r="U553" s="135"/>
      <c r="V553" s="100"/>
      <c r="W553"/>
      <c r="X553"/>
      <c r="Y553"/>
      <c r="Z553"/>
      <c r="AA553"/>
      <c r="AB553"/>
      <c r="AC553"/>
      <c r="AD553" s="263"/>
      <c r="AE553"/>
      <c r="AF553" s="100"/>
      <c r="AG553" s="263"/>
      <c r="AH553"/>
      <c r="AI553" s="100"/>
      <c r="AJ553" s="263"/>
      <c r="AK553"/>
      <c r="AL553" s="100"/>
      <c r="AM553" s="263"/>
      <c r="AN553"/>
      <c r="AO553" s="100"/>
      <c r="AP553" s="100"/>
      <c r="AQ553" s="100"/>
      <c r="AR553" s="100"/>
      <c r="AS553" s="100"/>
      <c r="AT553" s="100"/>
      <c r="AU553" s="100"/>
      <c r="AV553" s="100">
        <v>537</v>
      </c>
      <c r="AW553" s="100"/>
      <c r="AY553" s="18"/>
    </row>
    <row r="554" spans="1:51" s="2" customFormat="1" ht="12.75" customHeight="1" thickBot="1" x14ac:dyDescent="0.3">
      <c r="A554" s="132"/>
      <c r="B554" s="133"/>
      <c r="C554" s="133"/>
      <c r="D554" s="132"/>
      <c r="E554" s="382"/>
      <c r="F554" s="132"/>
      <c r="G554" s="132"/>
      <c r="H554" s="132"/>
      <c r="I554" s="132"/>
      <c r="J554" s="134"/>
      <c r="K554" s="132"/>
      <c r="L554" s="18"/>
      <c r="M554" s="132"/>
      <c r="N554" s="132"/>
      <c r="O554" s="132"/>
      <c r="P554" s="132"/>
      <c r="Q554" s="147"/>
      <c r="R554" s="356"/>
      <c r="S554" s="360"/>
      <c r="T554" s="307"/>
      <c r="U554" s="135"/>
      <c r="V554" s="100"/>
      <c r="W554"/>
      <c r="X554"/>
      <c r="Y554"/>
      <c r="Z554"/>
      <c r="AA554"/>
      <c r="AB554"/>
      <c r="AC554"/>
      <c r="AD554" s="263"/>
      <c r="AE554"/>
      <c r="AF554" s="100"/>
      <c r="AG554" s="263"/>
      <c r="AH554"/>
      <c r="AI554" s="100"/>
      <c r="AJ554" s="263"/>
      <c r="AK554"/>
      <c r="AL554" s="100"/>
      <c r="AM554" s="263"/>
      <c r="AN554"/>
      <c r="AO554" s="100"/>
      <c r="AP554" s="100"/>
      <c r="AQ554" s="100"/>
      <c r="AR554" s="100"/>
      <c r="AS554" s="100"/>
      <c r="AT554" s="100"/>
      <c r="AU554" s="100"/>
      <c r="AV554" s="100">
        <v>538</v>
      </c>
      <c r="AW554" s="100"/>
      <c r="AY554" s="18"/>
    </row>
    <row r="555" spans="1:51" s="2" customFormat="1" ht="12.75" customHeight="1" x14ac:dyDescent="0.25">
      <c r="A555" s="132"/>
      <c r="B555" s="133"/>
      <c r="C555" s="181"/>
      <c r="D555" s="182"/>
      <c r="E555" s="155" t="s">
        <v>1403</v>
      </c>
      <c r="F555" s="105"/>
      <c r="G555" s="132"/>
      <c r="H555" s="132"/>
      <c r="I555" s="132"/>
      <c r="J555" s="134"/>
      <c r="K555" s="132"/>
      <c r="L555" s="18"/>
      <c r="M555" s="132"/>
      <c r="N555" s="132"/>
      <c r="O555" s="132"/>
      <c r="P555" s="132"/>
      <c r="Q555" s="147"/>
      <c r="R555" s="356"/>
      <c r="S555" s="360"/>
      <c r="T555" s="307"/>
      <c r="U555" s="135"/>
      <c r="V555" s="100"/>
      <c r="W555"/>
      <c r="X555"/>
      <c r="Y555"/>
      <c r="Z555"/>
      <c r="AA555"/>
      <c r="AB555"/>
      <c r="AC555"/>
      <c r="AD555" s="263"/>
      <c r="AE555"/>
      <c r="AF555" s="100"/>
      <c r="AG555" s="263"/>
      <c r="AH555"/>
      <c r="AI555" s="100"/>
      <c r="AJ555" s="263"/>
      <c r="AK555"/>
      <c r="AL555" s="100"/>
      <c r="AM555" s="263"/>
      <c r="AN555"/>
      <c r="AO555" s="100"/>
      <c r="AP555" s="100"/>
      <c r="AQ555" s="100"/>
      <c r="AR555" s="100"/>
      <c r="AS555" s="100"/>
      <c r="AT555" s="100"/>
      <c r="AU555" s="100"/>
      <c r="AV555" s="100">
        <v>539</v>
      </c>
      <c r="AW555" s="100"/>
      <c r="AY555" s="18"/>
    </row>
    <row r="556" spans="1:51" s="2" customFormat="1" ht="12.75" customHeight="1" x14ac:dyDescent="0.2">
      <c r="A556" s="6" t="s">
        <v>1404</v>
      </c>
      <c r="B556" s="8">
        <v>9789500208352</v>
      </c>
      <c r="C556" s="8">
        <v>589612</v>
      </c>
      <c r="D556" s="25">
        <v>208</v>
      </c>
      <c r="E556" s="22" t="s">
        <v>204</v>
      </c>
      <c r="F556" s="6" t="s">
        <v>205</v>
      </c>
      <c r="G556" s="107">
        <v>42036</v>
      </c>
      <c r="H556" s="108">
        <v>42522</v>
      </c>
      <c r="I556" s="24">
        <v>2020</v>
      </c>
      <c r="J556" s="28" t="s">
        <v>1946</v>
      </c>
      <c r="K556" s="28">
        <v>24.17</v>
      </c>
      <c r="L556" s="112">
        <v>11900</v>
      </c>
      <c r="M556" s="112">
        <f>+L556*0.13</f>
        <v>1547</v>
      </c>
      <c r="N556" s="9">
        <f>+L556/2</f>
        <v>5950</v>
      </c>
      <c r="O556" s="9">
        <f>+N556-M556-K556</f>
        <v>4378.83</v>
      </c>
      <c r="P556" s="9">
        <f>+M556+K556</f>
        <v>1571.17</v>
      </c>
      <c r="Q556" s="139">
        <f>+O556/N556</f>
        <v>0.73593781512605039</v>
      </c>
      <c r="R556" s="335">
        <v>11900</v>
      </c>
      <c r="S556" s="359" t="s">
        <v>1948</v>
      </c>
      <c r="T556" s="305">
        <v>0.73593781512605039</v>
      </c>
      <c r="U556" s="144"/>
      <c r="V556" s="100"/>
      <c r="W556" s="110">
        <f>+L556</f>
        <v>11900</v>
      </c>
      <c r="X556" s="110">
        <f>+K556</f>
        <v>24.17</v>
      </c>
      <c r="Y556" s="110">
        <f>+M556</f>
        <v>1547</v>
      </c>
      <c r="Z556" s="110">
        <f>+W556/2-X556-Y556</f>
        <v>4378.83</v>
      </c>
      <c r="AA556" s="260">
        <f>+Z556/(W556/2)</f>
        <v>0.73593781512605039</v>
      </c>
      <c r="AB556" s="28">
        <f>ROUND($W556/2/$X$1,1)</f>
        <v>3.9</v>
      </c>
      <c r="AC556" s="261">
        <f>+(AB556*$X$1-$X556-$Y556)/(AB556*$X$1)</f>
        <v>0.73434612425710344</v>
      </c>
      <c r="AD556" s="111">
        <f>+IFERROR(ROUND(($X556+$Y556)/(1-$X$2)/$X$1,1),0)</f>
        <v>1.1000000000000001</v>
      </c>
      <c r="AE556" s="262">
        <f>+(AD556*$X$1-$X556-$Y556)/(AD556*$X$1)</f>
        <v>5.813625872973055E-2</v>
      </c>
      <c r="AF556" s="100"/>
      <c r="AG556" s="111">
        <f>+IFERROR(ROUND(($X556+$Y556)/(1-$AG$2)/$X$1,1),0)</f>
        <v>1.7</v>
      </c>
      <c r="AH556" s="262">
        <f>+(AG556*$X$1-$X556-$Y556)/(AG556*$X$1)</f>
        <v>0.39055875564864906</v>
      </c>
      <c r="AI556" s="100"/>
      <c r="AJ556" s="111">
        <f>+IFERROR(ROUND(($X556+$Y556)/(1-$AJ$2)/$X$1,1),0)</f>
        <v>1.6</v>
      </c>
      <c r="AK556" s="262">
        <f>+(AJ556*$X$1-$X556-$Y556)/(AJ556*$X$1)</f>
        <v>0.35246867787668973</v>
      </c>
      <c r="AL556" s="100"/>
      <c r="AM556" s="111">
        <f>+IFERROR(ROUND(($X556+$Y556)/(1-$AM$2)/$X$1,1),0)</f>
        <v>1.5</v>
      </c>
      <c r="AN556" s="262">
        <f>+(AM556*$X$1-$X556-$Y556)/(AM556*$X$1)</f>
        <v>0.30929992306846904</v>
      </c>
      <c r="AO556" s="100"/>
      <c r="AP556" s="24" t="e">
        <f>VLOOKUP(C556,#REF!,6,FALSE)</f>
        <v>#REF!</v>
      </c>
      <c r="AQ556" s="24" t="e">
        <f>VLOOKUP(C556,#REF!,7,FALSE)</f>
        <v>#REF!</v>
      </c>
      <c r="AR556" s="24" t="e">
        <f>VLOOKUP(C556,#REF!,12,FALSE)</f>
        <v>#REF!</v>
      </c>
      <c r="AS556" s="24" t="e">
        <f>VLOOKUP(C556,#REF!,13,FALSE)</f>
        <v>#REF!</v>
      </c>
      <c r="AT556" s="100"/>
      <c r="AU556" s="100"/>
      <c r="AV556" s="100">
        <v>540</v>
      </c>
      <c r="AW556" s="100"/>
      <c r="AY556" s="112">
        <v>11900</v>
      </c>
    </row>
    <row r="557" spans="1:51" s="2" customFormat="1" ht="12.75" customHeight="1" x14ac:dyDescent="0.2">
      <c r="A557" s="6" t="s">
        <v>1405</v>
      </c>
      <c r="B557" s="8">
        <v>9789500208444</v>
      </c>
      <c r="C557" s="8">
        <v>589997</v>
      </c>
      <c r="D557" s="25">
        <v>144</v>
      </c>
      <c r="E557" s="22" t="s">
        <v>206</v>
      </c>
      <c r="F557" s="6" t="s">
        <v>207</v>
      </c>
      <c r="G557" s="107">
        <v>42064</v>
      </c>
      <c r="H557" s="108">
        <v>42036</v>
      </c>
      <c r="I557" s="24">
        <v>3000</v>
      </c>
      <c r="J557" s="28" t="s">
        <v>1946</v>
      </c>
      <c r="K557" s="28">
        <v>10.98</v>
      </c>
      <c r="L557" s="112">
        <v>11900</v>
      </c>
      <c r="M557" s="112">
        <f>+L557*0.13</f>
        <v>1547</v>
      </c>
      <c r="N557" s="9">
        <f>+L557/2</f>
        <v>5950</v>
      </c>
      <c r="O557" s="9">
        <f>+N557-M557-K557</f>
        <v>4392.0200000000004</v>
      </c>
      <c r="P557" s="9">
        <f>+M557+K557</f>
        <v>1557.98</v>
      </c>
      <c r="Q557" s="139">
        <f>+O557/N557</f>
        <v>0.73815462184873959</v>
      </c>
      <c r="R557" s="335">
        <v>11900</v>
      </c>
      <c r="S557" s="359" t="s">
        <v>1948</v>
      </c>
      <c r="T557" s="305">
        <v>0.73815462184873959</v>
      </c>
      <c r="U557" s="144"/>
      <c r="V557" s="100"/>
      <c r="W557" s="110">
        <f>+L557</f>
        <v>11900</v>
      </c>
      <c r="X557" s="110">
        <f>+K557</f>
        <v>10.98</v>
      </c>
      <c r="Y557" s="110">
        <f>+M557</f>
        <v>1547</v>
      </c>
      <c r="Z557" s="110">
        <f>+W557/2-X557-Y557</f>
        <v>4392.0200000000004</v>
      </c>
      <c r="AA557" s="260">
        <f>+Z557/(W557/2)</f>
        <v>0.73815462184873959</v>
      </c>
      <c r="AB557" s="28">
        <f>ROUND($W557/2/$X$1,1)</f>
        <v>3.9</v>
      </c>
      <c r="AC557" s="261">
        <f>+(AB557*$X$1-$X557-$Y557)/(AB557*$X$1)</f>
        <v>0.73657629325285112</v>
      </c>
      <c r="AD557" s="111">
        <f>+IFERROR(ROUND(($X557+$Y557)/(1-$X$2)/$X$1,1),0)</f>
        <v>1.1000000000000001</v>
      </c>
      <c r="AE557" s="262">
        <f>+(AD557*$X$1-$X557-$Y557)/(AD557*$X$1)</f>
        <v>6.6043221532835816E-2</v>
      </c>
      <c r="AF557" s="100"/>
      <c r="AG557" s="111">
        <f>+IFERROR(ROUND(($X557+$Y557)/(1-$AG$2)/$X$1,1),0)</f>
        <v>1.7</v>
      </c>
      <c r="AH557" s="262">
        <f>+(AG557*$X$1-$X557-$Y557)/(AG557*$X$1)</f>
        <v>0.39567502569771718</v>
      </c>
      <c r="AI557" s="100"/>
      <c r="AJ557" s="111">
        <f>+IFERROR(ROUND(($X557+$Y557)/(1-$AJ$2)/$X$1,1),0)</f>
        <v>1.6</v>
      </c>
      <c r="AK557" s="262">
        <f>+(AJ557*$X$1-$X557-$Y557)/(AJ557*$X$1)</f>
        <v>0.35790471480382463</v>
      </c>
      <c r="AL557" s="100"/>
      <c r="AM557" s="111">
        <f>+IFERROR(ROUND(($X557+$Y557)/(1-$AM$2)/$X$1,1),0)</f>
        <v>1.5</v>
      </c>
      <c r="AN557" s="262">
        <f>+(AM557*$X$1-$X557-$Y557)/(AM557*$X$1)</f>
        <v>0.31509836245741291</v>
      </c>
      <c r="AO557" s="100"/>
      <c r="AP557" s="24" t="e">
        <f>VLOOKUP(C557,#REF!,6,FALSE)</f>
        <v>#REF!</v>
      </c>
      <c r="AQ557" s="24" t="e">
        <f>VLOOKUP(C557,#REF!,7,FALSE)</f>
        <v>#REF!</v>
      </c>
      <c r="AR557" s="24" t="e">
        <f>VLOOKUP(C557,#REF!,12,FALSE)</f>
        <v>#REF!</v>
      </c>
      <c r="AS557" s="24" t="e">
        <f>VLOOKUP(C557,#REF!,13,FALSE)</f>
        <v>#REF!</v>
      </c>
      <c r="AT557" s="100"/>
      <c r="AU557" s="100"/>
      <c r="AV557" s="100">
        <v>541</v>
      </c>
      <c r="AW557" s="100"/>
      <c r="AY557" s="112">
        <v>11900</v>
      </c>
    </row>
    <row r="558" spans="1:51" s="132" customFormat="1" ht="12.75" customHeight="1" x14ac:dyDescent="0.2">
      <c r="A558" s="6" t="s">
        <v>1406</v>
      </c>
      <c r="B558" s="8">
        <v>9789500298612</v>
      </c>
      <c r="C558" s="8">
        <v>598207</v>
      </c>
      <c r="D558" s="7">
        <v>160</v>
      </c>
      <c r="E558" s="7" t="s">
        <v>206</v>
      </c>
      <c r="F558" s="6" t="s">
        <v>208</v>
      </c>
      <c r="G558" s="107">
        <v>42309</v>
      </c>
      <c r="H558" s="108">
        <v>42278</v>
      </c>
      <c r="I558" s="24">
        <v>3040</v>
      </c>
      <c r="J558" s="28" t="s">
        <v>1946</v>
      </c>
      <c r="K558" s="28">
        <v>14.93</v>
      </c>
      <c r="L558" s="112">
        <v>11900</v>
      </c>
      <c r="M558" s="112">
        <f>+L558*0.13</f>
        <v>1547</v>
      </c>
      <c r="N558" s="9">
        <f>+L558/2</f>
        <v>5950</v>
      </c>
      <c r="O558" s="9">
        <f>+N558-M558-K558</f>
        <v>4388.07</v>
      </c>
      <c r="P558" s="9">
        <f>+M558+K558</f>
        <v>1561.93</v>
      </c>
      <c r="Q558" s="139">
        <f>+O558/N558</f>
        <v>0.73749075630252092</v>
      </c>
      <c r="R558" s="335">
        <v>11900</v>
      </c>
      <c r="S558" s="359" t="s">
        <v>1948</v>
      </c>
      <c r="T558" s="305">
        <v>0.73749075630252092</v>
      </c>
      <c r="U558" s="144"/>
      <c r="V558" s="100"/>
      <c r="W558" s="110">
        <f>+L558</f>
        <v>11900</v>
      </c>
      <c r="X558" s="110">
        <f>+K558</f>
        <v>14.93</v>
      </c>
      <c r="Y558" s="110">
        <f>+M558</f>
        <v>1547</v>
      </c>
      <c r="Z558" s="110">
        <f>+W558/2-X558-Y558</f>
        <v>4388.07</v>
      </c>
      <c r="AA558" s="260">
        <f>+Z558/(W558/2)</f>
        <v>0.73749075630252092</v>
      </c>
      <c r="AB558" s="28">
        <f>ROUND($W558/2/$X$1,1)</f>
        <v>3.9</v>
      </c>
      <c r="AC558" s="261">
        <f>+(AB558*$X$1-$X558-$Y558)/(AB558*$X$1)</f>
        <v>0.73590842611614116</v>
      </c>
      <c r="AD558" s="111">
        <f>+IFERROR(ROUND(($X558+$Y558)/(1-$X$2)/$X$1,1),0)</f>
        <v>1.1000000000000001</v>
      </c>
      <c r="AE558" s="262">
        <f>+(AD558*$X$1-$X558-$Y558)/(AD558*$X$1)</f>
        <v>6.3675328957228078E-2</v>
      </c>
      <c r="AF558" s="100"/>
      <c r="AG558" s="111">
        <f>+IFERROR(ROUND(($X558+$Y558)/(1-$AG$2)/$X$1,1),0)</f>
        <v>1.7</v>
      </c>
      <c r="AH558" s="262">
        <f>+(AG558*$X$1-$X558-$Y558)/(AG558*$X$1)</f>
        <v>0.39414285991350051</v>
      </c>
      <c r="AI558" s="100"/>
      <c r="AJ558" s="111">
        <f>+IFERROR(ROUND(($X558+$Y558)/(1-$AJ$2)/$X$1,1),0)</f>
        <v>1.6</v>
      </c>
      <c r="AK558" s="262">
        <f>+(AJ558*$X$1-$X558-$Y558)/(AJ558*$X$1)</f>
        <v>0.35627678865809437</v>
      </c>
      <c r="AL558" s="100"/>
      <c r="AM558" s="111">
        <f>+IFERROR(ROUND(($X558+$Y558)/(1-$AM$2)/$X$1,1),0)</f>
        <v>1.5</v>
      </c>
      <c r="AN558" s="262">
        <f>+(AM558*$X$1-$X558-$Y558)/(AM558*$X$1)</f>
        <v>0.31336190790196733</v>
      </c>
      <c r="AO558" s="100"/>
      <c r="AP558" s="24" t="e">
        <f>VLOOKUP(C558,#REF!,6,FALSE)</f>
        <v>#REF!</v>
      </c>
      <c r="AQ558" s="24" t="e">
        <f>VLOOKUP(C558,#REF!,7,FALSE)</f>
        <v>#REF!</v>
      </c>
      <c r="AR558" s="24" t="e">
        <f>VLOOKUP(C558,#REF!,12,FALSE)</f>
        <v>#REF!</v>
      </c>
      <c r="AS558" s="24" t="e">
        <f>VLOOKUP(C558,#REF!,13,FALSE)</f>
        <v>#REF!</v>
      </c>
      <c r="AT558" s="100"/>
      <c r="AU558" s="100"/>
      <c r="AV558" s="100">
        <v>542</v>
      </c>
      <c r="AW558" s="100"/>
      <c r="AY558" s="112">
        <v>11900</v>
      </c>
    </row>
    <row r="559" spans="1:51" s="132" customFormat="1" ht="12.75" customHeight="1" x14ac:dyDescent="0.2">
      <c r="A559" s="6" t="s">
        <v>1407</v>
      </c>
      <c r="B559" s="8">
        <v>9789500298650</v>
      </c>
      <c r="C559" s="8">
        <v>609576</v>
      </c>
      <c r="D559" s="7">
        <v>128</v>
      </c>
      <c r="E559" s="31" t="s">
        <v>1408</v>
      </c>
      <c r="F559" s="32" t="s">
        <v>209</v>
      </c>
      <c r="G559" s="107">
        <v>42430</v>
      </c>
      <c r="H559" s="108">
        <v>42401</v>
      </c>
      <c r="I559" s="24">
        <v>3030</v>
      </c>
      <c r="J559" s="28" t="s">
        <v>1946</v>
      </c>
      <c r="K559" s="28">
        <v>15.44</v>
      </c>
      <c r="L559" s="112">
        <v>11900</v>
      </c>
      <c r="M559" s="112">
        <f>+L559*0.13</f>
        <v>1547</v>
      </c>
      <c r="N559" s="9">
        <f>+L559/2</f>
        <v>5950</v>
      </c>
      <c r="O559" s="9">
        <f>+N559-M559-K559</f>
        <v>4387.5600000000004</v>
      </c>
      <c r="P559" s="9">
        <f>+M559+K559</f>
        <v>1562.44</v>
      </c>
      <c r="Q559" s="139">
        <f>+O559/N559</f>
        <v>0.73740504201680679</v>
      </c>
      <c r="R559" s="335">
        <v>11900</v>
      </c>
      <c r="S559" s="359" t="s">
        <v>1948</v>
      </c>
      <c r="T559" s="305">
        <v>0.73740504201680679</v>
      </c>
      <c r="U559" s="144"/>
      <c r="V559" s="100"/>
      <c r="W559" s="110">
        <f>+L559</f>
        <v>11900</v>
      </c>
      <c r="X559" s="110">
        <f>+K559</f>
        <v>15.44</v>
      </c>
      <c r="Y559" s="110">
        <f>+M559</f>
        <v>1547</v>
      </c>
      <c r="Z559" s="110">
        <f>+W559/2-X559-Y559</f>
        <v>4387.5600000000004</v>
      </c>
      <c r="AA559" s="260">
        <f>+Z559/(W559/2)</f>
        <v>0.73740504201680679</v>
      </c>
      <c r="AB559" s="28">
        <f>ROUND($W559/2/$X$1,1)</f>
        <v>3.9</v>
      </c>
      <c r="AC559" s="261">
        <f>+(AB559*$X$1-$X559-$Y559)/(AB559*$X$1)</f>
        <v>0.73582219516937619</v>
      </c>
      <c r="AD559" s="111">
        <f>+IFERROR(ROUND(($X559+$Y559)/(1-$X$2)/$X$1,1),0)</f>
        <v>1.1000000000000001</v>
      </c>
      <c r="AE559" s="262">
        <f>+(AD559*$X$1-$X559-$Y559)/(AD559*$X$1)</f>
        <v>6.3369601055061009E-2</v>
      </c>
      <c r="AF559" s="100"/>
      <c r="AG559" s="111">
        <f>+IFERROR(ROUND(($X559+$Y559)/(1-$AG$2)/$X$1,1),0)</f>
        <v>1.7</v>
      </c>
      <c r="AH559" s="262">
        <f>+(AG559*$X$1-$X559-$Y559)/(AG559*$X$1)</f>
        <v>0.39394503597680408</v>
      </c>
      <c r="AI559" s="100"/>
      <c r="AJ559" s="111">
        <f>+IFERROR(ROUND(($X559+$Y559)/(1-$AJ$2)/$X$1,1),0)</f>
        <v>1.6</v>
      </c>
      <c r="AK559" s="262">
        <f>+(AJ559*$X$1-$X559-$Y559)/(AJ559*$X$1)</f>
        <v>0.35606660072535445</v>
      </c>
      <c r="AL559" s="100"/>
      <c r="AM559" s="111">
        <f>+IFERROR(ROUND(($X559+$Y559)/(1-$AM$2)/$X$1,1),0)</f>
        <v>1.5</v>
      </c>
      <c r="AN559" s="262">
        <f>+(AM559*$X$1-$X559-$Y559)/(AM559*$X$1)</f>
        <v>0.31313770744037805</v>
      </c>
      <c r="AO559" s="100"/>
      <c r="AP559" s="24" t="e">
        <f>VLOOKUP(C559,#REF!,6,FALSE)</f>
        <v>#REF!</v>
      </c>
      <c r="AQ559" s="24" t="e">
        <f>VLOOKUP(C559,#REF!,7,FALSE)</f>
        <v>#REF!</v>
      </c>
      <c r="AR559" s="24" t="e">
        <f>VLOOKUP(C559,#REF!,12,FALSE)</f>
        <v>#REF!</v>
      </c>
      <c r="AS559" s="24" t="e">
        <f>VLOOKUP(C559,#REF!,13,FALSE)</f>
        <v>#REF!</v>
      </c>
      <c r="AT559" s="100"/>
      <c r="AU559" s="100"/>
      <c r="AV559" s="100">
        <v>543</v>
      </c>
      <c r="AW559" s="100"/>
      <c r="AY559" s="112">
        <v>11900</v>
      </c>
    </row>
    <row r="560" spans="1:51" s="132" customFormat="1" ht="12.75" customHeight="1" x14ac:dyDescent="0.2">
      <c r="A560" s="6" t="s">
        <v>1409</v>
      </c>
      <c r="B560" s="8">
        <v>9789500299046</v>
      </c>
      <c r="C560" s="21">
        <v>617594</v>
      </c>
      <c r="D560" s="7">
        <v>128</v>
      </c>
      <c r="E560" s="11" t="s">
        <v>210</v>
      </c>
      <c r="F560" s="11" t="s">
        <v>211</v>
      </c>
      <c r="G560" s="107">
        <v>42583</v>
      </c>
      <c r="H560" s="108">
        <v>42552</v>
      </c>
      <c r="I560" s="24">
        <v>3049</v>
      </c>
      <c r="J560" s="28" t="s">
        <v>1946</v>
      </c>
      <c r="K560" s="28">
        <v>16.86</v>
      </c>
      <c r="L560" s="112">
        <v>11900</v>
      </c>
      <c r="M560" s="112">
        <f>+L560*0.13</f>
        <v>1547</v>
      </c>
      <c r="N560" s="9">
        <f>+L560/2</f>
        <v>5950</v>
      </c>
      <c r="O560" s="9">
        <f>+N560-M560-K560</f>
        <v>4386.1400000000003</v>
      </c>
      <c r="P560" s="9">
        <f>+M560+K560</f>
        <v>1563.86</v>
      </c>
      <c r="Q560" s="139">
        <f>+O560/N560</f>
        <v>0.73716638655462186</v>
      </c>
      <c r="R560" s="335">
        <v>11900</v>
      </c>
      <c r="S560" s="359" t="s">
        <v>1948</v>
      </c>
      <c r="T560" s="305">
        <v>0.73716638655462186</v>
      </c>
      <c r="U560" s="144"/>
      <c r="V560" s="100"/>
      <c r="W560" s="110">
        <f>+L560</f>
        <v>11900</v>
      </c>
      <c r="X560" s="110">
        <f>+K560</f>
        <v>16.86</v>
      </c>
      <c r="Y560" s="110">
        <f>+M560</f>
        <v>1547</v>
      </c>
      <c r="Z560" s="110">
        <f>+W560/2-X560-Y560</f>
        <v>4386.1400000000003</v>
      </c>
      <c r="AA560" s="260">
        <f>+Z560/(W560/2)</f>
        <v>0.73716638655462186</v>
      </c>
      <c r="AB560" s="28">
        <f>ROUND($W560/2/$X$1,1)</f>
        <v>3.9</v>
      </c>
      <c r="AC560" s="261">
        <f>+(AB560*$X$1-$X560-$Y560)/(AB560*$X$1)</f>
        <v>0.73558210116073619</v>
      </c>
      <c r="AD560" s="111">
        <f>+IFERROR(ROUND(($X560+$Y560)/(1-$X$2)/$X$1,1),0)</f>
        <v>1.1000000000000001</v>
      </c>
      <c r="AE560" s="262">
        <f>+(AD560*$X$1-$X560-$Y560)/(AD560*$X$1)</f>
        <v>6.2518358660792001E-2</v>
      </c>
      <c r="AF560" s="100"/>
      <c r="AG560" s="111">
        <f>+IFERROR(ROUND(($X560+$Y560)/(1-$AG$2)/$X$1,1),0)</f>
        <v>1.7</v>
      </c>
      <c r="AH560" s="262">
        <f>+(AG560*$X$1-$X560-$Y560)/(AG560*$X$1)</f>
        <v>0.39339423207462992</v>
      </c>
      <c r="AI560" s="100"/>
      <c r="AJ560" s="111">
        <f>+IFERROR(ROUND(($X560+$Y560)/(1-$AJ$2)/$X$1,1),0)</f>
        <v>1.6</v>
      </c>
      <c r="AK560" s="262">
        <f>+(AJ560*$X$1-$X560-$Y560)/(AJ560*$X$1)</f>
        <v>0.35548137157929438</v>
      </c>
      <c r="AL560" s="100"/>
      <c r="AM560" s="111">
        <f>+IFERROR(ROUND(($X560+$Y560)/(1-$AM$2)/$X$1,1),0)</f>
        <v>1.5</v>
      </c>
      <c r="AN560" s="262">
        <f>+(AM560*$X$1-$X560-$Y560)/(AM560*$X$1)</f>
        <v>0.31251346301791399</v>
      </c>
      <c r="AO560" s="100"/>
      <c r="AP560" s="24" t="e">
        <f>VLOOKUP(C560,#REF!,6,FALSE)</f>
        <v>#REF!</v>
      </c>
      <c r="AQ560" s="24" t="e">
        <f>VLOOKUP(C560,#REF!,7,FALSE)</f>
        <v>#REF!</v>
      </c>
      <c r="AR560" s="24" t="e">
        <f>VLOOKUP(C560,#REF!,12,FALSE)</f>
        <v>#REF!</v>
      </c>
      <c r="AS560" s="24" t="e">
        <f>VLOOKUP(C560,#REF!,13,FALSE)</f>
        <v>#REF!</v>
      </c>
      <c r="AT560" s="100"/>
      <c r="AU560" s="100"/>
      <c r="AV560" s="100">
        <v>544</v>
      </c>
      <c r="AW560" s="100"/>
      <c r="AY560" s="112">
        <v>11900</v>
      </c>
    </row>
    <row r="561" spans="1:51" s="2" customFormat="1" ht="12.75" customHeight="1" x14ac:dyDescent="0.25">
      <c r="B561" s="3"/>
      <c r="C561" s="3"/>
      <c r="D561" s="17"/>
      <c r="H561" s="132"/>
      <c r="I561" s="132"/>
      <c r="J561" s="134"/>
      <c r="K561" s="132"/>
      <c r="L561" s="134"/>
      <c r="M561" s="132"/>
      <c r="N561" s="132"/>
      <c r="O561" s="132"/>
      <c r="P561" s="132"/>
      <c r="Q561" s="147"/>
      <c r="R561" s="356"/>
      <c r="S561" s="360"/>
      <c r="T561" s="307"/>
      <c r="U561" s="135"/>
      <c r="V561" s="100"/>
      <c r="W561"/>
      <c r="X561"/>
      <c r="Y561"/>
      <c r="Z561"/>
      <c r="AA561"/>
      <c r="AB561"/>
      <c r="AC561"/>
      <c r="AD561" s="263"/>
      <c r="AE561"/>
      <c r="AF561" s="100"/>
      <c r="AG561" s="263"/>
      <c r="AH561"/>
      <c r="AI561" s="100"/>
      <c r="AJ561" s="263"/>
      <c r="AK561"/>
      <c r="AL561" s="100"/>
      <c r="AM561" s="263"/>
      <c r="AN561"/>
      <c r="AO561" s="100"/>
      <c r="AP561" s="100"/>
      <c r="AQ561" s="100"/>
      <c r="AR561" s="100"/>
      <c r="AS561" s="100"/>
      <c r="AT561" s="100"/>
      <c r="AU561" s="100"/>
      <c r="AV561" s="100">
        <v>545</v>
      </c>
      <c r="AW561" s="100"/>
      <c r="AY561" s="134"/>
    </row>
    <row r="562" spans="1:51" s="2" customFormat="1" ht="12.75" customHeight="1" x14ac:dyDescent="0.25">
      <c r="A562" s="160" t="s">
        <v>663</v>
      </c>
      <c r="B562" s="168"/>
      <c r="C562" s="168"/>
      <c r="D562" s="179"/>
      <c r="E562" s="162"/>
      <c r="F562" s="162"/>
      <c r="G562" s="162"/>
      <c r="H562" s="132"/>
      <c r="I562" s="132"/>
      <c r="J562" s="134"/>
      <c r="K562" s="132"/>
      <c r="L562" s="134"/>
      <c r="M562" s="132"/>
      <c r="N562" s="132"/>
      <c r="O562" s="132"/>
      <c r="P562" s="132"/>
      <c r="Q562" s="147"/>
      <c r="R562" s="356"/>
      <c r="S562" s="360"/>
      <c r="T562" s="307"/>
      <c r="U562" s="135"/>
      <c r="V562" s="100"/>
      <c r="W562"/>
      <c r="X562"/>
      <c r="Y562"/>
      <c r="Z562"/>
      <c r="AA562"/>
      <c r="AB562"/>
      <c r="AC562"/>
      <c r="AD562" s="263"/>
      <c r="AE562"/>
      <c r="AF562" s="100"/>
      <c r="AG562" s="263"/>
      <c r="AH562"/>
      <c r="AI562" s="100"/>
      <c r="AJ562" s="263"/>
      <c r="AK562"/>
      <c r="AL562" s="100"/>
      <c r="AM562" s="263"/>
      <c r="AN562"/>
      <c r="AO562" s="100"/>
      <c r="AP562" s="100"/>
      <c r="AQ562" s="100"/>
      <c r="AR562" s="100"/>
      <c r="AS562" s="100"/>
      <c r="AT562" s="100"/>
      <c r="AU562" s="100"/>
      <c r="AV562" s="100">
        <v>546</v>
      </c>
      <c r="AW562" s="100"/>
      <c r="AY562" s="134"/>
    </row>
    <row r="563" spans="1:51" s="2" customFormat="1" ht="12.75" customHeight="1" x14ac:dyDescent="0.2">
      <c r="A563" s="6" t="s">
        <v>2309</v>
      </c>
      <c r="B563" s="153">
        <v>9789500217637</v>
      </c>
      <c r="C563" s="6">
        <v>744132</v>
      </c>
      <c r="D563" s="41">
        <v>176</v>
      </c>
      <c r="E563" s="6" t="s">
        <v>2310</v>
      </c>
      <c r="F563" s="7" t="s">
        <v>2311</v>
      </c>
      <c r="G563" s="107">
        <v>46143</v>
      </c>
      <c r="H563" s="108">
        <v>46113</v>
      </c>
      <c r="I563" s="267">
        <v>4087</v>
      </c>
      <c r="J563" s="7" t="s">
        <v>2329</v>
      </c>
      <c r="K563" s="148">
        <v>3375.97</v>
      </c>
      <c r="L563" s="9">
        <v>31900</v>
      </c>
      <c r="M563" s="112">
        <f>+L563*0.08</f>
        <v>2552</v>
      </c>
      <c r="N563" s="9">
        <f t="shared" ref="N563:N569" si="463">+L563/2</f>
        <v>15950</v>
      </c>
      <c r="O563" s="9">
        <f t="shared" ref="O563:O569" si="464">+N563-M563-K563</f>
        <v>10022.030000000001</v>
      </c>
      <c r="P563" s="9">
        <f t="shared" ref="P563:P569" si="465">+M563+K563</f>
        <v>5927.9699999999993</v>
      </c>
      <c r="Q563" s="139">
        <f t="shared" ref="Q563:Q569" si="466">+O563/N563</f>
        <v>0.62834043887147339</v>
      </c>
      <c r="R563" s="335">
        <v>31900</v>
      </c>
      <c r="S563" s="359" t="s">
        <v>1948</v>
      </c>
      <c r="T563" s="305">
        <v>0.62834043887147339</v>
      </c>
      <c r="U563" s="144"/>
      <c r="V563" s="100"/>
      <c r="W563" s="110">
        <f t="shared" ref="W563:W569" si="467">+L563</f>
        <v>31900</v>
      </c>
      <c r="X563" s="110">
        <f t="shared" ref="X563:X569" si="468">+K563</f>
        <v>3375.97</v>
      </c>
      <c r="Y563" s="110">
        <f t="shared" ref="Y563:Y569" si="469">+M563</f>
        <v>2552</v>
      </c>
      <c r="Z563" s="110">
        <f t="shared" ref="Z563:Z569" si="470">+W563/2-X563-Y563</f>
        <v>10022.030000000001</v>
      </c>
      <c r="AA563" s="260">
        <f t="shared" ref="AA563:AA569" si="471">+Z563/(W563/2)</f>
        <v>0.62834043887147339</v>
      </c>
      <c r="AB563" s="28">
        <f t="shared" ref="AB563:AB569" si="472">ROUND($W563/2/$X$1,1)</f>
        <v>10.5</v>
      </c>
      <c r="AC563" s="261">
        <f t="shared" ref="AC563:AC569" si="473">+(AB563*$X$1-$X563-$Y563)/(AB563*$X$1)</f>
        <v>0.6277160755499035</v>
      </c>
      <c r="AD563" s="111">
        <f t="shared" ref="AD563:AD569" si="474">+IFERROR(ROUND(($X563+$Y563)/(1-$X$2)/$X$1,1),0)</f>
        <v>4.0999999999999996</v>
      </c>
      <c r="AE563" s="262">
        <f t="shared" ref="AE563:AE569" si="475">+(AD563*$X$1-$X563-$Y563)/(AD563*$X$1)</f>
        <v>4.6589949579020989E-2</v>
      </c>
      <c r="AF563" s="100"/>
      <c r="AG563" s="111">
        <f t="shared" ref="AG563:AG569" si="476">+IFERROR(ROUND(($X563+$Y563)/(1-$AG$2)/$X$1,1),0)</f>
        <v>6.5</v>
      </c>
      <c r="AH563" s="262">
        <f t="shared" ref="AH563:AH569" si="477">+(AG563*$X$1-$X563-$Y563)/(AG563*$X$1)</f>
        <v>0.39861827588830562</v>
      </c>
      <c r="AI563" s="100"/>
      <c r="AJ563" s="111">
        <f t="shared" ref="AJ563:AJ569" si="478">+IFERROR(ROUND(($X563+$Y563)/(1-$AJ$2)/$X$1,1),0)</f>
        <v>6</v>
      </c>
      <c r="AK563" s="262">
        <f t="shared" ref="AK563:AK569" si="479">+(AJ563*$X$1-$X563-$Y563)/(AJ563*$X$1)</f>
        <v>0.34850313221233109</v>
      </c>
      <c r="AL563" s="100"/>
      <c r="AM563" s="111">
        <f t="shared" ref="AM563:AM569" si="480">+IFERROR(ROUND(($X563+$Y563)/(1-$AM$2)/$X$1,1),0)</f>
        <v>5.6</v>
      </c>
      <c r="AN563" s="262">
        <f t="shared" ref="AN563:AN569" si="481">+(AM563*$X$1-$X563-$Y563)/(AM563*$X$1)</f>
        <v>0.30196764165606899</v>
      </c>
      <c r="AO563" s="100"/>
      <c r="AP563" s="24" t="e">
        <f>VLOOKUP(C563,#REF!,6,FALSE)</f>
        <v>#REF!</v>
      </c>
      <c r="AQ563" s="24" t="e">
        <f>VLOOKUP(C563,#REF!,7,FALSE)</f>
        <v>#REF!</v>
      </c>
      <c r="AR563" s="24" t="e">
        <f>VLOOKUP(C563,#REF!,12,FALSE)</f>
        <v>#REF!</v>
      </c>
      <c r="AS563" s="24" t="e">
        <f>VLOOKUP(C563,#REF!,13,FALSE)</f>
        <v>#REF!</v>
      </c>
      <c r="AT563" s="100"/>
      <c r="AU563" s="100"/>
      <c r="AV563" s="100">
        <v>547</v>
      </c>
      <c r="AW563" s="100"/>
      <c r="AY563" s="9">
        <v>31900</v>
      </c>
    </row>
    <row r="564" spans="1:51" s="2" customFormat="1" ht="12.75" customHeight="1" x14ac:dyDescent="0.2">
      <c r="A564" s="7" t="s">
        <v>1410</v>
      </c>
      <c r="B564" s="8">
        <v>9789500212793</v>
      </c>
      <c r="C564" s="8">
        <v>695681</v>
      </c>
      <c r="D564" s="25">
        <v>192</v>
      </c>
      <c r="E564" s="9" t="s">
        <v>698</v>
      </c>
      <c r="F564" s="7" t="s">
        <v>699</v>
      </c>
      <c r="G564" s="107">
        <v>44743</v>
      </c>
      <c r="H564" s="108">
        <v>44713</v>
      </c>
      <c r="I564" s="7">
        <v>4080</v>
      </c>
      <c r="J564" s="28" t="s">
        <v>1894</v>
      </c>
      <c r="K564" s="9">
        <v>673.89</v>
      </c>
      <c r="L564" s="112">
        <v>32800</v>
      </c>
      <c r="M564" s="112">
        <f>+L564*0.08</f>
        <v>2624</v>
      </c>
      <c r="N564" s="9">
        <f t="shared" si="463"/>
        <v>16400</v>
      </c>
      <c r="O564" s="9">
        <f t="shared" si="464"/>
        <v>13102.11</v>
      </c>
      <c r="P564" s="9">
        <f t="shared" si="465"/>
        <v>3297.89</v>
      </c>
      <c r="Q564" s="139">
        <f t="shared" si="466"/>
        <v>0.79890914634146348</v>
      </c>
      <c r="R564" s="335">
        <v>32800</v>
      </c>
      <c r="S564" s="359" t="s">
        <v>1948</v>
      </c>
      <c r="T564" s="305">
        <v>0.79890914634146348</v>
      </c>
      <c r="U564" s="144"/>
      <c r="V564" s="100"/>
      <c r="W564" s="110">
        <f t="shared" si="467"/>
        <v>32800</v>
      </c>
      <c r="X564" s="110">
        <f t="shared" si="468"/>
        <v>673.89</v>
      </c>
      <c r="Y564" s="110">
        <f t="shared" si="469"/>
        <v>2624</v>
      </c>
      <c r="Z564" s="110">
        <f t="shared" si="470"/>
        <v>13102.11</v>
      </c>
      <c r="AA564" s="260">
        <f t="shared" si="471"/>
        <v>0.79890914634146348</v>
      </c>
      <c r="AB564" s="28">
        <f t="shared" si="472"/>
        <v>10.8</v>
      </c>
      <c r="AC564" s="261">
        <f t="shared" si="473"/>
        <v>0.79864148685447733</v>
      </c>
      <c r="AD564" s="111">
        <f t="shared" si="474"/>
        <v>2.2999999999999998</v>
      </c>
      <c r="AE564" s="262">
        <f t="shared" si="475"/>
        <v>5.4490460012328143E-2</v>
      </c>
      <c r="AF564" s="100"/>
      <c r="AG564" s="111">
        <f t="shared" si="476"/>
        <v>3.6</v>
      </c>
      <c r="AH564" s="262">
        <f t="shared" si="477"/>
        <v>0.39592446056343189</v>
      </c>
      <c r="AI564" s="100"/>
      <c r="AJ564" s="111">
        <f t="shared" si="478"/>
        <v>3.3</v>
      </c>
      <c r="AK564" s="262">
        <f t="shared" si="479"/>
        <v>0.3410085024328347</v>
      </c>
      <c r="AL564" s="100"/>
      <c r="AM564" s="111">
        <f t="shared" si="480"/>
        <v>3.1</v>
      </c>
      <c r="AN564" s="262">
        <f t="shared" si="481"/>
        <v>0.29849292194463067</v>
      </c>
      <c r="AO564" s="100"/>
      <c r="AP564" s="24" t="e">
        <f>VLOOKUP(C564,#REF!,6,FALSE)</f>
        <v>#REF!</v>
      </c>
      <c r="AQ564" s="24" t="e">
        <f>VLOOKUP(C564,#REF!,7,FALSE)</f>
        <v>#REF!</v>
      </c>
      <c r="AR564" s="24" t="e">
        <f>VLOOKUP(C564,#REF!,12,FALSE)</f>
        <v>#REF!</v>
      </c>
      <c r="AS564" s="24" t="e">
        <f>VLOOKUP(C564,#REF!,13,FALSE)</f>
        <v>#REF!</v>
      </c>
      <c r="AT564" s="100"/>
      <c r="AU564" s="100"/>
      <c r="AV564" s="100">
        <v>548</v>
      </c>
      <c r="AW564" s="100"/>
      <c r="AY564" s="112">
        <v>32800</v>
      </c>
    </row>
    <row r="565" spans="1:51" s="2" customFormat="1" ht="12.75" customHeight="1" x14ac:dyDescent="0.2">
      <c r="A565" s="7" t="s">
        <v>1411</v>
      </c>
      <c r="B565" s="8">
        <v>9789500205641</v>
      </c>
      <c r="C565" s="8">
        <v>535949</v>
      </c>
      <c r="D565" s="25">
        <v>144</v>
      </c>
      <c r="E565" s="7" t="s">
        <v>197</v>
      </c>
      <c r="F565" s="7" t="s">
        <v>198</v>
      </c>
      <c r="G565" s="107">
        <v>40756</v>
      </c>
      <c r="H565" s="108">
        <v>40725</v>
      </c>
      <c r="I565" s="24">
        <v>3027</v>
      </c>
      <c r="J565" s="28" t="s">
        <v>1894</v>
      </c>
      <c r="K565" s="28">
        <v>21.62</v>
      </c>
      <c r="L565" s="112">
        <v>16000</v>
      </c>
      <c r="M565" s="112"/>
      <c r="N565" s="9">
        <f t="shared" si="463"/>
        <v>8000</v>
      </c>
      <c r="O565" s="9">
        <f t="shared" si="464"/>
        <v>7978.38</v>
      </c>
      <c r="P565" s="9">
        <f t="shared" si="465"/>
        <v>21.62</v>
      </c>
      <c r="Q565" s="139">
        <f t="shared" si="466"/>
        <v>0.99729750000000006</v>
      </c>
      <c r="R565" s="335">
        <v>16000</v>
      </c>
      <c r="S565" s="359" t="s">
        <v>1948</v>
      </c>
      <c r="T565" s="305">
        <v>0.99729750000000006</v>
      </c>
      <c r="U565" s="144"/>
      <c r="V565" s="100"/>
      <c r="W565" s="110">
        <f t="shared" si="467"/>
        <v>16000</v>
      </c>
      <c r="X565" s="110">
        <f t="shared" si="468"/>
        <v>21.62</v>
      </c>
      <c r="Y565" s="110">
        <f t="shared" si="469"/>
        <v>0</v>
      </c>
      <c r="Z565" s="110">
        <f t="shared" si="470"/>
        <v>7978.38</v>
      </c>
      <c r="AA565" s="260">
        <f t="shared" si="471"/>
        <v>0.99729750000000006</v>
      </c>
      <c r="AB565" s="28">
        <f t="shared" si="472"/>
        <v>5.3</v>
      </c>
      <c r="AC565" s="261">
        <f t="shared" si="473"/>
        <v>0.9973100921312108</v>
      </c>
      <c r="AD565" s="111">
        <f t="shared" si="474"/>
        <v>0</v>
      </c>
      <c r="AE565" s="262" t="e">
        <f t="shared" si="475"/>
        <v>#DIV/0!</v>
      </c>
      <c r="AF565" s="100"/>
      <c r="AG565" s="111">
        <f t="shared" si="476"/>
        <v>0</v>
      </c>
      <c r="AH565" s="262" t="e">
        <f t="shared" si="477"/>
        <v>#DIV/0!</v>
      </c>
      <c r="AI565" s="100"/>
      <c r="AJ565" s="111">
        <f t="shared" si="478"/>
        <v>0</v>
      </c>
      <c r="AK565" s="262" t="e">
        <f t="shared" si="479"/>
        <v>#DIV/0!</v>
      </c>
      <c r="AL565" s="100"/>
      <c r="AM565" s="111">
        <f t="shared" si="480"/>
        <v>0</v>
      </c>
      <c r="AN565" s="262" t="e">
        <f t="shared" si="481"/>
        <v>#DIV/0!</v>
      </c>
      <c r="AO565" s="100"/>
      <c r="AP565" s="24" t="e">
        <f>VLOOKUP(C565,#REF!,6,FALSE)</f>
        <v>#REF!</v>
      </c>
      <c r="AQ565" s="24" t="e">
        <f>VLOOKUP(C565,#REF!,7,FALSE)</f>
        <v>#REF!</v>
      </c>
      <c r="AR565" s="24" t="e">
        <f>VLOOKUP(C565,#REF!,12,FALSE)</f>
        <v>#REF!</v>
      </c>
      <c r="AS565" s="24" t="e">
        <f>VLOOKUP(C565,#REF!,13,FALSE)</f>
        <v>#REF!</v>
      </c>
      <c r="AT565" s="100"/>
      <c r="AU565" s="100"/>
      <c r="AV565" s="100">
        <v>549</v>
      </c>
      <c r="AW565" s="100"/>
      <c r="AY565" s="112">
        <v>16000</v>
      </c>
    </row>
    <row r="566" spans="1:51" s="2" customFormat="1" ht="12.75" customHeight="1" x14ac:dyDescent="0.2">
      <c r="A566" s="7" t="s">
        <v>1412</v>
      </c>
      <c r="B566" s="8">
        <v>9789500205023</v>
      </c>
      <c r="C566" s="8">
        <v>508891</v>
      </c>
      <c r="D566" s="25">
        <v>160</v>
      </c>
      <c r="E566" s="9" t="s">
        <v>1413</v>
      </c>
      <c r="F566" s="7" t="s">
        <v>199</v>
      </c>
      <c r="G566" s="107">
        <v>40299</v>
      </c>
      <c r="H566" s="108">
        <v>40238</v>
      </c>
      <c r="I566" s="24">
        <v>3192</v>
      </c>
      <c r="J566" s="28" t="s">
        <v>1894</v>
      </c>
      <c r="K566" s="28">
        <v>18.41</v>
      </c>
      <c r="L566" s="112">
        <v>16000</v>
      </c>
      <c r="M566" s="112"/>
      <c r="N566" s="9">
        <f t="shared" si="463"/>
        <v>8000</v>
      </c>
      <c r="O566" s="9">
        <f t="shared" si="464"/>
        <v>7981.59</v>
      </c>
      <c r="P566" s="9">
        <f t="shared" si="465"/>
        <v>18.41</v>
      </c>
      <c r="Q566" s="139">
        <f t="shared" si="466"/>
        <v>0.99769874999999997</v>
      </c>
      <c r="R566" s="335">
        <v>16000</v>
      </c>
      <c r="S566" s="359" t="s">
        <v>1948</v>
      </c>
      <c r="T566" s="305">
        <v>0.99769874999999997</v>
      </c>
      <c r="U566" s="144"/>
      <c r="V566" s="100"/>
      <c r="W566" s="110">
        <f t="shared" si="467"/>
        <v>16000</v>
      </c>
      <c r="X566" s="110">
        <f t="shared" si="468"/>
        <v>18.41</v>
      </c>
      <c r="Y566" s="110">
        <f t="shared" si="469"/>
        <v>0</v>
      </c>
      <c r="Z566" s="110">
        <f t="shared" si="470"/>
        <v>7981.59</v>
      </c>
      <c r="AA566" s="260">
        <f t="shared" si="471"/>
        <v>0.99769874999999997</v>
      </c>
      <c r="AB566" s="28">
        <f t="shared" si="472"/>
        <v>5.3</v>
      </c>
      <c r="AC566" s="261">
        <f t="shared" si="473"/>
        <v>0.99770947253171094</v>
      </c>
      <c r="AD566" s="111">
        <f t="shared" si="474"/>
        <v>0</v>
      </c>
      <c r="AE566" s="262" t="e">
        <f t="shared" si="475"/>
        <v>#DIV/0!</v>
      </c>
      <c r="AF566" s="100"/>
      <c r="AG566" s="111">
        <f t="shared" si="476"/>
        <v>0</v>
      </c>
      <c r="AH566" s="262" t="e">
        <f t="shared" si="477"/>
        <v>#DIV/0!</v>
      </c>
      <c r="AI566" s="100"/>
      <c r="AJ566" s="111">
        <f t="shared" si="478"/>
        <v>0</v>
      </c>
      <c r="AK566" s="262" t="e">
        <f t="shared" si="479"/>
        <v>#DIV/0!</v>
      </c>
      <c r="AL566" s="100"/>
      <c r="AM566" s="111">
        <f t="shared" si="480"/>
        <v>0</v>
      </c>
      <c r="AN566" s="262" t="e">
        <f t="shared" si="481"/>
        <v>#DIV/0!</v>
      </c>
      <c r="AO566" s="100"/>
      <c r="AP566" s="24" t="e">
        <f>VLOOKUP(C566,#REF!,6,FALSE)</f>
        <v>#REF!</v>
      </c>
      <c r="AQ566" s="24" t="e">
        <f>VLOOKUP(C566,#REF!,7,FALSE)</f>
        <v>#REF!</v>
      </c>
      <c r="AR566" s="24" t="e">
        <f>VLOOKUP(C566,#REF!,12,FALSE)</f>
        <v>#REF!</v>
      </c>
      <c r="AS566" s="24" t="e">
        <f>VLOOKUP(C566,#REF!,13,FALSE)</f>
        <v>#REF!</v>
      </c>
      <c r="AT566" s="100"/>
      <c r="AU566" s="100"/>
      <c r="AV566" s="100">
        <v>550</v>
      </c>
      <c r="AW566" s="100"/>
      <c r="AY566" s="112">
        <v>16000</v>
      </c>
    </row>
    <row r="567" spans="1:51" s="162" customFormat="1" ht="12.75" customHeight="1" x14ac:dyDescent="0.2">
      <c r="A567" s="7" t="s">
        <v>1414</v>
      </c>
      <c r="B567" s="8">
        <v>9789500205030</v>
      </c>
      <c r="C567" s="8">
        <v>508890</v>
      </c>
      <c r="D567" s="25">
        <v>160</v>
      </c>
      <c r="E567" s="9" t="s">
        <v>1415</v>
      </c>
      <c r="F567" s="7" t="s">
        <v>1416</v>
      </c>
      <c r="G567" s="107">
        <v>40299</v>
      </c>
      <c r="H567" s="108">
        <v>40238</v>
      </c>
      <c r="I567" s="24">
        <v>3186</v>
      </c>
      <c r="J567" s="28" t="s">
        <v>1894</v>
      </c>
      <c r="K567" s="28">
        <v>18.329999999999998</v>
      </c>
      <c r="L567" s="112">
        <v>16000</v>
      </c>
      <c r="M567" s="112"/>
      <c r="N567" s="9">
        <f t="shared" si="463"/>
        <v>8000</v>
      </c>
      <c r="O567" s="9">
        <f t="shared" si="464"/>
        <v>7981.67</v>
      </c>
      <c r="P567" s="9">
        <f t="shared" si="465"/>
        <v>18.329999999999998</v>
      </c>
      <c r="Q567" s="139">
        <f t="shared" si="466"/>
        <v>0.99770875000000003</v>
      </c>
      <c r="R567" s="335">
        <v>16000</v>
      </c>
      <c r="S567" s="359" t="s">
        <v>1948</v>
      </c>
      <c r="T567" s="305">
        <v>0.99770875000000003</v>
      </c>
      <c r="U567" s="144"/>
      <c r="V567" s="100"/>
      <c r="W567" s="110">
        <f t="shared" si="467"/>
        <v>16000</v>
      </c>
      <c r="X567" s="110">
        <f t="shared" si="468"/>
        <v>18.329999999999998</v>
      </c>
      <c r="Y567" s="110">
        <f t="shared" si="469"/>
        <v>0</v>
      </c>
      <c r="Z567" s="110">
        <f t="shared" si="470"/>
        <v>7981.67</v>
      </c>
      <c r="AA567" s="260">
        <f t="shared" si="471"/>
        <v>0.99770875000000003</v>
      </c>
      <c r="AB567" s="28">
        <f t="shared" si="472"/>
        <v>5.3</v>
      </c>
      <c r="AC567" s="261">
        <f t="shared" si="473"/>
        <v>0.99771942593733087</v>
      </c>
      <c r="AD567" s="111">
        <f t="shared" si="474"/>
        <v>0</v>
      </c>
      <c r="AE567" s="262" t="e">
        <f t="shared" si="475"/>
        <v>#DIV/0!</v>
      </c>
      <c r="AF567" s="100"/>
      <c r="AG567" s="111">
        <f t="shared" si="476"/>
        <v>0</v>
      </c>
      <c r="AH567" s="262" t="e">
        <f t="shared" si="477"/>
        <v>#DIV/0!</v>
      </c>
      <c r="AI567" s="100"/>
      <c r="AJ567" s="111">
        <f t="shared" si="478"/>
        <v>0</v>
      </c>
      <c r="AK567" s="262" t="e">
        <f t="shared" si="479"/>
        <v>#DIV/0!</v>
      </c>
      <c r="AL567" s="100"/>
      <c r="AM567" s="111">
        <f t="shared" si="480"/>
        <v>0</v>
      </c>
      <c r="AN567" s="262" t="e">
        <f t="shared" si="481"/>
        <v>#DIV/0!</v>
      </c>
      <c r="AO567" s="100"/>
      <c r="AP567" s="24" t="e">
        <f>VLOOKUP(C567,#REF!,6,FALSE)</f>
        <v>#REF!</v>
      </c>
      <c r="AQ567" s="24" t="e">
        <f>VLOOKUP(C567,#REF!,7,FALSE)</f>
        <v>#REF!</v>
      </c>
      <c r="AR567" s="24" t="e">
        <f>VLOOKUP(C567,#REF!,12,FALSE)</f>
        <v>#REF!</v>
      </c>
      <c r="AS567" s="24" t="e">
        <f>VLOOKUP(C567,#REF!,13,FALSE)</f>
        <v>#REF!</v>
      </c>
      <c r="AT567" s="100"/>
      <c r="AU567" s="100"/>
      <c r="AV567" s="100">
        <v>551</v>
      </c>
      <c r="AW567" s="100"/>
      <c r="AY567" s="112">
        <v>16000</v>
      </c>
    </row>
    <row r="568" spans="1:51" s="2" customFormat="1" ht="12.75" customHeight="1" x14ac:dyDescent="0.2">
      <c r="A568" s="166" t="s">
        <v>1417</v>
      </c>
      <c r="B568" s="167">
        <v>9789500204668</v>
      </c>
      <c r="C568" s="167">
        <v>503493</v>
      </c>
      <c r="D568" s="183">
        <v>160</v>
      </c>
      <c r="E568" s="171" t="s">
        <v>200</v>
      </c>
      <c r="F568" s="166" t="s">
        <v>201</v>
      </c>
      <c r="G568" s="184">
        <v>40210</v>
      </c>
      <c r="H568" s="185">
        <v>40148</v>
      </c>
      <c r="I568" s="186">
        <v>3144</v>
      </c>
      <c r="J568" s="28" t="s">
        <v>1894</v>
      </c>
      <c r="K568" s="187">
        <v>18.7</v>
      </c>
      <c r="L568" s="188">
        <v>16000</v>
      </c>
      <c r="M568" s="188"/>
      <c r="N568" s="171">
        <f t="shared" si="463"/>
        <v>8000</v>
      </c>
      <c r="O568" s="171">
        <f t="shared" si="464"/>
        <v>7981.3</v>
      </c>
      <c r="P568" s="171">
        <f t="shared" si="465"/>
        <v>18.7</v>
      </c>
      <c r="Q568" s="189">
        <f t="shared" si="466"/>
        <v>0.99766250000000001</v>
      </c>
      <c r="R568" s="335">
        <v>16000</v>
      </c>
      <c r="S568" s="361" t="s">
        <v>1948</v>
      </c>
      <c r="T568" s="308">
        <v>0.99766250000000001</v>
      </c>
      <c r="U568" s="190"/>
      <c r="V568" s="100"/>
      <c r="W568" s="110">
        <f t="shared" si="467"/>
        <v>16000</v>
      </c>
      <c r="X568" s="110">
        <f t="shared" si="468"/>
        <v>18.7</v>
      </c>
      <c r="Y568" s="110">
        <f t="shared" si="469"/>
        <v>0</v>
      </c>
      <c r="Z568" s="110">
        <f t="shared" si="470"/>
        <v>7981.3</v>
      </c>
      <c r="AA568" s="260">
        <f t="shared" si="471"/>
        <v>0.99766250000000001</v>
      </c>
      <c r="AB568" s="28">
        <f t="shared" si="472"/>
        <v>5.3</v>
      </c>
      <c r="AC568" s="261">
        <f t="shared" si="473"/>
        <v>0.99767339143633871</v>
      </c>
      <c r="AD568" s="111">
        <f t="shared" si="474"/>
        <v>0</v>
      </c>
      <c r="AE568" s="262" t="e">
        <f t="shared" si="475"/>
        <v>#DIV/0!</v>
      </c>
      <c r="AF568" s="100"/>
      <c r="AG568" s="111">
        <f t="shared" si="476"/>
        <v>0</v>
      </c>
      <c r="AH568" s="262" t="e">
        <f t="shared" si="477"/>
        <v>#DIV/0!</v>
      </c>
      <c r="AI568" s="100"/>
      <c r="AJ568" s="111">
        <f t="shared" si="478"/>
        <v>0</v>
      </c>
      <c r="AK568" s="262" t="e">
        <f t="shared" si="479"/>
        <v>#DIV/0!</v>
      </c>
      <c r="AL568" s="100"/>
      <c r="AM568" s="111">
        <f t="shared" si="480"/>
        <v>0</v>
      </c>
      <c r="AN568" s="262" t="e">
        <f t="shared" si="481"/>
        <v>#DIV/0!</v>
      </c>
      <c r="AO568" s="100"/>
      <c r="AP568" s="24" t="e">
        <f>VLOOKUP(C568,#REF!,6,FALSE)</f>
        <v>#REF!</v>
      </c>
      <c r="AQ568" s="24" t="e">
        <f>VLOOKUP(C568,#REF!,7,FALSE)</f>
        <v>#REF!</v>
      </c>
      <c r="AR568" s="24" t="e">
        <f>VLOOKUP(C568,#REF!,12,FALSE)</f>
        <v>#REF!</v>
      </c>
      <c r="AS568" s="24" t="e">
        <f>VLOOKUP(C568,#REF!,13,FALSE)</f>
        <v>#REF!</v>
      </c>
      <c r="AT568" s="100"/>
      <c r="AU568" s="100"/>
      <c r="AV568" s="100">
        <v>552</v>
      </c>
      <c r="AW568" s="100"/>
      <c r="AY568" s="188">
        <v>16000</v>
      </c>
    </row>
    <row r="569" spans="1:51" s="2" customFormat="1" ht="12.75" customHeight="1" x14ac:dyDescent="0.2">
      <c r="A569" s="7" t="s">
        <v>1418</v>
      </c>
      <c r="B569" s="8">
        <v>9789500202503</v>
      </c>
      <c r="C569" s="8">
        <v>499544</v>
      </c>
      <c r="D569" s="25">
        <v>160</v>
      </c>
      <c r="E569" s="9" t="s">
        <v>202</v>
      </c>
      <c r="F569" s="7" t="s">
        <v>203</v>
      </c>
      <c r="G569" s="107">
        <v>40087</v>
      </c>
      <c r="H569" s="108">
        <v>40057</v>
      </c>
      <c r="I569" s="24">
        <v>3060</v>
      </c>
      <c r="J569" s="28" t="s">
        <v>1894</v>
      </c>
      <c r="K569" s="28">
        <v>17.420000000000002</v>
      </c>
      <c r="L569" s="9">
        <v>16000</v>
      </c>
      <c r="M569" s="9"/>
      <c r="N569" s="9">
        <f t="shared" si="463"/>
        <v>8000</v>
      </c>
      <c r="O569" s="9">
        <f t="shared" si="464"/>
        <v>7982.58</v>
      </c>
      <c r="P569" s="9">
        <f t="shared" si="465"/>
        <v>17.420000000000002</v>
      </c>
      <c r="Q569" s="139">
        <f t="shared" si="466"/>
        <v>0.99782249999999995</v>
      </c>
      <c r="R569" s="335">
        <v>16000</v>
      </c>
      <c r="S569" s="359" t="s">
        <v>1948</v>
      </c>
      <c r="T569" s="305">
        <v>0.99782249999999995</v>
      </c>
      <c r="U569" s="115" t="s">
        <v>1063</v>
      </c>
      <c r="V569" s="100"/>
      <c r="W569" s="110">
        <f t="shared" si="467"/>
        <v>16000</v>
      </c>
      <c r="X569" s="110">
        <f t="shared" si="468"/>
        <v>17.420000000000002</v>
      </c>
      <c r="Y569" s="110">
        <f t="shared" si="469"/>
        <v>0</v>
      </c>
      <c r="Z569" s="110">
        <f t="shared" si="470"/>
        <v>7982.58</v>
      </c>
      <c r="AA569" s="260">
        <f t="shared" si="471"/>
        <v>0.99782249999999995</v>
      </c>
      <c r="AB569" s="28">
        <f t="shared" si="472"/>
        <v>5.3</v>
      </c>
      <c r="AC569" s="261">
        <f t="shared" si="473"/>
        <v>0.99783264592625764</v>
      </c>
      <c r="AD569" s="111">
        <f t="shared" si="474"/>
        <v>0</v>
      </c>
      <c r="AE569" s="262" t="e">
        <f t="shared" si="475"/>
        <v>#DIV/0!</v>
      </c>
      <c r="AF569" s="157"/>
      <c r="AG569" s="111">
        <f t="shared" si="476"/>
        <v>0</v>
      </c>
      <c r="AH569" s="262" t="e">
        <f t="shared" si="477"/>
        <v>#DIV/0!</v>
      </c>
      <c r="AI569" s="100"/>
      <c r="AJ569" s="111">
        <f t="shared" si="478"/>
        <v>0</v>
      </c>
      <c r="AK569" s="262" t="e">
        <f t="shared" si="479"/>
        <v>#DIV/0!</v>
      </c>
      <c r="AL569" s="100"/>
      <c r="AM569" s="111">
        <f t="shared" si="480"/>
        <v>0</v>
      </c>
      <c r="AN569" s="262" t="e">
        <f t="shared" si="481"/>
        <v>#DIV/0!</v>
      </c>
      <c r="AO569" s="100"/>
      <c r="AP569" s="24" t="e">
        <f>VLOOKUP(C569,#REF!,6,FALSE)</f>
        <v>#REF!</v>
      </c>
      <c r="AQ569" s="24" t="e">
        <f>VLOOKUP(C569,#REF!,7,FALSE)</f>
        <v>#REF!</v>
      </c>
      <c r="AR569" s="24" t="e">
        <f>VLOOKUP(C569,#REF!,12,FALSE)</f>
        <v>#REF!</v>
      </c>
      <c r="AS569" s="24" t="e">
        <f>VLOOKUP(C569,#REF!,13,FALSE)</f>
        <v>#REF!</v>
      </c>
      <c r="AT569" s="100"/>
      <c r="AU569" s="100"/>
      <c r="AV569" s="100">
        <v>553</v>
      </c>
      <c r="AW569" s="100"/>
      <c r="AY569" s="9">
        <v>16000</v>
      </c>
    </row>
    <row r="570" spans="1:51" s="2" customFormat="1" ht="12.75" customHeight="1" x14ac:dyDescent="0.25">
      <c r="B570" s="3"/>
      <c r="C570" s="3"/>
      <c r="D570" s="17"/>
      <c r="E570" s="18"/>
      <c r="G570" s="330"/>
      <c r="H570" s="331"/>
      <c r="I570" s="332"/>
      <c r="J570" s="134"/>
      <c r="K570" s="114"/>
      <c r="L570" s="18"/>
      <c r="M570" s="18"/>
      <c r="N570" s="18"/>
      <c r="O570" s="18"/>
      <c r="P570" s="18"/>
      <c r="Q570" s="191"/>
      <c r="R570" s="356"/>
      <c r="S570" s="360"/>
      <c r="T570" s="307"/>
      <c r="U570" s="135"/>
      <c r="V570" s="100"/>
      <c r="W570"/>
      <c r="X570"/>
      <c r="Y570"/>
      <c r="Z570"/>
      <c r="AA570"/>
      <c r="AB570"/>
      <c r="AC570"/>
      <c r="AD570" s="263"/>
      <c r="AE570"/>
      <c r="AF570" s="100"/>
      <c r="AG570" s="263"/>
      <c r="AH570"/>
      <c r="AI570" s="100"/>
      <c r="AJ570" s="263"/>
      <c r="AK570"/>
      <c r="AL570" s="100"/>
      <c r="AM570" s="263"/>
      <c r="AN570"/>
      <c r="AO570" s="100"/>
      <c r="AP570" s="100"/>
      <c r="AQ570" s="100"/>
      <c r="AR570" s="100"/>
      <c r="AS570" s="100"/>
      <c r="AT570" s="100"/>
      <c r="AU570" s="100"/>
      <c r="AV570" s="100">
        <v>554</v>
      </c>
      <c r="AW570" s="100"/>
      <c r="AY570" s="18"/>
    </row>
    <row r="571" spans="1:51" s="2" customFormat="1" ht="12.75" customHeight="1" x14ac:dyDescent="0.25">
      <c r="A571" s="192" t="s">
        <v>841</v>
      </c>
      <c r="B571" s="193"/>
      <c r="C571" s="193"/>
      <c r="D571" s="194"/>
      <c r="E571" s="132"/>
      <c r="F571" s="132"/>
      <c r="G571" s="132"/>
      <c r="H571" s="132"/>
      <c r="I571" s="132"/>
      <c r="J571" s="134"/>
      <c r="K571" s="132"/>
      <c r="L571" s="18"/>
      <c r="M571" s="132"/>
      <c r="N571" s="132"/>
      <c r="O571" s="132"/>
      <c r="P571" s="132"/>
      <c r="Q571" s="147"/>
      <c r="R571" s="356"/>
      <c r="S571" s="360"/>
      <c r="T571" s="307"/>
      <c r="U571" s="135"/>
      <c r="V571" s="100"/>
      <c r="W571"/>
      <c r="X571"/>
      <c r="Y571"/>
      <c r="Z571"/>
      <c r="AA571"/>
      <c r="AB571"/>
      <c r="AC571"/>
      <c r="AD571" s="263"/>
      <c r="AE571"/>
      <c r="AF571" s="100"/>
      <c r="AG571" s="263"/>
      <c r="AH571"/>
      <c r="AI571" s="100"/>
      <c r="AJ571" s="263"/>
      <c r="AK571"/>
      <c r="AL571" s="100"/>
      <c r="AM571" s="263"/>
      <c r="AN571"/>
      <c r="AO571" s="100"/>
      <c r="AP571" s="100"/>
      <c r="AQ571" s="100"/>
      <c r="AR571" s="100"/>
      <c r="AS571" s="100"/>
      <c r="AT571" s="100"/>
      <c r="AU571" s="100"/>
      <c r="AV571" s="100">
        <v>555</v>
      </c>
      <c r="AW571" s="100"/>
      <c r="AY571" s="18"/>
    </row>
    <row r="572" spans="1:51" s="2" customFormat="1" ht="12.75" customHeight="1" x14ac:dyDescent="0.2">
      <c r="A572" s="6" t="s">
        <v>1419</v>
      </c>
      <c r="B572" s="8">
        <v>9789500214520</v>
      </c>
      <c r="C572" s="6">
        <v>711849</v>
      </c>
      <c r="D572" s="41">
        <v>256</v>
      </c>
      <c r="E572" s="7" t="s">
        <v>869</v>
      </c>
      <c r="F572" s="7" t="s">
        <v>865</v>
      </c>
      <c r="G572" s="107">
        <v>45261</v>
      </c>
      <c r="H572" s="108">
        <v>45231</v>
      </c>
      <c r="I572" s="7">
        <v>3104</v>
      </c>
      <c r="J572" s="28" t="s">
        <v>2136</v>
      </c>
      <c r="K572" s="9">
        <v>994.9</v>
      </c>
      <c r="L572" s="9">
        <v>19300</v>
      </c>
      <c r="M572" s="112">
        <f>+L572*0.08</f>
        <v>1544</v>
      </c>
      <c r="N572" s="9">
        <f>+L572/2</f>
        <v>9650</v>
      </c>
      <c r="O572" s="9">
        <f>+N572-M572-K572</f>
        <v>7111.1</v>
      </c>
      <c r="P572" s="9">
        <f>+M572+K572</f>
        <v>2538.9</v>
      </c>
      <c r="Q572" s="139">
        <f>+O572/N572</f>
        <v>0.73690155440414506</v>
      </c>
      <c r="R572" s="335">
        <v>19300</v>
      </c>
      <c r="S572" s="359" t="s">
        <v>1948</v>
      </c>
      <c r="T572" s="305">
        <v>0.73690155440414506</v>
      </c>
      <c r="U572" s="6"/>
      <c r="V572" s="100"/>
      <c r="W572" s="110">
        <f>+L572</f>
        <v>19300</v>
      </c>
      <c r="X572" s="110">
        <f>+K572</f>
        <v>994.9</v>
      </c>
      <c r="Y572" s="110">
        <f>+M572</f>
        <v>1544</v>
      </c>
      <c r="Z572" s="110">
        <f>+W572/2-X572-Y572</f>
        <v>7111.1</v>
      </c>
      <c r="AA572" s="260">
        <f>+Z572/(W572/2)</f>
        <v>0.73690155440414506</v>
      </c>
      <c r="AB572" s="28">
        <f>ROUND($W572/2/$X$1,1)</f>
        <v>6.4</v>
      </c>
      <c r="AC572" s="261">
        <f>+(AB572*$X$1-$X572-$Y572)/(AB572*$X$1)</f>
        <v>0.7384087537091989</v>
      </c>
      <c r="AD572" s="111">
        <f>+IFERROR(ROUND(($X572+$Y572)/(1-$X$2)/$X$1,1),0)</f>
        <v>1.8</v>
      </c>
      <c r="AE572" s="262">
        <f>+(AD572*$X$1-$X572-$Y572)/(AD572*$X$1)</f>
        <v>6.9897790966040291E-2</v>
      </c>
      <c r="AF572" s="100"/>
      <c r="AG572" s="111">
        <f>+IFERROR(ROUND(($X572+$Y572)/(1-$AG$2)/$X$1,1),0)</f>
        <v>2.8</v>
      </c>
      <c r="AH572" s="262">
        <f>+(AG572*$X$1-$X572-$Y572)/(AG572*$X$1)</f>
        <v>0.40207715133531152</v>
      </c>
      <c r="AI572" s="100"/>
      <c r="AJ572" s="111">
        <f>+IFERROR(ROUND(($X572+$Y572)/(1-$AJ$2)/$X$1,1),0)</f>
        <v>2.6</v>
      </c>
      <c r="AK572" s="262">
        <f>+(AJ572*$X$1-$X572-$Y572)/(AJ572*$X$1)</f>
        <v>0.35608308605341243</v>
      </c>
      <c r="AL572" s="100"/>
      <c r="AM572" s="111">
        <f>+IFERROR(ROUND(($X572+$Y572)/(1-$AM$2)/$X$1,1),0)</f>
        <v>2.4</v>
      </c>
      <c r="AN572" s="262">
        <f>+(AM572*$X$1-$X572-$Y572)/(AM572*$X$1)</f>
        <v>0.30242334322453013</v>
      </c>
      <c r="AO572" s="100"/>
      <c r="AP572" s="24" t="e">
        <f>VLOOKUP(C572,#REF!,6,FALSE)</f>
        <v>#REF!</v>
      </c>
      <c r="AQ572" s="24" t="e">
        <f>VLOOKUP(C572,#REF!,7,FALSE)</f>
        <v>#REF!</v>
      </c>
      <c r="AR572" s="24" t="e">
        <f>VLOOKUP(C572,#REF!,12,FALSE)</f>
        <v>#REF!</v>
      </c>
      <c r="AS572" s="24" t="e">
        <f>VLOOKUP(C572,#REF!,13,FALSE)</f>
        <v>#REF!</v>
      </c>
      <c r="AT572" s="100"/>
      <c r="AU572" s="100"/>
      <c r="AV572" s="100">
        <v>556</v>
      </c>
      <c r="AW572" s="100"/>
      <c r="AY572" s="9">
        <v>19300</v>
      </c>
    </row>
    <row r="573" spans="1:51" s="2" customFormat="1" ht="12.75" customHeight="1" x14ac:dyDescent="0.25">
      <c r="B573" s="3"/>
      <c r="C573" s="3"/>
      <c r="D573" s="17"/>
      <c r="E573" s="18"/>
      <c r="G573" s="330"/>
      <c r="H573" s="331"/>
      <c r="I573" s="332"/>
      <c r="J573" s="134"/>
      <c r="K573" s="114"/>
      <c r="L573" s="18"/>
      <c r="M573" s="18"/>
      <c r="N573" s="18"/>
      <c r="O573" s="18"/>
      <c r="P573" s="18"/>
      <c r="Q573" s="191"/>
      <c r="R573" s="356"/>
      <c r="S573" s="360"/>
      <c r="T573" s="307"/>
      <c r="U573" s="135"/>
      <c r="V573" s="100"/>
      <c r="W573"/>
      <c r="X573"/>
      <c r="Y573"/>
      <c r="Z573"/>
      <c r="AA573"/>
      <c r="AB573"/>
      <c r="AC573"/>
      <c r="AD573" s="263"/>
      <c r="AE573"/>
      <c r="AF573" s="100"/>
      <c r="AG573" s="263"/>
      <c r="AH573"/>
      <c r="AI573" s="100"/>
      <c r="AJ573" s="263"/>
      <c r="AK573"/>
      <c r="AL573" s="100"/>
      <c r="AM573" s="263"/>
      <c r="AN573"/>
      <c r="AO573" s="100"/>
      <c r="AP573" s="100"/>
      <c r="AQ573" s="100"/>
      <c r="AR573" s="100"/>
      <c r="AS573" s="100"/>
      <c r="AT573" s="100"/>
      <c r="AU573" s="100"/>
      <c r="AV573" s="100">
        <v>557</v>
      </c>
      <c r="AW573" s="100"/>
      <c r="AY573" s="18"/>
    </row>
    <row r="574" spans="1:51" s="2" customFormat="1" ht="12.75" customHeight="1" x14ac:dyDescent="0.25">
      <c r="A574" s="192" t="s">
        <v>1420</v>
      </c>
      <c r="B574" s="193"/>
      <c r="C574" s="193"/>
      <c r="D574" s="194"/>
      <c r="E574" s="132"/>
      <c r="F574" s="132"/>
      <c r="G574" s="132"/>
      <c r="H574" s="132"/>
      <c r="I574" s="132"/>
      <c r="J574" s="134"/>
      <c r="K574" s="132"/>
      <c r="L574" s="18"/>
      <c r="M574" s="132"/>
      <c r="N574" s="132"/>
      <c r="O574" s="132"/>
      <c r="P574" s="132"/>
      <c r="Q574" s="147"/>
      <c r="R574" s="356"/>
      <c r="S574" s="360"/>
      <c r="T574" s="307"/>
      <c r="U574" s="135"/>
      <c r="V574" s="100"/>
      <c r="W574"/>
      <c r="X574"/>
      <c r="Y574"/>
      <c r="Z574"/>
      <c r="AA574"/>
      <c r="AB574"/>
      <c r="AC574"/>
      <c r="AD574" s="263"/>
      <c r="AE574"/>
      <c r="AF574" s="100"/>
      <c r="AG574" s="263"/>
      <c r="AH574"/>
      <c r="AI574" s="100"/>
      <c r="AJ574" s="263"/>
      <c r="AK574"/>
      <c r="AL574" s="100"/>
      <c r="AM574" s="263"/>
      <c r="AN574"/>
      <c r="AO574" s="100"/>
      <c r="AP574" s="100"/>
      <c r="AQ574" s="100"/>
      <c r="AR574" s="100"/>
      <c r="AS574" s="100"/>
      <c r="AT574" s="100"/>
      <c r="AU574" s="100"/>
      <c r="AV574" s="100">
        <v>558</v>
      </c>
      <c r="AW574" s="100"/>
      <c r="AY574" s="18"/>
    </row>
    <row r="575" spans="1:51" s="162" customFormat="1" ht="12.75" customHeight="1" x14ac:dyDescent="0.2">
      <c r="A575" s="6" t="s">
        <v>2302</v>
      </c>
      <c r="B575" s="344" t="s">
        <v>2303</v>
      </c>
      <c r="C575" s="6">
        <v>743071</v>
      </c>
      <c r="D575" s="41">
        <v>431</v>
      </c>
      <c r="E575" s="7" t="s">
        <v>328</v>
      </c>
      <c r="F575" s="7" t="s">
        <v>2304</v>
      </c>
      <c r="G575" s="107">
        <v>46143</v>
      </c>
      <c r="H575" s="108">
        <v>46023</v>
      </c>
      <c r="I575" s="267">
        <v>3000</v>
      </c>
      <c r="J575" s="7" t="s">
        <v>2329</v>
      </c>
      <c r="K575" s="9">
        <v>5848.54</v>
      </c>
      <c r="L575" s="352" t="s">
        <v>2331</v>
      </c>
      <c r="M575" s="112"/>
      <c r="N575" s="9" t="e">
        <f>+L575/2</f>
        <v>#VALUE!</v>
      </c>
      <c r="O575" s="9" t="e">
        <f>+N575-M575-K575</f>
        <v>#VALUE!</v>
      </c>
      <c r="P575" s="9">
        <f>+M575+K575</f>
        <v>5848.54</v>
      </c>
      <c r="Q575" s="139" t="e">
        <f>+O575/N575</f>
        <v>#VALUE!</v>
      </c>
      <c r="R575" s="336" t="s">
        <v>2331</v>
      </c>
      <c r="S575" s="359" t="s">
        <v>1948</v>
      </c>
      <c r="T575" s="305" t="e">
        <v>#VALUE!</v>
      </c>
      <c r="U575" s="144"/>
      <c r="V575" s="100"/>
      <c r="W575" s="110" t="str">
        <f>+L575</f>
        <v>38760,33 + iva</v>
      </c>
      <c r="X575" s="110">
        <f>+K575</f>
        <v>5848.54</v>
      </c>
      <c r="Y575" s="110">
        <f>+M575</f>
        <v>0</v>
      </c>
      <c r="Z575" s="110" t="e">
        <f>+W575/2-X575-Y575</f>
        <v>#VALUE!</v>
      </c>
      <c r="AA575" s="260" t="e">
        <f>+Z575/(W575/2)</f>
        <v>#VALUE!</v>
      </c>
      <c r="AB575" s="28" t="e">
        <f>ROUND($W575/2/$X$1,1)</f>
        <v>#VALUE!</v>
      </c>
      <c r="AC575" s="261" t="e">
        <f>+(AB575*$X$1-$X575-$Y575)/(AB575*$X$1)</f>
        <v>#VALUE!</v>
      </c>
      <c r="AD575" s="111">
        <f>+IFERROR(ROUND(($X575+$Y575)/(1-$X$2)/$X$1,1),0)</f>
        <v>4.0999999999999996</v>
      </c>
      <c r="AE575" s="262">
        <f>+(AD575*$X$1-$X575-$Y575)/(AD575*$X$1)</f>
        <v>5.9364872580476499E-2</v>
      </c>
      <c r="AF575" s="100"/>
      <c r="AG575" s="111">
        <f>+IFERROR(ROUND(($X575+$Y575)/(1-$AG$2)/$X$1,1),0)</f>
        <v>6.4</v>
      </c>
      <c r="AH575" s="262">
        <f>+(AG575*$X$1-$X575-$Y575)/(AG575*$X$1)</f>
        <v>0.39740562149686781</v>
      </c>
      <c r="AI575" s="100"/>
      <c r="AJ575" s="111">
        <f>+IFERROR(ROUND(($X575+$Y575)/(1-$AJ$2)/$X$1,1),0)</f>
        <v>5.9</v>
      </c>
      <c r="AK575" s="262">
        <f>+(AJ575*$X$1-$X575-$Y575)/(AJ575*$X$1)</f>
        <v>0.34633830128473797</v>
      </c>
      <c r="AL575" s="100"/>
      <c r="AM575" s="111">
        <f>+IFERROR(ROUND(($X575+$Y575)/(1-$AM$2)/$X$1,1),0)</f>
        <v>5.5</v>
      </c>
      <c r="AN575" s="262">
        <f>+(AM575*$X$1-$X575-$Y575)/(AM575*$X$1)</f>
        <v>0.29879926865090073</v>
      </c>
      <c r="AO575" s="100"/>
      <c r="AP575" s="24" t="e">
        <f>VLOOKUP(C575,#REF!,6,FALSE)</f>
        <v>#REF!</v>
      </c>
      <c r="AQ575" s="24" t="e">
        <f>VLOOKUP(C575,#REF!,7,FALSE)</f>
        <v>#REF!</v>
      </c>
      <c r="AR575" s="24" t="e">
        <f>VLOOKUP(C575,#REF!,12,FALSE)</f>
        <v>#REF!</v>
      </c>
      <c r="AS575" s="24" t="e">
        <f>VLOOKUP(C575,#REF!,13,FALSE)</f>
        <v>#REF!</v>
      </c>
      <c r="AT575" s="100"/>
      <c r="AU575" s="100"/>
      <c r="AV575" s="100">
        <v>559</v>
      </c>
      <c r="AW575" s="100"/>
      <c r="AY575" s="352" t="s">
        <v>2331</v>
      </c>
    </row>
    <row r="576" spans="1:51" s="132" customFormat="1" ht="12.75" customHeight="1" x14ac:dyDescent="0.2">
      <c r="A576" s="6" t="s">
        <v>1421</v>
      </c>
      <c r="B576" s="8">
        <v>2900507113952</v>
      </c>
      <c r="C576" s="6">
        <v>711395</v>
      </c>
      <c r="D576" s="41">
        <v>12</v>
      </c>
      <c r="E576" s="7" t="s">
        <v>328</v>
      </c>
      <c r="F576" s="7" t="s">
        <v>862</v>
      </c>
      <c r="G576" s="107">
        <v>45261</v>
      </c>
      <c r="H576" s="108">
        <v>45231</v>
      </c>
      <c r="I576" s="7">
        <v>2500</v>
      </c>
      <c r="J576" s="28" t="s">
        <v>1762</v>
      </c>
      <c r="K576" s="9">
        <v>909.4</v>
      </c>
      <c r="L576" s="9">
        <v>7150.0000000000009</v>
      </c>
      <c r="M576" s="112"/>
      <c r="N576" s="9">
        <f>+L576/2</f>
        <v>3575.0000000000005</v>
      </c>
      <c r="O576" s="9">
        <f>+N576-M576-K576</f>
        <v>2665.6000000000004</v>
      </c>
      <c r="P576" s="9">
        <f>+M576+K576</f>
        <v>909.4</v>
      </c>
      <c r="Q576" s="139">
        <f>+O576/N576</f>
        <v>0.7456223776223776</v>
      </c>
      <c r="R576" s="335">
        <v>7150.0000000000009</v>
      </c>
      <c r="S576" s="359" t="s">
        <v>1948</v>
      </c>
      <c r="T576" s="305">
        <v>0.7456223776223776</v>
      </c>
      <c r="U576" s="6"/>
      <c r="V576" s="100"/>
      <c r="W576" s="110">
        <f>+L576</f>
        <v>7150.0000000000009</v>
      </c>
      <c r="X576" s="110">
        <f>+K576</f>
        <v>909.4</v>
      </c>
      <c r="Y576" s="110">
        <f>+M576</f>
        <v>0</v>
      </c>
      <c r="Z576" s="110">
        <f>+W576/2-X576-Y576</f>
        <v>2665.6000000000004</v>
      </c>
      <c r="AA576" s="260">
        <f>+Z576/(W576/2)</f>
        <v>0.7456223776223776</v>
      </c>
      <c r="AB576" s="28">
        <f>ROUND($W576/2/$X$1,1)</f>
        <v>2.4</v>
      </c>
      <c r="AC576" s="261">
        <f>+(AB576*$X$1-$X576-$Y576)/(AB576*$X$1)</f>
        <v>0.75013737773381683</v>
      </c>
      <c r="AD576" s="111">
        <f>+IFERROR(ROUND(($X576+$Y576)/(1-$X$2)/$X$1,1),0)</f>
        <v>0.6</v>
      </c>
      <c r="AE576" s="262">
        <f>+(AD576*$X$1-$X576-$Y576)/(AD576*$X$1)</f>
        <v>5.4951093526761185E-4</v>
      </c>
      <c r="AF576" s="100"/>
      <c r="AG576" s="111">
        <f>+IFERROR(ROUND(($X576+$Y576)/(1-$AG$2)/$X$1,1),0)</f>
        <v>1</v>
      </c>
      <c r="AH576" s="262">
        <f>+(AG576*$X$1-$X576-$Y576)/(AG576*$X$1)</f>
        <v>0.40032970656116057</v>
      </c>
      <c r="AI576" s="100"/>
      <c r="AJ576" s="111">
        <f>+IFERROR(ROUND(($X576+$Y576)/(1-$AJ$2)/$X$1,1),0)</f>
        <v>0.9</v>
      </c>
      <c r="AK576" s="262">
        <f>+(AJ576*$X$1-$X576-$Y576)/(AJ576*$X$1)</f>
        <v>0.33369967395684513</v>
      </c>
      <c r="AL576" s="100"/>
      <c r="AM576" s="111">
        <f>+IFERROR(ROUND(($X576+$Y576)/(1-$AM$2)/$X$1,1),0)</f>
        <v>0.9</v>
      </c>
      <c r="AN576" s="262">
        <f>+(AM576*$X$1-$X576-$Y576)/(AM576*$X$1)</f>
        <v>0.33369967395684513</v>
      </c>
      <c r="AO576" s="100"/>
      <c r="AP576" s="24" t="e">
        <f>VLOOKUP(C576,#REF!,6,FALSE)</f>
        <v>#REF!</v>
      </c>
      <c r="AQ576" s="24" t="e">
        <f>VLOOKUP(C576,#REF!,7,FALSE)</f>
        <v>#REF!</v>
      </c>
      <c r="AR576" s="24" t="e">
        <f>VLOOKUP(C576,#REF!,12,FALSE)</f>
        <v>#REF!</v>
      </c>
      <c r="AS576" s="24" t="e">
        <f>VLOOKUP(C576,#REF!,13,FALSE)</f>
        <v>#REF!</v>
      </c>
      <c r="AT576" s="100"/>
      <c r="AU576" s="100"/>
      <c r="AV576" s="100">
        <v>560</v>
      </c>
      <c r="AW576" s="100"/>
      <c r="AY576" s="9">
        <v>7150.0000000000009</v>
      </c>
    </row>
    <row r="577" spans="1:51" s="162" customFormat="1" ht="12.75" customHeight="1" x14ac:dyDescent="0.2">
      <c r="A577" s="7" t="s">
        <v>1423</v>
      </c>
      <c r="B577" s="8">
        <v>9789500214001</v>
      </c>
      <c r="C577" s="8">
        <v>709133</v>
      </c>
      <c r="D577" s="25">
        <v>176</v>
      </c>
      <c r="E577" s="7" t="s">
        <v>734</v>
      </c>
      <c r="F577" s="7" t="s">
        <v>816</v>
      </c>
      <c r="G577" s="107">
        <v>45170</v>
      </c>
      <c r="H577" s="108">
        <v>45139</v>
      </c>
      <c r="I577" s="7">
        <v>2992</v>
      </c>
      <c r="J577" s="28" t="s">
        <v>1894</v>
      </c>
      <c r="K577" s="117">
        <v>1818.06</v>
      </c>
      <c r="L577" s="9">
        <v>10450</v>
      </c>
      <c r="M577" s="112"/>
      <c r="N577" s="9">
        <f>+L577/2</f>
        <v>5225</v>
      </c>
      <c r="O577" s="9">
        <f>+N577-M577-K577</f>
        <v>3406.94</v>
      </c>
      <c r="P577" s="9">
        <f>+M577+K577</f>
        <v>1818.06</v>
      </c>
      <c r="Q577" s="139">
        <f>+O577/N577</f>
        <v>0.6520459330143541</v>
      </c>
      <c r="R577" s="335">
        <v>10450</v>
      </c>
      <c r="S577" s="359" t="s">
        <v>1948</v>
      </c>
      <c r="T577" s="305">
        <v>0.6520459330143541</v>
      </c>
      <c r="U577" s="144"/>
      <c r="V577" s="100"/>
      <c r="W577" s="110">
        <f>+L577</f>
        <v>10450</v>
      </c>
      <c r="X577" s="110">
        <f>+K577</f>
        <v>1818.06</v>
      </c>
      <c r="Y577" s="110">
        <f>+M577</f>
        <v>0</v>
      </c>
      <c r="Z577" s="110">
        <f>+W577/2-X577-Y577</f>
        <v>3406.94</v>
      </c>
      <c r="AA577" s="260">
        <f>+Z577/(W577/2)</f>
        <v>0.6520459330143541</v>
      </c>
      <c r="AB577" s="28">
        <f>ROUND($W577/2/$X$1,1)</f>
        <v>3.4</v>
      </c>
      <c r="AC577" s="261">
        <f>+(AB577*$X$1-$X577-$Y577)/(AB577*$X$1)</f>
        <v>0.64739628789201142</v>
      </c>
      <c r="AD577" s="111">
        <f>+IFERROR(ROUND(($X577+$Y577)/(1-$X$2)/$X$1,1),0)</f>
        <v>1.3</v>
      </c>
      <c r="AE577" s="262">
        <f>+(AD577*$X$1-$X577-$Y577)/(AD577*$X$1)</f>
        <v>7.7805676025260645E-2</v>
      </c>
      <c r="AF577" s="100"/>
      <c r="AG577" s="111">
        <f>+IFERROR(ROUND(($X577+$Y577)/(1-$AG$2)/$X$1,1),0)</f>
        <v>2</v>
      </c>
      <c r="AH577" s="262">
        <f>+(AG577*$X$1-$X577-$Y577)/(AG577*$X$1)</f>
        <v>0.40057368941641941</v>
      </c>
      <c r="AI577" s="100"/>
      <c r="AJ577" s="111">
        <f>+IFERROR(ROUND(($X577+$Y577)/(1-$AJ$2)/$X$1,1),0)</f>
        <v>1.8</v>
      </c>
      <c r="AK577" s="262">
        <f>+(AJ577*$X$1-$X577-$Y577)/(AJ577*$X$1)</f>
        <v>0.33397076601824383</v>
      </c>
      <c r="AL577" s="100"/>
      <c r="AM577" s="111">
        <f>+IFERROR(ROUND(($X577+$Y577)/(1-$AM$2)/$X$1,1),0)</f>
        <v>1.7</v>
      </c>
      <c r="AN577" s="262">
        <f>+(AM577*$X$1-$X577-$Y577)/(AM577*$X$1)</f>
        <v>0.29479257578402274</v>
      </c>
      <c r="AO577" s="100"/>
      <c r="AP577" s="24" t="e">
        <f>VLOOKUP(C577,#REF!,6,FALSE)</f>
        <v>#REF!</v>
      </c>
      <c r="AQ577" s="24" t="e">
        <f>VLOOKUP(C577,#REF!,7,FALSE)</f>
        <v>#REF!</v>
      </c>
      <c r="AR577" s="24" t="e">
        <f>VLOOKUP(C577,#REF!,12,FALSE)</f>
        <v>#REF!</v>
      </c>
      <c r="AS577" s="24" t="e">
        <f>VLOOKUP(C577,#REF!,13,FALSE)</f>
        <v>#REF!</v>
      </c>
      <c r="AT577" s="100"/>
      <c r="AU577" s="100"/>
      <c r="AV577" s="100">
        <v>561</v>
      </c>
      <c r="AW577" s="100"/>
      <c r="AY577" s="9">
        <v>10450</v>
      </c>
    </row>
    <row r="578" spans="1:51" s="2" customFormat="1" ht="12.75" customHeight="1" x14ac:dyDescent="0.2">
      <c r="A578" s="6" t="s">
        <v>1424</v>
      </c>
      <c r="B578" s="8">
        <v>9789500214018</v>
      </c>
      <c r="C578" s="8">
        <v>709325</v>
      </c>
      <c r="D578" s="41">
        <v>176</v>
      </c>
      <c r="E578" s="7" t="s">
        <v>466</v>
      </c>
      <c r="F578" s="6" t="s">
        <v>815</v>
      </c>
      <c r="G578" s="107">
        <v>45170</v>
      </c>
      <c r="H578" s="108">
        <v>45139</v>
      </c>
      <c r="I578" s="7">
        <v>3001</v>
      </c>
      <c r="J578" s="28" t="s">
        <v>1894</v>
      </c>
      <c r="K578" s="117">
        <v>1662.02</v>
      </c>
      <c r="L578" s="112">
        <v>10230</v>
      </c>
      <c r="M578" s="112"/>
      <c r="N578" s="9">
        <f>+L578/2</f>
        <v>5115</v>
      </c>
      <c r="O578" s="9">
        <f>+N578-M578-K578</f>
        <v>3452.98</v>
      </c>
      <c r="P578" s="9">
        <f>+M578+K578</f>
        <v>1662.02</v>
      </c>
      <c r="Q578" s="139">
        <f>+O578/N578</f>
        <v>0.67506940371456503</v>
      </c>
      <c r="R578" s="335">
        <v>10230</v>
      </c>
      <c r="S578" s="359" t="s">
        <v>1948</v>
      </c>
      <c r="T578" s="305">
        <v>0.67506940371456503</v>
      </c>
      <c r="U578" s="144"/>
      <c r="V578" s="100"/>
      <c r="W578" s="110">
        <f>+L578</f>
        <v>10230</v>
      </c>
      <c r="X578" s="110">
        <f>+K578</f>
        <v>1662.02</v>
      </c>
      <c r="Y578" s="110">
        <f>+M578</f>
        <v>0</v>
      </c>
      <c r="Z578" s="110">
        <f>+W578/2-X578-Y578</f>
        <v>3452.98</v>
      </c>
      <c r="AA578" s="260">
        <f>+Z578/(W578/2)</f>
        <v>0.67506940371456503</v>
      </c>
      <c r="AB578" s="28">
        <f>ROUND($W578/2/$X$1,1)</f>
        <v>3.4</v>
      </c>
      <c r="AC578" s="261">
        <f>+(AB578*$X$1-$X578-$Y578)/(AB578*$X$1)</f>
        <v>0.67765947130583193</v>
      </c>
      <c r="AD578" s="111">
        <f>+IFERROR(ROUND(($X578+$Y578)/(1-$X$2)/$X$1,1),0)</f>
        <v>1.2</v>
      </c>
      <c r="AE578" s="262">
        <f>+(AD578*$X$1-$X578-$Y578)/(AD578*$X$1)</f>
        <v>8.6701835366523775E-2</v>
      </c>
      <c r="AF578" s="100"/>
      <c r="AG578" s="111">
        <f>+IFERROR(ROUND(($X578+$Y578)/(1-$AG$2)/$X$1,1),0)</f>
        <v>1.8</v>
      </c>
      <c r="AH578" s="262">
        <f>+(AG578*$X$1-$X578-$Y578)/(AG578*$X$1)</f>
        <v>0.39113455691101595</v>
      </c>
      <c r="AI578" s="100"/>
      <c r="AJ578" s="111">
        <f>+IFERROR(ROUND(($X578+$Y578)/(1-$AJ$2)/$X$1,1),0)</f>
        <v>1.7</v>
      </c>
      <c r="AK578" s="262">
        <f>+(AJ578*$X$1-$X578-$Y578)/(AJ578*$X$1)</f>
        <v>0.3553189426116638</v>
      </c>
      <c r="AL578" s="100"/>
      <c r="AM578" s="111">
        <f>+IFERROR(ROUND(($X578+$Y578)/(1-$AM$2)/$X$1,1),0)</f>
        <v>1.6</v>
      </c>
      <c r="AN578" s="262">
        <f>+(AM578*$X$1-$X578-$Y578)/(AM578*$X$1)</f>
        <v>0.3150263765248929</v>
      </c>
      <c r="AO578" s="100"/>
      <c r="AP578" s="24" t="e">
        <f>VLOOKUP(C578,#REF!,6,FALSE)</f>
        <v>#REF!</v>
      </c>
      <c r="AQ578" s="24" t="e">
        <f>VLOOKUP(C578,#REF!,7,FALSE)</f>
        <v>#REF!</v>
      </c>
      <c r="AR578" s="24" t="e">
        <f>VLOOKUP(C578,#REF!,12,FALSE)</f>
        <v>#REF!</v>
      </c>
      <c r="AS578" s="24" t="e">
        <f>VLOOKUP(C578,#REF!,13,FALSE)</f>
        <v>#REF!</v>
      </c>
      <c r="AT578" s="100"/>
      <c r="AU578" s="100"/>
      <c r="AV578" s="100">
        <v>562</v>
      </c>
      <c r="AW578" s="100"/>
      <c r="AY578" s="112">
        <v>10230</v>
      </c>
    </row>
    <row r="579" spans="1:51" s="132" customFormat="1" ht="12.75" customHeight="1" x14ac:dyDescent="0.2">
      <c r="A579" s="6" t="s">
        <v>1425</v>
      </c>
      <c r="B579" s="8">
        <v>9789500212939</v>
      </c>
      <c r="C579" s="6">
        <v>697476</v>
      </c>
      <c r="D579" s="41">
        <v>176</v>
      </c>
      <c r="E579" s="7" t="s">
        <v>569</v>
      </c>
      <c r="F579" s="7" t="s">
        <v>1426</v>
      </c>
      <c r="G579" s="107">
        <v>44805</v>
      </c>
      <c r="H579" s="108">
        <v>44774</v>
      </c>
      <c r="I579" s="7">
        <v>3000</v>
      </c>
      <c r="J579" s="28" t="s">
        <v>1894</v>
      </c>
      <c r="K579" s="117">
        <v>920.93</v>
      </c>
      <c r="L579" s="9">
        <v>7040.0000000000009</v>
      </c>
      <c r="M579" s="112"/>
      <c r="N579" s="9">
        <f>+L579/2</f>
        <v>3520.0000000000005</v>
      </c>
      <c r="O579" s="9">
        <f>+N579-M579-K579</f>
        <v>2599.0700000000006</v>
      </c>
      <c r="P579" s="9">
        <f>+M579+K579</f>
        <v>920.93</v>
      </c>
      <c r="Q579" s="139">
        <f>+O579/N579</f>
        <v>0.73837215909090914</v>
      </c>
      <c r="R579" s="335">
        <v>7040.0000000000009</v>
      </c>
      <c r="S579" s="359" t="s">
        <v>1948</v>
      </c>
      <c r="T579" s="305">
        <v>0.73837215909090914</v>
      </c>
      <c r="U579" s="144"/>
      <c r="V579" s="100"/>
      <c r="W579" s="110">
        <f>+L579</f>
        <v>7040.0000000000009</v>
      </c>
      <c r="X579" s="110">
        <f>+K579</f>
        <v>920.93</v>
      </c>
      <c r="Y579" s="110">
        <f>+M579</f>
        <v>0</v>
      </c>
      <c r="Z579" s="110">
        <f>+W579/2-X579-Y579</f>
        <v>2599.0700000000006</v>
      </c>
      <c r="AA579" s="260">
        <f>+Z579/(W579/2)</f>
        <v>0.73837215909090914</v>
      </c>
      <c r="AB579" s="28">
        <f>ROUND($W579/2/$X$1,1)</f>
        <v>2.2999999999999998</v>
      </c>
      <c r="AC579" s="261">
        <f>+(AB579*$X$1-$X579-$Y579)/(AB579*$X$1)</f>
        <v>0.73596811880904256</v>
      </c>
      <c r="AD579" s="111">
        <f>+IFERROR(ROUND(($X579+$Y579)/(1-$X$2)/$X$1,1),0)</f>
        <v>0.6</v>
      </c>
      <c r="AE579" s="262">
        <f>+(AD579*$X$1-$X579-$Y579)/(AD579*$X$1)</f>
        <v>-1.2122211232003487E-2</v>
      </c>
      <c r="AF579" s="100"/>
      <c r="AG579" s="111">
        <f>+IFERROR(ROUND(($X579+$Y579)/(1-$AG$2)/$X$1,1),0)</f>
        <v>1</v>
      </c>
      <c r="AH579" s="262">
        <f>+(AG579*$X$1-$X579-$Y579)/(AG579*$X$1)</f>
        <v>0.39272667326079791</v>
      </c>
      <c r="AI579" s="100"/>
      <c r="AJ579" s="111">
        <f>+IFERROR(ROUND(($X579+$Y579)/(1-$AJ$2)/$X$1,1),0)</f>
        <v>0.9</v>
      </c>
      <c r="AK579" s="262">
        <f>+(AJ579*$X$1-$X579-$Y579)/(AJ579*$X$1)</f>
        <v>0.32525185917866445</v>
      </c>
      <c r="AL579" s="100"/>
      <c r="AM579" s="111">
        <f>+IFERROR(ROUND(($X579+$Y579)/(1-$AM$2)/$X$1,1),0)</f>
        <v>0.9</v>
      </c>
      <c r="AN579" s="262">
        <f>+(AM579*$X$1-$X579-$Y579)/(AM579*$X$1)</f>
        <v>0.32525185917866445</v>
      </c>
      <c r="AO579" s="100"/>
      <c r="AP579" s="24" t="e">
        <f>VLOOKUP(C579,#REF!,6,FALSE)</f>
        <v>#REF!</v>
      </c>
      <c r="AQ579" s="24" t="e">
        <f>VLOOKUP(C579,#REF!,7,FALSE)</f>
        <v>#REF!</v>
      </c>
      <c r="AR579" s="24" t="e">
        <f>VLOOKUP(C579,#REF!,12,FALSE)</f>
        <v>#REF!</v>
      </c>
      <c r="AS579" s="24" t="e">
        <f>VLOOKUP(C579,#REF!,13,FALSE)</f>
        <v>#REF!</v>
      </c>
      <c r="AT579" s="100"/>
      <c r="AU579" s="100"/>
      <c r="AV579" s="100">
        <v>563</v>
      </c>
      <c r="AW579" s="100"/>
      <c r="AY579" s="9">
        <v>7040.0000000000009</v>
      </c>
    </row>
    <row r="580" spans="1:51" s="162" customFormat="1" ht="12.75" customHeight="1" thickBot="1" x14ac:dyDescent="0.3">
      <c r="A580" s="132"/>
      <c r="B580" s="133"/>
      <c r="C580" s="133"/>
      <c r="D580" s="132"/>
      <c r="E580" s="382"/>
      <c r="F580" s="132"/>
      <c r="G580" s="132"/>
      <c r="H580" s="132"/>
      <c r="I580" s="132"/>
      <c r="J580" s="134"/>
      <c r="K580" s="18"/>
      <c r="L580" s="18"/>
      <c r="M580" s="132"/>
      <c r="N580" s="18"/>
      <c r="O580" s="134"/>
      <c r="P580" s="18"/>
      <c r="Q580" s="132"/>
      <c r="R580" s="356"/>
      <c r="S580" s="360"/>
      <c r="T580" s="307"/>
      <c r="U580" s="135"/>
      <c r="V580" s="100"/>
      <c r="W580"/>
      <c r="X580"/>
      <c r="Y580"/>
      <c r="Z580"/>
      <c r="AA580"/>
      <c r="AB580"/>
      <c r="AC580"/>
      <c r="AD580" s="263"/>
      <c r="AE580"/>
      <c r="AF580" s="100"/>
      <c r="AG580" s="263"/>
      <c r="AH580"/>
      <c r="AI580" s="100"/>
      <c r="AJ580" s="263"/>
      <c r="AK580"/>
      <c r="AL580" s="100"/>
      <c r="AM580" s="263"/>
      <c r="AN580"/>
      <c r="AO580" s="100"/>
      <c r="AP580" s="100"/>
      <c r="AQ580" s="100"/>
      <c r="AR580" s="100"/>
      <c r="AS580" s="100"/>
      <c r="AT580" s="100"/>
      <c r="AU580" s="100"/>
      <c r="AV580" s="100">
        <v>564</v>
      </c>
      <c r="AW580" s="100"/>
      <c r="AY580" s="18"/>
    </row>
    <row r="581" spans="1:51" s="2" customFormat="1" ht="12.75" customHeight="1" x14ac:dyDescent="0.25">
      <c r="A581" s="132"/>
      <c r="B581" s="133"/>
      <c r="C581" s="133"/>
      <c r="D581" s="154"/>
      <c r="E581" s="155" t="s">
        <v>614</v>
      </c>
      <c r="F581" s="156"/>
      <c r="G581" s="132"/>
      <c r="H581" s="132"/>
      <c r="I581" s="132"/>
      <c r="J581" s="134"/>
      <c r="K581" s="132"/>
      <c r="L581" s="18"/>
      <c r="M581" s="132"/>
      <c r="N581" s="132"/>
      <c r="O581" s="132"/>
      <c r="P581" s="132"/>
      <c r="Q581" s="147"/>
      <c r="R581" s="356"/>
      <c r="S581" s="360"/>
      <c r="T581" s="307"/>
      <c r="U581" s="135"/>
      <c r="V581" s="100"/>
      <c r="W581"/>
      <c r="X581"/>
      <c r="Y581"/>
      <c r="Z581"/>
      <c r="AA581"/>
      <c r="AB581"/>
      <c r="AC581"/>
      <c r="AD581" s="263"/>
      <c r="AE581"/>
      <c r="AF581" s="100"/>
      <c r="AG581" s="263"/>
      <c r="AH581"/>
      <c r="AI581" s="100"/>
      <c r="AJ581" s="263"/>
      <c r="AK581"/>
      <c r="AL581" s="100"/>
      <c r="AM581" s="263"/>
      <c r="AN581"/>
      <c r="AO581" s="100"/>
      <c r="AP581" s="100"/>
      <c r="AQ581" s="100"/>
      <c r="AR581" s="100"/>
      <c r="AS581" s="100"/>
      <c r="AT581" s="100"/>
      <c r="AU581" s="100"/>
      <c r="AV581" s="100">
        <v>565</v>
      </c>
      <c r="AW581" s="100"/>
      <c r="AY581" s="18"/>
    </row>
    <row r="582" spans="1:51" s="132" customFormat="1" ht="12.75" customHeight="1" x14ac:dyDescent="0.2">
      <c r="A582" s="7" t="s">
        <v>1427</v>
      </c>
      <c r="B582" s="8">
        <v>9789500207515</v>
      </c>
      <c r="C582" s="21">
        <v>568565</v>
      </c>
      <c r="D582" s="25">
        <v>304</v>
      </c>
      <c r="E582" s="22" t="s">
        <v>231</v>
      </c>
      <c r="F582" s="6" t="s">
        <v>232</v>
      </c>
      <c r="G582" s="107">
        <v>41518</v>
      </c>
      <c r="H582" s="108">
        <v>41487</v>
      </c>
      <c r="I582" s="24">
        <v>3062</v>
      </c>
      <c r="J582" s="28" t="s">
        <v>1894</v>
      </c>
      <c r="K582" s="28">
        <v>15.25</v>
      </c>
      <c r="L582" s="128">
        <v>15000</v>
      </c>
      <c r="M582" s="112">
        <f>+L582*0.1</f>
        <v>1500</v>
      </c>
      <c r="N582" s="9">
        <f>+L582/2</f>
        <v>7500</v>
      </c>
      <c r="O582" s="9">
        <f>+N582-M582-K582</f>
        <v>5984.75</v>
      </c>
      <c r="P582" s="9">
        <f>+M582+K582</f>
        <v>1515.25</v>
      </c>
      <c r="Q582" s="139">
        <f>+O582/N582</f>
        <v>0.79796666666666671</v>
      </c>
      <c r="R582" s="335">
        <v>15000</v>
      </c>
      <c r="S582" s="359" t="s">
        <v>1948</v>
      </c>
      <c r="T582" s="305">
        <v>0.79796666666666671</v>
      </c>
      <c r="U582" s="115" t="s">
        <v>1063</v>
      </c>
      <c r="V582" s="100"/>
      <c r="W582" s="110">
        <f>+L582</f>
        <v>15000</v>
      </c>
      <c r="X582" s="110">
        <f>+K582</f>
        <v>15.25</v>
      </c>
      <c r="Y582" s="110">
        <f>+M582</f>
        <v>1500</v>
      </c>
      <c r="Z582" s="110">
        <f>+W582/2-X582-Y582</f>
        <v>5984.75</v>
      </c>
      <c r="AA582" s="260">
        <f>+Z582/(W582/2)</f>
        <v>0.79796666666666671</v>
      </c>
      <c r="AB582" s="28">
        <f>ROUND($W582/2/$X$1,1)</f>
        <v>4.9000000000000004</v>
      </c>
      <c r="AC582" s="261">
        <f>+(AB582*$X$1-$X582-$Y582)/(AB582*$X$1)</f>
        <v>0.79608658498018392</v>
      </c>
      <c r="AD582" s="111">
        <f>+IFERROR(ROUND(($X582+$Y582)/(1-$X$2)/$X$1,1),0)</f>
        <v>1.1000000000000001</v>
      </c>
      <c r="AE582" s="262">
        <f>+(AD582*$X$1-$X582-$Y582)/(AD582*$X$1)</f>
        <v>9.1658424002637698E-2</v>
      </c>
      <c r="AF582" s="100"/>
      <c r="AG582" s="111">
        <f>+IFERROR(ROUND(($X582+$Y582)/(1-$AG$2)/$X$1,1),0)</f>
        <v>1.7</v>
      </c>
      <c r="AH582" s="262">
        <f>+(AG582*$X$1-$X582-$Y582)/(AG582*$X$1)</f>
        <v>0.41224956847229488</v>
      </c>
      <c r="AI582" s="100"/>
      <c r="AJ582" s="111">
        <f>+IFERROR(ROUND(($X582+$Y582)/(1-$AJ$2)/$X$1,1),0)</f>
        <v>1.5</v>
      </c>
      <c r="AK582" s="262">
        <f>+(AJ582*$X$1-$X582-$Y582)/(AJ582*$X$1)</f>
        <v>0.33388284426860093</v>
      </c>
      <c r="AL582" s="100"/>
      <c r="AM582" s="111">
        <f>+IFERROR(ROUND(($X582+$Y582)/(1-$AM$2)/$X$1,1),0)</f>
        <v>1.4</v>
      </c>
      <c r="AN582" s="262">
        <f>+(AM582*$X$1-$X582-$Y582)/(AM582*$X$1)</f>
        <v>0.28630304743064383</v>
      </c>
      <c r="AO582" s="100"/>
      <c r="AP582" s="24" t="e">
        <f>VLOOKUP(C582,#REF!,6,FALSE)</f>
        <v>#REF!</v>
      </c>
      <c r="AQ582" s="24" t="e">
        <f>VLOOKUP(C582,#REF!,7,FALSE)</f>
        <v>#REF!</v>
      </c>
      <c r="AR582" s="24" t="e">
        <f>VLOOKUP(C582,#REF!,12,FALSE)</f>
        <v>#REF!</v>
      </c>
      <c r="AS582" s="24" t="e">
        <f>VLOOKUP(C582,#REF!,13,FALSE)</f>
        <v>#REF!</v>
      </c>
      <c r="AT582" s="100">
        <v>26</v>
      </c>
      <c r="AU582" s="100"/>
      <c r="AV582" s="100">
        <v>566</v>
      </c>
      <c r="AW582" s="100"/>
      <c r="AY582" s="128">
        <v>15000</v>
      </c>
    </row>
    <row r="583" spans="1:51" s="2" customFormat="1" ht="12.75" customHeight="1" x14ac:dyDescent="0.25">
      <c r="A583" s="132"/>
      <c r="B583" s="133"/>
      <c r="C583" s="133"/>
      <c r="D583" s="154"/>
      <c r="E583" s="132"/>
      <c r="F583" s="132"/>
      <c r="G583" s="132"/>
      <c r="H583" s="132"/>
      <c r="I583" s="132"/>
      <c r="J583" s="134"/>
      <c r="K583" s="132"/>
      <c r="L583" s="134"/>
      <c r="M583" s="132"/>
      <c r="N583" s="132"/>
      <c r="O583" s="132"/>
      <c r="P583" s="132"/>
      <c r="Q583" s="147"/>
      <c r="R583" s="356"/>
      <c r="S583" s="360"/>
      <c r="T583" s="307"/>
      <c r="U583" s="135"/>
      <c r="V583" s="100"/>
      <c r="W583"/>
      <c r="X583"/>
      <c r="Y583"/>
      <c r="Z583"/>
      <c r="AA583"/>
      <c r="AB583"/>
      <c r="AC583"/>
      <c r="AD583" s="263"/>
      <c r="AE583"/>
      <c r="AF583" s="100"/>
      <c r="AG583" s="263"/>
      <c r="AH583"/>
      <c r="AI583" s="100"/>
      <c r="AJ583" s="263"/>
      <c r="AK583"/>
      <c r="AL583" s="100"/>
      <c r="AM583" s="263"/>
      <c r="AN583"/>
      <c r="AO583" s="100"/>
      <c r="AP583" s="100"/>
      <c r="AQ583" s="100"/>
      <c r="AR583" s="100"/>
      <c r="AS583" s="100"/>
      <c r="AT583" s="100"/>
      <c r="AU583" s="100"/>
      <c r="AV583" s="100">
        <v>567</v>
      </c>
      <c r="AW583" s="100"/>
      <c r="AY583" s="134"/>
    </row>
    <row r="584" spans="1:51" s="132" customFormat="1" ht="12.75" customHeight="1" thickBot="1" x14ac:dyDescent="0.3">
      <c r="B584" s="133"/>
      <c r="C584" s="133"/>
      <c r="D584" s="154"/>
      <c r="J584" s="134"/>
      <c r="L584" s="134"/>
      <c r="Q584" s="147"/>
      <c r="R584" s="356"/>
      <c r="S584" s="360"/>
      <c r="T584" s="307"/>
      <c r="U584" s="135"/>
      <c r="V584" s="100"/>
      <c r="W584"/>
      <c r="X584"/>
      <c r="Y584"/>
      <c r="Z584"/>
      <c r="AA584"/>
      <c r="AB584"/>
      <c r="AC584"/>
      <c r="AD584" s="263"/>
      <c r="AE584"/>
      <c r="AF584" s="100"/>
      <c r="AG584" s="263"/>
      <c r="AH584"/>
      <c r="AI584" s="100"/>
      <c r="AJ584" s="263"/>
      <c r="AK584"/>
      <c r="AL584" s="100"/>
      <c r="AM584" s="263"/>
      <c r="AN584"/>
      <c r="AO584" s="100"/>
      <c r="AP584" s="100"/>
      <c r="AQ584" s="100"/>
      <c r="AR584" s="100"/>
      <c r="AS584" s="100"/>
      <c r="AT584" s="100"/>
      <c r="AU584" s="100"/>
      <c r="AV584" s="100">
        <v>568</v>
      </c>
      <c r="AW584" s="100"/>
      <c r="AY584" s="134"/>
    </row>
    <row r="585" spans="1:51" s="132" customFormat="1" ht="12.75" customHeight="1" thickBot="1" x14ac:dyDescent="0.3">
      <c r="B585" s="133"/>
      <c r="C585" s="133"/>
      <c r="D585" s="154"/>
      <c r="E585" s="195" t="s">
        <v>592</v>
      </c>
      <c r="F585" s="196"/>
      <c r="J585" s="134"/>
      <c r="L585" s="134"/>
      <c r="Q585" s="147"/>
      <c r="R585" s="356"/>
      <c r="S585" s="360"/>
      <c r="T585" s="307"/>
      <c r="U585" s="135"/>
      <c r="V585" s="100"/>
      <c r="W585"/>
      <c r="X585"/>
      <c r="Y585"/>
      <c r="Z585"/>
      <c r="AA585"/>
      <c r="AB585"/>
      <c r="AC585"/>
      <c r="AD585" s="263"/>
      <c r="AE585"/>
      <c r="AF585" s="100"/>
      <c r="AG585" s="263"/>
      <c r="AH585"/>
      <c r="AI585" s="100"/>
      <c r="AJ585" s="263"/>
      <c r="AK585"/>
      <c r="AL585" s="100"/>
      <c r="AM585" s="263"/>
      <c r="AN585"/>
      <c r="AO585" s="100"/>
      <c r="AP585" s="100"/>
      <c r="AQ585" s="100"/>
      <c r="AR585" s="100"/>
      <c r="AS585" s="100"/>
      <c r="AT585" s="100"/>
      <c r="AU585" s="100"/>
      <c r="AV585" s="100">
        <v>569</v>
      </c>
      <c r="AW585" s="100"/>
      <c r="AY585" s="134"/>
    </row>
    <row r="586" spans="1:51" s="2" customFormat="1" ht="12.75" customHeight="1" x14ac:dyDescent="0.3">
      <c r="A586" s="276" t="s">
        <v>1428</v>
      </c>
      <c r="B586" s="133"/>
      <c r="C586" s="133"/>
      <c r="D586" s="154"/>
      <c r="E586" s="197"/>
      <c r="F586" s="132"/>
      <c r="G586" s="132"/>
      <c r="H586" s="132"/>
      <c r="I586" s="132"/>
      <c r="J586" s="134"/>
      <c r="K586" s="132"/>
      <c r="M586" s="132"/>
      <c r="N586" s="132"/>
      <c r="O586" s="132"/>
      <c r="P586" s="132"/>
      <c r="Q586" s="147"/>
      <c r="R586" s="356"/>
      <c r="S586" s="360"/>
      <c r="T586" s="307"/>
      <c r="U586" s="135"/>
      <c r="V586" s="100"/>
      <c r="W586"/>
      <c r="X586"/>
      <c r="Y586"/>
      <c r="Z586"/>
      <c r="AA586"/>
      <c r="AB586"/>
      <c r="AC586"/>
      <c r="AD586" s="263"/>
      <c r="AE586"/>
      <c r="AF586" s="100"/>
      <c r="AG586" s="263"/>
      <c r="AH586"/>
      <c r="AI586" s="100"/>
      <c r="AJ586" s="263"/>
      <c r="AK586"/>
      <c r="AL586" s="100"/>
      <c r="AM586" s="263"/>
      <c r="AN586"/>
      <c r="AO586" s="100"/>
      <c r="AP586" s="100"/>
      <c r="AQ586" s="100"/>
      <c r="AR586" s="100"/>
      <c r="AS586" s="100"/>
      <c r="AT586" s="100"/>
      <c r="AU586" s="100"/>
      <c r="AV586" s="100">
        <v>570</v>
      </c>
      <c r="AW586" s="100"/>
    </row>
    <row r="587" spans="1:51" s="2" customFormat="1" ht="12.75" customHeight="1" x14ac:dyDescent="0.2">
      <c r="A587" s="6" t="s">
        <v>2379</v>
      </c>
      <c r="B587" s="153">
        <v>9789500217026</v>
      </c>
      <c r="C587" s="363">
        <v>747646</v>
      </c>
      <c r="D587" s="41">
        <v>16</v>
      </c>
      <c r="E587" s="8" t="s">
        <v>2373</v>
      </c>
      <c r="F587" s="7" t="s">
        <v>2380</v>
      </c>
      <c r="G587" s="107">
        <v>46204</v>
      </c>
      <c r="H587" s="108">
        <v>46174</v>
      </c>
      <c r="I587" s="116">
        <v>4000</v>
      </c>
      <c r="J587" s="315" t="s">
        <v>1867</v>
      </c>
      <c r="K587" s="292">
        <v>3120.86</v>
      </c>
      <c r="L587" s="9">
        <v>16500</v>
      </c>
      <c r="M587" s="9"/>
      <c r="N587" s="9">
        <f t="shared" ref="N587:N611" si="482">+L587/2</f>
        <v>8250</v>
      </c>
      <c r="O587" s="9">
        <f t="shared" ref="O587:O611" si="483">+N587-M587-K587</f>
        <v>5129.1399999999994</v>
      </c>
      <c r="P587" s="9">
        <f t="shared" ref="P587:P611" si="484">+M587+K587</f>
        <v>3120.86</v>
      </c>
      <c r="Q587" s="139">
        <f t="shared" ref="Q587:Q611" si="485">+O587/N587</f>
        <v>0.62171393939393937</v>
      </c>
      <c r="R587" s="389">
        <v>16500</v>
      </c>
      <c r="S587" s="359" t="s">
        <v>1948</v>
      </c>
      <c r="T587" s="305">
        <v>0.57513266331658286</v>
      </c>
      <c r="U587" s="36"/>
      <c r="V587" s="100"/>
      <c r="W587" s="110">
        <f t="shared" ref="W587:W611" si="486">+L587</f>
        <v>16500</v>
      </c>
      <c r="X587" s="110">
        <f t="shared" ref="X587:X611" si="487">+K587</f>
        <v>3120.86</v>
      </c>
      <c r="Y587" s="110">
        <f t="shared" ref="Y587:Y611" si="488">+M587</f>
        <v>0</v>
      </c>
      <c r="Z587" s="110">
        <f t="shared" ref="Z587:Z611" si="489">+W587/2-X587-Y587</f>
        <v>5129.1399999999994</v>
      </c>
      <c r="AA587" s="260">
        <f t="shared" ref="AA587:AA611" si="490">+Z587/(W587/2)</f>
        <v>0.62171393939393937</v>
      </c>
      <c r="AB587" s="28">
        <f t="shared" ref="AB587:AB611" si="491">ROUND($W587/2/$X$1,1)</f>
        <v>5.4</v>
      </c>
      <c r="AC587" s="261">
        <f t="shared" ref="AC587:AC611" si="492">+(AB587*$X$1-$X587-$Y587)/(AB587*$X$1)</f>
        <v>0.61890073390238243</v>
      </c>
      <c r="AD587" s="111">
        <f t="shared" ref="AD587:AD611" si="493">+IFERROR(ROUND(($X587+$Y587)/(1-$X$2)/$X$1,1),0)</f>
        <v>2.2000000000000002</v>
      </c>
      <c r="AE587" s="262">
        <f t="shared" ref="AE587:AE611" si="494">+(AD587*$X$1-$X587-$Y587)/(AD587*$X$1)</f>
        <v>6.4574528669484169E-2</v>
      </c>
      <c r="AF587" s="100"/>
      <c r="AG587" s="111">
        <f t="shared" ref="AG587:AG611" si="495">+IFERROR(ROUND(($X587+$Y587)/(1-$AG$2)/$X$1,1),0)</f>
        <v>3.4</v>
      </c>
      <c r="AH587" s="262">
        <f t="shared" ref="AH587:AH611" si="496">+(AG587*$X$1-$X587-$Y587)/(AG587*$X$1)</f>
        <v>0.39472469502143082</v>
      </c>
      <c r="AI587" s="100"/>
      <c r="AJ587" s="111">
        <f t="shared" ref="AJ587:AJ611" si="497">+IFERROR(ROUND(($X587+$Y587)/(1-$AJ$2)/$X$1,1),0)</f>
        <v>3.2</v>
      </c>
      <c r="AK587" s="262">
        <f t="shared" ref="AK587:AK611" si="498">+(AJ587*$X$1-$X587-$Y587)/(AJ587*$X$1)</f>
        <v>0.35689498846027035</v>
      </c>
      <c r="AL587" s="100"/>
      <c r="AM587" s="111">
        <f t="shared" ref="AM587:AM611" si="499">+IFERROR(ROUND(($X587+$Y587)/(1-$AM$2)/$X$1,1),0)</f>
        <v>2.9</v>
      </c>
      <c r="AN587" s="262">
        <f t="shared" ref="AN587:AN611" si="500">+(AM587*$X$1-$X587-$Y587)/(AM587*$X$1)</f>
        <v>0.29036688381822923</v>
      </c>
      <c r="AO587" s="100"/>
      <c r="AP587" s="24" t="e">
        <f>VLOOKUP(C587,#REF!,6,FALSE)</f>
        <v>#REF!</v>
      </c>
      <c r="AQ587" s="24" t="e">
        <f>VLOOKUP(C587,#REF!,7,FALSE)</f>
        <v>#REF!</v>
      </c>
      <c r="AR587" s="24" t="e">
        <f>VLOOKUP(C587,#REF!,12,FALSE)</f>
        <v>#REF!</v>
      </c>
      <c r="AS587" s="24" t="e">
        <f>VLOOKUP(C587,#REF!,13,FALSE)</f>
        <v>#REF!</v>
      </c>
      <c r="AT587" s="100"/>
      <c r="AU587" s="100"/>
      <c r="AV587" s="100">
        <v>571</v>
      </c>
      <c r="AW587" s="100"/>
      <c r="AY587" s="9">
        <v>16500</v>
      </c>
    </row>
    <row r="588" spans="1:51" s="2" customFormat="1" ht="12.75" customHeight="1" x14ac:dyDescent="0.2">
      <c r="A588" s="6" t="s">
        <v>2381</v>
      </c>
      <c r="B588" s="153">
        <v>9789500217033</v>
      </c>
      <c r="C588" s="363">
        <v>747647</v>
      </c>
      <c r="D588" s="41">
        <v>16</v>
      </c>
      <c r="E588" s="8" t="s">
        <v>2373</v>
      </c>
      <c r="F588" s="6" t="s">
        <v>2382</v>
      </c>
      <c r="G588" s="107">
        <v>46204</v>
      </c>
      <c r="H588" s="108">
        <v>46174</v>
      </c>
      <c r="I588" s="116">
        <v>4000</v>
      </c>
      <c r="J588" s="315" t="s">
        <v>1867</v>
      </c>
      <c r="K588" s="292">
        <v>3120.86</v>
      </c>
      <c r="L588" s="9">
        <v>16500</v>
      </c>
      <c r="M588" s="9"/>
      <c r="N588" s="9">
        <f t="shared" si="482"/>
        <v>8250</v>
      </c>
      <c r="O588" s="9">
        <f t="shared" si="483"/>
        <v>5129.1399999999994</v>
      </c>
      <c r="P588" s="9">
        <f t="shared" si="484"/>
        <v>3120.86</v>
      </c>
      <c r="Q588" s="139">
        <f t="shared" si="485"/>
        <v>0.62171393939393937</v>
      </c>
      <c r="R588" s="389">
        <v>16500</v>
      </c>
      <c r="S588" s="359" t="s">
        <v>1948</v>
      </c>
      <c r="T588" s="305">
        <v>0.57513266331658286</v>
      </c>
      <c r="U588" s="36"/>
      <c r="V588" s="100"/>
      <c r="W588" s="110">
        <f t="shared" si="486"/>
        <v>16500</v>
      </c>
      <c r="X588" s="110">
        <f t="shared" si="487"/>
        <v>3120.86</v>
      </c>
      <c r="Y588" s="110">
        <f t="shared" si="488"/>
        <v>0</v>
      </c>
      <c r="Z588" s="110">
        <f t="shared" si="489"/>
        <v>5129.1399999999994</v>
      </c>
      <c r="AA588" s="260">
        <f t="shared" si="490"/>
        <v>0.62171393939393937</v>
      </c>
      <c r="AB588" s="28">
        <f t="shared" si="491"/>
        <v>5.4</v>
      </c>
      <c r="AC588" s="261">
        <f t="shared" si="492"/>
        <v>0.61890073390238243</v>
      </c>
      <c r="AD588" s="111">
        <f t="shared" si="493"/>
        <v>2.2000000000000002</v>
      </c>
      <c r="AE588" s="262">
        <f t="shared" si="494"/>
        <v>6.4574528669484169E-2</v>
      </c>
      <c r="AF588" s="100"/>
      <c r="AG588" s="111">
        <f t="shared" si="495"/>
        <v>3.4</v>
      </c>
      <c r="AH588" s="262">
        <f t="shared" si="496"/>
        <v>0.39472469502143082</v>
      </c>
      <c r="AI588" s="100"/>
      <c r="AJ588" s="111">
        <f t="shared" si="497"/>
        <v>3.2</v>
      </c>
      <c r="AK588" s="262">
        <f t="shared" si="498"/>
        <v>0.35689498846027035</v>
      </c>
      <c r="AL588" s="100"/>
      <c r="AM588" s="111">
        <f t="shared" si="499"/>
        <v>2.9</v>
      </c>
      <c r="AN588" s="262">
        <f t="shared" si="500"/>
        <v>0.29036688381822923</v>
      </c>
      <c r="AO588" s="100"/>
      <c r="AP588" s="24" t="e">
        <f>VLOOKUP(C588,#REF!,6,FALSE)</f>
        <v>#REF!</v>
      </c>
      <c r="AQ588" s="24" t="e">
        <f>VLOOKUP(C588,#REF!,7,FALSE)</f>
        <v>#REF!</v>
      </c>
      <c r="AR588" s="24" t="e">
        <f>VLOOKUP(C588,#REF!,12,FALSE)</f>
        <v>#REF!</v>
      </c>
      <c r="AS588" s="24" t="e">
        <f>VLOOKUP(C588,#REF!,13,FALSE)</f>
        <v>#REF!</v>
      </c>
      <c r="AT588" s="100"/>
      <c r="AU588" s="100"/>
      <c r="AV588" s="100">
        <v>572</v>
      </c>
      <c r="AW588" s="100"/>
      <c r="AY588" s="9">
        <v>16500</v>
      </c>
    </row>
    <row r="589" spans="1:51" s="2" customFormat="1" ht="12.75" customHeight="1" x14ac:dyDescent="0.2">
      <c r="A589" s="6" t="s">
        <v>2157</v>
      </c>
      <c r="B589" s="153">
        <v>9789500216227</v>
      </c>
      <c r="C589" s="6">
        <v>735114</v>
      </c>
      <c r="D589" s="41">
        <v>44</v>
      </c>
      <c r="E589" s="6" t="s">
        <v>2158</v>
      </c>
      <c r="F589" s="6" t="s">
        <v>2161</v>
      </c>
      <c r="G589" s="107">
        <v>45931</v>
      </c>
      <c r="H589" s="108">
        <v>45901</v>
      </c>
      <c r="I589" s="7">
        <v>3090</v>
      </c>
      <c r="J589" s="176" t="s">
        <v>2160</v>
      </c>
      <c r="K589" s="292">
        <v>4227.43</v>
      </c>
      <c r="L589" s="9">
        <v>19900</v>
      </c>
      <c r="M589" s="9"/>
      <c r="N589" s="9">
        <f t="shared" si="482"/>
        <v>9950</v>
      </c>
      <c r="O589" s="9">
        <f t="shared" si="483"/>
        <v>5722.57</v>
      </c>
      <c r="P589" s="9">
        <f t="shared" si="484"/>
        <v>4227.43</v>
      </c>
      <c r="Q589" s="139">
        <f t="shared" si="485"/>
        <v>0.57513266331658286</v>
      </c>
      <c r="R589" s="387">
        <v>19900</v>
      </c>
      <c r="S589" s="359" t="s">
        <v>1948</v>
      </c>
      <c r="T589" s="305">
        <v>0.57513266331658286</v>
      </c>
      <c r="U589" s="36"/>
      <c r="V589" s="100"/>
      <c r="W589" s="110">
        <f t="shared" si="486"/>
        <v>19900</v>
      </c>
      <c r="X589" s="110">
        <f t="shared" si="487"/>
        <v>4227.43</v>
      </c>
      <c r="Y589" s="110">
        <f t="shared" si="488"/>
        <v>0</v>
      </c>
      <c r="Z589" s="110">
        <f t="shared" si="489"/>
        <v>5722.57</v>
      </c>
      <c r="AA589" s="260">
        <f t="shared" si="490"/>
        <v>0.57513266331658286</v>
      </c>
      <c r="AB589" s="28">
        <f t="shared" si="491"/>
        <v>6.6</v>
      </c>
      <c r="AC589" s="261">
        <f t="shared" si="492"/>
        <v>0.57763290671302536</v>
      </c>
      <c r="AD589" s="111">
        <f t="shared" si="493"/>
        <v>2.9</v>
      </c>
      <c r="AE589" s="262">
        <f t="shared" si="494"/>
        <v>3.8750753208954193E-2</v>
      </c>
      <c r="AF589" s="100"/>
      <c r="AG589" s="111">
        <f t="shared" si="495"/>
        <v>4.5999999999999996</v>
      </c>
      <c r="AH589" s="262">
        <f t="shared" si="496"/>
        <v>0.39399504006651465</v>
      </c>
      <c r="AI589" s="100"/>
      <c r="AJ589" s="111">
        <f t="shared" si="497"/>
        <v>4.3</v>
      </c>
      <c r="AK589" s="262">
        <f t="shared" si="498"/>
        <v>0.35171562425720171</v>
      </c>
      <c r="AL589" s="100"/>
      <c r="AM589" s="111">
        <f t="shared" si="499"/>
        <v>4</v>
      </c>
      <c r="AN589" s="262">
        <f t="shared" si="500"/>
        <v>0.30309429607649185</v>
      </c>
      <c r="AO589" s="100"/>
      <c r="AP589" s="24" t="e">
        <f>VLOOKUP(C589,#REF!,6,FALSE)</f>
        <v>#REF!</v>
      </c>
      <c r="AQ589" s="24" t="e">
        <f>VLOOKUP(C589,#REF!,7,FALSE)</f>
        <v>#REF!</v>
      </c>
      <c r="AR589" s="24" t="e">
        <f>VLOOKUP(C589,#REF!,12,FALSE)</f>
        <v>#REF!</v>
      </c>
      <c r="AS589" s="24" t="e">
        <f>VLOOKUP(C589,#REF!,13,FALSE)</f>
        <v>#REF!</v>
      </c>
      <c r="AT589" s="100"/>
      <c r="AU589" s="100"/>
      <c r="AV589" s="100">
        <v>573</v>
      </c>
      <c r="AW589" s="100"/>
      <c r="AY589" s="9">
        <v>19900</v>
      </c>
    </row>
    <row r="590" spans="1:51" s="2" customFormat="1" ht="12.75" customHeight="1" x14ac:dyDescent="0.2">
      <c r="A590" s="6" t="s">
        <v>2159</v>
      </c>
      <c r="B590" s="153">
        <v>9789500216234</v>
      </c>
      <c r="C590" s="6">
        <v>735115</v>
      </c>
      <c r="D590" s="41">
        <v>44</v>
      </c>
      <c r="E590" s="6" t="s">
        <v>2158</v>
      </c>
      <c r="F590" s="6" t="s">
        <v>2162</v>
      </c>
      <c r="G590" s="107">
        <v>45931</v>
      </c>
      <c r="H590" s="108">
        <v>45901</v>
      </c>
      <c r="I590" s="7">
        <v>3090</v>
      </c>
      <c r="J590" s="176" t="s">
        <v>2160</v>
      </c>
      <c r="K590" s="148">
        <v>4227.43</v>
      </c>
      <c r="L590" s="9">
        <v>19900</v>
      </c>
      <c r="M590" s="9"/>
      <c r="N590" s="9">
        <f t="shared" si="482"/>
        <v>9950</v>
      </c>
      <c r="O590" s="9">
        <f t="shared" si="483"/>
        <v>5722.57</v>
      </c>
      <c r="P590" s="9">
        <f t="shared" si="484"/>
        <v>4227.43</v>
      </c>
      <c r="Q590" s="139">
        <f t="shared" si="485"/>
        <v>0.57513266331658286</v>
      </c>
      <c r="R590" s="387">
        <v>19900</v>
      </c>
      <c r="S590" s="359" t="s">
        <v>1948</v>
      </c>
      <c r="T590" s="305">
        <v>0.57513266331658286</v>
      </c>
      <c r="U590" s="36"/>
      <c r="V590" s="100"/>
      <c r="W590" s="110">
        <f t="shared" si="486"/>
        <v>19900</v>
      </c>
      <c r="X590" s="110">
        <f t="shared" si="487"/>
        <v>4227.43</v>
      </c>
      <c r="Y590" s="110">
        <f t="shared" si="488"/>
        <v>0</v>
      </c>
      <c r="Z590" s="110">
        <f t="shared" si="489"/>
        <v>5722.57</v>
      </c>
      <c r="AA590" s="260">
        <f t="shared" si="490"/>
        <v>0.57513266331658286</v>
      </c>
      <c r="AB590" s="28">
        <f t="shared" si="491"/>
        <v>6.6</v>
      </c>
      <c r="AC590" s="261">
        <f t="shared" si="492"/>
        <v>0.57763290671302536</v>
      </c>
      <c r="AD590" s="111">
        <f t="shared" si="493"/>
        <v>2.9</v>
      </c>
      <c r="AE590" s="262">
        <f t="shared" si="494"/>
        <v>3.8750753208954193E-2</v>
      </c>
      <c r="AF590" s="100"/>
      <c r="AG590" s="111">
        <f t="shared" si="495"/>
        <v>4.5999999999999996</v>
      </c>
      <c r="AH590" s="262">
        <f t="shared" si="496"/>
        <v>0.39399504006651465</v>
      </c>
      <c r="AI590" s="100"/>
      <c r="AJ590" s="111">
        <f t="shared" si="497"/>
        <v>4.3</v>
      </c>
      <c r="AK590" s="262">
        <f t="shared" si="498"/>
        <v>0.35171562425720171</v>
      </c>
      <c r="AL590" s="100"/>
      <c r="AM590" s="111">
        <f t="shared" si="499"/>
        <v>4</v>
      </c>
      <c r="AN590" s="262">
        <f t="shared" si="500"/>
        <v>0.30309429607649185</v>
      </c>
      <c r="AO590" s="100"/>
      <c r="AP590" s="24" t="e">
        <f>VLOOKUP(C590,#REF!,6,FALSE)</f>
        <v>#REF!</v>
      </c>
      <c r="AQ590" s="24" t="e">
        <f>VLOOKUP(C590,#REF!,7,FALSE)</f>
        <v>#REF!</v>
      </c>
      <c r="AR590" s="24" t="e">
        <f>VLOOKUP(C590,#REF!,12,FALSE)</f>
        <v>#REF!</v>
      </c>
      <c r="AS590" s="24" t="e">
        <f>VLOOKUP(C590,#REF!,13,FALSE)</f>
        <v>#REF!</v>
      </c>
      <c r="AT590" s="100"/>
      <c r="AU590" s="100"/>
      <c r="AV590" s="100">
        <v>574</v>
      </c>
      <c r="AW590" s="100"/>
      <c r="AY590" s="9">
        <v>19900</v>
      </c>
    </row>
    <row r="591" spans="1:51" s="2" customFormat="1" ht="12.75" customHeight="1" x14ac:dyDescent="0.2">
      <c r="A591" s="6" t="s">
        <v>2129</v>
      </c>
      <c r="B591" s="8">
        <v>9789500216043</v>
      </c>
      <c r="C591" s="6">
        <v>734395</v>
      </c>
      <c r="D591" s="41">
        <v>8</v>
      </c>
      <c r="E591" s="8" t="s">
        <v>2130</v>
      </c>
      <c r="F591" s="7" t="s">
        <v>2137</v>
      </c>
      <c r="G591" s="107">
        <v>45901</v>
      </c>
      <c r="H591" s="108">
        <v>45870</v>
      </c>
      <c r="I591" s="264">
        <v>3024</v>
      </c>
      <c r="J591" s="8" t="s">
        <v>2258</v>
      </c>
      <c r="K591" s="148">
        <v>6959.55</v>
      </c>
      <c r="L591" s="9">
        <v>34000</v>
      </c>
      <c r="M591" s="9"/>
      <c r="N591" s="9">
        <f t="shared" si="482"/>
        <v>17000</v>
      </c>
      <c r="O591" s="9">
        <f t="shared" si="483"/>
        <v>10040.450000000001</v>
      </c>
      <c r="P591" s="9">
        <f t="shared" si="484"/>
        <v>6959.55</v>
      </c>
      <c r="Q591" s="139">
        <f t="shared" si="485"/>
        <v>0.59061470588235299</v>
      </c>
      <c r="R591" s="387">
        <v>34000</v>
      </c>
      <c r="S591" s="359" t="s">
        <v>1948</v>
      </c>
      <c r="T591" s="305">
        <v>0.59061470588235299</v>
      </c>
      <c r="U591" s="36"/>
      <c r="V591" s="100"/>
      <c r="W591" s="110">
        <f t="shared" si="486"/>
        <v>34000</v>
      </c>
      <c r="X591" s="110">
        <f t="shared" si="487"/>
        <v>6959.55</v>
      </c>
      <c r="Y591" s="110">
        <f t="shared" si="488"/>
        <v>0</v>
      </c>
      <c r="Z591" s="110">
        <f t="shared" si="489"/>
        <v>10040.450000000001</v>
      </c>
      <c r="AA591" s="260">
        <f t="shared" si="490"/>
        <v>0.59061470588235299</v>
      </c>
      <c r="AB591" s="28">
        <f t="shared" si="491"/>
        <v>11.2</v>
      </c>
      <c r="AC591" s="261">
        <f t="shared" si="492"/>
        <v>0.59024833969195989</v>
      </c>
      <c r="AD591" s="111">
        <f t="shared" si="493"/>
        <v>4.8</v>
      </c>
      <c r="AE591" s="262">
        <f t="shared" si="494"/>
        <v>4.3912792614572982E-2</v>
      </c>
      <c r="AF591" s="100"/>
      <c r="AG591" s="111">
        <f t="shared" si="495"/>
        <v>7.6</v>
      </c>
      <c r="AH591" s="262">
        <f t="shared" si="496"/>
        <v>0.39615544796709873</v>
      </c>
      <c r="AI591" s="100"/>
      <c r="AJ591" s="111">
        <f t="shared" si="497"/>
        <v>7.1</v>
      </c>
      <c r="AK591" s="262">
        <f t="shared" si="498"/>
        <v>0.35363118373942959</v>
      </c>
      <c r="AL591" s="100"/>
      <c r="AM591" s="111">
        <f t="shared" si="499"/>
        <v>6.6</v>
      </c>
      <c r="AN591" s="262">
        <f t="shared" si="500"/>
        <v>0.30466384917423489</v>
      </c>
      <c r="AO591" s="100"/>
      <c r="AP591" s="24" t="e">
        <f>VLOOKUP(C591,#REF!,6,FALSE)</f>
        <v>#REF!</v>
      </c>
      <c r="AQ591" s="24" t="e">
        <f>VLOOKUP(C591,#REF!,7,FALSE)</f>
        <v>#REF!</v>
      </c>
      <c r="AR591" s="24" t="e">
        <f>VLOOKUP(C591,#REF!,12,FALSE)</f>
        <v>#REF!</v>
      </c>
      <c r="AS591" s="24" t="e">
        <f>VLOOKUP(C591,#REF!,13,FALSE)</f>
        <v>#REF!</v>
      </c>
      <c r="AT591" s="100"/>
      <c r="AU591" s="100"/>
      <c r="AV591" s="100">
        <v>575</v>
      </c>
      <c r="AW591" s="100"/>
      <c r="AY591" s="9">
        <v>34000</v>
      </c>
    </row>
    <row r="592" spans="1:51" s="132" customFormat="1" ht="12.75" customHeight="1" x14ac:dyDescent="0.2">
      <c r="A592" s="6" t="s">
        <v>2350</v>
      </c>
      <c r="B592" s="8">
        <v>9789500217811</v>
      </c>
      <c r="C592" s="8">
        <v>745993</v>
      </c>
      <c r="D592" s="8">
        <v>32</v>
      </c>
      <c r="E592" s="6" t="s">
        <v>2351</v>
      </c>
      <c r="F592" s="6" t="s">
        <v>2352</v>
      </c>
      <c r="G592" s="107">
        <v>46174</v>
      </c>
      <c r="H592" s="108">
        <v>46143</v>
      </c>
      <c r="I592" s="116">
        <v>5090</v>
      </c>
      <c r="J592" s="8" t="s">
        <v>1762</v>
      </c>
      <c r="K592" s="148">
        <v>1910.77</v>
      </c>
      <c r="L592" s="352">
        <v>11500</v>
      </c>
      <c r="M592" s="112"/>
      <c r="N592" s="9">
        <f t="shared" si="482"/>
        <v>5750</v>
      </c>
      <c r="O592" s="9">
        <f t="shared" si="483"/>
        <v>3839.23</v>
      </c>
      <c r="P592" s="9">
        <f t="shared" si="484"/>
        <v>1910.77</v>
      </c>
      <c r="Q592" s="139">
        <f t="shared" si="485"/>
        <v>0.66769217391304347</v>
      </c>
      <c r="R592" s="387">
        <v>11500</v>
      </c>
      <c r="S592" s="359" t="s">
        <v>1948</v>
      </c>
      <c r="T592" s="305">
        <v>0.63604380952380957</v>
      </c>
      <c r="U592" s="144"/>
      <c r="V592" s="100"/>
      <c r="W592" s="110">
        <f t="shared" si="486"/>
        <v>11500</v>
      </c>
      <c r="X592" s="110">
        <f t="shared" si="487"/>
        <v>1910.77</v>
      </c>
      <c r="Y592" s="110">
        <f t="shared" si="488"/>
        <v>0</v>
      </c>
      <c r="Z592" s="110">
        <f t="shared" si="489"/>
        <v>3839.23</v>
      </c>
      <c r="AA592" s="260">
        <f t="shared" si="490"/>
        <v>0.66769217391304347</v>
      </c>
      <c r="AB592" s="28">
        <f t="shared" si="491"/>
        <v>3.8</v>
      </c>
      <c r="AC592" s="261">
        <f t="shared" si="492"/>
        <v>0.66842452322695955</v>
      </c>
      <c r="AD592" s="111">
        <f t="shared" si="493"/>
        <v>1.3</v>
      </c>
      <c r="AE592" s="262">
        <f t="shared" si="494"/>
        <v>3.0779375586497279E-2</v>
      </c>
      <c r="AF592" s="100"/>
      <c r="AG592" s="111">
        <f t="shared" si="495"/>
        <v>2.1</v>
      </c>
      <c r="AH592" s="262">
        <f t="shared" si="496"/>
        <v>0.40000628012497452</v>
      </c>
      <c r="AI592" s="100"/>
      <c r="AJ592" s="111">
        <f t="shared" si="497"/>
        <v>1.9</v>
      </c>
      <c r="AK592" s="262">
        <f t="shared" si="498"/>
        <v>0.33684904645391917</v>
      </c>
      <c r="AL592" s="100"/>
      <c r="AM592" s="111">
        <f t="shared" si="499"/>
        <v>1.8</v>
      </c>
      <c r="AN592" s="262">
        <f t="shared" si="500"/>
        <v>0.30000732681247033</v>
      </c>
      <c r="AO592" s="100"/>
      <c r="AP592" s="24" t="e">
        <f>VLOOKUP(C592,#REF!,6,FALSE)</f>
        <v>#REF!</v>
      </c>
      <c r="AQ592" s="24" t="e">
        <f>VLOOKUP(C592,#REF!,7,FALSE)</f>
        <v>#REF!</v>
      </c>
      <c r="AR592" s="24" t="e">
        <f>VLOOKUP(C592,#REF!,12,FALSE)</f>
        <v>#REF!</v>
      </c>
      <c r="AS592" s="24" t="e">
        <f>VLOOKUP(C592,#REF!,13,FALSE)</f>
        <v>#REF!</v>
      </c>
      <c r="AT592" s="100"/>
      <c r="AU592" s="3"/>
      <c r="AV592" s="100">
        <v>576</v>
      </c>
      <c r="AW592" s="100"/>
      <c r="AY592" s="352">
        <v>11500</v>
      </c>
    </row>
    <row r="593" spans="1:51" s="132" customFormat="1" ht="12.75" customHeight="1" x14ac:dyDescent="0.2">
      <c r="A593" s="6" t="s">
        <v>2353</v>
      </c>
      <c r="B593" s="8">
        <v>9789500217804</v>
      </c>
      <c r="C593" s="8">
        <v>745994</v>
      </c>
      <c r="D593" s="8">
        <v>32</v>
      </c>
      <c r="E593" s="6" t="s">
        <v>2351</v>
      </c>
      <c r="F593" s="6" t="s">
        <v>2354</v>
      </c>
      <c r="G593" s="107">
        <v>46174</v>
      </c>
      <c r="H593" s="108">
        <v>46143</v>
      </c>
      <c r="I593" s="267">
        <v>5090</v>
      </c>
      <c r="J593" s="8" t="s">
        <v>1762</v>
      </c>
      <c r="K593" s="148">
        <v>1910.77</v>
      </c>
      <c r="L593" s="352">
        <v>11500</v>
      </c>
      <c r="M593" s="112"/>
      <c r="N593" s="9">
        <f t="shared" si="482"/>
        <v>5750</v>
      </c>
      <c r="O593" s="9">
        <f t="shared" si="483"/>
        <v>3839.23</v>
      </c>
      <c r="P593" s="9">
        <f t="shared" si="484"/>
        <v>1910.77</v>
      </c>
      <c r="Q593" s="139">
        <f t="shared" si="485"/>
        <v>0.66769217391304347</v>
      </c>
      <c r="R593" s="387">
        <v>11500</v>
      </c>
      <c r="S593" s="359" t="s">
        <v>1948</v>
      </c>
      <c r="T593" s="305">
        <v>0.63604380952380957</v>
      </c>
      <c r="U593" s="144"/>
      <c r="V593" s="100"/>
      <c r="W593" s="110">
        <f t="shared" si="486"/>
        <v>11500</v>
      </c>
      <c r="X593" s="110">
        <f t="shared" si="487"/>
        <v>1910.77</v>
      </c>
      <c r="Y593" s="110">
        <f t="shared" si="488"/>
        <v>0</v>
      </c>
      <c r="Z593" s="110">
        <f t="shared" si="489"/>
        <v>3839.23</v>
      </c>
      <c r="AA593" s="260">
        <f t="shared" si="490"/>
        <v>0.66769217391304347</v>
      </c>
      <c r="AB593" s="28">
        <f t="shared" si="491"/>
        <v>3.8</v>
      </c>
      <c r="AC593" s="261">
        <f t="shared" si="492"/>
        <v>0.66842452322695955</v>
      </c>
      <c r="AD593" s="111">
        <f t="shared" si="493"/>
        <v>1.3</v>
      </c>
      <c r="AE593" s="262">
        <f t="shared" si="494"/>
        <v>3.0779375586497279E-2</v>
      </c>
      <c r="AF593" s="100"/>
      <c r="AG593" s="111">
        <f t="shared" si="495"/>
        <v>2.1</v>
      </c>
      <c r="AH593" s="262">
        <f t="shared" si="496"/>
        <v>0.40000628012497452</v>
      </c>
      <c r="AI593" s="100"/>
      <c r="AJ593" s="111">
        <f t="shared" si="497"/>
        <v>1.9</v>
      </c>
      <c r="AK593" s="262">
        <f t="shared" si="498"/>
        <v>0.33684904645391917</v>
      </c>
      <c r="AL593" s="100"/>
      <c r="AM593" s="111">
        <f t="shared" si="499"/>
        <v>1.8</v>
      </c>
      <c r="AN593" s="262">
        <f t="shared" si="500"/>
        <v>0.30000732681247033</v>
      </c>
      <c r="AO593" s="100"/>
      <c r="AP593" s="24" t="e">
        <f>VLOOKUP(C593,#REF!,6,FALSE)</f>
        <v>#REF!</v>
      </c>
      <c r="AQ593" s="24" t="e">
        <f>VLOOKUP(C593,#REF!,7,FALSE)</f>
        <v>#REF!</v>
      </c>
      <c r="AR593" s="24" t="e">
        <f>VLOOKUP(C593,#REF!,12,FALSE)</f>
        <v>#REF!</v>
      </c>
      <c r="AS593" s="24" t="e">
        <f>VLOOKUP(C593,#REF!,13,FALSE)</f>
        <v>#REF!</v>
      </c>
      <c r="AT593" s="100"/>
      <c r="AU593" s="3"/>
      <c r="AV593" s="100">
        <v>577</v>
      </c>
      <c r="AW593" s="100"/>
      <c r="AY593" s="352">
        <v>11500</v>
      </c>
    </row>
    <row r="594" spans="1:51" s="2" customFormat="1" ht="12.75" customHeight="1" x14ac:dyDescent="0.2">
      <c r="A594" s="6" t="s">
        <v>2099</v>
      </c>
      <c r="B594" s="8">
        <v>9789500216623</v>
      </c>
      <c r="C594" s="6">
        <v>732721</v>
      </c>
      <c r="D594" s="41">
        <v>32</v>
      </c>
      <c r="E594" s="6" t="s">
        <v>2100</v>
      </c>
      <c r="F594" s="6" t="s">
        <v>2101</v>
      </c>
      <c r="G594" s="107">
        <v>45870</v>
      </c>
      <c r="H594" s="108">
        <v>45962</v>
      </c>
      <c r="I594" s="7">
        <v>4080</v>
      </c>
      <c r="J594" s="7" t="s">
        <v>1762</v>
      </c>
      <c r="K594" s="148">
        <v>1629.9</v>
      </c>
      <c r="L594" s="9">
        <v>11500</v>
      </c>
      <c r="M594" s="9"/>
      <c r="N594" s="9">
        <f t="shared" si="482"/>
        <v>5750</v>
      </c>
      <c r="O594" s="9">
        <f t="shared" si="483"/>
        <v>4120.1000000000004</v>
      </c>
      <c r="P594" s="9">
        <f t="shared" si="484"/>
        <v>1629.9</v>
      </c>
      <c r="Q594" s="139">
        <f t="shared" si="485"/>
        <v>0.71653913043478268</v>
      </c>
      <c r="R594" s="304">
        <v>11500</v>
      </c>
      <c r="S594" s="359" t="s">
        <v>1948</v>
      </c>
      <c r="T594" s="305">
        <v>0.68954285714285712</v>
      </c>
      <c r="U594" s="36"/>
      <c r="V594" s="100"/>
      <c r="W594" s="110">
        <f t="shared" si="486"/>
        <v>11500</v>
      </c>
      <c r="X594" s="110">
        <f t="shared" si="487"/>
        <v>1629.9</v>
      </c>
      <c r="Y594" s="110">
        <f t="shared" si="488"/>
        <v>0</v>
      </c>
      <c r="Z594" s="110">
        <f t="shared" si="489"/>
        <v>4120.1000000000004</v>
      </c>
      <c r="AA594" s="260">
        <f t="shared" si="490"/>
        <v>0.71653913043478268</v>
      </c>
      <c r="AB594" s="28">
        <f t="shared" si="491"/>
        <v>3.8</v>
      </c>
      <c r="AC594" s="261">
        <f t="shared" si="492"/>
        <v>0.71716382945494295</v>
      </c>
      <c r="AD594" s="111">
        <f t="shared" si="493"/>
        <v>1.1000000000000001</v>
      </c>
      <c r="AE594" s="262">
        <f t="shared" si="494"/>
        <v>2.2929592662530345E-2</v>
      </c>
      <c r="AF594" s="100"/>
      <c r="AG594" s="111">
        <f t="shared" si="495"/>
        <v>1.8</v>
      </c>
      <c r="AH594" s="262">
        <f t="shared" si="496"/>
        <v>0.40290141773821303</v>
      </c>
      <c r="AI594" s="100"/>
      <c r="AJ594" s="111">
        <f t="shared" si="497"/>
        <v>1.7</v>
      </c>
      <c r="AK594" s="262">
        <f t="shared" si="498"/>
        <v>0.36777797172281368</v>
      </c>
      <c r="AL594" s="100"/>
      <c r="AM594" s="111">
        <f t="shared" si="499"/>
        <v>1.5</v>
      </c>
      <c r="AN594" s="262">
        <f t="shared" si="500"/>
        <v>0.28348170128585554</v>
      </c>
      <c r="AO594" s="100"/>
      <c r="AP594" s="24" t="e">
        <f>VLOOKUP(C594,#REF!,6,FALSE)</f>
        <v>#REF!</v>
      </c>
      <c r="AQ594" s="24" t="e">
        <f>VLOOKUP(C594,#REF!,7,FALSE)</f>
        <v>#REF!</v>
      </c>
      <c r="AR594" s="24" t="e">
        <f>VLOOKUP(C594,#REF!,12,FALSE)</f>
        <v>#REF!</v>
      </c>
      <c r="AS594" s="24" t="e">
        <f>VLOOKUP(C594,#REF!,13,FALSE)</f>
        <v>#REF!</v>
      </c>
      <c r="AT594" s="100"/>
      <c r="AU594" s="100"/>
      <c r="AV594" s="100">
        <v>578</v>
      </c>
      <c r="AW594" s="100"/>
      <c r="AY594" s="9">
        <v>11500</v>
      </c>
    </row>
    <row r="595" spans="1:51" s="2" customFormat="1" ht="12.75" customHeight="1" x14ac:dyDescent="0.2">
      <c r="A595" s="6" t="s">
        <v>2102</v>
      </c>
      <c r="B595" s="8">
        <v>9789500216630</v>
      </c>
      <c r="C595" s="8">
        <v>732722</v>
      </c>
      <c r="D595" s="41">
        <v>32</v>
      </c>
      <c r="E595" s="6" t="s">
        <v>2100</v>
      </c>
      <c r="F595" s="6" t="s">
        <v>2103</v>
      </c>
      <c r="G595" s="107">
        <v>45870</v>
      </c>
      <c r="H595" s="108">
        <v>45962</v>
      </c>
      <c r="I595" s="7">
        <v>4080</v>
      </c>
      <c r="J595" s="7" t="s">
        <v>1762</v>
      </c>
      <c r="K595" s="148">
        <v>1629.9</v>
      </c>
      <c r="L595" s="9">
        <v>11500</v>
      </c>
      <c r="M595" s="112"/>
      <c r="N595" s="9">
        <f t="shared" si="482"/>
        <v>5750</v>
      </c>
      <c r="O595" s="9">
        <f t="shared" si="483"/>
        <v>4120.1000000000004</v>
      </c>
      <c r="P595" s="9">
        <f t="shared" si="484"/>
        <v>1629.9</v>
      </c>
      <c r="Q595" s="139">
        <f t="shared" si="485"/>
        <v>0.71653913043478268</v>
      </c>
      <c r="R595" s="304">
        <v>11500</v>
      </c>
      <c r="S595" s="359" t="s">
        <v>1948</v>
      </c>
      <c r="T595" s="305">
        <v>0.68954285714285712</v>
      </c>
      <c r="U595" s="36"/>
      <c r="V595" s="100"/>
      <c r="W595" s="110">
        <f t="shared" si="486"/>
        <v>11500</v>
      </c>
      <c r="X595" s="110">
        <f t="shared" si="487"/>
        <v>1629.9</v>
      </c>
      <c r="Y595" s="110">
        <f t="shared" si="488"/>
        <v>0</v>
      </c>
      <c r="Z595" s="110">
        <f t="shared" si="489"/>
        <v>4120.1000000000004</v>
      </c>
      <c r="AA595" s="260">
        <f t="shared" si="490"/>
        <v>0.71653913043478268</v>
      </c>
      <c r="AB595" s="28">
        <f t="shared" si="491"/>
        <v>3.8</v>
      </c>
      <c r="AC595" s="261">
        <f t="shared" si="492"/>
        <v>0.71716382945494295</v>
      </c>
      <c r="AD595" s="111">
        <f t="shared" si="493"/>
        <v>1.1000000000000001</v>
      </c>
      <c r="AE595" s="262">
        <f t="shared" si="494"/>
        <v>2.2929592662530345E-2</v>
      </c>
      <c r="AF595" s="100"/>
      <c r="AG595" s="111">
        <f t="shared" si="495"/>
        <v>1.8</v>
      </c>
      <c r="AH595" s="262">
        <f t="shared" si="496"/>
        <v>0.40290141773821303</v>
      </c>
      <c r="AI595" s="100"/>
      <c r="AJ595" s="111">
        <f t="shared" si="497"/>
        <v>1.7</v>
      </c>
      <c r="AK595" s="262">
        <f t="shared" si="498"/>
        <v>0.36777797172281368</v>
      </c>
      <c r="AL595" s="100"/>
      <c r="AM595" s="111">
        <f t="shared" si="499"/>
        <v>1.5</v>
      </c>
      <c r="AN595" s="262">
        <f t="shared" si="500"/>
        <v>0.28348170128585554</v>
      </c>
      <c r="AO595" s="100"/>
      <c r="AP595" s="24" t="e">
        <f>VLOOKUP(C595,#REF!,6,FALSE)</f>
        <v>#REF!</v>
      </c>
      <c r="AQ595" s="24" t="e">
        <f>VLOOKUP(C595,#REF!,7,FALSE)</f>
        <v>#REF!</v>
      </c>
      <c r="AR595" s="24" t="e">
        <f>VLOOKUP(C595,#REF!,12,FALSE)</f>
        <v>#REF!</v>
      </c>
      <c r="AS595" s="24" t="e">
        <f>VLOOKUP(C595,#REF!,13,FALSE)</f>
        <v>#REF!</v>
      </c>
      <c r="AT595" s="100"/>
      <c r="AU595" s="100"/>
      <c r="AV595" s="100">
        <v>579</v>
      </c>
      <c r="AW595" s="100"/>
      <c r="AY595" s="9">
        <v>11500</v>
      </c>
    </row>
    <row r="596" spans="1:51" s="2" customFormat="1" ht="12.75" customHeight="1" x14ac:dyDescent="0.2">
      <c r="A596" s="6" t="s">
        <v>1892</v>
      </c>
      <c r="B596" s="8">
        <v>9789500215381</v>
      </c>
      <c r="C596" s="8">
        <v>718920</v>
      </c>
      <c r="D596" s="41">
        <v>64</v>
      </c>
      <c r="E596" s="7" t="s">
        <v>1885</v>
      </c>
      <c r="F596" s="25" t="s">
        <v>1893</v>
      </c>
      <c r="G596" s="118">
        <v>45505</v>
      </c>
      <c r="H596" s="107">
        <v>45474</v>
      </c>
      <c r="I596" s="267">
        <v>3000</v>
      </c>
      <c r="J596" s="315" t="s">
        <v>1946</v>
      </c>
      <c r="K596" s="148">
        <v>1471.22</v>
      </c>
      <c r="L596" s="9">
        <v>18300</v>
      </c>
      <c r="M596" s="9"/>
      <c r="N596" s="9">
        <f t="shared" si="482"/>
        <v>9150</v>
      </c>
      <c r="O596" s="9">
        <f t="shared" si="483"/>
        <v>7678.78</v>
      </c>
      <c r="P596" s="9">
        <f t="shared" si="484"/>
        <v>1471.22</v>
      </c>
      <c r="Q596" s="139">
        <f t="shared" si="485"/>
        <v>0.83921092896174865</v>
      </c>
      <c r="R596" s="345">
        <v>18300</v>
      </c>
      <c r="S596" s="359" t="s">
        <v>1948</v>
      </c>
      <c r="T596" s="305">
        <v>0.83921092896174865</v>
      </c>
      <c r="U596" s="36"/>
      <c r="V596" s="100"/>
      <c r="W596" s="110">
        <f t="shared" si="486"/>
        <v>18300</v>
      </c>
      <c r="X596" s="110">
        <f t="shared" si="487"/>
        <v>1471.22</v>
      </c>
      <c r="Y596" s="110">
        <f t="shared" si="488"/>
        <v>0</v>
      </c>
      <c r="Z596" s="110">
        <f t="shared" si="489"/>
        <v>7678.78</v>
      </c>
      <c r="AA596" s="260">
        <f t="shared" si="490"/>
        <v>0.83921092896174865</v>
      </c>
      <c r="AB596" s="28">
        <f t="shared" si="491"/>
        <v>6</v>
      </c>
      <c r="AC596" s="261">
        <f t="shared" si="492"/>
        <v>0.8383097043631168</v>
      </c>
      <c r="AD596" s="111">
        <f t="shared" si="493"/>
        <v>1</v>
      </c>
      <c r="AE596" s="262">
        <f t="shared" si="494"/>
        <v>2.9858226178700938E-2</v>
      </c>
      <c r="AF596" s="100"/>
      <c r="AG596" s="111">
        <f t="shared" si="495"/>
        <v>1.6</v>
      </c>
      <c r="AH596" s="262">
        <f t="shared" si="496"/>
        <v>0.3936613913616881</v>
      </c>
      <c r="AI596" s="100"/>
      <c r="AJ596" s="111">
        <f t="shared" si="497"/>
        <v>1.5</v>
      </c>
      <c r="AK596" s="262">
        <f t="shared" si="498"/>
        <v>0.35323881745246727</v>
      </c>
      <c r="AL596" s="100"/>
      <c r="AM596" s="111">
        <f t="shared" si="499"/>
        <v>1.4</v>
      </c>
      <c r="AN596" s="262">
        <f t="shared" si="500"/>
        <v>0.30704159012764348</v>
      </c>
      <c r="AO596" s="100"/>
      <c r="AP596" s="24" t="e">
        <f>VLOOKUP(C596,#REF!,6,FALSE)</f>
        <v>#REF!</v>
      </c>
      <c r="AQ596" s="24" t="e">
        <f>VLOOKUP(C596,#REF!,7,FALSE)</f>
        <v>#REF!</v>
      </c>
      <c r="AR596" s="24" t="e">
        <f>VLOOKUP(C596,#REF!,12,FALSE)</f>
        <v>#REF!</v>
      </c>
      <c r="AS596" s="24" t="e">
        <f>VLOOKUP(C596,#REF!,13,FALSE)</f>
        <v>#REF!</v>
      </c>
      <c r="AT596" s="100"/>
      <c r="AU596" s="100"/>
      <c r="AV596" s="100">
        <v>580</v>
      </c>
      <c r="AW596" s="100"/>
      <c r="AY596" s="9">
        <v>18300</v>
      </c>
    </row>
    <row r="597" spans="1:51" s="2" customFormat="1" ht="12.75" customHeight="1" x14ac:dyDescent="0.2">
      <c r="A597" s="7" t="s">
        <v>1826</v>
      </c>
      <c r="B597" s="8">
        <v>9789500215039</v>
      </c>
      <c r="C597" s="8">
        <v>715426</v>
      </c>
      <c r="D597" s="25">
        <v>64</v>
      </c>
      <c r="E597" s="7" t="s">
        <v>366</v>
      </c>
      <c r="F597" s="25" t="s">
        <v>1827</v>
      </c>
      <c r="G597" s="107">
        <v>45413</v>
      </c>
      <c r="H597" s="108">
        <v>45474</v>
      </c>
      <c r="I597" s="264">
        <v>2000</v>
      </c>
      <c r="J597" s="315" t="s">
        <v>1946</v>
      </c>
      <c r="K597" s="9">
        <v>1181.76</v>
      </c>
      <c r="L597" s="9">
        <v>18300</v>
      </c>
      <c r="M597" s="112"/>
      <c r="N597" s="9">
        <f t="shared" si="482"/>
        <v>9150</v>
      </c>
      <c r="O597" s="9">
        <f t="shared" si="483"/>
        <v>7968.24</v>
      </c>
      <c r="P597" s="9">
        <f t="shared" si="484"/>
        <v>1181.76</v>
      </c>
      <c r="Q597" s="139">
        <f t="shared" si="485"/>
        <v>0.87084590163934428</v>
      </c>
      <c r="R597" s="345">
        <v>18300</v>
      </c>
      <c r="S597" s="359" t="s">
        <v>1948</v>
      </c>
      <c r="T597" s="305">
        <v>0.87084590163934428</v>
      </c>
      <c r="U597" s="36"/>
      <c r="V597" s="100"/>
      <c r="W597" s="110">
        <f t="shared" si="486"/>
        <v>18300</v>
      </c>
      <c r="X597" s="110">
        <f t="shared" si="487"/>
        <v>1181.76</v>
      </c>
      <c r="Y597" s="110">
        <f t="shared" si="488"/>
        <v>0</v>
      </c>
      <c r="Z597" s="110">
        <f t="shared" si="489"/>
        <v>7968.24</v>
      </c>
      <c r="AA597" s="260">
        <f t="shared" si="490"/>
        <v>0.87084590163934428</v>
      </c>
      <c r="AB597" s="28">
        <f t="shared" si="491"/>
        <v>6</v>
      </c>
      <c r="AC597" s="261">
        <f t="shared" si="492"/>
        <v>0.87012199142762936</v>
      </c>
      <c r="AD597" s="111">
        <f t="shared" si="493"/>
        <v>0.8</v>
      </c>
      <c r="AE597" s="262">
        <f t="shared" si="494"/>
        <v>2.5914935707220619E-2</v>
      </c>
      <c r="AF597" s="100"/>
      <c r="AG597" s="111">
        <f t="shared" si="495"/>
        <v>1.3</v>
      </c>
      <c r="AH597" s="262">
        <f t="shared" si="496"/>
        <v>0.40056303735828958</v>
      </c>
      <c r="AI597" s="100"/>
      <c r="AJ597" s="111">
        <f t="shared" si="497"/>
        <v>1.2</v>
      </c>
      <c r="AK597" s="262">
        <f t="shared" si="498"/>
        <v>0.35060995713814702</v>
      </c>
      <c r="AL597" s="100"/>
      <c r="AM597" s="111">
        <f t="shared" si="499"/>
        <v>1.1000000000000001</v>
      </c>
      <c r="AN597" s="262">
        <f t="shared" si="500"/>
        <v>0.29157449869616048</v>
      </c>
      <c r="AO597" s="100"/>
      <c r="AP597" s="24" t="e">
        <f>VLOOKUP(C597,#REF!,6,FALSE)</f>
        <v>#REF!</v>
      </c>
      <c r="AQ597" s="24" t="e">
        <f>VLOOKUP(C597,#REF!,7,FALSE)</f>
        <v>#REF!</v>
      </c>
      <c r="AR597" s="24" t="e">
        <f>VLOOKUP(C597,#REF!,12,FALSE)</f>
        <v>#REF!</v>
      </c>
      <c r="AS597" s="24" t="e">
        <f>VLOOKUP(C597,#REF!,13,FALSE)</f>
        <v>#REF!</v>
      </c>
      <c r="AT597" s="100"/>
      <c r="AU597" s="100"/>
      <c r="AV597" s="100">
        <v>581</v>
      </c>
      <c r="AW597" s="100"/>
      <c r="AY597" s="9">
        <v>18300</v>
      </c>
    </row>
    <row r="598" spans="1:51" s="132" customFormat="1" ht="12.75" customHeight="1" x14ac:dyDescent="0.2">
      <c r="A598" s="38" t="s">
        <v>1429</v>
      </c>
      <c r="B598" s="37">
        <v>9789500214711</v>
      </c>
      <c r="C598" s="37">
        <v>713085</v>
      </c>
      <c r="D598" s="198">
        <v>64</v>
      </c>
      <c r="E598" s="38" t="s">
        <v>366</v>
      </c>
      <c r="F598" s="38" t="s">
        <v>871</v>
      </c>
      <c r="G598" s="107">
        <v>45292</v>
      </c>
      <c r="H598" s="108">
        <v>45261</v>
      </c>
      <c r="I598" s="7">
        <v>5100</v>
      </c>
      <c r="J598" s="315" t="s">
        <v>1946</v>
      </c>
      <c r="K598" s="148">
        <v>698.69</v>
      </c>
      <c r="L598" s="35">
        <v>18300</v>
      </c>
      <c r="M598" s="112"/>
      <c r="N598" s="9">
        <f t="shared" si="482"/>
        <v>9150</v>
      </c>
      <c r="O598" s="9">
        <f t="shared" si="483"/>
        <v>8451.31</v>
      </c>
      <c r="P598" s="9">
        <f t="shared" si="484"/>
        <v>698.69</v>
      </c>
      <c r="Q598" s="139">
        <f t="shared" si="485"/>
        <v>0.92364043715846988</v>
      </c>
      <c r="R598" s="345">
        <v>18300</v>
      </c>
      <c r="S598" s="359" t="s">
        <v>1948</v>
      </c>
      <c r="T598" s="305">
        <v>0.92364043715846988</v>
      </c>
      <c r="U598" s="36"/>
      <c r="V598" s="100"/>
      <c r="W598" s="110">
        <f t="shared" si="486"/>
        <v>18300</v>
      </c>
      <c r="X598" s="110">
        <f t="shared" si="487"/>
        <v>698.69</v>
      </c>
      <c r="Y598" s="110">
        <f t="shared" si="488"/>
        <v>0</v>
      </c>
      <c r="Z598" s="110">
        <f t="shared" si="489"/>
        <v>8451.31</v>
      </c>
      <c r="AA598" s="260">
        <f t="shared" si="490"/>
        <v>0.92364043715846988</v>
      </c>
      <c r="AB598" s="28">
        <f t="shared" si="491"/>
        <v>6</v>
      </c>
      <c r="AC598" s="261">
        <f t="shared" si="492"/>
        <v>0.92321244092757437</v>
      </c>
      <c r="AD598" s="111">
        <f t="shared" si="493"/>
        <v>0.5</v>
      </c>
      <c r="AE598" s="262">
        <f t="shared" si="494"/>
        <v>7.8549291130893428E-2</v>
      </c>
      <c r="AF598" s="100"/>
      <c r="AG598" s="111">
        <f t="shared" si="495"/>
        <v>0.8</v>
      </c>
      <c r="AH598" s="262">
        <f t="shared" si="496"/>
        <v>0.42409330695680841</v>
      </c>
      <c r="AI598" s="100"/>
      <c r="AJ598" s="111">
        <f t="shared" si="497"/>
        <v>0.7</v>
      </c>
      <c r="AK598" s="262">
        <f t="shared" si="498"/>
        <v>0.34182092223635241</v>
      </c>
      <c r="AL598" s="100"/>
      <c r="AM598" s="111">
        <f t="shared" si="499"/>
        <v>0.7</v>
      </c>
      <c r="AN598" s="262">
        <f t="shared" si="500"/>
        <v>0.34182092223635241</v>
      </c>
      <c r="AO598" s="100"/>
      <c r="AP598" s="24" t="e">
        <f>VLOOKUP(C598,#REF!,6,FALSE)</f>
        <v>#REF!</v>
      </c>
      <c r="AQ598" s="24" t="e">
        <f>VLOOKUP(C598,#REF!,7,FALSE)</f>
        <v>#REF!</v>
      </c>
      <c r="AR598" s="24" t="e">
        <f>VLOOKUP(C598,#REF!,12,FALSE)</f>
        <v>#REF!</v>
      </c>
      <c r="AS598" s="24" t="e">
        <f>VLOOKUP(C598,#REF!,13,FALSE)</f>
        <v>#REF!</v>
      </c>
      <c r="AT598" s="100"/>
      <c r="AU598" s="100"/>
      <c r="AV598" s="100">
        <v>582</v>
      </c>
      <c r="AW598" s="100"/>
      <c r="AY598" s="35">
        <v>18300</v>
      </c>
    </row>
    <row r="599" spans="1:51" s="132" customFormat="1" ht="12.75" customHeight="1" x14ac:dyDescent="0.2">
      <c r="A599" s="6" t="s">
        <v>1430</v>
      </c>
      <c r="B599" s="8">
        <v>9789500208888</v>
      </c>
      <c r="C599" s="8">
        <v>594410</v>
      </c>
      <c r="D599" s="25">
        <v>48</v>
      </c>
      <c r="E599" s="22" t="s">
        <v>1431</v>
      </c>
      <c r="F599" s="6" t="s">
        <v>233</v>
      </c>
      <c r="G599" s="107">
        <v>42217</v>
      </c>
      <c r="H599" s="108">
        <v>42186</v>
      </c>
      <c r="I599" s="24">
        <v>3150</v>
      </c>
      <c r="J599" s="28" t="s">
        <v>2136</v>
      </c>
      <c r="K599" s="28">
        <v>18.649999999999999</v>
      </c>
      <c r="L599" s="112">
        <v>7900</v>
      </c>
      <c r="M599" s="9">
        <f t="shared" ref="M599:M609" si="501">+L599*0.1</f>
        <v>790</v>
      </c>
      <c r="N599" s="9">
        <f t="shared" si="482"/>
        <v>3950</v>
      </c>
      <c r="O599" s="9">
        <f t="shared" si="483"/>
        <v>3141.35</v>
      </c>
      <c r="P599" s="9">
        <f t="shared" si="484"/>
        <v>808.65</v>
      </c>
      <c r="Q599" s="139">
        <f t="shared" si="485"/>
        <v>0.79527848101265819</v>
      </c>
      <c r="R599" s="345">
        <v>7900</v>
      </c>
      <c r="S599" s="359" t="s">
        <v>1948</v>
      </c>
      <c r="T599" s="305">
        <v>0.79527848101265819</v>
      </c>
      <c r="U599" s="144"/>
      <c r="V599" s="100"/>
      <c r="W599" s="110">
        <f t="shared" si="486"/>
        <v>7900</v>
      </c>
      <c r="X599" s="110">
        <f t="shared" si="487"/>
        <v>18.649999999999999</v>
      </c>
      <c r="Y599" s="110">
        <f t="shared" si="488"/>
        <v>790</v>
      </c>
      <c r="Z599" s="110">
        <f t="shared" si="489"/>
        <v>3141.35</v>
      </c>
      <c r="AA599" s="260">
        <f t="shared" si="490"/>
        <v>0.79527848101265819</v>
      </c>
      <c r="AB599" s="28">
        <f t="shared" si="491"/>
        <v>2.6</v>
      </c>
      <c r="AC599" s="261">
        <f t="shared" si="492"/>
        <v>0.79490983793654413</v>
      </c>
      <c r="AD599" s="111">
        <f t="shared" si="493"/>
        <v>0.6</v>
      </c>
      <c r="AE599" s="262">
        <f t="shared" si="494"/>
        <v>0.11127596439169139</v>
      </c>
      <c r="AF599" s="100"/>
      <c r="AG599" s="111">
        <f t="shared" si="495"/>
        <v>0.9</v>
      </c>
      <c r="AH599" s="262">
        <f t="shared" si="496"/>
        <v>0.40751730959446092</v>
      </c>
      <c r="AI599" s="100"/>
      <c r="AJ599" s="111">
        <f t="shared" si="497"/>
        <v>0.8</v>
      </c>
      <c r="AK599" s="262">
        <f t="shared" si="498"/>
        <v>0.3334569732937685</v>
      </c>
      <c r="AL599" s="100"/>
      <c r="AM599" s="111">
        <f t="shared" si="499"/>
        <v>0.8</v>
      </c>
      <c r="AN599" s="262">
        <f t="shared" si="500"/>
        <v>0.3334569732937685</v>
      </c>
      <c r="AO599" s="100"/>
      <c r="AP599" s="24" t="e">
        <f>VLOOKUP(C599,#REF!,6,FALSE)</f>
        <v>#REF!</v>
      </c>
      <c r="AQ599" s="24" t="e">
        <f>VLOOKUP(C599,#REF!,7,FALSE)</f>
        <v>#REF!</v>
      </c>
      <c r="AR599" s="24" t="e">
        <f>VLOOKUP(C599,#REF!,12,FALSE)</f>
        <v>#REF!</v>
      </c>
      <c r="AS599" s="24" t="e">
        <f>VLOOKUP(C599,#REF!,13,FALSE)</f>
        <v>#REF!</v>
      </c>
      <c r="AT599" s="100">
        <v>27</v>
      </c>
      <c r="AU599" s="100"/>
      <c r="AV599" s="100">
        <v>583</v>
      </c>
      <c r="AW599" s="100"/>
      <c r="AY599" s="112">
        <v>7900</v>
      </c>
    </row>
    <row r="600" spans="1:51" s="132" customFormat="1" ht="12.75" customHeight="1" x14ac:dyDescent="0.2">
      <c r="A600" s="6" t="s">
        <v>1432</v>
      </c>
      <c r="B600" s="8">
        <v>9789500213783</v>
      </c>
      <c r="C600" s="8">
        <v>707254</v>
      </c>
      <c r="D600" s="41">
        <v>36</v>
      </c>
      <c r="E600" s="7" t="s">
        <v>791</v>
      </c>
      <c r="F600" s="6" t="s">
        <v>806</v>
      </c>
      <c r="G600" s="107">
        <v>45108</v>
      </c>
      <c r="H600" s="108">
        <v>45078</v>
      </c>
      <c r="I600" s="7">
        <v>3142</v>
      </c>
      <c r="J600" s="6" t="s">
        <v>2136</v>
      </c>
      <c r="K600" s="117">
        <v>517.64</v>
      </c>
      <c r="L600" s="9">
        <v>21500</v>
      </c>
      <c r="M600" s="112">
        <f t="shared" si="501"/>
        <v>2150</v>
      </c>
      <c r="N600" s="142">
        <f t="shared" si="482"/>
        <v>10750</v>
      </c>
      <c r="O600" s="142">
        <f t="shared" si="483"/>
        <v>8082.36</v>
      </c>
      <c r="P600" s="142">
        <f t="shared" si="484"/>
        <v>2667.64</v>
      </c>
      <c r="Q600" s="139">
        <f t="shared" si="485"/>
        <v>0.75184744186046504</v>
      </c>
      <c r="R600" s="345">
        <v>21500</v>
      </c>
      <c r="S600" s="359" t="s">
        <v>1948</v>
      </c>
      <c r="T600" s="305">
        <v>0.75184744186046504</v>
      </c>
      <c r="U600" s="7"/>
      <c r="V600" s="100"/>
      <c r="W600" s="110">
        <f t="shared" si="486"/>
        <v>21500</v>
      </c>
      <c r="X600" s="110">
        <f t="shared" si="487"/>
        <v>517.64</v>
      </c>
      <c r="Y600" s="110">
        <f t="shared" si="488"/>
        <v>2150</v>
      </c>
      <c r="Z600" s="110">
        <f t="shared" si="489"/>
        <v>8082.3600000000006</v>
      </c>
      <c r="AA600" s="260">
        <f t="shared" si="490"/>
        <v>0.75184744186046515</v>
      </c>
      <c r="AB600" s="28">
        <f t="shared" si="491"/>
        <v>7.1</v>
      </c>
      <c r="AC600" s="261">
        <f t="shared" si="492"/>
        <v>0.75224270117904923</v>
      </c>
      <c r="AD600" s="111">
        <f t="shared" si="493"/>
        <v>1.9</v>
      </c>
      <c r="AE600" s="262">
        <f t="shared" si="494"/>
        <v>7.4170093879605062E-2</v>
      </c>
      <c r="AF600" s="100"/>
      <c r="AG600" s="111">
        <f t="shared" si="495"/>
        <v>2.9</v>
      </c>
      <c r="AH600" s="262">
        <f t="shared" si="496"/>
        <v>0.39342178564525843</v>
      </c>
      <c r="AI600" s="100"/>
      <c r="AJ600" s="111">
        <f t="shared" si="497"/>
        <v>2.7</v>
      </c>
      <c r="AK600" s="262">
        <f t="shared" si="498"/>
        <v>0.34849006606342581</v>
      </c>
      <c r="AL600" s="100"/>
      <c r="AM600" s="111">
        <f t="shared" si="499"/>
        <v>2.5</v>
      </c>
      <c r="AN600" s="262">
        <f t="shared" si="500"/>
        <v>0.29636927134849989</v>
      </c>
      <c r="AO600" s="100"/>
      <c r="AP600" s="24" t="e">
        <f>VLOOKUP(C600,#REF!,6,FALSE)</f>
        <v>#REF!</v>
      </c>
      <c r="AQ600" s="24" t="e">
        <f>VLOOKUP(C600,#REF!,7,FALSE)</f>
        <v>#REF!</v>
      </c>
      <c r="AR600" s="24" t="e">
        <f>VLOOKUP(C600,#REF!,12,FALSE)</f>
        <v>#REF!</v>
      </c>
      <c r="AS600" s="24" t="e">
        <f>VLOOKUP(C600,#REF!,13,FALSE)</f>
        <v>#REF!</v>
      </c>
      <c r="AT600" s="100"/>
      <c r="AU600" s="100"/>
      <c r="AV600" s="100">
        <v>584</v>
      </c>
      <c r="AW600" s="100"/>
      <c r="AY600" s="9">
        <v>21500</v>
      </c>
    </row>
    <row r="601" spans="1:51" s="2" customFormat="1" ht="12.75" customHeight="1" x14ac:dyDescent="0.2">
      <c r="A601" s="6" t="s">
        <v>1433</v>
      </c>
      <c r="B601" s="8">
        <v>9789500213622</v>
      </c>
      <c r="C601" s="8">
        <v>705127</v>
      </c>
      <c r="D601" s="41">
        <v>64</v>
      </c>
      <c r="E601" s="7" t="s">
        <v>474</v>
      </c>
      <c r="F601" s="6" t="s">
        <v>789</v>
      </c>
      <c r="G601" s="107">
        <v>45047</v>
      </c>
      <c r="H601" s="108">
        <v>45017</v>
      </c>
      <c r="I601" s="7">
        <v>5000</v>
      </c>
      <c r="J601" s="6" t="s">
        <v>2219</v>
      </c>
      <c r="K601" s="117">
        <v>2007.44</v>
      </c>
      <c r="L601" s="9">
        <v>35900</v>
      </c>
      <c r="M601" s="9">
        <f t="shared" si="501"/>
        <v>3590</v>
      </c>
      <c r="N601" s="9">
        <f t="shared" si="482"/>
        <v>17950</v>
      </c>
      <c r="O601" s="9">
        <f t="shared" si="483"/>
        <v>12352.56</v>
      </c>
      <c r="P601" s="9">
        <f t="shared" si="484"/>
        <v>5597.4400000000005</v>
      </c>
      <c r="Q601" s="139">
        <f t="shared" si="485"/>
        <v>0.68816490250696372</v>
      </c>
      <c r="R601" s="345">
        <v>35900</v>
      </c>
      <c r="S601" s="359" t="s">
        <v>1948</v>
      </c>
      <c r="T601" s="305">
        <v>0.68816490250696372</v>
      </c>
      <c r="U601" s="144"/>
      <c r="V601" s="100"/>
      <c r="W601" s="110">
        <f t="shared" si="486"/>
        <v>35900</v>
      </c>
      <c r="X601" s="110">
        <f t="shared" si="487"/>
        <v>2007.44</v>
      </c>
      <c r="Y601" s="110">
        <f t="shared" si="488"/>
        <v>3590</v>
      </c>
      <c r="Z601" s="110">
        <f t="shared" si="489"/>
        <v>12352.56</v>
      </c>
      <c r="AA601" s="260">
        <f t="shared" si="490"/>
        <v>0.68816490250696372</v>
      </c>
      <c r="AB601" s="28">
        <f t="shared" si="491"/>
        <v>11.8</v>
      </c>
      <c r="AC601" s="261">
        <f t="shared" si="492"/>
        <v>0.68720123835549074</v>
      </c>
      <c r="AD601" s="111">
        <f t="shared" si="493"/>
        <v>3.9</v>
      </c>
      <c r="AE601" s="262">
        <f t="shared" si="494"/>
        <v>5.3583233998664166E-2</v>
      </c>
      <c r="AF601" s="100"/>
      <c r="AG601" s="111">
        <f t="shared" si="495"/>
        <v>6.2</v>
      </c>
      <c r="AH601" s="262">
        <f t="shared" si="496"/>
        <v>0.40467332461206301</v>
      </c>
      <c r="AI601" s="100"/>
      <c r="AJ601" s="111">
        <f t="shared" si="497"/>
        <v>5.7</v>
      </c>
      <c r="AK601" s="262">
        <f t="shared" si="498"/>
        <v>0.35245168642013874</v>
      </c>
      <c r="AL601" s="100"/>
      <c r="AM601" s="111">
        <f t="shared" si="499"/>
        <v>5.3</v>
      </c>
      <c r="AN601" s="262">
        <f t="shared" si="500"/>
        <v>0.30358011558392278</v>
      </c>
      <c r="AO601" s="100"/>
      <c r="AP601" s="24" t="e">
        <f>VLOOKUP(C601,#REF!,6,FALSE)</f>
        <v>#REF!</v>
      </c>
      <c r="AQ601" s="24" t="e">
        <f>VLOOKUP(C601,#REF!,7,FALSE)</f>
        <v>#REF!</v>
      </c>
      <c r="AR601" s="24" t="e">
        <f>VLOOKUP(C601,#REF!,12,FALSE)</f>
        <v>#REF!</v>
      </c>
      <c r="AS601" s="24" t="e">
        <f>VLOOKUP(C601,#REF!,13,FALSE)</f>
        <v>#REF!</v>
      </c>
      <c r="AT601" s="100"/>
      <c r="AU601" s="100"/>
      <c r="AV601" s="100">
        <v>585</v>
      </c>
      <c r="AW601" s="100"/>
      <c r="AY601" s="9">
        <v>35900</v>
      </c>
    </row>
    <row r="602" spans="1:51" s="2" customFormat="1" ht="12.75" customHeight="1" x14ac:dyDescent="0.2">
      <c r="A602" s="7" t="s">
        <v>1891</v>
      </c>
      <c r="B602" s="8">
        <v>9789500215374</v>
      </c>
      <c r="C602" s="8">
        <v>718919</v>
      </c>
      <c r="D602" s="25">
        <v>64</v>
      </c>
      <c r="E602" s="7" t="s">
        <v>474</v>
      </c>
      <c r="F602" s="25" t="s">
        <v>1883</v>
      </c>
      <c r="G602" s="118">
        <v>45505</v>
      </c>
      <c r="H602" s="108">
        <v>45839</v>
      </c>
      <c r="I602" s="264">
        <v>2090</v>
      </c>
      <c r="J602" s="108" t="s">
        <v>2136</v>
      </c>
      <c r="K602" s="9">
        <v>1827.71</v>
      </c>
      <c r="L602" s="9">
        <v>29900</v>
      </c>
      <c r="M602" s="112">
        <f t="shared" si="501"/>
        <v>2990</v>
      </c>
      <c r="N602" s="9">
        <f t="shared" si="482"/>
        <v>14950</v>
      </c>
      <c r="O602" s="9">
        <f t="shared" si="483"/>
        <v>10132.290000000001</v>
      </c>
      <c r="P602" s="9">
        <f t="shared" si="484"/>
        <v>4817.71</v>
      </c>
      <c r="Q602" s="139">
        <f t="shared" si="485"/>
        <v>0.67774515050167228</v>
      </c>
      <c r="R602" s="345">
        <v>29900</v>
      </c>
      <c r="S602" s="359" t="s">
        <v>1948</v>
      </c>
      <c r="T602" s="305">
        <v>0.67774515050167228</v>
      </c>
      <c r="U602" s="144"/>
      <c r="V602" s="100"/>
      <c r="W602" s="110">
        <f t="shared" si="486"/>
        <v>29900</v>
      </c>
      <c r="X602" s="110">
        <f t="shared" si="487"/>
        <v>1827.71</v>
      </c>
      <c r="Y602" s="110">
        <f t="shared" si="488"/>
        <v>2990</v>
      </c>
      <c r="Z602" s="110">
        <f t="shared" si="489"/>
        <v>10132.290000000001</v>
      </c>
      <c r="AA602" s="260">
        <f t="shared" si="490"/>
        <v>0.67774515050167228</v>
      </c>
      <c r="AB602" s="28">
        <f t="shared" si="491"/>
        <v>9.9</v>
      </c>
      <c r="AC602" s="261">
        <f t="shared" si="492"/>
        <v>0.67910492994568161</v>
      </c>
      <c r="AD602" s="111">
        <f t="shared" si="493"/>
        <v>3.3</v>
      </c>
      <c r="AE602" s="262">
        <f t="shared" si="494"/>
        <v>3.731478983704499E-2</v>
      </c>
      <c r="AF602" s="100"/>
      <c r="AG602" s="111">
        <f t="shared" si="495"/>
        <v>5.3</v>
      </c>
      <c r="AH602" s="262">
        <f t="shared" si="496"/>
        <v>0.40059222763438651</v>
      </c>
      <c r="AI602" s="100"/>
      <c r="AJ602" s="111">
        <f t="shared" si="497"/>
        <v>4.9000000000000004</v>
      </c>
      <c r="AK602" s="262">
        <f t="shared" si="498"/>
        <v>0.351660980910663</v>
      </c>
      <c r="AL602" s="100"/>
      <c r="AM602" s="111">
        <f t="shared" si="499"/>
        <v>4.5</v>
      </c>
      <c r="AN602" s="262">
        <f t="shared" si="500"/>
        <v>0.29403084588049966</v>
      </c>
      <c r="AO602" s="100"/>
      <c r="AP602" s="24" t="e">
        <f>VLOOKUP(C602,#REF!,6,FALSE)</f>
        <v>#REF!</v>
      </c>
      <c r="AQ602" s="24" t="e">
        <f>VLOOKUP(C602,#REF!,7,FALSE)</f>
        <v>#REF!</v>
      </c>
      <c r="AR602" s="24" t="e">
        <f>VLOOKUP(C602,#REF!,12,FALSE)</f>
        <v>#REF!</v>
      </c>
      <c r="AS602" s="24" t="e">
        <f>VLOOKUP(C602,#REF!,13,FALSE)</f>
        <v>#REF!</v>
      </c>
      <c r="AT602" s="100"/>
      <c r="AU602" s="100"/>
      <c r="AV602" s="100">
        <v>586</v>
      </c>
      <c r="AW602" s="100"/>
      <c r="AY602" s="9">
        <v>29900</v>
      </c>
    </row>
    <row r="603" spans="1:51" s="2" customFormat="1" ht="12.75" customHeight="1" x14ac:dyDescent="0.2">
      <c r="A603" s="6" t="s">
        <v>1434</v>
      </c>
      <c r="B603" s="8">
        <v>9789500213196</v>
      </c>
      <c r="C603" s="6">
        <v>702718</v>
      </c>
      <c r="D603" s="41">
        <v>64</v>
      </c>
      <c r="E603" s="7" t="s">
        <v>474</v>
      </c>
      <c r="F603" s="7" t="s">
        <v>748</v>
      </c>
      <c r="G603" s="107">
        <v>44927</v>
      </c>
      <c r="H603" s="107">
        <v>45536</v>
      </c>
      <c r="I603" s="267">
        <v>2070</v>
      </c>
      <c r="J603" s="6" t="s">
        <v>2136</v>
      </c>
      <c r="K603" s="148">
        <v>2048.6425120772947</v>
      </c>
      <c r="L603" s="9">
        <v>29900</v>
      </c>
      <c r="M603" s="9">
        <f t="shared" si="501"/>
        <v>2990</v>
      </c>
      <c r="N603" s="9">
        <f t="shared" si="482"/>
        <v>14950</v>
      </c>
      <c r="O603" s="9">
        <f t="shared" si="483"/>
        <v>9911.3574879227053</v>
      </c>
      <c r="P603" s="9">
        <f t="shared" si="484"/>
        <v>5038.6425120772947</v>
      </c>
      <c r="Q603" s="139">
        <f t="shared" si="485"/>
        <v>0.6629670560483415</v>
      </c>
      <c r="R603" s="345">
        <v>29900</v>
      </c>
      <c r="S603" s="359" t="s">
        <v>1948</v>
      </c>
      <c r="T603" s="305">
        <v>0.6629670560483415</v>
      </c>
      <c r="U603" s="144"/>
      <c r="V603" s="100"/>
      <c r="W603" s="110">
        <f t="shared" si="486"/>
        <v>29900</v>
      </c>
      <c r="X603" s="110">
        <f t="shared" si="487"/>
        <v>2048.6425120772947</v>
      </c>
      <c r="Y603" s="110">
        <f t="shared" si="488"/>
        <v>2990</v>
      </c>
      <c r="Z603" s="110">
        <f t="shared" si="489"/>
        <v>9911.3574879227053</v>
      </c>
      <c r="AA603" s="260">
        <f t="shared" si="490"/>
        <v>0.6629670560483415</v>
      </c>
      <c r="AB603" s="28">
        <f t="shared" si="491"/>
        <v>9.9</v>
      </c>
      <c r="AC603" s="261">
        <f t="shared" si="492"/>
        <v>0.66438919281324327</v>
      </c>
      <c r="AD603" s="111">
        <f t="shared" si="493"/>
        <v>3.5</v>
      </c>
      <c r="AE603" s="262">
        <f t="shared" si="494"/>
        <v>5.0700859671745153E-2</v>
      </c>
      <c r="AF603" s="100"/>
      <c r="AG603" s="111">
        <f t="shared" si="495"/>
        <v>5.5</v>
      </c>
      <c r="AH603" s="262">
        <f t="shared" si="496"/>
        <v>0.39590054706383782</v>
      </c>
      <c r="AI603" s="100"/>
      <c r="AJ603" s="111">
        <f t="shared" si="497"/>
        <v>5.0999999999999996</v>
      </c>
      <c r="AK603" s="262">
        <f t="shared" si="498"/>
        <v>0.34852019781394272</v>
      </c>
      <c r="AL603" s="100"/>
      <c r="AM603" s="111">
        <f t="shared" si="499"/>
        <v>4.7</v>
      </c>
      <c r="AN603" s="262">
        <f t="shared" si="500"/>
        <v>0.29307510826619321</v>
      </c>
      <c r="AO603" s="100"/>
      <c r="AP603" s="24" t="e">
        <f>VLOOKUP(C603,#REF!,6,FALSE)</f>
        <v>#REF!</v>
      </c>
      <c r="AQ603" s="24" t="e">
        <f>VLOOKUP(C603,#REF!,7,FALSE)</f>
        <v>#REF!</v>
      </c>
      <c r="AR603" s="24" t="e">
        <f>VLOOKUP(C603,#REF!,12,FALSE)</f>
        <v>#REF!</v>
      </c>
      <c r="AS603" s="24" t="e">
        <f>VLOOKUP(C603,#REF!,13,FALSE)</f>
        <v>#REF!</v>
      </c>
      <c r="AT603" s="100"/>
      <c r="AU603" s="100"/>
      <c r="AV603" s="100">
        <v>587</v>
      </c>
      <c r="AW603" s="100"/>
      <c r="AY603" s="9">
        <v>29900</v>
      </c>
    </row>
    <row r="604" spans="1:51" s="2" customFormat="1" ht="12.75" customHeight="1" x14ac:dyDescent="0.2">
      <c r="A604" s="7" t="s">
        <v>1435</v>
      </c>
      <c r="B604" s="8">
        <v>9789500210317</v>
      </c>
      <c r="C604" s="13">
        <v>671443</v>
      </c>
      <c r="D604" s="25">
        <v>64</v>
      </c>
      <c r="E604" s="7" t="s">
        <v>474</v>
      </c>
      <c r="F604" s="7" t="s">
        <v>475</v>
      </c>
      <c r="G604" s="107">
        <v>43800</v>
      </c>
      <c r="H604" s="108">
        <v>45931</v>
      </c>
      <c r="I604" s="7">
        <v>2081</v>
      </c>
      <c r="J604" s="25" t="s">
        <v>2136</v>
      </c>
      <c r="K604" s="117">
        <v>3959.96</v>
      </c>
      <c r="L604" s="9">
        <v>29900</v>
      </c>
      <c r="M604" s="9">
        <f t="shared" si="501"/>
        <v>2990</v>
      </c>
      <c r="N604" s="9">
        <f t="shared" si="482"/>
        <v>14950</v>
      </c>
      <c r="O604" s="9">
        <f t="shared" si="483"/>
        <v>8000.04</v>
      </c>
      <c r="P604" s="9">
        <f t="shared" si="484"/>
        <v>6949.96</v>
      </c>
      <c r="Q604" s="139">
        <f t="shared" si="485"/>
        <v>0.5351197324414716</v>
      </c>
      <c r="R604" s="345">
        <v>29900</v>
      </c>
      <c r="S604" s="359" t="s">
        <v>1948</v>
      </c>
      <c r="T604" s="305">
        <v>0.5351197324414716</v>
      </c>
      <c r="U604" s="144"/>
      <c r="V604" s="100"/>
      <c r="W604" s="110">
        <f t="shared" si="486"/>
        <v>29900</v>
      </c>
      <c r="X604" s="110">
        <f t="shared" si="487"/>
        <v>3959.96</v>
      </c>
      <c r="Y604" s="110">
        <f t="shared" si="488"/>
        <v>2990</v>
      </c>
      <c r="Z604" s="110">
        <f t="shared" si="489"/>
        <v>8000.0400000000009</v>
      </c>
      <c r="AA604" s="260">
        <f t="shared" si="490"/>
        <v>0.5351197324414716</v>
      </c>
      <c r="AB604" s="28">
        <f t="shared" si="491"/>
        <v>9.9</v>
      </c>
      <c r="AC604" s="261">
        <f t="shared" si="492"/>
        <v>0.53708133094878885</v>
      </c>
      <c r="AD604" s="111">
        <f t="shared" si="493"/>
        <v>4.8</v>
      </c>
      <c r="AE604" s="262">
        <f t="shared" si="494"/>
        <v>4.5230245081877098E-2</v>
      </c>
      <c r="AF604" s="100"/>
      <c r="AG604" s="111">
        <f t="shared" si="495"/>
        <v>7.6</v>
      </c>
      <c r="AH604" s="262">
        <f t="shared" si="496"/>
        <v>0.39698752320960656</v>
      </c>
      <c r="AI604" s="100"/>
      <c r="AJ604" s="111">
        <f t="shared" si="497"/>
        <v>7.1</v>
      </c>
      <c r="AK604" s="262">
        <f t="shared" si="498"/>
        <v>0.3545218558300014</v>
      </c>
      <c r="AL604" s="100"/>
      <c r="AM604" s="111">
        <f t="shared" si="499"/>
        <v>6.5</v>
      </c>
      <c r="AN604" s="262">
        <f t="shared" si="500"/>
        <v>0.29493925790661696</v>
      </c>
      <c r="AO604" s="100"/>
      <c r="AP604" s="24" t="e">
        <f>VLOOKUP(C604,#REF!,6,FALSE)</f>
        <v>#REF!</v>
      </c>
      <c r="AQ604" s="24" t="e">
        <f>VLOOKUP(C604,#REF!,7,FALSE)</f>
        <v>#REF!</v>
      </c>
      <c r="AR604" s="24" t="e">
        <f>VLOOKUP(C604,#REF!,12,FALSE)</f>
        <v>#REF!</v>
      </c>
      <c r="AS604" s="24" t="e">
        <f>VLOOKUP(C604,#REF!,13,FALSE)</f>
        <v>#REF!</v>
      </c>
      <c r="AT604" s="100"/>
      <c r="AU604" s="100"/>
      <c r="AV604" s="100">
        <v>588</v>
      </c>
      <c r="AW604" s="100"/>
      <c r="AY604" s="9">
        <v>29900</v>
      </c>
    </row>
    <row r="605" spans="1:51" s="2" customFormat="1" ht="12.75" customHeight="1" x14ac:dyDescent="0.2">
      <c r="A605" s="7" t="s">
        <v>1436</v>
      </c>
      <c r="B605" s="8">
        <v>9789500210515</v>
      </c>
      <c r="C605" s="8">
        <v>674458</v>
      </c>
      <c r="D605" s="25">
        <v>64</v>
      </c>
      <c r="E605" s="7" t="s">
        <v>474</v>
      </c>
      <c r="F605" s="7" t="s">
        <v>484</v>
      </c>
      <c r="G605" s="107">
        <v>43891</v>
      </c>
      <c r="H605" s="107">
        <v>45139</v>
      </c>
      <c r="I605" s="7">
        <v>3018</v>
      </c>
      <c r="J605" s="6" t="s">
        <v>2136</v>
      </c>
      <c r="K605" s="117">
        <v>655.85</v>
      </c>
      <c r="L605" s="9">
        <v>29900</v>
      </c>
      <c r="M605" s="9">
        <f t="shared" si="501"/>
        <v>2990</v>
      </c>
      <c r="N605" s="9">
        <f t="shared" si="482"/>
        <v>14950</v>
      </c>
      <c r="O605" s="9">
        <f t="shared" si="483"/>
        <v>11304.15</v>
      </c>
      <c r="P605" s="9">
        <f t="shared" si="484"/>
        <v>3645.85</v>
      </c>
      <c r="Q605" s="139">
        <f t="shared" si="485"/>
        <v>0.75613043478260866</v>
      </c>
      <c r="R605" s="335">
        <v>29900</v>
      </c>
      <c r="S605" s="359" t="s">
        <v>1948</v>
      </c>
      <c r="T605" s="305">
        <v>0.75613043478260866</v>
      </c>
      <c r="U605" s="144"/>
      <c r="V605" s="100"/>
      <c r="W605" s="110">
        <f t="shared" si="486"/>
        <v>29900</v>
      </c>
      <c r="X605" s="110">
        <f t="shared" si="487"/>
        <v>655.85</v>
      </c>
      <c r="Y605" s="110">
        <f t="shared" si="488"/>
        <v>2990</v>
      </c>
      <c r="Z605" s="110">
        <f t="shared" si="489"/>
        <v>11304.15</v>
      </c>
      <c r="AA605" s="260">
        <f t="shared" si="490"/>
        <v>0.75613043478260866</v>
      </c>
      <c r="AB605" s="28">
        <f t="shared" si="491"/>
        <v>9.9</v>
      </c>
      <c r="AC605" s="261">
        <f t="shared" si="492"/>
        <v>0.75715946141267598</v>
      </c>
      <c r="AD605" s="111">
        <f t="shared" si="493"/>
        <v>2.5</v>
      </c>
      <c r="AE605" s="262">
        <f t="shared" si="494"/>
        <v>3.8351467194197186E-2</v>
      </c>
      <c r="AF605" s="100"/>
      <c r="AG605" s="111">
        <f t="shared" si="495"/>
        <v>4</v>
      </c>
      <c r="AH605" s="262">
        <f t="shared" si="496"/>
        <v>0.39896966699637315</v>
      </c>
      <c r="AI605" s="100"/>
      <c r="AJ605" s="111">
        <f t="shared" si="497"/>
        <v>3.7</v>
      </c>
      <c r="AK605" s="262">
        <f t="shared" si="498"/>
        <v>0.35023747783391695</v>
      </c>
      <c r="AL605" s="100"/>
      <c r="AM605" s="111">
        <f t="shared" si="499"/>
        <v>3.4</v>
      </c>
      <c r="AN605" s="262">
        <f t="shared" si="500"/>
        <v>0.29290549058396836</v>
      </c>
      <c r="AO605" s="100"/>
      <c r="AP605" s="24" t="e">
        <f>VLOOKUP(C605,#REF!,6,FALSE)</f>
        <v>#REF!</v>
      </c>
      <c r="AQ605" s="24" t="e">
        <f>VLOOKUP(C605,#REF!,7,FALSE)</f>
        <v>#REF!</v>
      </c>
      <c r="AR605" s="24" t="e">
        <f>VLOOKUP(C605,#REF!,12,FALSE)</f>
        <v>#REF!</v>
      </c>
      <c r="AS605" s="24" t="e">
        <f>VLOOKUP(C605,#REF!,13,FALSE)</f>
        <v>#REF!</v>
      </c>
      <c r="AT605" s="100"/>
      <c r="AU605" s="100"/>
      <c r="AV605" s="100">
        <v>589</v>
      </c>
      <c r="AW605" s="100"/>
      <c r="AY605" s="9">
        <v>29900</v>
      </c>
    </row>
    <row r="606" spans="1:51" s="27" customFormat="1" ht="12.75" customHeight="1" x14ac:dyDescent="0.2">
      <c r="A606" s="7" t="s">
        <v>1437</v>
      </c>
      <c r="B606" s="8">
        <v>9789500211109</v>
      </c>
      <c r="C606" s="8">
        <v>678455</v>
      </c>
      <c r="D606" s="25">
        <v>64</v>
      </c>
      <c r="E606" s="7" t="s">
        <v>474</v>
      </c>
      <c r="F606" s="7" t="s">
        <v>507</v>
      </c>
      <c r="G606" s="107">
        <v>44136</v>
      </c>
      <c r="H606" s="107">
        <v>46082</v>
      </c>
      <c r="I606" s="7">
        <v>2055</v>
      </c>
      <c r="J606" s="6" t="s">
        <v>2136</v>
      </c>
      <c r="K606" s="9">
        <v>2972.9902676399029</v>
      </c>
      <c r="L606" s="9">
        <v>29900</v>
      </c>
      <c r="M606" s="9">
        <f t="shared" si="501"/>
        <v>2990</v>
      </c>
      <c r="N606" s="9">
        <f t="shared" si="482"/>
        <v>14950</v>
      </c>
      <c r="O606" s="9">
        <f t="shared" si="483"/>
        <v>8987.0097323600967</v>
      </c>
      <c r="P606" s="9">
        <f t="shared" si="484"/>
        <v>5962.9902676399033</v>
      </c>
      <c r="Q606" s="139">
        <f t="shared" si="485"/>
        <v>0.60113777473980579</v>
      </c>
      <c r="R606" s="335">
        <v>29900</v>
      </c>
      <c r="S606" s="359" t="s">
        <v>1948</v>
      </c>
      <c r="T606" s="305">
        <v>0.60113777473980579</v>
      </c>
      <c r="U606" s="144"/>
      <c r="V606" s="100"/>
      <c r="W606" s="110">
        <f t="shared" si="486"/>
        <v>29900</v>
      </c>
      <c r="X606" s="110">
        <f t="shared" si="487"/>
        <v>2972.9902676399029</v>
      </c>
      <c r="Y606" s="110">
        <f t="shared" si="488"/>
        <v>2990</v>
      </c>
      <c r="Z606" s="110">
        <f t="shared" si="489"/>
        <v>8987.0097323600967</v>
      </c>
      <c r="AA606" s="260">
        <f t="shared" si="490"/>
        <v>0.60113777473980579</v>
      </c>
      <c r="AB606" s="28">
        <f t="shared" si="491"/>
        <v>9.9</v>
      </c>
      <c r="AC606" s="261">
        <f t="shared" si="492"/>
        <v>0.60282080497424606</v>
      </c>
      <c r="AD606" s="111">
        <f t="shared" si="493"/>
        <v>4.0999999999999996</v>
      </c>
      <c r="AE606" s="262">
        <f t="shared" si="494"/>
        <v>4.0957553474398972E-2</v>
      </c>
      <c r="AF606" s="100"/>
      <c r="AG606" s="111">
        <f t="shared" si="495"/>
        <v>6.6</v>
      </c>
      <c r="AH606" s="262">
        <f t="shared" si="496"/>
        <v>0.40423120746136904</v>
      </c>
      <c r="AI606" s="100"/>
      <c r="AJ606" s="111">
        <f t="shared" si="497"/>
        <v>6</v>
      </c>
      <c r="AK606" s="262">
        <f t="shared" si="498"/>
        <v>0.34465432820750597</v>
      </c>
      <c r="AL606" s="100"/>
      <c r="AM606" s="111">
        <f t="shared" si="499"/>
        <v>5.6</v>
      </c>
      <c r="AN606" s="262">
        <f t="shared" si="500"/>
        <v>0.29784392307947066</v>
      </c>
      <c r="AO606" s="100"/>
      <c r="AP606" s="24" t="e">
        <f>VLOOKUP(C606,#REF!,6,FALSE)</f>
        <v>#REF!</v>
      </c>
      <c r="AQ606" s="24" t="e">
        <f>VLOOKUP(C606,#REF!,7,FALSE)</f>
        <v>#REF!</v>
      </c>
      <c r="AR606" s="24" t="e">
        <f>VLOOKUP(C606,#REF!,12,FALSE)</f>
        <v>#REF!</v>
      </c>
      <c r="AS606" s="24" t="e">
        <f>VLOOKUP(C606,#REF!,13,FALSE)</f>
        <v>#REF!</v>
      </c>
      <c r="AT606" s="100"/>
      <c r="AU606" s="100"/>
      <c r="AV606" s="100">
        <v>590</v>
      </c>
      <c r="AW606" s="100"/>
      <c r="AY606" s="9">
        <v>29900</v>
      </c>
    </row>
    <row r="607" spans="1:51" s="2" customFormat="1" ht="12.75" customHeight="1" x14ac:dyDescent="0.2">
      <c r="A607" s="7" t="s">
        <v>1438</v>
      </c>
      <c r="B607" s="8">
        <v>9789500212717</v>
      </c>
      <c r="C607" s="8">
        <v>694754</v>
      </c>
      <c r="D607" s="25">
        <v>64</v>
      </c>
      <c r="E607" s="7" t="s">
        <v>474</v>
      </c>
      <c r="F607" s="7" t="s">
        <v>694</v>
      </c>
      <c r="G607" s="107">
        <v>44713</v>
      </c>
      <c r="H607" s="108">
        <v>45231</v>
      </c>
      <c r="I607" s="7">
        <v>3090</v>
      </c>
      <c r="J607" s="6" t="s">
        <v>2136</v>
      </c>
      <c r="K607" s="9">
        <v>1170.6500000000001</v>
      </c>
      <c r="L607" s="9">
        <v>29900</v>
      </c>
      <c r="M607" s="9">
        <f t="shared" si="501"/>
        <v>2990</v>
      </c>
      <c r="N607" s="9">
        <f t="shared" si="482"/>
        <v>14950</v>
      </c>
      <c r="O607" s="9">
        <f t="shared" si="483"/>
        <v>10789.35</v>
      </c>
      <c r="P607" s="9">
        <f t="shared" si="484"/>
        <v>4160.6499999999996</v>
      </c>
      <c r="Q607" s="139">
        <f t="shared" si="485"/>
        <v>0.72169565217391307</v>
      </c>
      <c r="R607" s="335">
        <v>29900</v>
      </c>
      <c r="S607" s="359" t="s">
        <v>1948</v>
      </c>
      <c r="T607" s="305">
        <v>0.72169565217391307</v>
      </c>
      <c r="U607" s="144"/>
      <c r="V607" s="100"/>
      <c r="W607" s="110">
        <f t="shared" si="486"/>
        <v>29900</v>
      </c>
      <c r="X607" s="110">
        <f t="shared" si="487"/>
        <v>1170.6500000000001</v>
      </c>
      <c r="Y607" s="110">
        <f t="shared" si="488"/>
        <v>2990</v>
      </c>
      <c r="Z607" s="110">
        <f t="shared" si="489"/>
        <v>10789.35</v>
      </c>
      <c r="AA607" s="260">
        <f t="shared" si="490"/>
        <v>0.72169565217391307</v>
      </c>
      <c r="AB607" s="28">
        <f t="shared" si="491"/>
        <v>9.9</v>
      </c>
      <c r="AC607" s="261">
        <f t="shared" si="492"/>
        <v>0.72286997905197714</v>
      </c>
      <c r="AD607" s="111">
        <f t="shared" si="493"/>
        <v>2.9</v>
      </c>
      <c r="AE607" s="262">
        <f t="shared" si="494"/>
        <v>5.3935445729162979E-2</v>
      </c>
      <c r="AF607" s="100"/>
      <c r="AG607" s="111">
        <f t="shared" si="495"/>
        <v>4.5999999999999996</v>
      </c>
      <c r="AH607" s="262">
        <f t="shared" si="496"/>
        <v>0.40356799839447244</v>
      </c>
      <c r="AI607" s="100"/>
      <c r="AJ607" s="111">
        <f t="shared" si="497"/>
        <v>4.2</v>
      </c>
      <c r="AK607" s="262">
        <f t="shared" si="498"/>
        <v>0.34676495062251733</v>
      </c>
      <c r="AL607" s="100"/>
      <c r="AM607" s="111">
        <f t="shared" si="499"/>
        <v>3.9</v>
      </c>
      <c r="AN607" s="262">
        <f t="shared" si="500"/>
        <v>0.29651610067040318</v>
      </c>
      <c r="AO607" s="100"/>
      <c r="AP607" s="24" t="e">
        <f>VLOOKUP(C607,#REF!,6,FALSE)</f>
        <v>#REF!</v>
      </c>
      <c r="AQ607" s="24" t="e">
        <f>VLOOKUP(C607,#REF!,7,FALSE)</f>
        <v>#REF!</v>
      </c>
      <c r="AR607" s="24" t="e">
        <f>VLOOKUP(C607,#REF!,12,FALSE)</f>
        <v>#REF!</v>
      </c>
      <c r="AS607" s="24" t="e">
        <f>VLOOKUP(C607,#REF!,13,FALSE)</f>
        <v>#REF!</v>
      </c>
      <c r="AT607" s="100"/>
      <c r="AU607" s="100"/>
      <c r="AV607" s="100">
        <v>591</v>
      </c>
      <c r="AW607" s="100"/>
      <c r="AY607" s="9">
        <v>29900</v>
      </c>
    </row>
    <row r="608" spans="1:51" s="2" customFormat="1" ht="12.75" customHeight="1" x14ac:dyDescent="0.2">
      <c r="A608" s="6" t="s">
        <v>1439</v>
      </c>
      <c r="B608" s="8">
        <v>9789500213936</v>
      </c>
      <c r="C608" s="8">
        <v>707950</v>
      </c>
      <c r="D608" s="41">
        <v>64</v>
      </c>
      <c r="E608" s="7" t="s">
        <v>791</v>
      </c>
      <c r="F608" s="7" t="s">
        <v>796</v>
      </c>
      <c r="G608" s="107">
        <v>45139</v>
      </c>
      <c r="H608" s="108">
        <v>45658</v>
      </c>
      <c r="I608" s="7">
        <v>2100</v>
      </c>
      <c r="J608" s="6" t="s">
        <v>2136</v>
      </c>
      <c r="K608" s="9">
        <v>2102.5500000000002</v>
      </c>
      <c r="L608" s="9">
        <v>29900</v>
      </c>
      <c r="M608" s="9">
        <f t="shared" si="501"/>
        <v>2990</v>
      </c>
      <c r="N608" s="9">
        <f t="shared" si="482"/>
        <v>14950</v>
      </c>
      <c r="O608" s="9">
        <f t="shared" si="483"/>
        <v>9857.4500000000007</v>
      </c>
      <c r="P608" s="9">
        <f t="shared" si="484"/>
        <v>5092.55</v>
      </c>
      <c r="Q608" s="139">
        <f t="shared" si="485"/>
        <v>0.65936120401337794</v>
      </c>
      <c r="R608" s="335">
        <v>29900</v>
      </c>
      <c r="S608" s="359" t="s">
        <v>1948</v>
      </c>
      <c r="T608" s="305">
        <v>0.65936120401337794</v>
      </c>
      <c r="U608" s="144"/>
      <c r="V608" s="100"/>
      <c r="W608" s="110">
        <f t="shared" si="486"/>
        <v>29900</v>
      </c>
      <c r="X608" s="110">
        <f t="shared" si="487"/>
        <v>2102.5500000000002</v>
      </c>
      <c r="Y608" s="110">
        <f t="shared" si="488"/>
        <v>2990</v>
      </c>
      <c r="Z608" s="110">
        <f t="shared" si="489"/>
        <v>9857.4500000000007</v>
      </c>
      <c r="AA608" s="260">
        <f t="shared" si="490"/>
        <v>0.65936120401337794</v>
      </c>
      <c r="AB608" s="28">
        <f t="shared" si="491"/>
        <v>9.9</v>
      </c>
      <c r="AC608" s="261">
        <f t="shared" si="492"/>
        <v>0.66079855595186943</v>
      </c>
      <c r="AD608" s="111">
        <f t="shared" si="493"/>
        <v>3.5</v>
      </c>
      <c r="AE608" s="262">
        <f t="shared" si="494"/>
        <v>4.0544486835287989E-2</v>
      </c>
      <c r="AF608" s="100"/>
      <c r="AG608" s="111">
        <f t="shared" si="495"/>
        <v>5.6</v>
      </c>
      <c r="AH608" s="262">
        <f t="shared" si="496"/>
        <v>0.40034030427205497</v>
      </c>
      <c r="AI608" s="100"/>
      <c r="AJ608" s="111">
        <f t="shared" si="497"/>
        <v>5.2</v>
      </c>
      <c r="AK608" s="262">
        <f t="shared" si="498"/>
        <v>0.35421263536990538</v>
      </c>
      <c r="AL608" s="100"/>
      <c r="AM608" s="111">
        <f t="shared" si="499"/>
        <v>4.8</v>
      </c>
      <c r="AN608" s="262">
        <f t="shared" si="500"/>
        <v>0.30039702165073079</v>
      </c>
      <c r="AO608" s="100"/>
      <c r="AP608" s="24" t="e">
        <f>VLOOKUP(C608,#REF!,6,FALSE)</f>
        <v>#REF!</v>
      </c>
      <c r="AQ608" s="24" t="e">
        <f>VLOOKUP(C608,#REF!,7,FALSE)</f>
        <v>#REF!</v>
      </c>
      <c r="AR608" s="24" t="e">
        <f>VLOOKUP(C608,#REF!,12,FALSE)</f>
        <v>#REF!</v>
      </c>
      <c r="AS608" s="24" t="e">
        <f>VLOOKUP(C608,#REF!,13,FALSE)</f>
        <v>#REF!</v>
      </c>
      <c r="AT608" s="100"/>
      <c r="AU608" s="100"/>
      <c r="AV608" s="100">
        <v>592</v>
      </c>
      <c r="AW608" s="100"/>
      <c r="AY608" s="9">
        <v>29900</v>
      </c>
    </row>
    <row r="609" spans="1:51" s="2" customFormat="1" ht="12.75" customHeight="1" x14ac:dyDescent="0.2">
      <c r="A609" s="6" t="s">
        <v>2078</v>
      </c>
      <c r="B609" s="279">
        <v>9789500216432</v>
      </c>
      <c r="C609" s="6">
        <v>731833</v>
      </c>
      <c r="D609" s="41">
        <v>64</v>
      </c>
      <c r="E609" s="7" t="s">
        <v>474</v>
      </c>
      <c r="F609" s="6" t="s">
        <v>2079</v>
      </c>
      <c r="G609" s="107">
        <v>45839</v>
      </c>
      <c r="H609" s="108">
        <v>45809</v>
      </c>
      <c r="I609" s="264">
        <v>4006</v>
      </c>
      <c r="J609" s="315" t="s">
        <v>2136</v>
      </c>
      <c r="K609" s="292">
        <v>1497.76</v>
      </c>
      <c r="L609" s="9">
        <v>29900</v>
      </c>
      <c r="M609" s="9">
        <f t="shared" si="501"/>
        <v>2990</v>
      </c>
      <c r="N609" s="9">
        <f t="shared" si="482"/>
        <v>14950</v>
      </c>
      <c r="O609" s="9">
        <f t="shared" si="483"/>
        <v>10462.24</v>
      </c>
      <c r="P609" s="9">
        <f t="shared" si="484"/>
        <v>4487.76</v>
      </c>
      <c r="Q609" s="139">
        <f t="shared" si="485"/>
        <v>0.69981538461538462</v>
      </c>
      <c r="R609" s="335">
        <v>29900</v>
      </c>
      <c r="S609" s="359" t="s">
        <v>1948</v>
      </c>
      <c r="T609" s="305">
        <v>0.69981538461538462</v>
      </c>
      <c r="U609" s="144"/>
      <c r="V609" s="100"/>
      <c r="W609" s="110">
        <f t="shared" si="486"/>
        <v>29900</v>
      </c>
      <c r="X609" s="110">
        <f t="shared" si="487"/>
        <v>1497.76</v>
      </c>
      <c r="Y609" s="110">
        <f t="shared" si="488"/>
        <v>2990</v>
      </c>
      <c r="Z609" s="110">
        <f t="shared" si="489"/>
        <v>10462.24</v>
      </c>
      <c r="AA609" s="260">
        <f t="shared" si="490"/>
        <v>0.69981538461538462</v>
      </c>
      <c r="AB609" s="28">
        <f t="shared" si="491"/>
        <v>9.9</v>
      </c>
      <c r="AC609" s="261">
        <f t="shared" si="492"/>
        <v>0.70108203698708149</v>
      </c>
      <c r="AD609" s="111">
        <f t="shared" si="493"/>
        <v>3.1</v>
      </c>
      <c r="AE609" s="262">
        <f t="shared" si="494"/>
        <v>4.5391021345840978E-2</v>
      </c>
      <c r="AF609" s="100"/>
      <c r="AG609" s="111">
        <f t="shared" si="495"/>
        <v>4.9000000000000004</v>
      </c>
      <c r="AH609" s="262">
        <f t="shared" si="496"/>
        <v>0.39606370738206259</v>
      </c>
      <c r="AI609" s="100"/>
      <c r="AJ609" s="111">
        <f t="shared" si="497"/>
        <v>4.5999999999999996</v>
      </c>
      <c r="AK609" s="262">
        <f t="shared" si="498"/>
        <v>0.35667655786350144</v>
      </c>
      <c r="AL609" s="100"/>
      <c r="AM609" s="111">
        <f t="shared" si="499"/>
        <v>4.2</v>
      </c>
      <c r="AN609" s="262">
        <f t="shared" si="500"/>
        <v>0.29540765861240637</v>
      </c>
      <c r="AO609" s="100"/>
      <c r="AP609" s="24" t="e">
        <f>VLOOKUP(C609,#REF!,6,FALSE)</f>
        <v>#REF!</v>
      </c>
      <c r="AQ609" s="24" t="e">
        <f>VLOOKUP(C609,#REF!,7,FALSE)</f>
        <v>#REF!</v>
      </c>
      <c r="AR609" s="24" t="e">
        <f>VLOOKUP(C609,#REF!,12,FALSE)</f>
        <v>#REF!</v>
      </c>
      <c r="AS609" s="24" t="e">
        <f>VLOOKUP(C609,#REF!,13,FALSE)</f>
        <v>#REF!</v>
      </c>
      <c r="AT609" s="100"/>
      <c r="AU609" s="100"/>
      <c r="AV609" s="100">
        <v>593</v>
      </c>
      <c r="AW609" s="100"/>
      <c r="AY609" s="9">
        <v>29900</v>
      </c>
    </row>
    <row r="610" spans="1:51" s="2" customFormat="1" ht="12.75" customHeight="1" x14ac:dyDescent="0.2">
      <c r="A610" s="7" t="s">
        <v>1440</v>
      </c>
      <c r="B610" s="8">
        <v>9789500210461</v>
      </c>
      <c r="C610" s="13">
        <v>673648</v>
      </c>
      <c r="D610" s="25">
        <v>64</v>
      </c>
      <c r="E610" s="7" t="s">
        <v>482</v>
      </c>
      <c r="F610" s="7" t="s">
        <v>483</v>
      </c>
      <c r="G610" s="107">
        <v>43862</v>
      </c>
      <c r="H610" s="108">
        <v>45717</v>
      </c>
      <c r="I610" s="293">
        <v>2140</v>
      </c>
      <c r="J610" s="6" t="s">
        <v>2136</v>
      </c>
      <c r="K610" s="148">
        <v>1759.81</v>
      </c>
      <c r="L610" s="295">
        <v>14900</v>
      </c>
      <c r="M610" s="9"/>
      <c r="N610" s="9">
        <f t="shared" si="482"/>
        <v>7450</v>
      </c>
      <c r="O610" s="9">
        <f t="shared" si="483"/>
        <v>5690.1900000000005</v>
      </c>
      <c r="P610" s="9">
        <f t="shared" si="484"/>
        <v>1759.81</v>
      </c>
      <c r="Q610" s="139">
        <f t="shared" si="485"/>
        <v>0.76378389261744972</v>
      </c>
      <c r="R610" s="335">
        <v>14900</v>
      </c>
      <c r="S610" s="359" t="s">
        <v>1948</v>
      </c>
      <c r="T610" s="305">
        <v>0.76378389261744972</v>
      </c>
      <c r="U610" s="144"/>
      <c r="V610" s="100"/>
      <c r="W610" s="110">
        <f t="shared" si="486"/>
        <v>14900</v>
      </c>
      <c r="X610" s="110">
        <f t="shared" si="487"/>
        <v>1759.81</v>
      </c>
      <c r="Y610" s="110">
        <f t="shared" si="488"/>
        <v>0</v>
      </c>
      <c r="Z610" s="110">
        <f t="shared" si="489"/>
        <v>5690.1900000000005</v>
      </c>
      <c r="AA610" s="260">
        <f t="shared" si="490"/>
        <v>0.76378389261744972</v>
      </c>
      <c r="AB610" s="28">
        <f t="shared" si="491"/>
        <v>4.9000000000000004</v>
      </c>
      <c r="AC610" s="261">
        <f t="shared" si="492"/>
        <v>0.76317514147102961</v>
      </c>
      <c r="AD610" s="111">
        <f t="shared" si="493"/>
        <v>1.2</v>
      </c>
      <c r="AE610" s="262">
        <f t="shared" si="494"/>
        <v>3.296516100670404E-2</v>
      </c>
      <c r="AF610" s="100"/>
      <c r="AG610" s="111">
        <f t="shared" si="495"/>
        <v>1.9</v>
      </c>
      <c r="AH610" s="262">
        <f t="shared" si="496"/>
        <v>0.3892411543200236</v>
      </c>
      <c r="AI610" s="100"/>
      <c r="AJ610" s="111">
        <f t="shared" si="497"/>
        <v>1.8</v>
      </c>
      <c r="AK610" s="262">
        <f t="shared" si="498"/>
        <v>0.35531010733780277</v>
      </c>
      <c r="AL610" s="100"/>
      <c r="AM610" s="111">
        <f t="shared" si="499"/>
        <v>1.7</v>
      </c>
      <c r="AN610" s="262">
        <f t="shared" si="500"/>
        <v>0.31738717247532044</v>
      </c>
      <c r="AO610" s="100"/>
      <c r="AP610" s="24" t="e">
        <f>VLOOKUP(C610,#REF!,6,FALSE)</f>
        <v>#REF!</v>
      </c>
      <c r="AQ610" s="24" t="e">
        <f>VLOOKUP(C610,#REF!,7,FALSE)</f>
        <v>#REF!</v>
      </c>
      <c r="AR610" s="24" t="e">
        <f>VLOOKUP(C610,#REF!,12,FALSE)</f>
        <v>#REF!</v>
      </c>
      <c r="AS610" s="24" t="e">
        <f>VLOOKUP(C610,#REF!,13,FALSE)</f>
        <v>#REF!</v>
      </c>
      <c r="AT610" s="100"/>
      <c r="AU610" s="100"/>
      <c r="AV610" s="100">
        <v>594</v>
      </c>
      <c r="AW610" s="100"/>
      <c r="AY610" s="295">
        <v>14900</v>
      </c>
    </row>
    <row r="611" spans="1:51" s="2" customFormat="1" ht="12.75" customHeight="1" x14ac:dyDescent="0.2">
      <c r="A611" s="7" t="s">
        <v>1441</v>
      </c>
      <c r="B611" s="8">
        <v>9789500210751</v>
      </c>
      <c r="C611" s="8">
        <v>676702</v>
      </c>
      <c r="D611" s="25">
        <v>80</v>
      </c>
      <c r="E611" s="7" t="s">
        <v>466</v>
      </c>
      <c r="F611" s="7" t="s">
        <v>1442</v>
      </c>
      <c r="G611" s="107">
        <v>44044</v>
      </c>
      <c r="H611" s="108">
        <v>44013</v>
      </c>
      <c r="I611" s="7">
        <v>3020</v>
      </c>
      <c r="J611" s="6" t="s">
        <v>2136</v>
      </c>
      <c r="K611" s="9">
        <v>152.03</v>
      </c>
      <c r="L611" s="112">
        <v>20900</v>
      </c>
      <c r="M611" s="9"/>
      <c r="N611" s="9">
        <f t="shared" si="482"/>
        <v>10450</v>
      </c>
      <c r="O611" s="9">
        <f t="shared" si="483"/>
        <v>10297.969999999999</v>
      </c>
      <c r="P611" s="9">
        <f t="shared" si="484"/>
        <v>152.03</v>
      </c>
      <c r="Q611" s="139">
        <f t="shared" si="485"/>
        <v>0.98545167464114825</v>
      </c>
      <c r="R611" s="335">
        <v>20900</v>
      </c>
      <c r="S611" s="359" t="s">
        <v>1948</v>
      </c>
      <c r="T611" s="305">
        <v>0.98545167464114825</v>
      </c>
      <c r="U611" s="144"/>
      <c r="V611" s="100"/>
      <c r="W611" s="110">
        <f t="shared" si="486"/>
        <v>20900</v>
      </c>
      <c r="X611" s="110">
        <f t="shared" si="487"/>
        <v>152.03</v>
      </c>
      <c r="Y611" s="110">
        <f t="shared" si="488"/>
        <v>0</v>
      </c>
      <c r="Z611" s="110">
        <f t="shared" si="489"/>
        <v>10297.969999999999</v>
      </c>
      <c r="AA611" s="260">
        <f t="shared" si="490"/>
        <v>0.98545167464114825</v>
      </c>
      <c r="AB611" s="28">
        <f t="shared" si="491"/>
        <v>6.9</v>
      </c>
      <c r="AC611" s="261">
        <f t="shared" si="492"/>
        <v>0.98547093087152426</v>
      </c>
      <c r="AD611" s="111">
        <f t="shared" si="493"/>
        <v>0.1</v>
      </c>
      <c r="AE611" s="262">
        <f t="shared" si="494"/>
        <v>-2.5057698648202798E-3</v>
      </c>
      <c r="AF611" s="100"/>
      <c r="AG611" s="111">
        <f t="shared" si="495"/>
        <v>0.2</v>
      </c>
      <c r="AH611" s="262">
        <f t="shared" si="496"/>
        <v>0.49874711506758984</v>
      </c>
      <c r="AI611" s="100"/>
      <c r="AJ611" s="111">
        <f t="shared" si="497"/>
        <v>0.2</v>
      </c>
      <c r="AK611" s="262">
        <f t="shared" si="498"/>
        <v>0.49874711506758984</v>
      </c>
      <c r="AL611" s="100"/>
      <c r="AM611" s="111">
        <f t="shared" si="499"/>
        <v>0.1</v>
      </c>
      <c r="AN611" s="262">
        <f t="shared" si="500"/>
        <v>-2.5057698648202798E-3</v>
      </c>
      <c r="AO611" s="100"/>
      <c r="AP611" s="24" t="e">
        <f>VLOOKUP(C611,#REF!,6,FALSE)</f>
        <v>#REF!</v>
      </c>
      <c r="AQ611" s="24" t="e">
        <f>VLOOKUP(C611,#REF!,7,FALSE)</f>
        <v>#REF!</v>
      </c>
      <c r="AR611" s="24" t="e">
        <f>VLOOKUP(C611,#REF!,12,FALSE)</f>
        <v>#REF!</v>
      </c>
      <c r="AS611" s="24" t="e">
        <f>VLOOKUP(C611,#REF!,13,FALSE)</f>
        <v>#REF!</v>
      </c>
      <c r="AT611" s="100"/>
      <c r="AU611" s="100"/>
      <c r="AV611" s="100">
        <v>595</v>
      </c>
      <c r="AW611" s="100"/>
      <c r="AY611" s="112">
        <v>20900</v>
      </c>
    </row>
    <row r="612" spans="1:51" s="2" customFormat="1" ht="12.75" customHeight="1" x14ac:dyDescent="0.25">
      <c r="B612" s="3"/>
      <c r="C612" s="3"/>
      <c r="J612" s="134"/>
      <c r="K612" s="132"/>
      <c r="L612" s="18"/>
      <c r="M612" s="132"/>
      <c r="N612" s="132"/>
      <c r="O612" s="132"/>
      <c r="P612" s="132"/>
      <c r="Q612" s="147"/>
      <c r="R612" s="356"/>
      <c r="S612" s="360"/>
      <c r="T612" s="307"/>
      <c r="U612" s="135"/>
      <c r="V612" s="100"/>
      <c r="W612"/>
      <c r="X612"/>
      <c r="Y612"/>
      <c r="Z612"/>
      <c r="AA612"/>
      <c r="AB612"/>
      <c r="AC612"/>
      <c r="AD612" s="263"/>
      <c r="AE612"/>
      <c r="AF612" s="100"/>
      <c r="AG612" s="263"/>
      <c r="AH612"/>
      <c r="AI612" s="100"/>
      <c r="AJ612" s="263"/>
      <c r="AK612"/>
      <c r="AL612" s="100"/>
      <c r="AM612" s="263"/>
      <c r="AN612"/>
      <c r="AO612" s="100"/>
      <c r="AP612" s="100"/>
      <c r="AQ612" s="100"/>
      <c r="AR612" s="100"/>
      <c r="AS612" s="100"/>
      <c r="AT612" s="100"/>
      <c r="AU612" s="100"/>
      <c r="AV612" s="100">
        <v>596</v>
      </c>
      <c r="AW612" s="100"/>
      <c r="AY612" s="18"/>
    </row>
    <row r="613" spans="1:51" s="2" customFormat="1" ht="12.75" customHeight="1" x14ac:dyDescent="0.25">
      <c r="A613" s="199" t="s">
        <v>1443</v>
      </c>
      <c r="B613" s="168"/>
      <c r="C613" s="168"/>
      <c r="D613" s="174"/>
      <c r="E613" s="347"/>
      <c r="F613" s="314"/>
      <c r="G613" s="162"/>
      <c r="H613" s="132"/>
      <c r="I613" s="132"/>
      <c r="J613" s="134"/>
      <c r="K613" s="132"/>
      <c r="L613" s="18"/>
      <c r="M613" s="132"/>
      <c r="N613" s="132"/>
      <c r="O613" s="132"/>
      <c r="P613" s="132"/>
      <c r="Q613" s="147"/>
      <c r="R613" s="356"/>
      <c r="S613" s="360"/>
      <c r="T613" s="307"/>
      <c r="U613" s="135"/>
      <c r="V613" s="100"/>
      <c r="W613"/>
      <c r="X613"/>
      <c r="Y613"/>
      <c r="Z613"/>
      <c r="AA613"/>
      <c r="AB613"/>
      <c r="AC613"/>
      <c r="AD613" s="263"/>
      <c r="AE613"/>
      <c r="AF613" s="100"/>
      <c r="AG613" s="263"/>
      <c r="AH613"/>
      <c r="AI613" s="100"/>
      <c r="AJ613" s="263"/>
      <c r="AK613"/>
      <c r="AL613" s="100"/>
      <c r="AM613" s="263"/>
      <c r="AN613"/>
      <c r="AO613" s="100"/>
      <c r="AP613" s="100"/>
      <c r="AQ613" s="100"/>
      <c r="AR613" s="100"/>
      <c r="AS613" s="100"/>
      <c r="AT613" s="100"/>
      <c r="AU613" s="100"/>
      <c r="AV613" s="100">
        <v>597</v>
      </c>
      <c r="AW613" s="100"/>
      <c r="AY613" s="18"/>
    </row>
    <row r="614" spans="1:51" s="2" customFormat="1" ht="12.75" customHeight="1" x14ac:dyDescent="0.2">
      <c r="A614" s="7" t="s">
        <v>1444</v>
      </c>
      <c r="B614" s="8">
        <v>9789500210447</v>
      </c>
      <c r="C614" s="8">
        <v>683670</v>
      </c>
      <c r="D614" s="25">
        <v>48</v>
      </c>
      <c r="E614" s="7" t="s">
        <v>329</v>
      </c>
      <c r="F614" s="7" t="s">
        <v>549</v>
      </c>
      <c r="G614" s="107">
        <v>44348</v>
      </c>
      <c r="H614" s="108">
        <v>44228</v>
      </c>
      <c r="I614" s="7">
        <v>3100</v>
      </c>
      <c r="J614" s="6" t="s">
        <v>1762</v>
      </c>
      <c r="K614" s="9">
        <v>214.82</v>
      </c>
      <c r="L614" s="112">
        <v>18900</v>
      </c>
      <c r="M614" s="9"/>
      <c r="N614" s="9">
        <f>+L614/2</f>
        <v>9450</v>
      </c>
      <c r="O614" s="9">
        <f>+N614-M614-K614</f>
        <v>9235.18</v>
      </c>
      <c r="P614" s="9">
        <f>+M614+K614</f>
        <v>214.82</v>
      </c>
      <c r="Q614" s="139">
        <f>+O614/N614</f>
        <v>0.97726772486772495</v>
      </c>
      <c r="R614" s="335">
        <v>18900</v>
      </c>
      <c r="S614" s="359" t="s">
        <v>1948</v>
      </c>
      <c r="T614" s="305">
        <v>0.97726772486772495</v>
      </c>
      <c r="U614" s="144"/>
      <c r="V614" s="100"/>
      <c r="W614" s="110">
        <f>+L614</f>
        <v>18900</v>
      </c>
      <c r="X614" s="110">
        <f>+K614</f>
        <v>214.82</v>
      </c>
      <c r="Y614" s="110">
        <f>+M614</f>
        <v>0</v>
      </c>
      <c r="Z614" s="110">
        <f>+W614/2-X614-Y614</f>
        <v>9235.18</v>
      </c>
      <c r="AA614" s="260">
        <f>+Z614/(W614/2)</f>
        <v>0.97726772486772495</v>
      </c>
      <c r="AB614" s="28">
        <f>ROUND($W614/2/$X$1,1)</f>
        <v>6.2</v>
      </c>
      <c r="AC614" s="261">
        <f>+(AB614*$X$1-$X614-$Y614)/(AB614*$X$1)</f>
        <v>0.97715239888112482</v>
      </c>
      <c r="AD614" s="111">
        <f>+IFERROR(ROUND(($X614+$Y614)/(1-$X$2)/$X$1,1),0)</f>
        <v>0.1</v>
      </c>
      <c r="AE614" s="262">
        <f>+(AD614*$X$1-$X614-$Y614)/(AD614*$X$1)</f>
        <v>-0.41655126937026038</v>
      </c>
      <c r="AF614" s="100"/>
      <c r="AG614" s="111">
        <f>+IFERROR(ROUND(($X614+$Y614)/(1-$AG$2)/$X$1,1),0)</f>
        <v>0.2</v>
      </c>
      <c r="AH614" s="262">
        <f>+(AG614*$X$1-$X614-$Y614)/(AG614*$X$1)</f>
        <v>0.29172436531486984</v>
      </c>
      <c r="AI614" s="100"/>
      <c r="AJ614" s="111">
        <f>+IFERROR(ROUND(($X614+$Y614)/(1-$AJ$2)/$X$1,1),0)</f>
        <v>0.2</v>
      </c>
      <c r="AK614" s="262">
        <f>+(AJ614*$X$1-$X614-$Y614)/(AJ614*$X$1)</f>
        <v>0.29172436531486984</v>
      </c>
      <c r="AL614" s="100"/>
      <c r="AM614" s="111">
        <f>+IFERROR(ROUND(($X614+$Y614)/(1-$AM$2)/$X$1,1),0)</f>
        <v>0.2</v>
      </c>
      <c r="AN614" s="262">
        <f>+(AM614*$X$1-$X614-$Y614)/(AM614*$X$1)</f>
        <v>0.29172436531486984</v>
      </c>
      <c r="AO614" s="100"/>
      <c r="AP614" s="24" t="e">
        <f>VLOOKUP(C614,#REF!,6,FALSE)</f>
        <v>#REF!</v>
      </c>
      <c r="AQ614" s="24" t="e">
        <f>VLOOKUP(C614,#REF!,7,FALSE)</f>
        <v>#REF!</v>
      </c>
      <c r="AR614" s="24" t="e">
        <f>VLOOKUP(C614,#REF!,12,FALSE)</f>
        <v>#REF!</v>
      </c>
      <c r="AS614" s="24" t="e">
        <f>VLOOKUP(C614,#REF!,13,FALSE)</f>
        <v>#REF!</v>
      </c>
      <c r="AT614" s="100"/>
      <c r="AU614" s="100"/>
      <c r="AV614" s="100">
        <v>598</v>
      </c>
      <c r="AW614" s="100"/>
      <c r="AY614" s="112">
        <v>18900</v>
      </c>
    </row>
    <row r="615" spans="1:51" s="2" customFormat="1" ht="12.75" customHeight="1" x14ac:dyDescent="0.2">
      <c r="A615" s="7" t="s">
        <v>1445</v>
      </c>
      <c r="B615" s="8">
        <v>9789500210454</v>
      </c>
      <c r="C615" s="8">
        <v>683671</v>
      </c>
      <c r="D615" s="25">
        <v>48</v>
      </c>
      <c r="E615" s="7" t="s">
        <v>329</v>
      </c>
      <c r="F615" s="7" t="s">
        <v>547</v>
      </c>
      <c r="G615" s="107">
        <v>44348</v>
      </c>
      <c r="H615" s="108">
        <v>44228</v>
      </c>
      <c r="I615" s="7">
        <v>3400</v>
      </c>
      <c r="J615" s="6" t="s">
        <v>1762</v>
      </c>
      <c r="K615" s="9">
        <v>214.82</v>
      </c>
      <c r="L615" s="112">
        <v>18900</v>
      </c>
      <c r="M615" s="9"/>
      <c r="N615" s="9">
        <f>+L615/2</f>
        <v>9450</v>
      </c>
      <c r="O615" s="9">
        <f>+N615-M615-K615</f>
        <v>9235.18</v>
      </c>
      <c r="P615" s="9">
        <f>+M615+K615</f>
        <v>214.82</v>
      </c>
      <c r="Q615" s="139">
        <f>+O615/N615</f>
        <v>0.97726772486772495</v>
      </c>
      <c r="R615" s="335">
        <v>18900</v>
      </c>
      <c r="S615" s="359" t="s">
        <v>1948</v>
      </c>
      <c r="T615" s="305">
        <v>0.97726772486772495</v>
      </c>
      <c r="U615" s="144"/>
      <c r="V615" s="100"/>
      <c r="W615" s="110">
        <f>+L615</f>
        <v>18900</v>
      </c>
      <c r="X615" s="110">
        <f>+K615</f>
        <v>214.82</v>
      </c>
      <c r="Y615" s="110">
        <f>+M615</f>
        <v>0</v>
      </c>
      <c r="Z615" s="110">
        <f>+W615/2-X615-Y615</f>
        <v>9235.18</v>
      </c>
      <c r="AA615" s="260">
        <f>+Z615/(W615/2)</f>
        <v>0.97726772486772495</v>
      </c>
      <c r="AB615" s="28">
        <f>ROUND($W615/2/$X$1,1)</f>
        <v>6.2</v>
      </c>
      <c r="AC615" s="261">
        <f>+(AB615*$X$1-$X615-$Y615)/(AB615*$X$1)</f>
        <v>0.97715239888112482</v>
      </c>
      <c r="AD615" s="111">
        <f>+IFERROR(ROUND(($X615+$Y615)/(1-$X$2)/$X$1,1),0)</f>
        <v>0.1</v>
      </c>
      <c r="AE615" s="262">
        <f>+(AD615*$X$1-$X615-$Y615)/(AD615*$X$1)</f>
        <v>-0.41655126937026038</v>
      </c>
      <c r="AF615" s="100"/>
      <c r="AG615" s="111">
        <f>+IFERROR(ROUND(($X615+$Y615)/(1-$AG$2)/$X$1,1),0)</f>
        <v>0.2</v>
      </c>
      <c r="AH615" s="262">
        <f>+(AG615*$X$1-$X615-$Y615)/(AG615*$X$1)</f>
        <v>0.29172436531486984</v>
      </c>
      <c r="AI615" s="100"/>
      <c r="AJ615" s="111">
        <f>+IFERROR(ROUND(($X615+$Y615)/(1-$AJ$2)/$X$1,1),0)</f>
        <v>0.2</v>
      </c>
      <c r="AK615" s="262">
        <f>+(AJ615*$X$1-$X615-$Y615)/(AJ615*$X$1)</f>
        <v>0.29172436531486984</v>
      </c>
      <c r="AL615" s="100"/>
      <c r="AM615" s="111">
        <f>+IFERROR(ROUND(($X615+$Y615)/(1-$AM$2)/$X$1,1),0)</f>
        <v>0.2</v>
      </c>
      <c r="AN615" s="262">
        <f>+(AM615*$X$1-$X615-$Y615)/(AM615*$X$1)</f>
        <v>0.29172436531486984</v>
      </c>
      <c r="AO615" s="100"/>
      <c r="AP615" s="24" t="e">
        <f>VLOOKUP(C615,#REF!,6,FALSE)</f>
        <v>#REF!</v>
      </c>
      <c r="AQ615" s="24" t="e">
        <f>VLOOKUP(C615,#REF!,7,FALSE)</f>
        <v>#REF!</v>
      </c>
      <c r="AR615" s="24" t="e">
        <f>VLOOKUP(C615,#REF!,12,FALSE)</f>
        <v>#REF!</v>
      </c>
      <c r="AS615" s="24" t="e">
        <f>VLOOKUP(C615,#REF!,13,FALSE)</f>
        <v>#REF!</v>
      </c>
      <c r="AT615" s="100"/>
      <c r="AU615" s="100"/>
      <c r="AV615" s="100">
        <v>599</v>
      </c>
      <c r="AW615" s="100"/>
      <c r="AY615" s="112">
        <v>18900</v>
      </c>
    </row>
    <row r="616" spans="1:51" s="2" customFormat="1" ht="12.75" customHeight="1" x14ac:dyDescent="0.2">
      <c r="A616" s="7" t="s">
        <v>1446</v>
      </c>
      <c r="B616" s="8">
        <v>9789500210423</v>
      </c>
      <c r="C616" s="8">
        <v>683672</v>
      </c>
      <c r="D616" s="25">
        <v>24</v>
      </c>
      <c r="E616" s="7" t="s">
        <v>329</v>
      </c>
      <c r="F616" s="7" t="s">
        <v>548</v>
      </c>
      <c r="G616" s="107">
        <v>44348</v>
      </c>
      <c r="H616" s="108">
        <v>44256</v>
      </c>
      <c r="I616" s="7">
        <v>3024</v>
      </c>
      <c r="J616" s="6" t="s">
        <v>1762</v>
      </c>
      <c r="K616" s="9">
        <v>132.13999999999999</v>
      </c>
      <c r="L616" s="112">
        <v>13300</v>
      </c>
      <c r="M616" s="112"/>
      <c r="N616" s="9">
        <f>+L616/2</f>
        <v>6650</v>
      </c>
      <c r="O616" s="9">
        <f>+N616-M616-K616</f>
        <v>6517.86</v>
      </c>
      <c r="P616" s="9">
        <f>+M616+K616</f>
        <v>132.13999999999999</v>
      </c>
      <c r="Q616" s="139">
        <f>+O616/N616</f>
        <v>0.98012932330827063</v>
      </c>
      <c r="R616" s="335">
        <v>13300</v>
      </c>
      <c r="S616" s="359" t="s">
        <v>1948</v>
      </c>
      <c r="T616" s="305">
        <v>0.98012932330827063</v>
      </c>
      <c r="U616" s="144"/>
      <c r="V616" s="100"/>
      <c r="W616" s="110">
        <f>+L616</f>
        <v>13300</v>
      </c>
      <c r="X616" s="110">
        <f>+K616</f>
        <v>132.13999999999999</v>
      </c>
      <c r="Y616" s="110">
        <f>+M616</f>
        <v>0</v>
      </c>
      <c r="Z616" s="110">
        <f>+W616/2-X616-Y616</f>
        <v>6517.86</v>
      </c>
      <c r="AA616" s="260">
        <f>+Z616/(W616/2)</f>
        <v>0.98012932330827063</v>
      </c>
      <c r="AB616" s="28">
        <f>ROUND($W616/2/$X$1,1)</f>
        <v>4.4000000000000004</v>
      </c>
      <c r="AC616" s="261">
        <f>+(AB616*$X$1-$X616-$Y616)/(AB616*$X$1)</f>
        <v>0.9801966250037466</v>
      </c>
      <c r="AD616" s="111">
        <f>+IFERROR(ROUND(($X616+$Y616)/(1-$X$2)/$X$1,1),0)</f>
        <v>0.1</v>
      </c>
      <c r="AE616" s="262">
        <f>+(AD616*$X$1-$X616-$Y616)/(AD616*$X$1)</f>
        <v>0.12865150016485341</v>
      </c>
      <c r="AF616" s="100"/>
      <c r="AG616" s="111">
        <f>+IFERROR(ROUND(($X616+$Y616)/(1-$AG$2)/$X$1,1),0)</f>
        <v>0.1</v>
      </c>
      <c r="AH616" s="262">
        <f>+(AG616*$X$1-$X616-$Y616)/(AG616*$X$1)</f>
        <v>0.12865150016485341</v>
      </c>
      <c r="AI616" s="100"/>
      <c r="AJ616" s="111">
        <f>+IFERROR(ROUND(($X616+$Y616)/(1-$AJ$2)/$X$1,1),0)</f>
        <v>0.1</v>
      </c>
      <c r="AK616" s="262">
        <f>+(AJ616*$X$1-$X616-$Y616)/(AJ616*$X$1)</f>
        <v>0.12865150016485341</v>
      </c>
      <c r="AL616" s="100"/>
      <c r="AM616" s="111">
        <f>+IFERROR(ROUND(($X616+$Y616)/(1-$AM$2)/$X$1,1),0)</f>
        <v>0.1</v>
      </c>
      <c r="AN616" s="262">
        <f>+(AM616*$X$1-$X616-$Y616)/(AM616*$X$1)</f>
        <v>0.12865150016485341</v>
      </c>
      <c r="AO616" s="100"/>
      <c r="AP616" s="24" t="e">
        <f>VLOOKUP(C616,#REF!,6,FALSE)</f>
        <v>#REF!</v>
      </c>
      <c r="AQ616" s="24" t="e">
        <f>VLOOKUP(C616,#REF!,7,FALSE)</f>
        <v>#REF!</v>
      </c>
      <c r="AR616" s="24" t="e">
        <f>VLOOKUP(C616,#REF!,12,FALSE)</f>
        <v>#REF!</v>
      </c>
      <c r="AS616" s="24" t="e">
        <f>VLOOKUP(C616,#REF!,13,FALSE)</f>
        <v>#REF!</v>
      </c>
      <c r="AT616" s="100"/>
      <c r="AU616" s="100"/>
      <c r="AV616" s="100">
        <v>600</v>
      </c>
      <c r="AW616" s="100"/>
      <c r="AY616" s="112">
        <v>13300</v>
      </c>
    </row>
    <row r="617" spans="1:51" s="2" customFormat="1" ht="12.75" customHeight="1" x14ac:dyDescent="0.2">
      <c r="A617" s="7" t="s">
        <v>1447</v>
      </c>
      <c r="B617" s="8">
        <v>9789500210430</v>
      </c>
      <c r="C617" s="8">
        <v>683673</v>
      </c>
      <c r="D617" s="25">
        <v>24</v>
      </c>
      <c r="E617" s="7" t="s">
        <v>329</v>
      </c>
      <c r="F617" s="7" t="s">
        <v>546</v>
      </c>
      <c r="G617" s="107">
        <v>44348</v>
      </c>
      <c r="H617" s="108">
        <v>44256</v>
      </c>
      <c r="I617" s="7">
        <v>3024</v>
      </c>
      <c r="J617" s="6" t="s">
        <v>1762</v>
      </c>
      <c r="K617" s="9">
        <v>132.13999999999999</v>
      </c>
      <c r="L617" s="112">
        <v>13300</v>
      </c>
      <c r="M617" s="112"/>
      <c r="N617" s="9">
        <f>+L617/2</f>
        <v>6650</v>
      </c>
      <c r="O617" s="9">
        <f>+N617-M617-K617</f>
        <v>6517.86</v>
      </c>
      <c r="P617" s="9">
        <f>+M617+K617</f>
        <v>132.13999999999999</v>
      </c>
      <c r="Q617" s="139">
        <f>+O617/N617</f>
        <v>0.98012932330827063</v>
      </c>
      <c r="R617" s="335">
        <v>13300</v>
      </c>
      <c r="S617" s="359" t="s">
        <v>1948</v>
      </c>
      <c r="T617" s="305">
        <v>0.98012932330827063</v>
      </c>
      <c r="U617" s="144"/>
      <c r="V617" s="100"/>
      <c r="W617" s="110">
        <f>+L617</f>
        <v>13300</v>
      </c>
      <c r="X617" s="110">
        <f>+K617</f>
        <v>132.13999999999999</v>
      </c>
      <c r="Y617" s="110">
        <f>+M617</f>
        <v>0</v>
      </c>
      <c r="Z617" s="110">
        <f>+W617/2-X617-Y617</f>
        <v>6517.86</v>
      </c>
      <c r="AA617" s="260">
        <f>+Z617/(W617/2)</f>
        <v>0.98012932330827063</v>
      </c>
      <c r="AB617" s="28">
        <f>ROUND($W617/2/$X$1,1)</f>
        <v>4.4000000000000004</v>
      </c>
      <c r="AC617" s="261">
        <f>+(AB617*$X$1-$X617-$Y617)/(AB617*$X$1)</f>
        <v>0.9801966250037466</v>
      </c>
      <c r="AD617" s="111">
        <f>+IFERROR(ROUND(($X617+$Y617)/(1-$X$2)/$X$1,1),0)</f>
        <v>0.1</v>
      </c>
      <c r="AE617" s="262">
        <f>+(AD617*$X$1-$X617-$Y617)/(AD617*$X$1)</f>
        <v>0.12865150016485341</v>
      </c>
      <c r="AF617" s="100"/>
      <c r="AG617" s="111">
        <f>+IFERROR(ROUND(($X617+$Y617)/(1-$AG$2)/$X$1,1),0)</f>
        <v>0.1</v>
      </c>
      <c r="AH617" s="262">
        <f>+(AG617*$X$1-$X617-$Y617)/(AG617*$X$1)</f>
        <v>0.12865150016485341</v>
      </c>
      <c r="AI617" s="100"/>
      <c r="AJ617" s="111">
        <f>+IFERROR(ROUND(($X617+$Y617)/(1-$AJ$2)/$X$1,1),0)</f>
        <v>0.1</v>
      </c>
      <c r="AK617" s="262">
        <f>+(AJ617*$X$1-$X617-$Y617)/(AJ617*$X$1)</f>
        <v>0.12865150016485341</v>
      </c>
      <c r="AL617" s="100"/>
      <c r="AM617" s="111">
        <f>+IFERROR(ROUND(($X617+$Y617)/(1-$AM$2)/$X$1,1),0)</f>
        <v>0.1</v>
      </c>
      <c r="AN617" s="262">
        <f>+(AM617*$X$1-$X617-$Y617)/(AM617*$X$1)</f>
        <v>0.12865150016485341</v>
      </c>
      <c r="AO617" s="100"/>
      <c r="AP617" s="24" t="e">
        <f>VLOOKUP(C617,#REF!,6,FALSE)</f>
        <v>#REF!</v>
      </c>
      <c r="AQ617" s="24" t="e">
        <f>VLOOKUP(C617,#REF!,7,FALSE)</f>
        <v>#REF!</v>
      </c>
      <c r="AR617" s="24" t="e">
        <f>VLOOKUP(C617,#REF!,12,FALSE)</f>
        <v>#REF!</v>
      </c>
      <c r="AS617" s="24" t="e">
        <f>VLOOKUP(C617,#REF!,13,FALSE)</f>
        <v>#REF!</v>
      </c>
      <c r="AT617" s="100"/>
      <c r="AU617" s="100"/>
      <c r="AV617" s="100">
        <v>601</v>
      </c>
      <c r="AW617" s="100"/>
      <c r="AY617" s="112">
        <v>13300</v>
      </c>
    </row>
    <row r="618" spans="1:51" s="162" customFormat="1" ht="12.75" customHeight="1" x14ac:dyDescent="0.25">
      <c r="A618" s="2"/>
      <c r="B618" s="3"/>
      <c r="C618" s="3"/>
      <c r="D618" s="2"/>
      <c r="E618" s="2"/>
      <c r="F618" s="2"/>
      <c r="G618" s="2"/>
      <c r="H618" s="2"/>
      <c r="I618" s="2"/>
      <c r="J618" s="134"/>
      <c r="K618" s="132"/>
      <c r="L618" s="18"/>
      <c r="M618" s="132"/>
      <c r="N618" s="132"/>
      <c r="O618" s="132"/>
      <c r="P618" s="132"/>
      <c r="Q618" s="147"/>
      <c r="R618" s="356"/>
      <c r="S618" s="360"/>
      <c r="T618" s="307"/>
      <c r="U618" s="135"/>
      <c r="V618" s="100"/>
      <c r="W618"/>
      <c r="X618"/>
      <c r="Y618"/>
      <c r="Z618"/>
      <c r="AA618"/>
      <c r="AB618"/>
      <c r="AC618"/>
      <c r="AD618" s="263"/>
      <c r="AE618"/>
      <c r="AF618" s="100"/>
      <c r="AG618" s="263"/>
      <c r="AH618"/>
      <c r="AI618" s="100"/>
      <c r="AJ618" s="263"/>
      <c r="AK618"/>
      <c r="AL618" s="100"/>
      <c r="AM618" s="263"/>
      <c r="AN618"/>
      <c r="AO618" s="100"/>
      <c r="AP618" s="100"/>
      <c r="AQ618" s="100"/>
      <c r="AR618" s="100"/>
      <c r="AS618" s="100"/>
      <c r="AT618" s="100"/>
      <c r="AU618" s="100"/>
      <c r="AV618" s="100">
        <v>602</v>
      </c>
      <c r="AW618" s="100"/>
      <c r="AY618" s="18"/>
    </row>
    <row r="619" spans="1:51" s="2" customFormat="1" ht="12.75" customHeight="1" x14ac:dyDescent="0.25">
      <c r="A619" s="199" t="s">
        <v>1448</v>
      </c>
      <c r="B619" s="168"/>
      <c r="C619" s="168"/>
      <c r="D619" s="174"/>
      <c r="E619" s="347"/>
      <c r="F619" s="314"/>
      <c r="G619" s="162"/>
      <c r="H619" s="132"/>
      <c r="I619" s="132"/>
      <c r="J619" s="134"/>
      <c r="K619" s="132"/>
      <c r="L619" s="18"/>
      <c r="M619" s="132"/>
      <c r="N619" s="132"/>
      <c r="O619" s="132"/>
      <c r="P619" s="132"/>
      <c r="Q619" s="147"/>
      <c r="R619" s="356"/>
      <c r="S619" s="360"/>
      <c r="T619" s="307"/>
      <c r="U619" s="135"/>
      <c r="V619" s="100"/>
      <c r="W619"/>
      <c r="X619"/>
      <c r="Y619"/>
      <c r="Z619"/>
      <c r="AA619"/>
      <c r="AB619"/>
      <c r="AC619"/>
      <c r="AD619" s="263"/>
      <c r="AE619"/>
      <c r="AF619" s="100"/>
      <c r="AG619" s="263"/>
      <c r="AH619"/>
      <c r="AI619" s="100"/>
      <c r="AJ619" s="263"/>
      <c r="AK619"/>
      <c r="AL619" s="100"/>
      <c r="AM619" s="263"/>
      <c r="AN619"/>
      <c r="AO619" s="100"/>
      <c r="AP619" s="100"/>
      <c r="AQ619" s="100"/>
      <c r="AR619" s="100"/>
      <c r="AS619" s="100"/>
      <c r="AT619" s="100"/>
      <c r="AU619" s="100"/>
      <c r="AV619" s="100">
        <v>603</v>
      </c>
      <c r="AW619" s="100"/>
      <c r="AY619" s="18"/>
    </row>
    <row r="620" spans="1:51" s="2" customFormat="1" ht="12.75" customHeight="1" x14ac:dyDescent="0.2">
      <c r="A620" s="200" t="s">
        <v>1449</v>
      </c>
      <c r="B620" s="158">
        <v>9789500298629</v>
      </c>
      <c r="C620" s="158">
        <v>599841</v>
      </c>
      <c r="D620" s="201">
        <v>144</v>
      </c>
      <c r="E620" s="22" t="s">
        <v>306</v>
      </c>
      <c r="F620" s="6" t="s">
        <v>617</v>
      </c>
      <c r="G620" s="107">
        <v>42339</v>
      </c>
      <c r="H620" s="108">
        <v>42309</v>
      </c>
      <c r="I620" s="24">
        <v>4000</v>
      </c>
      <c r="J620" s="28" t="s">
        <v>1946</v>
      </c>
      <c r="K620" s="28">
        <v>28.39</v>
      </c>
      <c r="L620" s="128">
        <v>11900</v>
      </c>
      <c r="M620" s="9">
        <f>+L620*0.1</f>
        <v>1190</v>
      </c>
      <c r="N620" s="9">
        <f>+L620/2</f>
        <v>5950</v>
      </c>
      <c r="O620" s="9">
        <f>+N620-M620-K620</f>
        <v>4731.6099999999997</v>
      </c>
      <c r="P620" s="9">
        <f>+M620+K620</f>
        <v>1218.3900000000001</v>
      </c>
      <c r="Q620" s="139">
        <f>+O620/N620</f>
        <v>0.7952285714285714</v>
      </c>
      <c r="R620" s="335">
        <v>11900</v>
      </c>
      <c r="S620" s="359" t="s">
        <v>1948</v>
      </c>
      <c r="T620" s="305">
        <v>0.7952285714285714</v>
      </c>
      <c r="U620" s="144" t="s">
        <v>1063</v>
      </c>
      <c r="V620" s="100"/>
      <c r="W620" s="110">
        <f>+L620</f>
        <v>11900</v>
      </c>
      <c r="X620" s="110">
        <f>+K620</f>
        <v>28.39</v>
      </c>
      <c r="Y620" s="110">
        <f>+M620</f>
        <v>1190</v>
      </c>
      <c r="Z620" s="110">
        <f>+W620/2-X620-Y620</f>
        <v>4731.6099999999997</v>
      </c>
      <c r="AA620" s="260">
        <f>+Z620/(W620/2)</f>
        <v>0.7952285714285714</v>
      </c>
      <c r="AB620" s="28">
        <f>ROUND($W620/2/$X$1,1)</f>
        <v>3.9</v>
      </c>
      <c r="AC620" s="261">
        <f>+(AB620*$X$1-$X620-$Y620)/(AB620*$X$1)</f>
        <v>0.79399426817824437</v>
      </c>
      <c r="AD620" s="111">
        <f>+IFERROR(ROUND(($X620+$Y620)/(1-$X$2)/$X$1,1),0)</f>
        <v>0.8</v>
      </c>
      <c r="AE620" s="262">
        <f>+(AD620*$X$1-$X620-$Y620)/(AD620*$X$1)</f>
        <v>-4.2779426310584033E-3</v>
      </c>
      <c r="AF620" s="100"/>
      <c r="AG620" s="111">
        <f>+IFERROR(ROUND(($X620+$Y620)/(1-$AG$2)/$X$1,1),0)</f>
        <v>1.3</v>
      </c>
      <c r="AH620" s="262">
        <f>+(AG620*$X$1-$X620-$Y620)/(AG620*$X$1)</f>
        <v>0.38198280453473327</v>
      </c>
      <c r="AI620" s="100"/>
      <c r="AJ620" s="111">
        <f>+IFERROR(ROUND(($X620+$Y620)/(1-$AJ$2)/$X$1,1),0)</f>
        <v>1.2</v>
      </c>
      <c r="AK620" s="262">
        <f>+(AJ620*$X$1-$X620-$Y620)/(AJ620*$X$1)</f>
        <v>0.33048137157929436</v>
      </c>
      <c r="AL620" s="100"/>
      <c r="AM620" s="111">
        <f>+IFERROR(ROUND(($X620+$Y620)/(1-$AM$2)/$X$1,1),0)</f>
        <v>1.1000000000000001</v>
      </c>
      <c r="AN620" s="262">
        <f>+(AM620*$X$1-$X620-$Y620)/(AM620*$X$1)</f>
        <v>0.26961604172286663</v>
      </c>
      <c r="AO620" s="100"/>
      <c r="AP620" s="24" t="e">
        <f>VLOOKUP(C620,#REF!,6,FALSE)</f>
        <v>#REF!</v>
      </c>
      <c r="AQ620" s="24" t="e">
        <f>VLOOKUP(C620,#REF!,7,FALSE)</f>
        <v>#REF!</v>
      </c>
      <c r="AR620" s="24" t="e">
        <f>VLOOKUP(C620,#REF!,12,FALSE)</f>
        <v>#REF!</v>
      </c>
      <c r="AS620" s="24" t="e">
        <f>VLOOKUP(C620,#REF!,13,FALSE)</f>
        <v>#REF!</v>
      </c>
      <c r="AT620" s="100"/>
      <c r="AU620" s="100"/>
      <c r="AV620" s="100">
        <v>604</v>
      </c>
      <c r="AW620" s="100"/>
      <c r="AY620" s="128">
        <v>11900</v>
      </c>
    </row>
    <row r="621" spans="1:51" s="2" customFormat="1" ht="12.75" customHeight="1" x14ac:dyDescent="0.2">
      <c r="A621" s="6" t="s">
        <v>1450</v>
      </c>
      <c r="B621" s="8">
        <v>9789500298940</v>
      </c>
      <c r="C621" s="8">
        <v>621797</v>
      </c>
      <c r="D621" s="7">
        <v>144</v>
      </c>
      <c r="E621" s="7" t="s">
        <v>306</v>
      </c>
      <c r="F621" s="7" t="s">
        <v>1451</v>
      </c>
      <c r="G621" s="107">
        <v>42675</v>
      </c>
      <c r="H621" s="108">
        <v>42583</v>
      </c>
      <c r="I621" s="24">
        <v>5100</v>
      </c>
      <c r="J621" s="28" t="s">
        <v>1946</v>
      </c>
      <c r="K621" s="28">
        <v>44.32</v>
      </c>
      <c r="L621" s="128">
        <v>11900</v>
      </c>
      <c r="M621" s="112"/>
      <c r="N621" s="9">
        <f>+L621/2</f>
        <v>5950</v>
      </c>
      <c r="O621" s="9">
        <f>+N621-M621-K621</f>
        <v>5905.68</v>
      </c>
      <c r="P621" s="9">
        <f>+M621+K621</f>
        <v>44.32</v>
      </c>
      <c r="Q621" s="139">
        <f>+O621/N621</f>
        <v>0.99255126050420173</v>
      </c>
      <c r="R621" s="335">
        <v>11900</v>
      </c>
      <c r="S621" s="359" t="s">
        <v>1948</v>
      </c>
      <c r="T621" s="305">
        <v>0.99255126050420173</v>
      </c>
      <c r="U621" s="144"/>
      <c r="V621" s="100"/>
      <c r="W621" s="110">
        <f>+L621</f>
        <v>11900</v>
      </c>
      <c r="X621" s="110">
        <f>+K621</f>
        <v>44.32</v>
      </c>
      <c r="Y621" s="110">
        <f>+M621</f>
        <v>0</v>
      </c>
      <c r="Z621" s="110">
        <f>+W621/2-X621-Y621</f>
        <v>5905.68</v>
      </c>
      <c r="AA621" s="260">
        <f>+Z621/(W621/2)</f>
        <v>0.99255126050420173</v>
      </c>
      <c r="AB621" s="28">
        <f>ROUND($W621/2/$X$1,1)</f>
        <v>3.9</v>
      </c>
      <c r="AC621" s="261">
        <f>+(AB621*$X$1-$X621-$Y621)/(AB621*$X$1)</f>
        <v>0.99250636164582762</v>
      </c>
      <c r="AD621" s="111">
        <f>+IFERROR(ROUND(($X621+$Y621)/(1-$X$2)/$X$1,1),0)</f>
        <v>0</v>
      </c>
      <c r="AE621" s="262" t="e">
        <f>+(AD621*$X$1-$X621-$Y621)/(AD621*$X$1)</f>
        <v>#DIV/0!</v>
      </c>
      <c r="AF621" s="100"/>
      <c r="AG621" s="111">
        <f>+IFERROR(ROUND(($X621+$Y621)/(1-$AG$2)/$X$1,1),0)</f>
        <v>0</v>
      </c>
      <c r="AH621" s="262" t="e">
        <f>+(AG621*$X$1-$X621-$Y621)/(AG621*$X$1)</f>
        <v>#DIV/0!</v>
      </c>
      <c r="AI621" s="100"/>
      <c r="AJ621" s="111">
        <f>+IFERROR(ROUND(($X621+$Y621)/(1-$AJ$2)/$X$1,1),0)</f>
        <v>0</v>
      </c>
      <c r="AK621" s="262" t="e">
        <f>+(AJ621*$X$1-$X621-$Y621)/(AJ621*$X$1)</f>
        <v>#DIV/0!</v>
      </c>
      <c r="AL621" s="100"/>
      <c r="AM621" s="111">
        <f>+IFERROR(ROUND(($X621+$Y621)/(1-$AM$2)/$X$1,1),0)</f>
        <v>0</v>
      </c>
      <c r="AN621" s="262" t="e">
        <f>+(AM621*$X$1-$X621-$Y621)/(AM621*$X$1)</f>
        <v>#DIV/0!</v>
      </c>
      <c r="AO621" s="100"/>
      <c r="AP621" s="24" t="e">
        <f>VLOOKUP(C621,#REF!,6,FALSE)</f>
        <v>#REF!</v>
      </c>
      <c r="AQ621" s="24" t="e">
        <f>VLOOKUP(C621,#REF!,7,FALSE)</f>
        <v>#REF!</v>
      </c>
      <c r="AR621" s="24" t="e">
        <f>VLOOKUP(C621,#REF!,12,FALSE)</f>
        <v>#REF!</v>
      </c>
      <c r="AS621" s="24" t="e">
        <f>VLOOKUP(C621,#REF!,13,FALSE)</f>
        <v>#REF!</v>
      </c>
      <c r="AT621" s="100"/>
      <c r="AU621" s="100"/>
      <c r="AV621" s="100">
        <v>605</v>
      </c>
      <c r="AW621" s="100"/>
      <c r="AY621" s="128">
        <v>11900</v>
      </c>
    </row>
    <row r="622" spans="1:51" s="2" customFormat="1" ht="12.75" customHeight="1" x14ac:dyDescent="0.2">
      <c r="A622" s="6" t="s">
        <v>1452</v>
      </c>
      <c r="B622" s="8">
        <v>9789500298933</v>
      </c>
      <c r="C622" s="6">
        <v>621798</v>
      </c>
      <c r="D622" s="7">
        <v>144</v>
      </c>
      <c r="E622" s="7" t="s">
        <v>306</v>
      </c>
      <c r="F622" s="7" t="s">
        <v>307</v>
      </c>
      <c r="G622" s="107">
        <v>42705</v>
      </c>
      <c r="H622" s="108">
        <v>42583</v>
      </c>
      <c r="I622" s="24">
        <v>5137</v>
      </c>
      <c r="J622" s="28" t="s">
        <v>1946</v>
      </c>
      <c r="K622" s="28">
        <v>44.32</v>
      </c>
      <c r="L622" s="128">
        <v>11900</v>
      </c>
      <c r="M622" s="112"/>
      <c r="N622" s="9">
        <f>+L622/2</f>
        <v>5950</v>
      </c>
      <c r="O622" s="9">
        <f>+N622-M622-K622</f>
        <v>5905.68</v>
      </c>
      <c r="P622" s="9">
        <f>+M622+K622</f>
        <v>44.32</v>
      </c>
      <c r="Q622" s="139">
        <f>+O622/N622</f>
        <v>0.99255126050420173</v>
      </c>
      <c r="R622" s="335">
        <v>11900</v>
      </c>
      <c r="S622" s="359" t="s">
        <v>1948</v>
      </c>
      <c r="T622" s="305">
        <v>0.99255126050420173</v>
      </c>
      <c r="U622" s="144"/>
      <c r="V622" s="100"/>
      <c r="W622" s="110">
        <f>+L622</f>
        <v>11900</v>
      </c>
      <c r="X622" s="110">
        <f>+K622</f>
        <v>44.32</v>
      </c>
      <c r="Y622" s="110">
        <f>+M622</f>
        <v>0</v>
      </c>
      <c r="Z622" s="110">
        <f>+W622/2-X622-Y622</f>
        <v>5905.68</v>
      </c>
      <c r="AA622" s="260">
        <f>+Z622/(W622/2)</f>
        <v>0.99255126050420173</v>
      </c>
      <c r="AB622" s="28">
        <f>ROUND($W622/2/$X$1,1)</f>
        <v>3.9</v>
      </c>
      <c r="AC622" s="261">
        <f>+(AB622*$X$1-$X622-$Y622)/(AB622*$X$1)</f>
        <v>0.99250636164582762</v>
      </c>
      <c r="AD622" s="111">
        <f>+IFERROR(ROUND(($X622+$Y622)/(1-$X$2)/$X$1,1),0)</f>
        <v>0</v>
      </c>
      <c r="AE622" s="262" t="e">
        <f>+(AD622*$X$1-$X622-$Y622)/(AD622*$X$1)</f>
        <v>#DIV/0!</v>
      </c>
      <c r="AF622" s="100"/>
      <c r="AG622" s="111">
        <f>+IFERROR(ROUND(($X622+$Y622)/(1-$AG$2)/$X$1,1),0)</f>
        <v>0</v>
      </c>
      <c r="AH622" s="262" t="e">
        <f>+(AG622*$X$1-$X622-$Y622)/(AG622*$X$1)</f>
        <v>#DIV/0!</v>
      </c>
      <c r="AI622" s="100"/>
      <c r="AJ622" s="111">
        <f>+IFERROR(ROUND(($X622+$Y622)/(1-$AJ$2)/$X$1,1),0)</f>
        <v>0</v>
      </c>
      <c r="AK622" s="262" t="e">
        <f>+(AJ622*$X$1-$X622-$Y622)/(AJ622*$X$1)</f>
        <v>#DIV/0!</v>
      </c>
      <c r="AL622" s="100"/>
      <c r="AM622" s="111">
        <f>+IFERROR(ROUND(($X622+$Y622)/(1-$AM$2)/$X$1,1),0)</f>
        <v>0</v>
      </c>
      <c r="AN622" s="262" t="e">
        <f>+(AM622*$X$1-$X622-$Y622)/(AM622*$X$1)</f>
        <v>#DIV/0!</v>
      </c>
      <c r="AO622" s="100"/>
      <c r="AP622" s="24" t="e">
        <f>VLOOKUP(C622,#REF!,6,FALSE)</f>
        <v>#REF!</v>
      </c>
      <c r="AQ622" s="24" t="e">
        <f>VLOOKUP(C622,#REF!,7,FALSE)</f>
        <v>#REF!</v>
      </c>
      <c r="AR622" s="24" t="e">
        <f>VLOOKUP(C622,#REF!,12,FALSE)</f>
        <v>#REF!</v>
      </c>
      <c r="AS622" s="24" t="e">
        <f>VLOOKUP(C622,#REF!,13,FALSE)</f>
        <v>#REF!</v>
      </c>
      <c r="AT622" s="100"/>
      <c r="AU622" s="100"/>
      <c r="AV622" s="100">
        <v>606</v>
      </c>
      <c r="AW622" s="100"/>
      <c r="AY622" s="128">
        <v>11900</v>
      </c>
    </row>
    <row r="623" spans="1:51" s="2" customFormat="1" ht="12.75" customHeight="1" x14ac:dyDescent="0.25">
      <c r="A623" s="377"/>
      <c r="B623" s="333"/>
      <c r="C623" s="333"/>
      <c r="D623" s="68"/>
      <c r="E623" s="381"/>
      <c r="F623" s="349"/>
      <c r="G623" s="68"/>
      <c r="H623" s="68"/>
      <c r="I623" s="68"/>
      <c r="J623" s="134"/>
      <c r="K623" s="132"/>
      <c r="L623" s="134"/>
      <c r="M623" s="132"/>
      <c r="N623" s="132"/>
      <c r="O623" s="132"/>
      <c r="P623" s="132"/>
      <c r="Q623" s="147"/>
      <c r="R623" s="356"/>
      <c r="S623" s="360"/>
      <c r="T623" s="307"/>
      <c r="U623" s="135"/>
      <c r="V623" s="100"/>
      <c r="W623"/>
      <c r="X623"/>
      <c r="Y623"/>
      <c r="Z623"/>
      <c r="AA623"/>
      <c r="AB623"/>
      <c r="AC623"/>
      <c r="AD623" s="263"/>
      <c r="AE623"/>
      <c r="AF623" s="100"/>
      <c r="AG623" s="263"/>
      <c r="AH623"/>
      <c r="AI623" s="100"/>
      <c r="AJ623" s="263"/>
      <c r="AK623"/>
      <c r="AL623" s="100"/>
      <c r="AM623" s="263"/>
      <c r="AN623"/>
      <c r="AO623" s="100"/>
      <c r="AP623" s="100"/>
      <c r="AQ623" s="100"/>
      <c r="AR623" s="100"/>
      <c r="AS623" s="100"/>
      <c r="AT623" s="100"/>
      <c r="AU623" s="100"/>
      <c r="AV623" s="100">
        <v>607</v>
      </c>
      <c r="AW623" s="100"/>
      <c r="AY623" s="134"/>
    </row>
    <row r="624" spans="1:51" s="162" customFormat="1" ht="12.75" customHeight="1" x14ac:dyDescent="0.3">
      <c r="A624" s="276" t="s">
        <v>629</v>
      </c>
      <c r="B624" s="133"/>
      <c r="C624" s="133"/>
      <c r="D624" s="154"/>
      <c r="E624" s="197"/>
      <c r="F624" s="349"/>
      <c r="G624" s="349"/>
      <c r="H624" s="349"/>
      <c r="I624" s="349"/>
      <c r="J624" s="134"/>
      <c r="K624" s="349"/>
      <c r="L624" s="349"/>
      <c r="M624" s="132"/>
      <c r="N624" s="132"/>
      <c r="O624" s="132"/>
      <c r="P624" s="132"/>
      <c r="Q624" s="147"/>
      <c r="R624" s="356"/>
      <c r="S624" s="360"/>
      <c r="T624" s="307"/>
      <c r="U624" s="135"/>
      <c r="V624" s="100"/>
      <c r="W624"/>
      <c r="X624"/>
      <c r="Y624"/>
      <c r="Z624"/>
      <c r="AA624"/>
      <c r="AB624"/>
      <c r="AC624"/>
      <c r="AD624" s="263"/>
      <c r="AE624"/>
      <c r="AF624" s="100"/>
      <c r="AG624" s="263"/>
      <c r="AH624"/>
      <c r="AI624" s="100"/>
      <c r="AJ624" s="263"/>
      <c r="AK624"/>
      <c r="AL624" s="100"/>
      <c r="AM624" s="263"/>
      <c r="AN624"/>
      <c r="AO624" s="100"/>
      <c r="AP624" s="100"/>
      <c r="AQ624" s="100"/>
      <c r="AR624" s="100"/>
      <c r="AS624" s="100"/>
      <c r="AT624" s="100"/>
      <c r="AU624" s="100"/>
      <c r="AV624" s="100">
        <v>608</v>
      </c>
      <c r="AW624" s="100"/>
      <c r="AY624" s="349"/>
    </row>
    <row r="625" spans="1:51" s="2" customFormat="1" ht="12.75" customHeight="1" x14ac:dyDescent="0.2">
      <c r="A625" s="6" t="s">
        <v>2312</v>
      </c>
      <c r="B625" s="153">
        <v>9789500217675</v>
      </c>
      <c r="C625" s="6">
        <v>744133</v>
      </c>
      <c r="D625" s="343">
        <v>240</v>
      </c>
      <c r="E625" s="6" t="s">
        <v>2313</v>
      </c>
      <c r="F625" s="7" t="s">
        <v>2314</v>
      </c>
      <c r="G625" s="107">
        <v>46143</v>
      </c>
      <c r="H625" s="108">
        <v>46235</v>
      </c>
      <c r="I625" s="7">
        <v>1872</v>
      </c>
      <c r="J625" s="7" t="s">
        <v>2329</v>
      </c>
      <c r="K625" s="148">
        <v>2481.77</v>
      </c>
      <c r="L625" s="352">
        <v>29900</v>
      </c>
      <c r="M625" s="112">
        <f>+L625*0.11</f>
        <v>3289</v>
      </c>
      <c r="N625" s="9">
        <f t="shared" ref="N625:N644" si="502">+L625/2</f>
        <v>14950</v>
      </c>
      <c r="O625" s="9">
        <f t="shared" ref="O625:O644" si="503">+N625-M625-K625</f>
        <v>9179.23</v>
      </c>
      <c r="P625" s="9">
        <f t="shared" ref="P625:P644" si="504">+M625+K625</f>
        <v>5770.77</v>
      </c>
      <c r="Q625" s="139">
        <f t="shared" ref="Q625:Q644" si="505">+O625/N625</f>
        <v>0.61399531772575244</v>
      </c>
      <c r="R625" s="387">
        <v>29900</v>
      </c>
      <c r="S625" s="359" t="s">
        <v>1948</v>
      </c>
      <c r="T625" s="305">
        <v>0.60235384615384624</v>
      </c>
      <c r="U625" s="144"/>
      <c r="V625" s="100"/>
      <c r="W625" s="110">
        <f t="shared" ref="W625:W644" si="506">+L625</f>
        <v>29900</v>
      </c>
      <c r="X625" s="110">
        <f t="shared" ref="X625:X644" si="507">+K625</f>
        <v>2481.77</v>
      </c>
      <c r="Y625" s="110">
        <f t="shared" ref="Y625:Y644" si="508">+M625</f>
        <v>3289</v>
      </c>
      <c r="Z625" s="110">
        <f t="shared" ref="Z625:Z644" si="509">+W625/2-X625-Y625</f>
        <v>9179.23</v>
      </c>
      <c r="AA625" s="260">
        <f t="shared" ref="AA625:AA644" si="510">+Z625/(W625/2)</f>
        <v>0.61399531772575244</v>
      </c>
      <c r="AB625" s="28">
        <f t="shared" ref="AB625:AB644" si="511">ROUND($W625/2/$X$1,1)</f>
        <v>9.9</v>
      </c>
      <c r="AC625" s="261">
        <f t="shared" ref="AC625:AC644" si="512">+(AB625*$X$1-$X625-$Y625)/(AB625*$X$1)</f>
        <v>0.61562409455584532</v>
      </c>
      <c r="AD625" s="111">
        <f t="shared" ref="AD625:AD644" si="513">+IFERROR(ROUND(($X625+$Y625)/(1-$X$2)/$X$1,1),0)</f>
        <v>4</v>
      </c>
      <c r="AE625" s="262">
        <f t="shared" ref="AE625:AE644" si="514">+(AD625*$X$1-$X625-$Y625)/(AD625*$X$1)</f>
        <v>4.8669634025717112E-2</v>
      </c>
      <c r="AF625" s="100"/>
      <c r="AG625" s="111">
        <f t="shared" ref="AG625:AG644" si="515">+IFERROR(ROUND(($X625+$Y625)/(1-$AG$2)/$X$1,1),0)</f>
        <v>6.3</v>
      </c>
      <c r="AH625" s="262">
        <f t="shared" ref="AH625:AH644" si="516">+(AG625*$X$1-$X625-$Y625)/(AG625*$X$1)</f>
        <v>0.39598072001632822</v>
      </c>
      <c r="AI625" s="100"/>
      <c r="AJ625" s="111">
        <f t="shared" ref="AJ625:AJ644" si="517">+IFERROR(ROUND(($X625+$Y625)/(1-$AJ$2)/$X$1,1),0)</f>
        <v>5.9</v>
      </c>
      <c r="AK625" s="262">
        <f t="shared" ref="AK625:AK644" si="518">+(AJ625*$X$1-$X625-$Y625)/(AJ625*$X$1)</f>
        <v>0.35503026035641838</v>
      </c>
      <c r="AL625" s="100"/>
      <c r="AM625" s="111">
        <f t="shared" ref="AM625:AM644" si="519">+IFERROR(ROUND(($X625+$Y625)/(1-$AM$2)/$X$1,1),0)</f>
        <v>5.4</v>
      </c>
      <c r="AN625" s="262">
        <f t="shared" ref="AN625:AN644" si="520">+(AM625*$X$1-$X625-$Y625)/(AM625*$X$1)</f>
        <v>0.29531084001904967</v>
      </c>
      <c r="AO625" s="100"/>
      <c r="AP625" s="24" t="e">
        <f>VLOOKUP(C625,#REF!,6,FALSE)</f>
        <v>#REF!</v>
      </c>
      <c r="AQ625" s="24" t="e">
        <f>VLOOKUP(C625,#REF!,7,FALSE)</f>
        <v>#REF!</v>
      </c>
      <c r="AR625" s="24" t="e">
        <f>VLOOKUP(C625,#REF!,12,FALSE)</f>
        <v>#REF!</v>
      </c>
      <c r="AS625" s="24" t="e">
        <f>VLOOKUP(C625,#REF!,13,FALSE)</f>
        <v>#REF!</v>
      </c>
      <c r="AT625" s="100"/>
      <c r="AU625" s="100"/>
      <c r="AV625" s="100">
        <v>609</v>
      </c>
      <c r="AW625" s="100"/>
      <c r="AY625" s="352">
        <v>29900</v>
      </c>
    </row>
    <row r="626" spans="1:51" s="2" customFormat="1" ht="12.75" customHeight="1" x14ac:dyDescent="0.2">
      <c r="A626" s="6" t="s">
        <v>2315</v>
      </c>
      <c r="B626" s="153">
        <v>9789500217644</v>
      </c>
      <c r="C626" s="6">
        <v>744136</v>
      </c>
      <c r="D626" s="41">
        <v>304</v>
      </c>
      <c r="E626" s="6" t="s">
        <v>1935</v>
      </c>
      <c r="F626" s="7" t="s">
        <v>2316</v>
      </c>
      <c r="G626" s="107">
        <v>46143</v>
      </c>
      <c r="H626" s="108">
        <v>46113</v>
      </c>
      <c r="I626" s="7">
        <v>4102</v>
      </c>
      <c r="J626" s="7" t="s">
        <v>2329</v>
      </c>
      <c r="K626" s="148">
        <v>3788.24</v>
      </c>
      <c r="L626" s="352">
        <v>31900</v>
      </c>
      <c r="M626" s="112">
        <f>+L626*0.08</f>
        <v>2552</v>
      </c>
      <c r="N626" s="9">
        <f t="shared" si="502"/>
        <v>15950</v>
      </c>
      <c r="O626" s="9">
        <f t="shared" si="503"/>
        <v>9609.76</v>
      </c>
      <c r="P626" s="9">
        <f t="shared" si="504"/>
        <v>6340.24</v>
      </c>
      <c r="Q626" s="139">
        <f t="shared" si="505"/>
        <v>0.60249278996865208</v>
      </c>
      <c r="R626" s="387">
        <v>31900</v>
      </c>
      <c r="S626" s="359" t="s">
        <v>1948</v>
      </c>
      <c r="T626" s="305">
        <v>0.59480647249190943</v>
      </c>
      <c r="U626" s="144"/>
      <c r="V626" s="100"/>
      <c r="W626" s="110">
        <f t="shared" si="506"/>
        <v>31900</v>
      </c>
      <c r="X626" s="110">
        <f t="shared" si="507"/>
        <v>3788.24</v>
      </c>
      <c r="Y626" s="110">
        <f t="shared" si="508"/>
        <v>2552</v>
      </c>
      <c r="Z626" s="110">
        <f t="shared" si="509"/>
        <v>9609.76</v>
      </c>
      <c r="AA626" s="260">
        <f t="shared" si="510"/>
        <v>0.60249278996865208</v>
      </c>
      <c r="AB626" s="28">
        <f t="shared" si="511"/>
        <v>10.5</v>
      </c>
      <c r="AC626" s="261">
        <f t="shared" si="512"/>
        <v>0.6018250043175859</v>
      </c>
      <c r="AD626" s="111">
        <f t="shared" si="513"/>
        <v>4.4000000000000004</v>
      </c>
      <c r="AE626" s="262">
        <f t="shared" si="514"/>
        <v>4.9809669394239212E-2</v>
      </c>
      <c r="AF626" s="100"/>
      <c r="AG626" s="111">
        <f t="shared" si="515"/>
        <v>7</v>
      </c>
      <c r="AH626" s="262">
        <f t="shared" si="516"/>
        <v>0.4027375064763789</v>
      </c>
      <c r="AI626" s="100"/>
      <c r="AJ626" s="111">
        <f t="shared" si="517"/>
        <v>6.4</v>
      </c>
      <c r="AK626" s="262">
        <f t="shared" si="518"/>
        <v>0.34674414770853945</v>
      </c>
      <c r="AL626" s="100"/>
      <c r="AM626" s="111">
        <f t="shared" si="519"/>
        <v>6</v>
      </c>
      <c r="AN626" s="262">
        <f t="shared" si="520"/>
        <v>0.30319375755577538</v>
      </c>
      <c r="AO626" s="100"/>
      <c r="AP626" s="24" t="e">
        <f>VLOOKUP(C626,#REF!,6,FALSE)</f>
        <v>#REF!</v>
      </c>
      <c r="AQ626" s="24" t="e">
        <f>VLOOKUP(C626,#REF!,7,FALSE)</f>
        <v>#REF!</v>
      </c>
      <c r="AR626" s="24" t="e">
        <f>VLOOKUP(C626,#REF!,12,FALSE)</f>
        <v>#REF!</v>
      </c>
      <c r="AS626" s="24" t="e">
        <f>VLOOKUP(C626,#REF!,13,FALSE)</f>
        <v>#REF!</v>
      </c>
      <c r="AT626" s="100"/>
      <c r="AU626" s="100"/>
      <c r="AV626" s="100">
        <v>610</v>
      </c>
      <c r="AW626" s="100"/>
      <c r="AY626" s="352">
        <v>31900</v>
      </c>
    </row>
    <row r="627" spans="1:51" s="2" customFormat="1" ht="12.75" customHeight="1" x14ac:dyDescent="0.2">
      <c r="A627" s="6" t="s">
        <v>2207</v>
      </c>
      <c r="B627" s="153">
        <v>9789500217132</v>
      </c>
      <c r="C627" s="6">
        <v>740161</v>
      </c>
      <c r="D627" s="41">
        <v>336</v>
      </c>
      <c r="E627" s="6" t="s">
        <v>2208</v>
      </c>
      <c r="F627" s="6" t="s">
        <v>2209</v>
      </c>
      <c r="G627" s="107">
        <v>46023</v>
      </c>
      <c r="H627" s="107">
        <v>46266</v>
      </c>
      <c r="I627" s="239" t="s">
        <v>2435</v>
      </c>
      <c r="J627" s="6" t="s">
        <v>1762</v>
      </c>
      <c r="K627" s="148">
        <v>3462.88</v>
      </c>
      <c r="L627" s="9">
        <v>31900</v>
      </c>
      <c r="M627" s="112">
        <f>+L627*0.08</f>
        <v>2552</v>
      </c>
      <c r="N627" s="9">
        <f t="shared" si="502"/>
        <v>15950</v>
      </c>
      <c r="O627" s="9">
        <f t="shared" si="503"/>
        <v>9935.119999999999</v>
      </c>
      <c r="P627" s="9">
        <f t="shared" si="504"/>
        <v>6014.88</v>
      </c>
      <c r="Q627" s="139">
        <f t="shared" si="505"/>
        <v>0.62289153605015668</v>
      </c>
      <c r="R627" s="387">
        <v>31900</v>
      </c>
      <c r="S627" s="359" t="s">
        <v>1948</v>
      </c>
      <c r="T627" s="305">
        <v>0.6402990291262135</v>
      </c>
      <c r="U627" s="144"/>
      <c r="V627" s="100"/>
      <c r="W627" s="110">
        <f t="shared" si="506"/>
        <v>31900</v>
      </c>
      <c r="X627" s="110">
        <f t="shared" si="507"/>
        <v>3462.88</v>
      </c>
      <c r="Y627" s="110">
        <f t="shared" si="508"/>
        <v>2552</v>
      </c>
      <c r="Z627" s="110">
        <f t="shared" si="509"/>
        <v>9935.119999999999</v>
      </c>
      <c r="AA627" s="260">
        <f t="shared" si="510"/>
        <v>0.62289153605015668</v>
      </c>
      <c r="AB627" s="28">
        <f t="shared" si="511"/>
        <v>10.5</v>
      </c>
      <c r="AC627" s="261">
        <f t="shared" si="512"/>
        <v>0.62225801893457677</v>
      </c>
      <c r="AD627" s="111">
        <f t="shared" si="513"/>
        <v>4.2</v>
      </c>
      <c r="AE627" s="262">
        <f t="shared" si="514"/>
        <v>5.5645047336442002E-2</v>
      </c>
      <c r="AF627" s="100"/>
      <c r="AG627" s="111">
        <f t="shared" si="515"/>
        <v>6.6</v>
      </c>
      <c r="AH627" s="262">
        <f t="shared" si="516"/>
        <v>0.39904684830500853</v>
      </c>
      <c r="AI627" s="100"/>
      <c r="AJ627" s="111">
        <f t="shared" si="517"/>
        <v>6.1</v>
      </c>
      <c r="AK627" s="262">
        <f t="shared" si="518"/>
        <v>0.34978839324804201</v>
      </c>
      <c r="AL627" s="100"/>
      <c r="AM627" s="111">
        <f t="shared" si="519"/>
        <v>5.7</v>
      </c>
      <c r="AN627" s="262">
        <f t="shared" si="520"/>
        <v>0.30415950856369417</v>
      </c>
      <c r="AO627" s="100"/>
      <c r="AP627" s="24" t="e">
        <f>VLOOKUP(C627,#REF!,6,FALSE)</f>
        <v>#REF!</v>
      </c>
      <c r="AQ627" s="24" t="e">
        <f>VLOOKUP(C627,#REF!,7,FALSE)</f>
        <v>#REF!</v>
      </c>
      <c r="AR627" s="24" t="e">
        <f>VLOOKUP(C627,#REF!,12,FALSE)</f>
        <v>#REF!</v>
      </c>
      <c r="AS627" s="24" t="e">
        <f>VLOOKUP(C627,#REF!,13,FALSE)</f>
        <v>#REF!</v>
      </c>
      <c r="AT627" s="100"/>
      <c r="AU627" s="100"/>
      <c r="AV627" s="100">
        <v>611</v>
      </c>
      <c r="AW627" s="100"/>
      <c r="AY627" s="9">
        <v>31900</v>
      </c>
    </row>
    <row r="628" spans="1:51" s="2" customFormat="1" ht="12.75" customHeight="1" x14ac:dyDescent="0.2">
      <c r="A628" s="6" t="s">
        <v>2154</v>
      </c>
      <c r="B628" s="153">
        <v>9789500216746</v>
      </c>
      <c r="C628" s="6">
        <v>735113</v>
      </c>
      <c r="D628" s="41">
        <v>224</v>
      </c>
      <c r="E628" s="6" t="s">
        <v>2155</v>
      </c>
      <c r="F628" s="6" t="s">
        <v>2156</v>
      </c>
      <c r="G628" s="107">
        <v>45931</v>
      </c>
      <c r="H628" s="108">
        <v>45901</v>
      </c>
      <c r="I628" s="7">
        <v>4053</v>
      </c>
      <c r="J628" s="116" t="s">
        <v>1762</v>
      </c>
      <c r="K628" s="148">
        <v>2238.2199999999998</v>
      </c>
      <c r="L628" s="9">
        <v>25500</v>
      </c>
      <c r="M628" s="112">
        <f>+L628*0.08</f>
        <v>2040</v>
      </c>
      <c r="N628" s="9">
        <f t="shared" si="502"/>
        <v>12750</v>
      </c>
      <c r="O628" s="9">
        <f t="shared" si="503"/>
        <v>8471.7800000000007</v>
      </c>
      <c r="P628" s="9">
        <f t="shared" si="504"/>
        <v>4278.2199999999993</v>
      </c>
      <c r="Q628" s="139">
        <f t="shared" si="505"/>
        <v>0.66445333333333334</v>
      </c>
      <c r="R628" s="387">
        <v>25500</v>
      </c>
      <c r="S628" s="359" t="s">
        <v>1948</v>
      </c>
      <c r="T628" s="305">
        <v>0.66445333333333334</v>
      </c>
      <c r="U628" s="144"/>
      <c r="V628" s="100"/>
      <c r="W628" s="110">
        <f t="shared" si="506"/>
        <v>25500</v>
      </c>
      <c r="X628" s="110">
        <f t="shared" si="507"/>
        <v>2238.2199999999998</v>
      </c>
      <c r="Y628" s="110">
        <f t="shared" si="508"/>
        <v>2040</v>
      </c>
      <c r="Z628" s="110">
        <f t="shared" si="509"/>
        <v>8471.7800000000007</v>
      </c>
      <c r="AA628" s="260">
        <f t="shared" si="510"/>
        <v>0.66445333333333334</v>
      </c>
      <c r="AB628" s="28">
        <f t="shared" si="511"/>
        <v>8.4</v>
      </c>
      <c r="AC628" s="261">
        <f t="shared" si="512"/>
        <v>0.66415304664562835</v>
      </c>
      <c r="AD628" s="111">
        <f t="shared" si="513"/>
        <v>3</v>
      </c>
      <c r="AE628" s="262">
        <f t="shared" si="514"/>
        <v>5.9628530607759141E-2</v>
      </c>
      <c r="AF628" s="100"/>
      <c r="AG628" s="111">
        <f t="shared" si="515"/>
        <v>4.7</v>
      </c>
      <c r="AH628" s="262">
        <f t="shared" si="516"/>
        <v>0.39976289187729303</v>
      </c>
      <c r="AI628" s="100"/>
      <c r="AJ628" s="111">
        <f t="shared" si="517"/>
        <v>4.3</v>
      </c>
      <c r="AK628" s="262">
        <f t="shared" si="518"/>
        <v>0.34392688181936676</v>
      </c>
      <c r="AL628" s="100"/>
      <c r="AM628" s="111">
        <f t="shared" si="519"/>
        <v>4</v>
      </c>
      <c r="AN628" s="262">
        <f t="shared" si="520"/>
        <v>0.29472139795581936</v>
      </c>
      <c r="AO628" s="100"/>
      <c r="AP628" s="24" t="e">
        <f>VLOOKUP(C628,#REF!,6,FALSE)</f>
        <v>#REF!</v>
      </c>
      <c r="AQ628" s="24" t="e">
        <f>VLOOKUP(C628,#REF!,7,FALSE)</f>
        <v>#REF!</v>
      </c>
      <c r="AR628" s="24" t="e">
        <f>VLOOKUP(C628,#REF!,12,FALSE)</f>
        <v>#REF!</v>
      </c>
      <c r="AS628" s="24" t="e">
        <f>VLOOKUP(C628,#REF!,13,FALSE)</f>
        <v>#REF!</v>
      </c>
      <c r="AT628" s="100"/>
      <c r="AU628" s="100"/>
      <c r="AV628" s="100">
        <v>612</v>
      </c>
      <c r="AW628" s="100"/>
      <c r="AY628" s="9">
        <v>25500</v>
      </c>
    </row>
    <row r="629" spans="1:51" s="2" customFormat="1" ht="12.75" customHeight="1" x14ac:dyDescent="0.2">
      <c r="A629" s="6" t="s">
        <v>2113</v>
      </c>
      <c r="B629" s="153">
        <v>9789500216692</v>
      </c>
      <c r="C629" s="6">
        <v>734149</v>
      </c>
      <c r="D629" s="41">
        <v>448</v>
      </c>
      <c r="E629" s="6" t="s">
        <v>2121</v>
      </c>
      <c r="F629" s="6" t="s">
        <v>2122</v>
      </c>
      <c r="G629" s="107">
        <v>45901</v>
      </c>
      <c r="H629" s="108">
        <v>46174</v>
      </c>
      <c r="I629" s="7">
        <v>2071</v>
      </c>
      <c r="J629" s="7" t="s">
        <v>1762</v>
      </c>
      <c r="K629" s="148">
        <v>3243.39</v>
      </c>
      <c r="L629" s="9">
        <v>33900</v>
      </c>
      <c r="M629" s="112">
        <f>+L629*0.08</f>
        <v>2712</v>
      </c>
      <c r="N629" s="9">
        <f t="shared" si="502"/>
        <v>16950</v>
      </c>
      <c r="O629" s="9">
        <f t="shared" si="503"/>
        <v>10994.61</v>
      </c>
      <c r="P629" s="9">
        <f t="shared" si="504"/>
        <v>5955.3899999999994</v>
      </c>
      <c r="Q629" s="139">
        <f t="shared" si="505"/>
        <v>0.64864955752212394</v>
      </c>
      <c r="R629" s="387">
        <v>33900</v>
      </c>
      <c r="S629" s="359" t="s">
        <v>1948</v>
      </c>
      <c r="T629" s="305">
        <v>0.62022431610942252</v>
      </c>
      <c r="U629" s="144"/>
      <c r="V629" s="100"/>
      <c r="W629" s="110">
        <f t="shared" si="506"/>
        <v>33900</v>
      </c>
      <c r="X629" s="110">
        <f t="shared" si="507"/>
        <v>3243.39</v>
      </c>
      <c r="Y629" s="110">
        <f t="shared" si="508"/>
        <v>2712</v>
      </c>
      <c r="Z629" s="110">
        <f t="shared" si="509"/>
        <v>10994.61</v>
      </c>
      <c r="AA629" s="260">
        <f t="shared" si="510"/>
        <v>0.64864955752212394</v>
      </c>
      <c r="AB629" s="28">
        <f t="shared" si="511"/>
        <v>11.2</v>
      </c>
      <c r="AC629" s="261">
        <f t="shared" si="512"/>
        <v>0.64936943620178045</v>
      </c>
      <c r="AD629" s="111">
        <f t="shared" si="513"/>
        <v>4.0999999999999996</v>
      </c>
      <c r="AE629" s="262">
        <f t="shared" si="514"/>
        <v>4.217992328291232E-2</v>
      </c>
      <c r="AF629" s="100"/>
      <c r="AG629" s="111">
        <f t="shared" si="515"/>
        <v>6.5</v>
      </c>
      <c r="AH629" s="262">
        <f t="shared" si="516"/>
        <v>0.39583656699383707</v>
      </c>
      <c r="AI629" s="100"/>
      <c r="AJ629" s="111">
        <f t="shared" si="517"/>
        <v>6</v>
      </c>
      <c r="AK629" s="262">
        <f t="shared" si="518"/>
        <v>0.34548961424332353</v>
      </c>
      <c r="AL629" s="100"/>
      <c r="AM629" s="111">
        <f t="shared" si="519"/>
        <v>5.6</v>
      </c>
      <c r="AN629" s="262">
        <f t="shared" si="520"/>
        <v>0.2987388724035609</v>
      </c>
      <c r="AO629" s="100"/>
      <c r="AP629" s="24" t="e">
        <f>VLOOKUP(C629,#REF!,6,FALSE)</f>
        <v>#REF!</v>
      </c>
      <c r="AQ629" s="24" t="e">
        <f>VLOOKUP(C629,#REF!,7,FALSE)</f>
        <v>#REF!</v>
      </c>
      <c r="AR629" s="24" t="e">
        <f>VLOOKUP(C629,#REF!,12,FALSE)</f>
        <v>#REF!</v>
      </c>
      <c r="AS629" s="24" t="e">
        <f>VLOOKUP(C629,#REF!,13,FALSE)</f>
        <v>#REF!</v>
      </c>
      <c r="AT629" s="100"/>
      <c r="AU629" s="100"/>
      <c r="AV629" s="100">
        <v>613</v>
      </c>
      <c r="AW629" s="100"/>
      <c r="AY629" s="9">
        <v>33900</v>
      </c>
    </row>
    <row r="630" spans="1:51" s="2" customFormat="1" ht="12.75" customHeight="1" x14ac:dyDescent="0.2">
      <c r="A630" s="6" t="s">
        <v>2113</v>
      </c>
      <c r="B630" s="153">
        <v>9789500216708</v>
      </c>
      <c r="C630" s="6">
        <v>734150</v>
      </c>
      <c r="D630" s="41">
        <v>178</v>
      </c>
      <c r="E630" s="6" t="s">
        <v>2123</v>
      </c>
      <c r="F630" s="6" t="s">
        <v>2124</v>
      </c>
      <c r="G630" s="107">
        <v>45901</v>
      </c>
      <c r="H630" s="107">
        <v>46235</v>
      </c>
      <c r="I630" s="239" t="s">
        <v>2435</v>
      </c>
      <c r="J630" s="6" t="s">
        <v>1333</v>
      </c>
      <c r="K630" s="148">
        <v>3496</v>
      </c>
      <c r="L630" s="295">
        <v>25900</v>
      </c>
      <c r="M630" s="112">
        <f>+L630*0.08</f>
        <v>2072</v>
      </c>
      <c r="N630" s="9">
        <f t="shared" si="502"/>
        <v>12950</v>
      </c>
      <c r="O630" s="9">
        <f t="shared" si="503"/>
        <v>7382</v>
      </c>
      <c r="P630" s="9">
        <f t="shared" si="504"/>
        <v>5568</v>
      </c>
      <c r="Q630" s="139">
        <f t="shared" si="505"/>
        <v>0.57003861003861001</v>
      </c>
      <c r="R630" s="387">
        <v>25900</v>
      </c>
      <c r="S630" s="359" t="s">
        <v>1948</v>
      </c>
      <c r="T630" s="305">
        <v>0.59536679536679538</v>
      </c>
      <c r="U630" s="144"/>
      <c r="V630" s="100"/>
      <c r="W630" s="110">
        <f t="shared" si="506"/>
        <v>25900</v>
      </c>
      <c r="X630" s="110">
        <f t="shared" si="507"/>
        <v>3496</v>
      </c>
      <c r="Y630" s="110">
        <f t="shared" si="508"/>
        <v>2072</v>
      </c>
      <c r="Z630" s="110">
        <f t="shared" si="509"/>
        <v>7382</v>
      </c>
      <c r="AA630" s="260">
        <f t="shared" si="510"/>
        <v>0.57003861003861001</v>
      </c>
      <c r="AB630" s="28">
        <f t="shared" si="511"/>
        <v>8.5</v>
      </c>
      <c r="AC630" s="261">
        <f t="shared" si="512"/>
        <v>0.56804561587246172</v>
      </c>
      <c r="AD630" s="111">
        <f t="shared" si="513"/>
        <v>3.9</v>
      </c>
      <c r="AE630" s="262">
        <f t="shared" si="514"/>
        <v>5.8560957670749869E-2</v>
      </c>
      <c r="AF630" s="100"/>
      <c r="AG630" s="111">
        <f t="shared" si="515"/>
        <v>6.1</v>
      </c>
      <c r="AH630" s="262">
        <f t="shared" si="516"/>
        <v>0.39809634998621718</v>
      </c>
      <c r="AI630" s="100"/>
      <c r="AJ630" s="111">
        <f t="shared" si="517"/>
        <v>5.6</v>
      </c>
      <c r="AK630" s="262">
        <f t="shared" si="518"/>
        <v>0.34435495266355798</v>
      </c>
      <c r="AL630" s="100"/>
      <c r="AM630" s="111">
        <f t="shared" si="519"/>
        <v>5.2</v>
      </c>
      <c r="AN630" s="262">
        <f t="shared" si="520"/>
        <v>0.29392071825306249</v>
      </c>
      <c r="AO630" s="100"/>
      <c r="AP630" s="24" t="e">
        <f>VLOOKUP(C630,#REF!,6,FALSE)</f>
        <v>#REF!</v>
      </c>
      <c r="AQ630" s="24" t="e">
        <f>VLOOKUP(C630,#REF!,7,FALSE)</f>
        <v>#REF!</v>
      </c>
      <c r="AR630" s="24" t="e">
        <f>VLOOKUP(C630,#REF!,12,FALSE)</f>
        <v>#REF!</v>
      </c>
      <c r="AS630" s="24" t="e">
        <f>VLOOKUP(C630,#REF!,13,FALSE)</f>
        <v>#REF!</v>
      </c>
      <c r="AT630" s="100"/>
      <c r="AU630" s="100"/>
      <c r="AV630" s="100">
        <v>614</v>
      </c>
      <c r="AW630" s="100"/>
      <c r="AY630" s="295">
        <v>25900</v>
      </c>
    </row>
    <row r="631" spans="1:51" s="2" customFormat="1" ht="12.75" customHeight="1" x14ac:dyDescent="0.2">
      <c r="A631" s="6" t="s">
        <v>2072</v>
      </c>
      <c r="B631" s="279">
        <v>9789500216500</v>
      </c>
      <c r="C631" s="6">
        <v>731830</v>
      </c>
      <c r="D631" s="41">
        <v>288</v>
      </c>
      <c r="E631" s="6" t="s">
        <v>2073</v>
      </c>
      <c r="F631" s="6" t="s">
        <v>2074</v>
      </c>
      <c r="G631" s="107">
        <v>45839</v>
      </c>
      <c r="H631" s="108">
        <v>45809</v>
      </c>
      <c r="I631" s="264">
        <v>3912</v>
      </c>
      <c r="J631" s="116" t="s">
        <v>1762</v>
      </c>
      <c r="K631" s="292">
        <v>2356.06</v>
      </c>
      <c r="L631" s="9">
        <v>26500</v>
      </c>
      <c r="M631" s="112">
        <f>+L631*0.1</f>
        <v>2650</v>
      </c>
      <c r="N631" s="9">
        <f t="shared" si="502"/>
        <v>13250</v>
      </c>
      <c r="O631" s="9">
        <f t="shared" si="503"/>
        <v>8243.94</v>
      </c>
      <c r="P631" s="9">
        <f t="shared" si="504"/>
        <v>5006.0599999999995</v>
      </c>
      <c r="Q631" s="139">
        <f t="shared" si="505"/>
        <v>0.6221841509433963</v>
      </c>
      <c r="R631" s="387">
        <v>26500</v>
      </c>
      <c r="S631" s="359" t="s">
        <v>1948</v>
      </c>
      <c r="T631" s="305">
        <v>0.6221841509433963</v>
      </c>
      <c r="U631" s="144"/>
      <c r="V631" s="100"/>
      <c r="W631" s="110">
        <f t="shared" si="506"/>
        <v>26500</v>
      </c>
      <c r="X631" s="110">
        <f t="shared" si="507"/>
        <v>2356.06</v>
      </c>
      <c r="Y631" s="110">
        <f t="shared" si="508"/>
        <v>2650</v>
      </c>
      <c r="Z631" s="110">
        <f t="shared" si="509"/>
        <v>8243.94</v>
      </c>
      <c r="AA631" s="260">
        <f t="shared" si="510"/>
        <v>0.6221841509433963</v>
      </c>
      <c r="AB631" s="28">
        <f t="shared" si="511"/>
        <v>8.6999999999999993</v>
      </c>
      <c r="AC631" s="261">
        <f t="shared" si="512"/>
        <v>0.62056762584747849</v>
      </c>
      <c r="AD631" s="111">
        <f t="shared" si="513"/>
        <v>3.5</v>
      </c>
      <c r="AE631" s="262">
        <f t="shared" si="514"/>
        <v>5.6839527106589433E-2</v>
      </c>
      <c r="AF631" s="100"/>
      <c r="AG631" s="111">
        <f t="shared" si="515"/>
        <v>5.5</v>
      </c>
      <c r="AH631" s="262">
        <f t="shared" si="516"/>
        <v>0.39980697179510244</v>
      </c>
      <c r="AI631" s="100"/>
      <c r="AJ631" s="111">
        <f t="shared" si="517"/>
        <v>5.0999999999999996</v>
      </c>
      <c r="AK631" s="262">
        <f t="shared" si="518"/>
        <v>0.35273300879863984</v>
      </c>
      <c r="AL631" s="100"/>
      <c r="AM631" s="111">
        <f t="shared" si="519"/>
        <v>4.7</v>
      </c>
      <c r="AN631" s="262">
        <f t="shared" si="520"/>
        <v>0.29764645635597081</v>
      </c>
      <c r="AO631" s="100"/>
      <c r="AP631" s="24" t="e">
        <f>VLOOKUP(C631,#REF!,6,FALSE)</f>
        <v>#REF!</v>
      </c>
      <c r="AQ631" s="24" t="e">
        <f>VLOOKUP(C631,#REF!,7,FALSE)</f>
        <v>#REF!</v>
      </c>
      <c r="AR631" s="24" t="e">
        <f>VLOOKUP(C631,#REF!,12,FALSE)</f>
        <v>#REF!</v>
      </c>
      <c r="AS631" s="24" t="e">
        <f>VLOOKUP(C631,#REF!,13,FALSE)</f>
        <v>#REF!</v>
      </c>
      <c r="AT631" s="100"/>
      <c r="AU631" s="100"/>
      <c r="AV631" s="100">
        <v>615</v>
      </c>
      <c r="AW631" s="100"/>
      <c r="AY631" s="9">
        <v>26500</v>
      </c>
    </row>
    <row r="632" spans="1:51" s="2" customFormat="1" ht="12.75" customHeight="1" x14ac:dyDescent="0.2">
      <c r="A632" s="6" t="s">
        <v>2299</v>
      </c>
      <c r="B632" s="344" t="s">
        <v>2300</v>
      </c>
      <c r="C632" s="6">
        <v>743070</v>
      </c>
      <c r="D632" s="41">
        <v>368</v>
      </c>
      <c r="E632" s="7" t="s">
        <v>758</v>
      </c>
      <c r="F632" s="6" t="s">
        <v>2301</v>
      </c>
      <c r="G632" s="107">
        <v>46113</v>
      </c>
      <c r="H632" s="108">
        <v>46082</v>
      </c>
      <c r="I632" s="267">
        <v>2017</v>
      </c>
      <c r="J632" s="6" t="s">
        <v>1333</v>
      </c>
      <c r="K632" s="148">
        <v>6103.21</v>
      </c>
      <c r="L632" s="9">
        <v>39900</v>
      </c>
      <c r="M632" s="112">
        <f>+L632*0.1</f>
        <v>3990</v>
      </c>
      <c r="N632" s="9">
        <f t="shared" si="502"/>
        <v>19950</v>
      </c>
      <c r="O632" s="9">
        <f t="shared" si="503"/>
        <v>9856.7900000000009</v>
      </c>
      <c r="P632" s="9">
        <f t="shared" si="504"/>
        <v>10093.209999999999</v>
      </c>
      <c r="Q632" s="139">
        <f t="shared" si="505"/>
        <v>0.494074686716792</v>
      </c>
      <c r="R632" s="387">
        <v>39900</v>
      </c>
      <c r="S632" s="359" t="s">
        <v>1948</v>
      </c>
      <c r="T632" s="305">
        <v>0.494074686716792</v>
      </c>
      <c r="U632" s="144"/>
      <c r="V632" s="100"/>
      <c r="W632" s="110">
        <f t="shared" si="506"/>
        <v>39900</v>
      </c>
      <c r="X632" s="110">
        <f t="shared" si="507"/>
        <v>6103.21</v>
      </c>
      <c r="Y632" s="110">
        <f t="shared" si="508"/>
        <v>3990</v>
      </c>
      <c r="Z632" s="110">
        <f t="shared" si="509"/>
        <v>9856.7900000000009</v>
      </c>
      <c r="AA632" s="260">
        <f t="shared" si="510"/>
        <v>0.494074686716792</v>
      </c>
      <c r="AB632" s="28">
        <f t="shared" si="511"/>
        <v>13.2</v>
      </c>
      <c r="AC632" s="261">
        <f t="shared" si="512"/>
        <v>0.49578824845887165</v>
      </c>
      <c r="AD632" s="111">
        <f t="shared" si="513"/>
        <v>7</v>
      </c>
      <c r="AE632" s="262">
        <f t="shared" si="514"/>
        <v>4.9200697093872162E-2</v>
      </c>
      <c r="AF632" s="100"/>
      <c r="AG632" s="111">
        <f t="shared" si="515"/>
        <v>11.1</v>
      </c>
      <c r="AH632" s="262">
        <f t="shared" si="516"/>
        <v>0.40039683600514459</v>
      </c>
      <c r="AI632" s="100"/>
      <c r="AJ632" s="111">
        <f t="shared" si="517"/>
        <v>10.199999999999999</v>
      </c>
      <c r="AK632" s="262">
        <f t="shared" si="518"/>
        <v>0.34749067447618681</v>
      </c>
      <c r="AL632" s="100"/>
      <c r="AM632" s="111">
        <f t="shared" si="519"/>
        <v>9.5</v>
      </c>
      <c r="AN632" s="262">
        <f t="shared" si="520"/>
        <v>0.29941103996390589</v>
      </c>
      <c r="AO632" s="100"/>
      <c r="AP632" s="24" t="e">
        <f>VLOOKUP(C632,#REF!,6,FALSE)</f>
        <v>#REF!</v>
      </c>
      <c r="AQ632" s="24" t="e">
        <f>VLOOKUP(C632,#REF!,7,FALSE)</f>
        <v>#REF!</v>
      </c>
      <c r="AR632" s="24" t="e">
        <f>VLOOKUP(C632,#REF!,12,FALSE)</f>
        <v>#REF!</v>
      </c>
      <c r="AS632" s="24" t="e">
        <f>VLOOKUP(C632,#REF!,13,FALSE)</f>
        <v>#REF!</v>
      </c>
      <c r="AT632" s="100"/>
      <c r="AU632" s="100"/>
      <c r="AV632" s="100">
        <v>616</v>
      </c>
      <c r="AW632" s="100"/>
      <c r="AY632" s="9">
        <v>39900</v>
      </c>
    </row>
    <row r="633" spans="1:51" s="2" customFormat="1" ht="12.75" customHeight="1" x14ac:dyDescent="0.2">
      <c r="A633" s="6" t="s">
        <v>2040</v>
      </c>
      <c r="B633" s="279">
        <v>9789500216173</v>
      </c>
      <c r="C633" s="6">
        <v>729377</v>
      </c>
      <c r="D633" s="41">
        <v>384</v>
      </c>
      <c r="E633" s="7" t="s">
        <v>758</v>
      </c>
      <c r="F633" s="6" t="s">
        <v>2041</v>
      </c>
      <c r="G633" s="108">
        <v>45778</v>
      </c>
      <c r="H633" s="108">
        <v>45809</v>
      </c>
      <c r="I633" s="264">
        <v>4995</v>
      </c>
      <c r="J633" s="176" t="s">
        <v>2219</v>
      </c>
      <c r="K633" s="292">
        <v>2239.37</v>
      </c>
      <c r="L633" s="9">
        <v>35500</v>
      </c>
      <c r="M633" s="112">
        <f>+L633*0.1</f>
        <v>3550</v>
      </c>
      <c r="N633" s="9">
        <f t="shared" si="502"/>
        <v>17750</v>
      </c>
      <c r="O633" s="9">
        <f t="shared" si="503"/>
        <v>11960.630000000001</v>
      </c>
      <c r="P633" s="9">
        <f t="shared" si="504"/>
        <v>5789.37</v>
      </c>
      <c r="Q633" s="139">
        <f t="shared" si="505"/>
        <v>0.67383830985915494</v>
      </c>
      <c r="R633" s="387">
        <v>35500</v>
      </c>
      <c r="S633" s="359" t="s">
        <v>1948</v>
      </c>
      <c r="T633" s="305">
        <v>0.67018144927536238</v>
      </c>
      <c r="U633" s="144"/>
      <c r="V633" s="100"/>
      <c r="W633" s="110">
        <f t="shared" si="506"/>
        <v>35500</v>
      </c>
      <c r="X633" s="110">
        <f t="shared" si="507"/>
        <v>2239.37</v>
      </c>
      <c r="Y633" s="110">
        <f t="shared" si="508"/>
        <v>3550</v>
      </c>
      <c r="Z633" s="110">
        <f t="shared" si="509"/>
        <v>11960.630000000001</v>
      </c>
      <c r="AA633" s="260">
        <f t="shared" si="510"/>
        <v>0.67383830985915494</v>
      </c>
      <c r="AB633" s="28">
        <f t="shared" si="511"/>
        <v>11.7</v>
      </c>
      <c r="AC633" s="261">
        <f t="shared" si="512"/>
        <v>0.67371055145535863</v>
      </c>
      <c r="AD633" s="111">
        <f t="shared" si="513"/>
        <v>4</v>
      </c>
      <c r="AE633" s="262">
        <f t="shared" si="514"/>
        <v>4.5603363006923858E-2</v>
      </c>
      <c r="AF633" s="100"/>
      <c r="AG633" s="111">
        <f t="shared" si="515"/>
        <v>6.4</v>
      </c>
      <c r="AH633" s="262">
        <f t="shared" si="516"/>
        <v>0.40350210187932745</v>
      </c>
      <c r="AI633" s="100"/>
      <c r="AJ633" s="111">
        <f t="shared" si="517"/>
        <v>5.9</v>
      </c>
      <c r="AK633" s="262">
        <f t="shared" si="518"/>
        <v>0.35295143254706707</v>
      </c>
      <c r="AL633" s="100"/>
      <c r="AM633" s="111">
        <f t="shared" si="519"/>
        <v>5.5</v>
      </c>
      <c r="AN633" s="262">
        <f t="shared" si="520"/>
        <v>0.30589335491412645</v>
      </c>
      <c r="AO633" s="100"/>
      <c r="AP633" s="24" t="e">
        <f>VLOOKUP(C633,#REF!,6,FALSE)</f>
        <v>#REF!</v>
      </c>
      <c r="AQ633" s="24" t="e">
        <f>VLOOKUP(C633,#REF!,7,FALSE)</f>
        <v>#REF!</v>
      </c>
      <c r="AR633" s="24" t="e">
        <f>VLOOKUP(C633,#REF!,12,FALSE)</f>
        <v>#REF!</v>
      </c>
      <c r="AS633" s="24" t="e">
        <f>VLOOKUP(C633,#REF!,13,FALSE)</f>
        <v>#REF!</v>
      </c>
      <c r="AT633" s="100"/>
      <c r="AU633" s="100"/>
      <c r="AV633" s="100">
        <v>617</v>
      </c>
      <c r="AW633" s="100"/>
      <c r="AY633" s="9">
        <v>35500</v>
      </c>
    </row>
    <row r="634" spans="1:51" s="2" customFormat="1" ht="12.75" customHeight="1" x14ac:dyDescent="0.2">
      <c r="A634" s="6" t="s">
        <v>1934</v>
      </c>
      <c r="B634" s="282">
        <v>9789500215671</v>
      </c>
      <c r="C634" s="8">
        <v>722605</v>
      </c>
      <c r="D634" s="25">
        <v>576</v>
      </c>
      <c r="E634" s="25" t="s">
        <v>1935</v>
      </c>
      <c r="F634" s="25" t="s">
        <v>1936</v>
      </c>
      <c r="G634" s="107">
        <v>45597</v>
      </c>
      <c r="H634" s="108">
        <v>45566</v>
      </c>
      <c r="I634" s="264">
        <v>5005</v>
      </c>
      <c r="J634" s="6" t="s">
        <v>1762</v>
      </c>
      <c r="K634" s="148">
        <v>3879.92</v>
      </c>
      <c r="L634" s="28">
        <v>37900</v>
      </c>
      <c r="M634" s="9">
        <f>+L634*0.08</f>
        <v>3032</v>
      </c>
      <c r="N634" s="9">
        <f t="shared" si="502"/>
        <v>18950</v>
      </c>
      <c r="O634" s="9">
        <f t="shared" si="503"/>
        <v>12038.08</v>
      </c>
      <c r="P634" s="9">
        <f t="shared" si="504"/>
        <v>6911.92</v>
      </c>
      <c r="Q634" s="139">
        <f t="shared" si="505"/>
        <v>0.63525488126649077</v>
      </c>
      <c r="R634" s="387">
        <v>37900</v>
      </c>
      <c r="S634" s="359" t="s">
        <v>1948</v>
      </c>
      <c r="T634" s="305">
        <v>0.63525488126649077</v>
      </c>
      <c r="U634" s="6"/>
      <c r="V634" s="100"/>
      <c r="W634" s="110">
        <f t="shared" si="506"/>
        <v>37900</v>
      </c>
      <c r="X634" s="110">
        <f t="shared" si="507"/>
        <v>3879.92</v>
      </c>
      <c r="Y634" s="110">
        <f t="shared" si="508"/>
        <v>3032</v>
      </c>
      <c r="Z634" s="110">
        <f t="shared" si="509"/>
        <v>12038.08</v>
      </c>
      <c r="AA634" s="260">
        <f t="shared" si="510"/>
        <v>0.63525488126649077</v>
      </c>
      <c r="AB634" s="28">
        <f t="shared" si="511"/>
        <v>12.5</v>
      </c>
      <c r="AC634" s="261">
        <f t="shared" si="512"/>
        <v>0.63537514012528851</v>
      </c>
      <c r="AD634" s="111">
        <f t="shared" si="513"/>
        <v>4.8</v>
      </c>
      <c r="AE634" s="262">
        <f t="shared" si="514"/>
        <v>5.0456094076272086E-2</v>
      </c>
      <c r="AF634" s="100"/>
      <c r="AG634" s="111">
        <f t="shared" si="515"/>
        <v>7.6</v>
      </c>
      <c r="AH634" s="262">
        <f t="shared" si="516"/>
        <v>0.4002880594165929</v>
      </c>
      <c r="AI634" s="100"/>
      <c r="AJ634" s="111">
        <f t="shared" si="517"/>
        <v>7</v>
      </c>
      <c r="AK634" s="262">
        <f t="shared" si="518"/>
        <v>0.34888417879515804</v>
      </c>
      <c r="AL634" s="100"/>
      <c r="AM634" s="111">
        <f t="shared" si="519"/>
        <v>6.5</v>
      </c>
      <c r="AN634" s="262">
        <f t="shared" si="520"/>
        <v>0.29879834639478553</v>
      </c>
      <c r="AO634" s="100"/>
      <c r="AP634" s="24" t="e">
        <f>VLOOKUP(C634,#REF!,6,FALSE)</f>
        <v>#REF!</v>
      </c>
      <c r="AQ634" s="24" t="e">
        <f>VLOOKUP(C634,#REF!,7,FALSE)</f>
        <v>#REF!</v>
      </c>
      <c r="AR634" s="24" t="e">
        <f>VLOOKUP(C634,#REF!,12,FALSE)</f>
        <v>#REF!</v>
      </c>
      <c r="AS634" s="24" t="e">
        <f>VLOOKUP(C634,#REF!,13,FALSE)</f>
        <v>#REF!</v>
      </c>
      <c r="AT634" s="100"/>
      <c r="AU634" s="100"/>
      <c r="AV634" s="100">
        <v>618</v>
      </c>
      <c r="AW634" s="100"/>
      <c r="AY634" s="28">
        <v>37900</v>
      </c>
    </row>
    <row r="635" spans="1:51" s="2" customFormat="1" ht="12.75" customHeight="1" x14ac:dyDescent="0.2">
      <c r="A635" s="7" t="s">
        <v>1937</v>
      </c>
      <c r="B635" s="283">
        <v>9789500215619</v>
      </c>
      <c r="C635" s="8">
        <v>722614</v>
      </c>
      <c r="D635" s="25">
        <v>304</v>
      </c>
      <c r="E635" s="278" t="s">
        <v>1938</v>
      </c>
      <c r="F635" s="278" t="s">
        <v>1939</v>
      </c>
      <c r="G635" s="107">
        <v>45597</v>
      </c>
      <c r="H635" s="108">
        <v>45809</v>
      </c>
      <c r="I635" s="264">
        <v>2003</v>
      </c>
      <c r="J635" s="280" t="s">
        <v>1762</v>
      </c>
      <c r="K635" s="148">
        <v>2292.71</v>
      </c>
      <c r="L635" s="9">
        <v>33900</v>
      </c>
      <c r="M635" s="9">
        <f>+L635*0.08</f>
        <v>2712</v>
      </c>
      <c r="N635" s="9">
        <f t="shared" si="502"/>
        <v>16950</v>
      </c>
      <c r="O635" s="9">
        <f t="shared" si="503"/>
        <v>11945.29</v>
      </c>
      <c r="P635" s="9">
        <f t="shared" si="504"/>
        <v>5004.71</v>
      </c>
      <c r="Q635" s="139">
        <f t="shared" si="505"/>
        <v>0.70473687315634226</v>
      </c>
      <c r="R635" s="387">
        <v>33900</v>
      </c>
      <c r="S635" s="359" t="s">
        <v>1948</v>
      </c>
      <c r="T635" s="305">
        <v>0.70062553191489363</v>
      </c>
      <c r="U635" s="6"/>
      <c r="V635" s="100"/>
      <c r="W635" s="110">
        <f t="shared" si="506"/>
        <v>33900</v>
      </c>
      <c r="X635" s="110">
        <f t="shared" si="507"/>
        <v>2292.71</v>
      </c>
      <c r="Y635" s="110">
        <f t="shared" si="508"/>
        <v>2712</v>
      </c>
      <c r="Z635" s="110">
        <f t="shared" si="509"/>
        <v>11945.29</v>
      </c>
      <c r="AA635" s="260">
        <f t="shared" si="510"/>
        <v>0.70473687315634226</v>
      </c>
      <c r="AB635" s="28">
        <f t="shared" si="511"/>
        <v>11.2</v>
      </c>
      <c r="AC635" s="261">
        <f t="shared" si="512"/>
        <v>0.70534183505251757</v>
      </c>
      <c r="AD635" s="111">
        <f t="shared" si="513"/>
        <v>3.5</v>
      </c>
      <c r="AE635" s="262">
        <f t="shared" si="514"/>
        <v>5.7093872168056135E-2</v>
      </c>
      <c r="AF635" s="100"/>
      <c r="AG635" s="111">
        <f t="shared" si="515"/>
        <v>5.5</v>
      </c>
      <c r="AH635" s="262">
        <f t="shared" si="516"/>
        <v>0.39996882774330844</v>
      </c>
      <c r="AI635" s="100"/>
      <c r="AJ635" s="111">
        <f t="shared" si="517"/>
        <v>5.0999999999999996</v>
      </c>
      <c r="AK635" s="262">
        <f t="shared" si="518"/>
        <v>0.35290755933101886</v>
      </c>
      <c r="AL635" s="100"/>
      <c r="AM635" s="111">
        <f t="shared" si="519"/>
        <v>4.7</v>
      </c>
      <c r="AN635" s="262">
        <f t="shared" si="520"/>
        <v>0.29783586225280778</v>
      </c>
      <c r="AO635" s="100"/>
      <c r="AP635" s="24" t="e">
        <f>VLOOKUP(C635,#REF!,6,FALSE)</f>
        <v>#REF!</v>
      </c>
      <c r="AQ635" s="24" t="e">
        <f>VLOOKUP(C635,#REF!,7,FALSE)</f>
        <v>#REF!</v>
      </c>
      <c r="AR635" s="24" t="e">
        <f>VLOOKUP(C635,#REF!,12,FALSE)</f>
        <v>#REF!</v>
      </c>
      <c r="AS635" s="24" t="e">
        <f>VLOOKUP(C635,#REF!,13,FALSE)</f>
        <v>#REF!</v>
      </c>
      <c r="AT635" s="100"/>
      <c r="AU635" s="100"/>
      <c r="AV635" s="100">
        <v>619</v>
      </c>
      <c r="AW635" s="100"/>
      <c r="AY635" s="9">
        <v>33900</v>
      </c>
    </row>
    <row r="636" spans="1:51" s="2" customFormat="1" ht="12.75" customHeight="1" x14ac:dyDescent="0.2">
      <c r="A636" s="6" t="s">
        <v>1873</v>
      </c>
      <c r="B636" s="8">
        <v>9789500215336</v>
      </c>
      <c r="C636" s="8">
        <v>717940</v>
      </c>
      <c r="D636" s="25">
        <v>416</v>
      </c>
      <c r="E636" s="6" t="s">
        <v>1874</v>
      </c>
      <c r="F636" s="25" t="s">
        <v>1875</v>
      </c>
      <c r="G636" s="107">
        <v>45474</v>
      </c>
      <c r="H636" s="108">
        <v>45444</v>
      </c>
      <c r="I636" s="264">
        <v>3950</v>
      </c>
      <c r="J636" s="6" t="s">
        <v>2136</v>
      </c>
      <c r="K636" s="148">
        <v>3258.44</v>
      </c>
      <c r="L636" s="9">
        <v>29900</v>
      </c>
      <c r="M636" s="112">
        <f>+L636*0.08</f>
        <v>2392</v>
      </c>
      <c r="N636" s="9">
        <f t="shared" si="502"/>
        <v>14950</v>
      </c>
      <c r="O636" s="9">
        <f t="shared" si="503"/>
        <v>9299.56</v>
      </c>
      <c r="P636" s="9">
        <f t="shared" si="504"/>
        <v>5650.4400000000005</v>
      </c>
      <c r="Q636" s="139">
        <f t="shared" si="505"/>
        <v>0.62204414715719059</v>
      </c>
      <c r="R636" s="387">
        <v>29900</v>
      </c>
      <c r="S636" s="359" t="s">
        <v>1948</v>
      </c>
      <c r="T636" s="305">
        <v>0.62204414715719059</v>
      </c>
      <c r="U636" s="6"/>
      <c r="V636" s="100"/>
      <c r="W636" s="110">
        <f t="shared" si="506"/>
        <v>29900</v>
      </c>
      <c r="X636" s="110">
        <f t="shared" si="507"/>
        <v>3258.44</v>
      </c>
      <c r="Y636" s="110">
        <f t="shared" si="508"/>
        <v>2392</v>
      </c>
      <c r="Z636" s="110">
        <f t="shared" si="509"/>
        <v>9299.56</v>
      </c>
      <c r="AA636" s="260">
        <f t="shared" si="510"/>
        <v>0.62204414715719059</v>
      </c>
      <c r="AB636" s="28">
        <f t="shared" si="511"/>
        <v>9.9</v>
      </c>
      <c r="AC636" s="261">
        <f t="shared" si="512"/>
        <v>0.6236389613244212</v>
      </c>
      <c r="AD636" s="111">
        <f t="shared" si="513"/>
        <v>3.9</v>
      </c>
      <c r="AE636" s="262">
        <f t="shared" si="514"/>
        <v>4.4621978746607727E-2</v>
      </c>
      <c r="AF636" s="100"/>
      <c r="AG636" s="111">
        <f t="shared" si="515"/>
        <v>6.2</v>
      </c>
      <c r="AH636" s="262">
        <f t="shared" si="516"/>
        <v>0.39903640598576945</v>
      </c>
      <c r="AI636" s="100"/>
      <c r="AJ636" s="111">
        <f t="shared" si="517"/>
        <v>5.7</v>
      </c>
      <c r="AK636" s="262">
        <f t="shared" si="518"/>
        <v>0.34632030124767904</v>
      </c>
      <c r="AL636" s="100"/>
      <c r="AM636" s="111">
        <f t="shared" si="519"/>
        <v>5.3</v>
      </c>
      <c r="AN636" s="262">
        <f t="shared" si="520"/>
        <v>0.29698598436071144</v>
      </c>
      <c r="AO636" s="100"/>
      <c r="AP636" s="24" t="e">
        <f>VLOOKUP(C636,#REF!,6,FALSE)</f>
        <v>#REF!</v>
      </c>
      <c r="AQ636" s="24" t="e">
        <f>VLOOKUP(C636,#REF!,7,FALSE)</f>
        <v>#REF!</v>
      </c>
      <c r="AR636" s="24" t="e">
        <f>VLOOKUP(C636,#REF!,12,FALSE)</f>
        <v>#REF!</v>
      </c>
      <c r="AS636" s="24" t="e">
        <f>VLOOKUP(C636,#REF!,13,FALSE)</f>
        <v>#REF!</v>
      </c>
      <c r="AT636" s="100"/>
      <c r="AU636" s="100"/>
      <c r="AV636" s="100">
        <v>620</v>
      </c>
      <c r="AW636" s="100"/>
      <c r="AY636" s="9">
        <v>29900</v>
      </c>
    </row>
    <row r="637" spans="1:51" s="2" customFormat="1" ht="12.75" customHeight="1" x14ac:dyDescent="0.2">
      <c r="A637" s="6" t="s">
        <v>1828</v>
      </c>
      <c r="B637" s="8">
        <v>9789500215060</v>
      </c>
      <c r="C637" s="8">
        <v>715423</v>
      </c>
      <c r="D637" s="41">
        <v>384</v>
      </c>
      <c r="E637" s="7" t="s">
        <v>1829</v>
      </c>
      <c r="F637" s="25" t="s">
        <v>1830</v>
      </c>
      <c r="G637" s="107">
        <v>45444</v>
      </c>
      <c r="H637" s="108">
        <v>45931</v>
      </c>
      <c r="I637" s="267">
        <v>2025</v>
      </c>
      <c r="J637" s="25" t="s">
        <v>2219</v>
      </c>
      <c r="K637" s="148">
        <v>3187.53</v>
      </c>
      <c r="L637" s="9">
        <v>35500</v>
      </c>
      <c r="M637" s="112">
        <f>+L637*0.1</f>
        <v>3550</v>
      </c>
      <c r="N637" s="9">
        <f t="shared" si="502"/>
        <v>17750</v>
      </c>
      <c r="O637" s="9">
        <f t="shared" si="503"/>
        <v>11012.47</v>
      </c>
      <c r="P637" s="9">
        <f t="shared" si="504"/>
        <v>6737.5300000000007</v>
      </c>
      <c r="Q637" s="139">
        <f t="shared" si="505"/>
        <v>0.6204208450704225</v>
      </c>
      <c r="R637" s="387">
        <v>35500</v>
      </c>
      <c r="S637" s="359" t="s">
        <v>1948</v>
      </c>
      <c r="T637" s="305">
        <v>0.61521565217391305</v>
      </c>
      <c r="U637" s="144"/>
      <c r="V637" s="100"/>
      <c r="W637" s="110">
        <f t="shared" si="506"/>
        <v>35500</v>
      </c>
      <c r="X637" s="110">
        <f t="shared" si="507"/>
        <v>3187.53</v>
      </c>
      <c r="Y637" s="110">
        <f t="shared" si="508"/>
        <v>3550</v>
      </c>
      <c r="Z637" s="110">
        <f t="shared" si="509"/>
        <v>11012.47</v>
      </c>
      <c r="AA637" s="260">
        <f t="shared" si="510"/>
        <v>0.6204208450704225</v>
      </c>
      <c r="AB637" s="28">
        <f t="shared" si="511"/>
        <v>11.7</v>
      </c>
      <c r="AC637" s="261">
        <f t="shared" si="512"/>
        <v>0.62027216290322118</v>
      </c>
      <c r="AD637" s="111">
        <f t="shared" si="513"/>
        <v>4.7</v>
      </c>
      <c r="AE637" s="262">
        <f t="shared" si="514"/>
        <v>5.472006509950824E-2</v>
      </c>
      <c r="AF637" s="100"/>
      <c r="AG637" s="111">
        <f t="shared" si="515"/>
        <v>7.4</v>
      </c>
      <c r="AH637" s="262">
        <f t="shared" si="516"/>
        <v>0.39961950080644437</v>
      </c>
      <c r="AI637" s="100"/>
      <c r="AJ637" s="111">
        <f t="shared" si="517"/>
        <v>6.8</v>
      </c>
      <c r="AK637" s="262">
        <f t="shared" si="518"/>
        <v>0.34664475087760116</v>
      </c>
      <c r="AL637" s="100"/>
      <c r="AM637" s="111">
        <f t="shared" si="519"/>
        <v>6.3</v>
      </c>
      <c r="AN637" s="262">
        <f t="shared" si="520"/>
        <v>0.29479115967741076</v>
      </c>
      <c r="AO637" s="100"/>
      <c r="AP637" s="24" t="e">
        <f>VLOOKUP(C637,#REF!,6,FALSE)</f>
        <v>#REF!</v>
      </c>
      <c r="AQ637" s="24" t="e">
        <f>VLOOKUP(C637,#REF!,7,FALSE)</f>
        <v>#REF!</v>
      </c>
      <c r="AR637" s="24" t="e">
        <f>VLOOKUP(C637,#REF!,12,FALSE)</f>
        <v>#REF!</v>
      </c>
      <c r="AS637" s="24" t="e">
        <f>VLOOKUP(C637,#REF!,13,FALSE)</f>
        <v>#REF!</v>
      </c>
      <c r="AT637" s="100"/>
      <c r="AU637" s="100"/>
      <c r="AV637" s="100">
        <v>621</v>
      </c>
      <c r="AW637" s="100"/>
      <c r="AY637" s="9">
        <v>35500</v>
      </c>
    </row>
    <row r="638" spans="1:51" s="2" customFormat="1" ht="12.75" customHeight="1" x14ac:dyDescent="0.2">
      <c r="A638" s="6" t="s">
        <v>1453</v>
      </c>
      <c r="B638" s="8">
        <v>9789500213400</v>
      </c>
      <c r="C638" s="8">
        <v>702980</v>
      </c>
      <c r="D638" s="41">
        <v>304</v>
      </c>
      <c r="E638" s="7" t="s">
        <v>758</v>
      </c>
      <c r="F638" s="7" t="s">
        <v>755</v>
      </c>
      <c r="G638" s="107">
        <v>44958</v>
      </c>
      <c r="H638" s="108">
        <v>46174</v>
      </c>
      <c r="I638" s="264">
        <v>2071</v>
      </c>
      <c r="J638" s="6" t="s">
        <v>2219</v>
      </c>
      <c r="K638" s="328">
        <v>2662.2278174794787</v>
      </c>
      <c r="L638" s="9">
        <v>35500</v>
      </c>
      <c r="M638" s="112">
        <f>+L638*0.1</f>
        <v>3550</v>
      </c>
      <c r="N638" s="9">
        <f t="shared" si="502"/>
        <v>17750</v>
      </c>
      <c r="O638" s="9">
        <f t="shared" si="503"/>
        <v>11537.772182520521</v>
      </c>
      <c r="P638" s="9">
        <f t="shared" si="504"/>
        <v>6212.2278174794792</v>
      </c>
      <c r="Q638" s="139">
        <f t="shared" si="505"/>
        <v>0.65001533422650826</v>
      </c>
      <c r="R638" s="387">
        <v>35500</v>
      </c>
      <c r="S638" s="359" t="s">
        <v>1948</v>
      </c>
      <c r="T638" s="305">
        <v>0.66251014492753624</v>
      </c>
      <c r="U638" s="144"/>
      <c r="V638" s="100"/>
      <c r="W638" s="110">
        <f t="shared" si="506"/>
        <v>35500</v>
      </c>
      <c r="X638" s="110">
        <f t="shared" si="507"/>
        <v>2662.2278174794787</v>
      </c>
      <c r="Y638" s="110">
        <f t="shared" si="508"/>
        <v>3550</v>
      </c>
      <c r="Z638" s="110">
        <f t="shared" si="509"/>
        <v>11537.772182520521</v>
      </c>
      <c r="AA638" s="260">
        <f t="shared" si="510"/>
        <v>0.65001533422650826</v>
      </c>
      <c r="AB638" s="28">
        <f t="shared" si="511"/>
        <v>11.7</v>
      </c>
      <c r="AC638" s="261">
        <f t="shared" si="512"/>
        <v>0.64987824429962837</v>
      </c>
      <c r="AD638" s="111">
        <f t="shared" si="513"/>
        <v>4.3</v>
      </c>
      <c r="AE638" s="262">
        <f t="shared" si="514"/>
        <v>4.7343129838523693E-2</v>
      </c>
      <c r="AF638" s="100"/>
      <c r="AG638" s="111">
        <f t="shared" si="515"/>
        <v>6.8</v>
      </c>
      <c r="AH638" s="262">
        <f t="shared" si="516"/>
        <v>0.39758462622141932</v>
      </c>
      <c r="AI638" s="100"/>
      <c r="AJ638" s="111">
        <f t="shared" si="517"/>
        <v>6.3</v>
      </c>
      <c r="AK638" s="262">
        <f t="shared" si="518"/>
        <v>0.3497738822707383</v>
      </c>
      <c r="AL638" s="100"/>
      <c r="AM638" s="111">
        <f t="shared" si="519"/>
        <v>5.9</v>
      </c>
      <c r="AN638" s="262">
        <f t="shared" si="520"/>
        <v>0.30569075564502574</v>
      </c>
      <c r="AO638" s="100"/>
      <c r="AP638" s="24" t="e">
        <f>VLOOKUP(C638,#REF!,6,FALSE)</f>
        <v>#REF!</v>
      </c>
      <c r="AQ638" s="24" t="e">
        <f>VLOOKUP(C638,#REF!,7,FALSE)</f>
        <v>#REF!</v>
      </c>
      <c r="AR638" s="24" t="e">
        <f>VLOOKUP(C638,#REF!,12,FALSE)</f>
        <v>#REF!</v>
      </c>
      <c r="AS638" s="24" t="e">
        <f>VLOOKUP(C638,#REF!,13,FALSE)</f>
        <v>#REF!</v>
      </c>
      <c r="AT638" s="100"/>
      <c r="AU638" s="100"/>
      <c r="AV638" s="100">
        <v>622</v>
      </c>
      <c r="AW638" s="100"/>
      <c r="AY638" s="9">
        <v>35500</v>
      </c>
    </row>
    <row r="639" spans="1:51" s="68" customFormat="1" ht="12.75" customHeight="1" x14ac:dyDescent="0.2">
      <c r="A639" s="7" t="s">
        <v>1454</v>
      </c>
      <c r="B639" s="8">
        <v>9789500213967</v>
      </c>
      <c r="C639" s="8">
        <v>707946</v>
      </c>
      <c r="D639" s="25">
        <v>48</v>
      </c>
      <c r="E639" s="7" t="s">
        <v>801</v>
      </c>
      <c r="F639" s="7" t="s">
        <v>794</v>
      </c>
      <c r="G639" s="107">
        <v>45139</v>
      </c>
      <c r="H639" s="108">
        <v>45108</v>
      </c>
      <c r="I639" s="7">
        <v>3040</v>
      </c>
      <c r="J639" s="6" t="s">
        <v>2136</v>
      </c>
      <c r="K639" s="117">
        <v>701.87</v>
      </c>
      <c r="L639" s="9">
        <v>19700</v>
      </c>
      <c r="M639" s="112">
        <f>+L639*0.1</f>
        <v>1970</v>
      </c>
      <c r="N639" s="9">
        <f t="shared" si="502"/>
        <v>9850</v>
      </c>
      <c r="O639" s="9">
        <f t="shared" si="503"/>
        <v>7178.13</v>
      </c>
      <c r="P639" s="9">
        <f t="shared" si="504"/>
        <v>2671.87</v>
      </c>
      <c r="Q639" s="139">
        <f t="shared" si="505"/>
        <v>0.72874416243654827</v>
      </c>
      <c r="R639" s="387">
        <v>19700</v>
      </c>
      <c r="S639" s="359" t="s">
        <v>1948</v>
      </c>
      <c r="T639" s="305">
        <v>0.72874416243654827</v>
      </c>
      <c r="U639" s="144"/>
      <c r="V639" s="100"/>
      <c r="W639" s="110">
        <f t="shared" si="506"/>
        <v>19700</v>
      </c>
      <c r="X639" s="110">
        <f t="shared" si="507"/>
        <v>701.87</v>
      </c>
      <c r="Y639" s="110">
        <f t="shared" si="508"/>
        <v>1970</v>
      </c>
      <c r="Z639" s="110">
        <f t="shared" si="509"/>
        <v>7178.1299999999992</v>
      </c>
      <c r="AA639" s="260">
        <f t="shared" si="510"/>
        <v>0.72874416243654816</v>
      </c>
      <c r="AB639" s="28">
        <f t="shared" si="511"/>
        <v>6.5</v>
      </c>
      <c r="AC639" s="261">
        <f t="shared" si="512"/>
        <v>0.72894367090212775</v>
      </c>
      <c r="AD639" s="111">
        <f t="shared" si="513"/>
        <v>1.9</v>
      </c>
      <c r="AE639" s="262">
        <f t="shared" si="514"/>
        <v>7.2702032033595376E-2</v>
      </c>
      <c r="AF639" s="100"/>
      <c r="AG639" s="111">
        <f t="shared" si="515"/>
        <v>2.9</v>
      </c>
      <c r="AH639" s="262">
        <f t="shared" si="516"/>
        <v>0.39245995202201073</v>
      </c>
      <c r="AI639" s="100"/>
      <c r="AJ639" s="111">
        <f t="shared" si="517"/>
        <v>2.7</v>
      </c>
      <c r="AK639" s="262">
        <f t="shared" si="518"/>
        <v>0.34745698550512272</v>
      </c>
      <c r="AL639" s="100"/>
      <c r="AM639" s="111">
        <f t="shared" si="519"/>
        <v>2.5</v>
      </c>
      <c r="AN639" s="262">
        <f t="shared" si="520"/>
        <v>0.29525354434553253</v>
      </c>
      <c r="AO639" s="100"/>
      <c r="AP639" s="24" t="e">
        <f>VLOOKUP(C639,#REF!,6,FALSE)</f>
        <v>#REF!</v>
      </c>
      <c r="AQ639" s="24" t="e">
        <f>VLOOKUP(C639,#REF!,7,FALSE)</f>
        <v>#REF!</v>
      </c>
      <c r="AR639" s="24" t="e">
        <f>VLOOKUP(C639,#REF!,12,FALSE)</f>
        <v>#REF!</v>
      </c>
      <c r="AS639" s="24" t="e">
        <f>VLOOKUP(C639,#REF!,13,FALSE)</f>
        <v>#REF!</v>
      </c>
      <c r="AT639" s="100"/>
      <c r="AU639" s="100"/>
      <c r="AV639" s="100">
        <v>623</v>
      </c>
      <c r="AW639" s="100"/>
      <c r="AY639" s="9">
        <v>19700</v>
      </c>
    </row>
    <row r="640" spans="1:51" s="132" customFormat="1" ht="12.75" customHeight="1" x14ac:dyDescent="0.2">
      <c r="A640" s="7" t="s">
        <v>1455</v>
      </c>
      <c r="B640" s="8">
        <v>9789500212052</v>
      </c>
      <c r="C640" s="8">
        <v>687545</v>
      </c>
      <c r="D640" s="25">
        <v>164</v>
      </c>
      <c r="E640" s="9" t="s">
        <v>584</v>
      </c>
      <c r="F640" s="7" t="s">
        <v>585</v>
      </c>
      <c r="G640" s="107">
        <v>44470</v>
      </c>
      <c r="H640" s="108">
        <v>44440</v>
      </c>
      <c r="I640" s="7">
        <v>3012</v>
      </c>
      <c r="J640" s="6" t="s">
        <v>2136</v>
      </c>
      <c r="K640" s="9">
        <v>135.74</v>
      </c>
      <c r="L640" s="112">
        <v>17500</v>
      </c>
      <c r="M640" s="9">
        <f>+L640*0.1</f>
        <v>1750</v>
      </c>
      <c r="N640" s="9">
        <f t="shared" si="502"/>
        <v>8750</v>
      </c>
      <c r="O640" s="9">
        <f t="shared" si="503"/>
        <v>6864.26</v>
      </c>
      <c r="P640" s="9">
        <f t="shared" si="504"/>
        <v>1885.74</v>
      </c>
      <c r="Q640" s="139">
        <f t="shared" si="505"/>
        <v>0.78448685714285715</v>
      </c>
      <c r="R640" s="345">
        <v>17500</v>
      </c>
      <c r="S640" s="359" t="s">
        <v>1948</v>
      </c>
      <c r="T640" s="305">
        <v>0.78448685714285715</v>
      </c>
      <c r="U640" s="144"/>
      <c r="V640" s="100"/>
      <c r="W640" s="110">
        <f t="shared" si="506"/>
        <v>17500</v>
      </c>
      <c r="X640" s="110">
        <f t="shared" si="507"/>
        <v>135.74</v>
      </c>
      <c r="Y640" s="110">
        <f t="shared" si="508"/>
        <v>1750</v>
      </c>
      <c r="Z640" s="110">
        <f t="shared" si="509"/>
        <v>6864.26</v>
      </c>
      <c r="AA640" s="260">
        <f t="shared" si="510"/>
        <v>0.78448685714285715</v>
      </c>
      <c r="AB640" s="28">
        <f t="shared" si="511"/>
        <v>5.8</v>
      </c>
      <c r="AC640" s="261">
        <f t="shared" si="512"/>
        <v>0.78560660322657661</v>
      </c>
      <c r="AD640" s="111">
        <f t="shared" si="513"/>
        <v>1.3</v>
      </c>
      <c r="AE640" s="262">
        <f t="shared" si="514"/>
        <v>4.3475614395495715E-2</v>
      </c>
      <c r="AF640" s="100"/>
      <c r="AG640" s="111">
        <f t="shared" si="515"/>
        <v>2.1</v>
      </c>
      <c r="AH640" s="262">
        <f t="shared" si="516"/>
        <v>0.40786585653054491</v>
      </c>
      <c r="AI640" s="100"/>
      <c r="AJ640" s="111">
        <f t="shared" si="517"/>
        <v>1.9</v>
      </c>
      <c r="AK640" s="262">
        <f t="shared" si="518"/>
        <v>0.34553594669165483</v>
      </c>
      <c r="AL640" s="100"/>
      <c r="AM640" s="111">
        <f t="shared" si="519"/>
        <v>1.8</v>
      </c>
      <c r="AN640" s="262">
        <f t="shared" si="520"/>
        <v>0.30917683261896911</v>
      </c>
      <c r="AO640" s="100"/>
      <c r="AP640" s="24" t="e">
        <f>VLOOKUP(C640,#REF!,6,FALSE)</f>
        <v>#REF!</v>
      </c>
      <c r="AQ640" s="24" t="e">
        <f>VLOOKUP(C640,#REF!,7,FALSE)</f>
        <v>#REF!</v>
      </c>
      <c r="AR640" s="24" t="e">
        <f>VLOOKUP(C640,#REF!,12,FALSE)</f>
        <v>#REF!</v>
      </c>
      <c r="AS640" s="24" t="e">
        <f>VLOOKUP(C640,#REF!,13,FALSE)</f>
        <v>#REF!</v>
      </c>
      <c r="AT640" s="100"/>
      <c r="AU640" s="100"/>
      <c r="AV640" s="100">
        <v>624</v>
      </c>
      <c r="AW640" s="100"/>
      <c r="AY640" s="112">
        <v>17500</v>
      </c>
    </row>
    <row r="641" spans="1:51" s="2" customFormat="1" ht="12.75" customHeight="1" x14ac:dyDescent="0.2">
      <c r="A641" s="7" t="s">
        <v>1456</v>
      </c>
      <c r="B641" s="8">
        <v>9789500214162</v>
      </c>
      <c r="C641" s="8">
        <v>709896</v>
      </c>
      <c r="D641" s="25">
        <v>176</v>
      </c>
      <c r="E641" s="7" t="s">
        <v>472</v>
      </c>
      <c r="F641" s="7" t="s">
        <v>850</v>
      </c>
      <c r="G641" s="107">
        <v>45200</v>
      </c>
      <c r="H641" s="108">
        <v>45170</v>
      </c>
      <c r="I641" s="7">
        <v>3089</v>
      </c>
      <c r="J641" s="7" t="s">
        <v>1762</v>
      </c>
      <c r="K641" s="117">
        <v>865.32</v>
      </c>
      <c r="L641" s="112">
        <v>21500</v>
      </c>
      <c r="M641" s="9">
        <f>+L641*0.1</f>
        <v>2150</v>
      </c>
      <c r="N641" s="9">
        <f t="shared" si="502"/>
        <v>10750</v>
      </c>
      <c r="O641" s="9">
        <f t="shared" si="503"/>
        <v>7734.68</v>
      </c>
      <c r="P641" s="9">
        <f t="shared" si="504"/>
        <v>3015.32</v>
      </c>
      <c r="Q641" s="139">
        <f t="shared" si="505"/>
        <v>0.71950511627906977</v>
      </c>
      <c r="R641" s="345">
        <v>21500</v>
      </c>
      <c r="S641" s="359" t="s">
        <v>1948</v>
      </c>
      <c r="T641" s="305">
        <v>0.71950511627906977</v>
      </c>
      <c r="U641" s="144"/>
      <c r="V641" s="100"/>
      <c r="W641" s="110">
        <f t="shared" si="506"/>
        <v>21500</v>
      </c>
      <c r="X641" s="110">
        <f t="shared" si="507"/>
        <v>865.32</v>
      </c>
      <c r="Y641" s="110">
        <f t="shared" si="508"/>
        <v>2150</v>
      </c>
      <c r="Z641" s="110">
        <f t="shared" si="509"/>
        <v>7734.68</v>
      </c>
      <c r="AA641" s="260">
        <f t="shared" si="510"/>
        <v>0.71950511627906977</v>
      </c>
      <c r="AB641" s="28">
        <f t="shared" si="511"/>
        <v>7.1</v>
      </c>
      <c r="AC641" s="261">
        <f t="shared" si="512"/>
        <v>0.71995189070459686</v>
      </c>
      <c r="AD641" s="111">
        <f t="shared" si="513"/>
        <v>2.1</v>
      </c>
      <c r="AE641" s="262">
        <f t="shared" si="514"/>
        <v>5.3170678096494096E-2</v>
      </c>
      <c r="AF641" s="100"/>
      <c r="AG641" s="111">
        <f t="shared" si="515"/>
        <v>3.3</v>
      </c>
      <c r="AH641" s="262">
        <f t="shared" si="516"/>
        <v>0.39747224969776901</v>
      </c>
      <c r="AI641" s="100"/>
      <c r="AJ641" s="111">
        <f t="shared" si="517"/>
        <v>3.1</v>
      </c>
      <c r="AK641" s="262">
        <f t="shared" si="518"/>
        <v>0.3585994916137541</v>
      </c>
      <c r="AL641" s="100"/>
      <c r="AM641" s="111">
        <f t="shared" si="519"/>
        <v>2.8</v>
      </c>
      <c r="AN641" s="262">
        <f t="shared" si="520"/>
        <v>0.2898780085723705</v>
      </c>
      <c r="AO641" s="100"/>
      <c r="AP641" s="24" t="e">
        <f>VLOOKUP(C641,#REF!,6,FALSE)</f>
        <v>#REF!</v>
      </c>
      <c r="AQ641" s="24" t="e">
        <f>VLOOKUP(C641,#REF!,7,FALSE)</f>
        <v>#REF!</v>
      </c>
      <c r="AR641" s="24" t="e">
        <f>VLOOKUP(C641,#REF!,12,FALSE)</f>
        <v>#REF!</v>
      </c>
      <c r="AS641" s="24" t="e">
        <f>VLOOKUP(C641,#REF!,13,FALSE)</f>
        <v>#REF!</v>
      </c>
      <c r="AT641" s="100"/>
      <c r="AU641" s="100"/>
      <c r="AV641" s="100">
        <v>625</v>
      </c>
      <c r="AW641" s="100"/>
      <c r="AY641" s="112">
        <v>21500</v>
      </c>
    </row>
    <row r="642" spans="1:51" s="2" customFormat="1" ht="12.75" customHeight="1" x14ac:dyDescent="0.2">
      <c r="A642" s="7" t="s">
        <v>1457</v>
      </c>
      <c r="B642" s="8">
        <v>9789500211376</v>
      </c>
      <c r="C642" s="8">
        <v>680645</v>
      </c>
      <c r="D642" s="25">
        <v>224</v>
      </c>
      <c r="E642" s="7" t="s">
        <v>472</v>
      </c>
      <c r="F642" s="7" t="s">
        <v>522</v>
      </c>
      <c r="G642" s="107">
        <v>44166</v>
      </c>
      <c r="H642" s="108">
        <v>45717</v>
      </c>
      <c r="I642" s="293">
        <v>2105</v>
      </c>
      <c r="J642" s="7" t="s">
        <v>1762</v>
      </c>
      <c r="K642" s="9">
        <v>2781.21</v>
      </c>
      <c r="L642" s="295">
        <v>21500</v>
      </c>
      <c r="M642" s="112">
        <f>+L642*0.08</f>
        <v>1720</v>
      </c>
      <c r="N642" s="9">
        <f t="shared" si="502"/>
        <v>10750</v>
      </c>
      <c r="O642" s="9">
        <f t="shared" si="503"/>
        <v>6248.79</v>
      </c>
      <c r="P642" s="9">
        <f t="shared" si="504"/>
        <v>4501.21</v>
      </c>
      <c r="Q642" s="139">
        <f t="shared" si="505"/>
        <v>0.58128279069767441</v>
      </c>
      <c r="R642" s="345">
        <v>21500</v>
      </c>
      <c r="S642" s="359" t="s">
        <v>1948</v>
      </c>
      <c r="T642" s="305">
        <v>0.58128279069767441</v>
      </c>
      <c r="U642" s="144"/>
      <c r="V642" s="100"/>
      <c r="W642" s="110">
        <f t="shared" si="506"/>
        <v>21500</v>
      </c>
      <c r="X642" s="110">
        <f t="shared" si="507"/>
        <v>2781.21</v>
      </c>
      <c r="Y642" s="110">
        <f t="shared" si="508"/>
        <v>1720</v>
      </c>
      <c r="Z642" s="110">
        <f t="shared" si="509"/>
        <v>6248.79</v>
      </c>
      <c r="AA642" s="260">
        <f t="shared" si="510"/>
        <v>0.58128279069767441</v>
      </c>
      <c r="AB642" s="28">
        <f t="shared" si="511"/>
        <v>7.1</v>
      </c>
      <c r="AC642" s="261">
        <f t="shared" si="512"/>
        <v>0.58194972671505452</v>
      </c>
      <c r="AD642" s="111">
        <f t="shared" si="513"/>
        <v>3.1</v>
      </c>
      <c r="AE642" s="262">
        <f t="shared" si="514"/>
        <v>4.2530019250608994E-2</v>
      </c>
      <c r="AF642" s="100"/>
      <c r="AG642" s="111">
        <f t="shared" si="515"/>
        <v>4.9000000000000004</v>
      </c>
      <c r="AH642" s="262">
        <f t="shared" si="516"/>
        <v>0.39425368564834445</v>
      </c>
      <c r="AI642" s="100"/>
      <c r="AJ642" s="111">
        <f t="shared" si="517"/>
        <v>4.5999999999999996</v>
      </c>
      <c r="AK642" s="262">
        <f t="shared" si="518"/>
        <v>0.35474849123410596</v>
      </c>
      <c r="AL642" s="100"/>
      <c r="AM642" s="111">
        <f t="shared" si="519"/>
        <v>4.2</v>
      </c>
      <c r="AN642" s="262">
        <f t="shared" si="520"/>
        <v>0.29329596658973517</v>
      </c>
      <c r="AO642" s="100"/>
      <c r="AP642" s="24" t="e">
        <f>VLOOKUP(C642,#REF!,6,FALSE)</f>
        <v>#REF!</v>
      </c>
      <c r="AQ642" s="24" t="e">
        <f>VLOOKUP(C642,#REF!,7,FALSE)</f>
        <v>#REF!</v>
      </c>
      <c r="AR642" s="24" t="e">
        <f>VLOOKUP(C642,#REF!,12,FALSE)</f>
        <v>#REF!</v>
      </c>
      <c r="AS642" s="24" t="e">
        <f>VLOOKUP(C642,#REF!,13,FALSE)</f>
        <v>#REF!</v>
      </c>
      <c r="AT642" s="100"/>
      <c r="AU642" s="100"/>
      <c r="AV642" s="100">
        <v>626</v>
      </c>
      <c r="AW642" s="100"/>
      <c r="AY642" s="295">
        <v>21500</v>
      </c>
    </row>
    <row r="643" spans="1:51" s="2" customFormat="1" ht="12.75" customHeight="1" x14ac:dyDescent="0.2">
      <c r="A643" s="7" t="s">
        <v>1458</v>
      </c>
      <c r="B643" s="8">
        <v>9789500210263</v>
      </c>
      <c r="C643" s="13">
        <v>671442</v>
      </c>
      <c r="D643" s="25">
        <v>192</v>
      </c>
      <c r="E643" s="7" t="s">
        <v>472</v>
      </c>
      <c r="F643" s="7" t="s">
        <v>473</v>
      </c>
      <c r="G643" s="107">
        <v>43800</v>
      </c>
      <c r="H643" s="108">
        <v>45566</v>
      </c>
      <c r="I643" s="7">
        <v>2000</v>
      </c>
      <c r="J643" s="7" t="s">
        <v>1762</v>
      </c>
      <c r="K643" s="9">
        <v>1701.47</v>
      </c>
      <c r="L643" s="9">
        <v>21500</v>
      </c>
      <c r="M643" s="9">
        <f>+L643*0.08</f>
        <v>1720</v>
      </c>
      <c r="N643" s="9">
        <f t="shared" si="502"/>
        <v>10750</v>
      </c>
      <c r="O643" s="9">
        <f t="shared" si="503"/>
        <v>7328.53</v>
      </c>
      <c r="P643" s="9">
        <f t="shared" si="504"/>
        <v>3421.4700000000003</v>
      </c>
      <c r="Q643" s="139">
        <f t="shared" si="505"/>
        <v>0.68172372093023248</v>
      </c>
      <c r="R643" s="345">
        <v>21500</v>
      </c>
      <c r="S643" s="359" t="s">
        <v>1948</v>
      </c>
      <c r="T643" s="305">
        <v>0.68172372093023248</v>
      </c>
      <c r="U643" s="144"/>
      <c r="V643" s="100"/>
      <c r="W643" s="110">
        <f t="shared" si="506"/>
        <v>21500</v>
      </c>
      <c r="X643" s="110">
        <f t="shared" si="507"/>
        <v>1701.47</v>
      </c>
      <c r="Y643" s="110">
        <f t="shared" si="508"/>
        <v>1720</v>
      </c>
      <c r="Z643" s="110">
        <f t="shared" si="509"/>
        <v>7328.5300000000007</v>
      </c>
      <c r="AA643" s="260">
        <f t="shared" si="510"/>
        <v>0.68172372093023259</v>
      </c>
      <c r="AB643" s="28">
        <f t="shared" si="511"/>
        <v>7.1</v>
      </c>
      <c r="AC643" s="261">
        <f t="shared" si="512"/>
        <v>0.68223067385519853</v>
      </c>
      <c r="AD643" s="111">
        <f t="shared" si="513"/>
        <v>2.4</v>
      </c>
      <c r="AE643" s="262">
        <f t="shared" si="514"/>
        <v>5.9932410154962056E-2</v>
      </c>
      <c r="AF643" s="100"/>
      <c r="AG643" s="111">
        <f t="shared" si="515"/>
        <v>3.8</v>
      </c>
      <c r="AH643" s="262">
        <f t="shared" si="516"/>
        <v>0.4062731011505023</v>
      </c>
      <c r="AI643" s="100"/>
      <c r="AJ643" s="111">
        <f t="shared" si="517"/>
        <v>3.5</v>
      </c>
      <c r="AK643" s="262">
        <f t="shared" si="518"/>
        <v>0.35538222410625969</v>
      </c>
      <c r="AL643" s="100"/>
      <c r="AM643" s="111">
        <f t="shared" si="519"/>
        <v>3.2</v>
      </c>
      <c r="AN643" s="262">
        <f t="shared" si="520"/>
        <v>0.29494930761622151</v>
      </c>
      <c r="AO643" s="100"/>
      <c r="AP643" s="24" t="e">
        <f>VLOOKUP(C643,#REF!,6,FALSE)</f>
        <v>#REF!</v>
      </c>
      <c r="AQ643" s="24" t="e">
        <f>VLOOKUP(C643,#REF!,7,FALSE)</f>
        <v>#REF!</v>
      </c>
      <c r="AR643" s="24" t="e">
        <f>VLOOKUP(C643,#REF!,12,FALSE)</f>
        <v>#REF!</v>
      </c>
      <c r="AS643" s="24" t="e">
        <f>VLOOKUP(C643,#REF!,13,FALSE)</f>
        <v>#REF!</v>
      </c>
      <c r="AT643" s="100"/>
      <c r="AU643" s="100"/>
      <c r="AV643" s="100">
        <v>627</v>
      </c>
      <c r="AW643" s="100"/>
      <c r="AY643" s="9">
        <v>21500</v>
      </c>
    </row>
    <row r="644" spans="1:51" s="2" customFormat="1" ht="12.75" customHeight="1" x14ac:dyDescent="0.2">
      <c r="A644" s="7" t="s">
        <v>1459</v>
      </c>
      <c r="B644" s="8">
        <v>9789500210959</v>
      </c>
      <c r="C644" s="8">
        <v>677294</v>
      </c>
      <c r="D644" s="25">
        <v>176</v>
      </c>
      <c r="E644" s="7" t="s">
        <v>499</v>
      </c>
      <c r="F644" s="7" t="s">
        <v>494</v>
      </c>
      <c r="G644" s="107">
        <v>44075</v>
      </c>
      <c r="H644" s="108">
        <v>44044</v>
      </c>
      <c r="I644" s="7">
        <v>3050</v>
      </c>
      <c r="J644" s="6" t="s">
        <v>1762</v>
      </c>
      <c r="K644" s="9">
        <v>130.29</v>
      </c>
      <c r="L644" s="112">
        <v>14900</v>
      </c>
      <c r="M644" s="9">
        <f>+L644*0.08</f>
        <v>1192</v>
      </c>
      <c r="N644" s="9">
        <f t="shared" si="502"/>
        <v>7450</v>
      </c>
      <c r="O644" s="9">
        <f t="shared" si="503"/>
        <v>6127.71</v>
      </c>
      <c r="P644" s="9">
        <f t="shared" si="504"/>
        <v>1322.29</v>
      </c>
      <c r="Q644" s="139">
        <f t="shared" si="505"/>
        <v>0.82251140939597311</v>
      </c>
      <c r="R644" s="345">
        <v>14900</v>
      </c>
      <c r="S644" s="359" t="s">
        <v>1948</v>
      </c>
      <c r="T644" s="305">
        <v>0.82251140939597311</v>
      </c>
      <c r="U644" s="144"/>
      <c r="V644" s="100"/>
      <c r="W644" s="110">
        <f t="shared" si="506"/>
        <v>14900</v>
      </c>
      <c r="X644" s="110">
        <f t="shared" si="507"/>
        <v>130.29</v>
      </c>
      <c r="Y644" s="110">
        <f t="shared" si="508"/>
        <v>1192</v>
      </c>
      <c r="Z644" s="110">
        <f t="shared" si="509"/>
        <v>6127.71</v>
      </c>
      <c r="AA644" s="260">
        <f t="shared" si="510"/>
        <v>0.82251140939597311</v>
      </c>
      <c r="AB644" s="28">
        <f t="shared" si="511"/>
        <v>4.9000000000000004</v>
      </c>
      <c r="AC644" s="261">
        <f t="shared" si="512"/>
        <v>0.82205400458897704</v>
      </c>
      <c r="AD644" s="111">
        <f t="shared" si="513"/>
        <v>0.9</v>
      </c>
      <c r="AE644" s="262">
        <f t="shared" si="514"/>
        <v>3.1182913873319534E-2</v>
      </c>
      <c r="AF644" s="100"/>
      <c r="AG644" s="111">
        <f t="shared" si="515"/>
        <v>1.5</v>
      </c>
      <c r="AH644" s="262">
        <f t="shared" si="516"/>
        <v>0.41870974832399166</v>
      </c>
      <c r="AI644" s="100"/>
      <c r="AJ644" s="111">
        <f t="shared" si="517"/>
        <v>1.3</v>
      </c>
      <c r="AK644" s="262">
        <f t="shared" si="518"/>
        <v>0.32928047883537503</v>
      </c>
      <c r="AL644" s="100"/>
      <c r="AM644" s="111">
        <f t="shared" si="519"/>
        <v>1.2</v>
      </c>
      <c r="AN644" s="262">
        <f t="shared" si="520"/>
        <v>0.27338718540498957</v>
      </c>
      <c r="AO644" s="100"/>
      <c r="AP644" s="24" t="e">
        <f>VLOOKUP(C644,#REF!,6,FALSE)</f>
        <v>#REF!</v>
      </c>
      <c r="AQ644" s="24" t="e">
        <f>VLOOKUP(C644,#REF!,7,FALSE)</f>
        <v>#REF!</v>
      </c>
      <c r="AR644" s="24" t="e">
        <f>VLOOKUP(C644,#REF!,12,FALSE)</f>
        <v>#REF!</v>
      </c>
      <c r="AS644" s="24" t="e">
        <f>VLOOKUP(C644,#REF!,13,FALSE)</f>
        <v>#REF!</v>
      </c>
      <c r="AT644" s="100"/>
      <c r="AU644" s="100"/>
      <c r="AV644" s="100">
        <v>628</v>
      </c>
      <c r="AW644" s="100"/>
      <c r="AY644" s="112">
        <v>14900</v>
      </c>
    </row>
    <row r="645" spans="1:51" s="2" customFormat="1" ht="12.75" customHeight="1" x14ac:dyDescent="0.25">
      <c r="A645" s="1"/>
      <c r="B645" s="3"/>
      <c r="C645" s="3"/>
      <c r="E645" s="274"/>
      <c r="F645" s="275"/>
      <c r="I645" s="132"/>
      <c r="J645" s="134"/>
      <c r="K645" s="132"/>
      <c r="L645" s="134"/>
      <c r="M645" s="132"/>
      <c r="N645" s="132"/>
      <c r="O645" s="132"/>
      <c r="P645" s="132"/>
      <c r="Q645" s="147"/>
      <c r="R645" s="371"/>
      <c r="S645" s="360"/>
      <c r="T645" s="307"/>
      <c r="U645" s="135"/>
      <c r="V645" s="100"/>
      <c r="W645"/>
      <c r="X645"/>
      <c r="Y645"/>
      <c r="Z645"/>
      <c r="AA645"/>
      <c r="AB645"/>
      <c r="AC645"/>
      <c r="AD645" s="263"/>
      <c r="AE645"/>
      <c r="AF645" s="100"/>
      <c r="AG645" s="263"/>
      <c r="AH645"/>
      <c r="AI645" s="100"/>
      <c r="AJ645" s="263"/>
      <c r="AK645"/>
      <c r="AL645" s="100"/>
      <c r="AM645" s="263"/>
      <c r="AN645"/>
      <c r="AO645" s="100"/>
      <c r="AP645" s="100"/>
      <c r="AQ645" s="100"/>
      <c r="AR645" s="100"/>
      <c r="AS645" s="100"/>
      <c r="AT645" s="100"/>
      <c r="AU645" s="100"/>
      <c r="AV645" s="100">
        <v>629</v>
      </c>
      <c r="AW645" s="100"/>
      <c r="AY645" s="134"/>
    </row>
    <row r="646" spans="1:51" s="2" customFormat="1" ht="12.75" customHeight="1" x14ac:dyDescent="0.25">
      <c r="A646" s="377"/>
      <c r="B646" s="333"/>
      <c r="C646" s="333"/>
      <c r="D646" s="68"/>
      <c r="E646" s="381"/>
      <c r="F646" s="349"/>
      <c r="G646" s="68"/>
      <c r="H646" s="68"/>
      <c r="I646" s="68"/>
      <c r="J646" s="134"/>
      <c r="K646" s="132"/>
      <c r="L646" s="134"/>
      <c r="M646" s="132"/>
      <c r="N646" s="132"/>
      <c r="O646" s="132"/>
      <c r="P646" s="132"/>
      <c r="Q646" s="147"/>
      <c r="R646" s="371"/>
      <c r="S646" s="360"/>
      <c r="T646" s="307"/>
      <c r="U646" s="135"/>
      <c r="V646" s="100"/>
      <c r="W646"/>
      <c r="X646"/>
      <c r="Y646"/>
      <c r="Z646"/>
      <c r="AA646"/>
      <c r="AB646"/>
      <c r="AC646"/>
      <c r="AD646" s="263"/>
      <c r="AE646"/>
      <c r="AF646" s="100"/>
      <c r="AG646" s="263"/>
      <c r="AH646"/>
      <c r="AI646" s="100"/>
      <c r="AJ646" s="263"/>
      <c r="AK646"/>
      <c r="AL646" s="100"/>
      <c r="AM646" s="263"/>
      <c r="AN646"/>
      <c r="AO646" s="100"/>
      <c r="AP646" s="100"/>
      <c r="AQ646" s="100"/>
      <c r="AR646" s="100"/>
      <c r="AS646" s="100"/>
      <c r="AT646" s="100"/>
      <c r="AU646" s="100"/>
      <c r="AV646" s="100">
        <v>630</v>
      </c>
      <c r="AW646" s="100"/>
      <c r="AY646" s="134"/>
    </row>
    <row r="647" spans="1:51" s="2" customFormat="1" ht="12.75" customHeight="1" x14ac:dyDescent="0.3">
      <c r="A647" s="276" t="s">
        <v>1460</v>
      </c>
      <c r="B647" s="133"/>
      <c r="C647" s="133"/>
      <c r="D647" s="154"/>
      <c r="E647" s="197"/>
      <c r="F647" s="132"/>
      <c r="G647" s="132"/>
      <c r="H647" s="132"/>
      <c r="I647" s="132"/>
      <c r="J647" s="134"/>
      <c r="K647" s="132"/>
      <c r="L647" s="134"/>
      <c r="M647" s="132"/>
      <c r="N647" s="132"/>
      <c r="O647" s="132"/>
      <c r="P647" s="132"/>
      <c r="Q647" s="147"/>
      <c r="R647" s="371"/>
      <c r="S647" s="360"/>
      <c r="T647" s="307"/>
      <c r="U647" s="135"/>
      <c r="V647" s="100"/>
      <c r="W647"/>
      <c r="X647"/>
      <c r="Y647"/>
      <c r="Z647"/>
      <c r="AA647"/>
      <c r="AB647"/>
      <c r="AC647"/>
      <c r="AD647" s="263"/>
      <c r="AE647"/>
      <c r="AF647" s="100"/>
      <c r="AG647" s="263"/>
      <c r="AH647"/>
      <c r="AI647" s="100"/>
      <c r="AJ647" s="263"/>
      <c r="AK647"/>
      <c r="AL647" s="100"/>
      <c r="AM647" s="263"/>
      <c r="AN647"/>
      <c r="AO647" s="100"/>
      <c r="AP647" s="100"/>
      <c r="AQ647" s="100"/>
      <c r="AR647" s="100"/>
      <c r="AS647" s="100"/>
      <c r="AT647" s="100"/>
      <c r="AU647" s="100"/>
      <c r="AV647" s="100">
        <v>631</v>
      </c>
      <c r="AW647" s="100"/>
      <c r="AY647" s="134"/>
    </row>
    <row r="648" spans="1:51" s="2" customFormat="1" ht="12.75" customHeight="1" x14ac:dyDescent="0.25">
      <c r="A648" s="202" t="s">
        <v>666</v>
      </c>
      <c r="B648" s="203"/>
      <c r="C648" s="203"/>
      <c r="D648" s="204"/>
      <c r="E648" s="205"/>
      <c r="F648" s="162" t="s">
        <v>1461</v>
      </c>
      <c r="G648" s="162"/>
      <c r="H648" s="132"/>
      <c r="I648" s="132"/>
      <c r="J648" s="134"/>
      <c r="K648" s="132"/>
      <c r="L648" s="134"/>
      <c r="M648" s="132"/>
      <c r="N648" s="132"/>
      <c r="O648" s="132"/>
      <c r="P648" s="132"/>
      <c r="Q648" s="147"/>
      <c r="R648" s="371"/>
      <c r="S648" s="360"/>
      <c r="T648" s="307"/>
      <c r="U648" s="135"/>
      <c r="V648" s="100"/>
      <c r="W648"/>
      <c r="X648"/>
      <c r="Y648"/>
      <c r="Z648"/>
      <c r="AA648"/>
      <c r="AB648"/>
      <c r="AC648"/>
      <c r="AD648" s="263"/>
      <c r="AE648"/>
      <c r="AF648" s="100"/>
      <c r="AG648" s="263"/>
      <c r="AH648"/>
      <c r="AI648" s="100"/>
      <c r="AJ648" s="263"/>
      <c r="AK648"/>
      <c r="AL648" s="100"/>
      <c r="AM648" s="263"/>
      <c r="AN648"/>
      <c r="AO648" s="100"/>
      <c r="AP648" s="100"/>
      <c r="AQ648" s="100"/>
      <c r="AR648" s="100"/>
      <c r="AS648" s="100"/>
      <c r="AT648" s="100"/>
      <c r="AU648" s="100"/>
      <c r="AV648" s="100">
        <v>632</v>
      </c>
      <c r="AW648" s="100"/>
      <c r="AY648" s="134"/>
    </row>
    <row r="649" spans="1:51" s="2" customFormat="1" ht="12.75" customHeight="1" x14ac:dyDescent="0.2">
      <c r="A649" s="6" t="s">
        <v>1462</v>
      </c>
      <c r="B649" s="8">
        <v>9789500209496</v>
      </c>
      <c r="C649" s="6">
        <v>651680</v>
      </c>
      <c r="D649" s="7">
        <v>8</v>
      </c>
      <c r="E649" s="8" t="s">
        <v>386</v>
      </c>
      <c r="F649" s="7" t="s">
        <v>395</v>
      </c>
      <c r="G649" s="107">
        <v>43313</v>
      </c>
      <c r="H649" s="108">
        <v>43282</v>
      </c>
      <c r="I649" s="24">
        <v>3000</v>
      </c>
      <c r="J649" s="28" t="s">
        <v>1894</v>
      </c>
      <c r="K649" s="28">
        <v>155.54</v>
      </c>
      <c r="L649" s="112">
        <v>17400</v>
      </c>
      <c r="M649" s="9"/>
      <c r="N649" s="9">
        <f t="shared" ref="N649:N654" si="521">+L649/2</f>
        <v>8700</v>
      </c>
      <c r="O649" s="9">
        <f t="shared" ref="O649:O654" si="522">+N649-M649-K649</f>
        <v>8544.4599999999991</v>
      </c>
      <c r="P649" s="9">
        <f t="shared" ref="P649:P654" si="523">+M649+K649</f>
        <v>155.54</v>
      </c>
      <c r="Q649" s="139">
        <f t="shared" ref="Q649:Q654" si="524">+O649/N649</f>
        <v>0.98212183908045969</v>
      </c>
      <c r="R649" s="345">
        <v>17400</v>
      </c>
      <c r="S649" s="359" t="s">
        <v>1948</v>
      </c>
      <c r="T649" s="305">
        <v>0.98212183908045969</v>
      </c>
      <c r="U649" s="144"/>
      <c r="V649" s="100"/>
      <c r="W649" s="110">
        <f t="shared" ref="W649:W654" si="525">+L649</f>
        <v>17400</v>
      </c>
      <c r="X649" s="110">
        <f t="shared" ref="X649:X654" si="526">+K649</f>
        <v>155.54</v>
      </c>
      <c r="Y649" s="110">
        <f t="shared" ref="Y649:Y654" si="527">+M649</f>
        <v>0</v>
      </c>
      <c r="Z649" s="110">
        <f t="shared" ref="Z649:Z654" si="528">+W649/2-X649-Y649</f>
        <v>8544.4599999999991</v>
      </c>
      <c r="AA649" s="260">
        <f t="shared" ref="AA649:AA654" si="529">+Z649/(W649/2)</f>
        <v>0.98212183908045969</v>
      </c>
      <c r="AB649" s="28">
        <f t="shared" ref="AB649:AB654" si="530">ROUND($W649/2/$X$1,1)</f>
        <v>5.7</v>
      </c>
      <c r="AC649" s="261">
        <f t="shared" ref="AC649:AC654" si="531">+(AB649*$X$1-$X649-$Y649)/(AB649*$X$1)</f>
        <v>0.98200611981652108</v>
      </c>
      <c r="AD649" s="111">
        <f t="shared" ref="AD649:AD654" si="532">+IFERROR(ROUND(($X649+$Y649)/(1-$X$2)/$X$1,1),0)</f>
        <v>0.1</v>
      </c>
      <c r="AE649" s="262">
        <f t="shared" ref="AE649:AE654" si="533">+(AD649*$X$1-$X649-$Y649)/(AD649*$X$1)</f>
        <v>-2.565117045829203E-2</v>
      </c>
      <c r="AF649" s="100"/>
      <c r="AG649" s="111">
        <f t="shared" ref="AG649:AG654" si="534">+IFERROR(ROUND(($X649+$Y649)/(1-$AG$2)/$X$1,1),0)</f>
        <v>0.2</v>
      </c>
      <c r="AH649" s="262">
        <f t="shared" ref="AH649:AH654" si="535">+(AG649*$X$1-$X649-$Y649)/(AG649*$X$1)</f>
        <v>0.48717441477085399</v>
      </c>
      <c r="AI649" s="100"/>
      <c r="AJ649" s="111">
        <f t="shared" ref="AJ649:AJ654" si="536">+IFERROR(ROUND(($X649+$Y649)/(1-$AJ$2)/$X$1,1),0)</f>
        <v>0.2</v>
      </c>
      <c r="AK649" s="262">
        <f t="shared" ref="AK649:AK654" si="537">+(AJ649*$X$1-$X649-$Y649)/(AJ649*$X$1)</f>
        <v>0.48717441477085399</v>
      </c>
      <c r="AL649" s="100"/>
      <c r="AM649" s="111">
        <f t="shared" ref="AM649:AM654" si="538">+IFERROR(ROUND(($X649+$Y649)/(1-$AM$2)/$X$1,1),0)</f>
        <v>0.1</v>
      </c>
      <c r="AN649" s="262">
        <f t="shared" ref="AN649:AN654" si="539">+(AM649*$X$1-$X649-$Y649)/(AM649*$X$1)</f>
        <v>-2.565117045829203E-2</v>
      </c>
      <c r="AO649" s="100"/>
      <c r="AP649" s="24" t="e">
        <f>VLOOKUP(C649,#REF!,6,FALSE)</f>
        <v>#REF!</v>
      </c>
      <c r="AQ649" s="24" t="e">
        <f>VLOOKUP(C649,#REF!,7,FALSE)</f>
        <v>#REF!</v>
      </c>
      <c r="AR649" s="24" t="e">
        <f>VLOOKUP(C649,#REF!,12,FALSE)</f>
        <v>#REF!</v>
      </c>
      <c r="AS649" s="24" t="e">
        <f>VLOOKUP(C649,#REF!,13,FALSE)</f>
        <v>#REF!</v>
      </c>
      <c r="AT649" s="100"/>
      <c r="AU649" s="100"/>
      <c r="AV649" s="100">
        <v>633</v>
      </c>
      <c r="AW649" s="100"/>
      <c r="AY649" s="112">
        <v>17400</v>
      </c>
    </row>
    <row r="650" spans="1:51" s="68" customFormat="1" ht="12.75" customHeight="1" x14ac:dyDescent="0.2">
      <c r="A650" s="6" t="s">
        <v>1463</v>
      </c>
      <c r="B650" s="8">
        <v>9789500209502</v>
      </c>
      <c r="C650" s="6">
        <v>651679</v>
      </c>
      <c r="D650" s="7">
        <v>40</v>
      </c>
      <c r="E650" s="8" t="s">
        <v>386</v>
      </c>
      <c r="F650" s="7" t="s">
        <v>400</v>
      </c>
      <c r="G650" s="107">
        <v>43344</v>
      </c>
      <c r="H650" s="108">
        <v>43274</v>
      </c>
      <c r="I650" s="24">
        <v>3120</v>
      </c>
      <c r="J650" s="6" t="s">
        <v>2136</v>
      </c>
      <c r="K650" s="28">
        <v>90.94</v>
      </c>
      <c r="L650" s="112">
        <v>20800</v>
      </c>
      <c r="M650" s="9"/>
      <c r="N650" s="9">
        <f t="shared" si="521"/>
        <v>10400</v>
      </c>
      <c r="O650" s="9">
        <f t="shared" si="522"/>
        <v>10309.06</v>
      </c>
      <c r="P650" s="9">
        <f t="shared" si="523"/>
        <v>90.94</v>
      </c>
      <c r="Q650" s="139">
        <f t="shared" si="524"/>
        <v>0.99125576923076919</v>
      </c>
      <c r="R650" s="345">
        <v>20800</v>
      </c>
      <c r="S650" s="359" t="s">
        <v>1948</v>
      </c>
      <c r="T650" s="305">
        <v>0.99125576923076919</v>
      </c>
      <c r="U650" s="144"/>
      <c r="V650" s="100"/>
      <c r="W650" s="110">
        <f t="shared" si="525"/>
        <v>20800</v>
      </c>
      <c r="X650" s="110">
        <f t="shared" si="526"/>
        <v>90.94</v>
      </c>
      <c r="Y650" s="110">
        <f t="shared" si="527"/>
        <v>0</v>
      </c>
      <c r="Z650" s="110">
        <f t="shared" si="528"/>
        <v>10309.06</v>
      </c>
      <c r="AA650" s="260">
        <f t="shared" si="529"/>
        <v>0.99125576923076919</v>
      </c>
      <c r="AB650" s="28">
        <f t="shared" si="530"/>
        <v>6.9</v>
      </c>
      <c r="AC650" s="261">
        <f t="shared" si="531"/>
        <v>0.99130912618204581</v>
      </c>
      <c r="AD650" s="111">
        <f t="shared" si="532"/>
        <v>0.1</v>
      </c>
      <c r="AE650" s="262">
        <f t="shared" si="533"/>
        <v>0.40032970656116063</v>
      </c>
      <c r="AF650" s="100"/>
      <c r="AG650" s="111">
        <f t="shared" si="534"/>
        <v>0.1</v>
      </c>
      <c r="AH650" s="262">
        <f t="shared" si="535"/>
        <v>0.40032970656116063</v>
      </c>
      <c r="AI650" s="100"/>
      <c r="AJ650" s="111">
        <f t="shared" si="536"/>
        <v>0.1</v>
      </c>
      <c r="AK650" s="262">
        <f t="shared" si="537"/>
        <v>0.40032970656116063</v>
      </c>
      <c r="AL650" s="100"/>
      <c r="AM650" s="111">
        <f t="shared" si="538"/>
        <v>0.1</v>
      </c>
      <c r="AN650" s="262">
        <f t="shared" si="539"/>
        <v>0.40032970656116063</v>
      </c>
      <c r="AO650" s="100"/>
      <c r="AP650" s="24" t="e">
        <f>VLOOKUP(C650,#REF!,6,FALSE)</f>
        <v>#REF!</v>
      </c>
      <c r="AQ650" s="24" t="e">
        <f>VLOOKUP(C650,#REF!,7,FALSE)</f>
        <v>#REF!</v>
      </c>
      <c r="AR650" s="24" t="e">
        <f>VLOOKUP(C650,#REF!,12,FALSE)</f>
        <v>#REF!</v>
      </c>
      <c r="AS650" s="24" t="e">
        <f>VLOOKUP(C650,#REF!,13,FALSE)</f>
        <v>#REF!</v>
      </c>
      <c r="AT650" s="100"/>
      <c r="AU650" s="100"/>
      <c r="AV650" s="100">
        <v>634</v>
      </c>
      <c r="AW650" s="100"/>
      <c r="AY650" s="112">
        <v>20800</v>
      </c>
    </row>
    <row r="651" spans="1:51" s="132" customFormat="1" ht="12.75" customHeight="1" x14ac:dyDescent="0.2">
      <c r="A651" s="7" t="s">
        <v>1464</v>
      </c>
      <c r="B651" s="8">
        <v>9789500209236</v>
      </c>
      <c r="C651" s="6">
        <v>648600</v>
      </c>
      <c r="D651" s="7">
        <v>40</v>
      </c>
      <c r="E651" s="9" t="s">
        <v>386</v>
      </c>
      <c r="F651" s="7" t="s">
        <v>387</v>
      </c>
      <c r="G651" s="107">
        <v>43252</v>
      </c>
      <c r="H651" s="108">
        <v>43221</v>
      </c>
      <c r="I651" s="24">
        <v>3150</v>
      </c>
      <c r="J651" s="6" t="s">
        <v>2136</v>
      </c>
      <c r="K651" s="28">
        <v>64.48</v>
      </c>
      <c r="L651" s="112">
        <v>20800</v>
      </c>
      <c r="M651" s="9"/>
      <c r="N651" s="9">
        <f t="shared" si="521"/>
        <v>10400</v>
      </c>
      <c r="O651" s="9">
        <f t="shared" si="522"/>
        <v>10335.52</v>
      </c>
      <c r="P651" s="9">
        <f t="shared" si="523"/>
        <v>64.48</v>
      </c>
      <c r="Q651" s="139">
        <f t="shared" si="524"/>
        <v>0.99380000000000002</v>
      </c>
      <c r="R651" s="345">
        <v>20800</v>
      </c>
      <c r="S651" s="359" t="s">
        <v>1948</v>
      </c>
      <c r="T651" s="305">
        <v>0.99380000000000002</v>
      </c>
      <c r="U651" s="144"/>
      <c r="V651" s="100"/>
      <c r="W651" s="110">
        <f t="shared" si="525"/>
        <v>20800</v>
      </c>
      <c r="X651" s="110">
        <f t="shared" si="526"/>
        <v>64.48</v>
      </c>
      <c r="Y651" s="110">
        <f t="shared" si="527"/>
        <v>0</v>
      </c>
      <c r="Z651" s="110">
        <f t="shared" si="528"/>
        <v>10335.52</v>
      </c>
      <c r="AA651" s="260">
        <f t="shared" si="529"/>
        <v>0.99380000000000002</v>
      </c>
      <c r="AB651" s="28">
        <f t="shared" si="530"/>
        <v>6.9</v>
      </c>
      <c r="AC651" s="261">
        <f t="shared" si="531"/>
        <v>0.99383783215546861</v>
      </c>
      <c r="AD651" s="111">
        <f t="shared" si="532"/>
        <v>0</v>
      </c>
      <c r="AE651" s="262" t="e">
        <f t="shared" si="533"/>
        <v>#DIV/0!</v>
      </c>
      <c r="AF651" s="100"/>
      <c r="AG651" s="111">
        <f t="shared" si="534"/>
        <v>0.1</v>
      </c>
      <c r="AH651" s="262">
        <f t="shared" si="535"/>
        <v>0.57481041872733263</v>
      </c>
      <c r="AI651" s="100"/>
      <c r="AJ651" s="111">
        <f t="shared" si="536"/>
        <v>0.1</v>
      </c>
      <c r="AK651" s="262">
        <f t="shared" si="537"/>
        <v>0.57481041872733263</v>
      </c>
      <c r="AL651" s="100"/>
      <c r="AM651" s="111">
        <f t="shared" si="538"/>
        <v>0.1</v>
      </c>
      <c r="AN651" s="262">
        <f t="shared" si="539"/>
        <v>0.57481041872733263</v>
      </c>
      <c r="AO651" s="100"/>
      <c r="AP651" s="24" t="e">
        <f>VLOOKUP(C651,#REF!,6,FALSE)</f>
        <v>#REF!</v>
      </c>
      <c r="AQ651" s="24" t="e">
        <f>VLOOKUP(C651,#REF!,7,FALSE)</f>
        <v>#REF!</v>
      </c>
      <c r="AR651" s="24" t="e">
        <f>VLOOKUP(C651,#REF!,12,FALSE)</f>
        <v>#REF!</v>
      </c>
      <c r="AS651" s="24" t="e">
        <f>VLOOKUP(C651,#REF!,13,FALSE)</f>
        <v>#REF!</v>
      </c>
      <c r="AT651" s="100"/>
      <c r="AU651" s="100"/>
      <c r="AV651" s="100">
        <v>635</v>
      </c>
      <c r="AW651" s="100"/>
      <c r="AY651" s="112">
        <v>20800</v>
      </c>
    </row>
    <row r="652" spans="1:51" s="162" customFormat="1" ht="12.75" customHeight="1" x14ac:dyDescent="0.2">
      <c r="A652" s="6" t="s">
        <v>1465</v>
      </c>
      <c r="B652" s="8">
        <v>9789500299114</v>
      </c>
      <c r="C652" s="8">
        <v>617598</v>
      </c>
      <c r="D652" s="7">
        <v>96</v>
      </c>
      <c r="E652" s="11" t="s">
        <v>253</v>
      </c>
      <c r="F652" s="11" t="s">
        <v>1466</v>
      </c>
      <c r="G652" s="107">
        <v>42583</v>
      </c>
      <c r="H652" s="108">
        <v>44896</v>
      </c>
      <c r="I652" s="24">
        <v>3000</v>
      </c>
      <c r="J652" s="7" t="s">
        <v>1762</v>
      </c>
      <c r="K652" s="117">
        <v>2650.45</v>
      </c>
      <c r="L652" s="112">
        <v>36500</v>
      </c>
      <c r="M652" s="9"/>
      <c r="N652" s="9">
        <f t="shared" si="521"/>
        <v>18250</v>
      </c>
      <c r="O652" s="9">
        <f t="shared" si="522"/>
        <v>15599.55</v>
      </c>
      <c r="P652" s="9">
        <f t="shared" si="523"/>
        <v>2650.45</v>
      </c>
      <c r="Q652" s="139">
        <f t="shared" si="524"/>
        <v>0.85476986301369862</v>
      </c>
      <c r="R652" s="345">
        <v>36500</v>
      </c>
      <c r="S652" s="359" t="s">
        <v>1948</v>
      </c>
      <c r="T652" s="305">
        <v>0.85476986301369862</v>
      </c>
      <c r="U652" s="144"/>
      <c r="V652" s="100"/>
      <c r="W652" s="110">
        <f t="shared" si="525"/>
        <v>36500</v>
      </c>
      <c r="X652" s="110">
        <f t="shared" si="526"/>
        <v>2650.45</v>
      </c>
      <c r="Y652" s="110">
        <f t="shared" si="527"/>
        <v>0</v>
      </c>
      <c r="Z652" s="110">
        <f t="shared" si="528"/>
        <v>15599.55</v>
      </c>
      <c r="AA652" s="260">
        <f t="shared" si="529"/>
        <v>0.85476986301369862</v>
      </c>
      <c r="AB652" s="28">
        <f t="shared" si="530"/>
        <v>12</v>
      </c>
      <c r="AC652" s="261">
        <f t="shared" si="531"/>
        <v>0.85435487416199574</v>
      </c>
      <c r="AD652" s="111">
        <f t="shared" si="532"/>
        <v>1.8</v>
      </c>
      <c r="AE652" s="262">
        <f t="shared" si="533"/>
        <v>2.9032494413305656E-2</v>
      </c>
      <c r="AF652" s="100"/>
      <c r="AG652" s="111">
        <f t="shared" si="534"/>
        <v>2.9</v>
      </c>
      <c r="AH652" s="262">
        <f t="shared" si="535"/>
        <v>0.39733051377377576</v>
      </c>
      <c r="AI652" s="100"/>
      <c r="AJ652" s="111">
        <f t="shared" si="536"/>
        <v>2.7</v>
      </c>
      <c r="AK652" s="262">
        <f t="shared" si="537"/>
        <v>0.35268832960887042</v>
      </c>
      <c r="AL652" s="100"/>
      <c r="AM652" s="111">
        <f t="shared" si="538"/>
        <v>2.5</v>
      </c>
      <c r="AN652" s="262">
        <f t="shared" si="539"/>
        <v>0.30090339597757998</v>
      </c>
      <c r="AO652" s="100"/>
      <c r="AP652" s="24" t="e">
        <f>VLOOKUP(C652,#REF!,6,FALSE)</f>
        <v>#REF!</v>
      </c>
      <c r="AQ652" s="24" t="e">
        <f>VLOOKUP(C652,#REF!,7,FALSE)</f>
        <v>#REF!</v>
      </c>
      <c r="AR652" s="24" t="e">
        <f>VLOOKUP(C652,#REF!,12,FALSE)</f>
        <v>#REF!</v>
      </c>
      <c r="AS652" s="24" t="e">
        <f>VLOOKUP(C652,#REF!,13,FALSE)</f>
        <v>#REF!</v>
      </c>
      <c r="AT652" s="100"/>
      <c r="AU652" s="100"/>
      <c r="AV652" s="100">
        <v>636</v>
      </c>
      <c r="AW652" s="100"/>
      <c r="AY652" s="112">
        <v>36500</v>
      </c>
    </row>
    <row r="653" spans="1:51" s="2" customFormat="1" ht="12.75" customHeight="1" x14ac:dyDescent="0.2">
      <c r="A653" s="7" t="s">
        <v>1467</v>
      </c>
      <c r="B653" s="8">
        <v>9789500211307</v>
      </c>
      <c r="C653" s="8">
        <v>679310</v>
      </c>
      <c r="D653" s="25">
        <v>128</v>
      </c>
      <c r="E653" s="7" t="s">
        <v>386</v>
      </c>
      <c r="F653" s="7" t="s">
        <v>1468</v>
      </c>
      <c r="G653" s="107">
        <v>44166</v>
      </c>
      <c r="H653" s="108">
        <v>45597</v>
      </c>
      <c r="I653" s="7">
        <v>3059</v>
      </c>
      <c r="J653" s="28" t="s">
        <v>1946</v>
      </c>
      <c r="K653" s="9">
        <v>737.24</v>
      </c>
      <c r="L653" s="112">
        <v>13200</v>
      </c>
      <c r="M653" s="9"/>
      <c r="N653" s="9">
        <f t="shared" si="521"/>
        <v>6600</v>
      </c>
      <c r="O653" s="9">
        <f t="shared" si="522"/>
        <v>5862.76</v>
      </c>
      <c r="P653" s="9">
        <f t="shared" si="523"/>
        <v>737.24</v>
      </c>
      <c r="Q653" s="139">
        <f t="shared" si="524"/>
        <v>0.8882969696969697</v>
      </c>
      <c r="R653" s="345">
        <v>13200</v>
      </c>
      <c r="S653" s="359" t="s">
        <v>1948</v>
      </c>
      <c r="T653" s="305">
        <v>0.8882969696969697</v>
      </c>
      <c r="U653" s="144"/>
      <c r="V653" s="100"/>
      <c r="W653" s="110">
        <f t="shared" si="525"/>
        <v>13200</v>
      </c>
      <c r="X653" s="110">
        <f t="shared" si="526"/>
        <v>737.24</v>
      </c>
      <c r="Y653" s="110">
        <f t="shared" si="527"/>
        <v>0</v>
      </c>
      <c r="Z653" s="110">
        <f t="shared" si="528"/>
        <v>5862.76</v>
      </c>
      <c r="AA653" s="260">
        <f t="shared" si="529"/>
        <v>0.8882969696969697</v>
      </c>
      <c r="AB653" s="28">
        <f t="shared" si="530"/>
        <v>4.4000000000000004</v>
      </c>
      <c r="AC653" s="261">
        <f t="shared" si="531"/>
        <v>0.88951233402271979</v>
      </c>
      <c r="AD653" s="111">
        <f t="shared" si="532"/>
        <v>0.5</v>
      </c>
      <c r="AE653" s="262">
        <f t="shared" si="533"/>
        <v>2.7708539399934045E-2</v>
      </c>
      <c r="AF653" s="100"/>
      <c r="AG653" s="111">
        <f t="shared" si="534"/>
        <v>0.8</v>
      </c>
      <c r="AH653" s="262">
        <f t="shared" si="535"/>
        <v>0.39231783712495882</v>
      </c>
      <c r="AI653" s="100"/>
      <c r="AJ653" s="111">
        <f t="shared" si="536"/>
        <v>0.7</v>
      </c>
      <c r="AK653" s="262">
        <f t="shared" si="537"/>
        <v>0.30550609957138142</v>
      </c>
      <c r="AL653" s="100"/>
      <c r="AM653" s="111">
        <f t="shared" si="538"/>
        <v>0.7</v>
      </c>
      <c r="AN653" s="262">
        <f t="shared" si="539"/>
        <v>0.30550609957138142</v>
      </c>
      <c r="AO653" s="100"/>
      <c r="AP653" s="24" t="e">
        <f>VLOOKUP(C653,#REF!,6,FALSE)</f>
        <v>#REF!</v>
      </c>
      <c r="AQ653" s="24" t="e">
        <f>VLOOKUP(C653,#REF!,7,FALSE)</f>
        <v>#REF!</v>
      </c>
      <c r="AR653" s="24" t="e">
        <f>VLOOKUP(C653,#REF!,12,FALSE)</f>
        <v>#REF!</v>
      </c>
      <c r="AS653" s="24" t="e">
        <f>VLOOKUP(C653,#REF!,13,FALSE)</f>
        <v>#REF!</v>
      </c>
      <c r="AT653" s="100"/>
      <c r="AU653" s="100"/>
      <c r="AV653" s="100">
        <v>637</v>
      </c>
      <c r="AW653" s="100"/>
      <c r="AY653" s="112">
        <v>13200</v>
      </c>
    </row>
    <row r="654" spans="1:51" s="2" customFormat="1" ht="12.75" customHeight="1" x14ac:dyDescent="0.2">
      <c r="A654" s="7" t="s">
        <v>2402</v>
      </c>
      <c r="B654" s="8">
        <v>9789500218047</v>
      </c>
      <c r="C654" s="8">
        <v>748670</v>
      </c>
      <c r="D654" s="7">
        <v>96</v>
      </c>
      <c r="E654" s="7" t="s">
        <v>2403</v>
      </c>
      <c r="F654" s="7" t="s">
        <v>2414</v>
      </c>
      <c r="G654" s="107">
        <v>46235</v>
      </c>
      <c r="H654" s="108">
        <v>46204</v>
      </c>
      <c r="I654" s="116">
        <v>5040</v>
      </c>
      <c r="J654" s="7" t="s">
        <v>1894</v>
      </c>
      <c r="K654" s="148">
        <v>850.24</v>
      </c>
      <c r="L654" s="352">
        <v>7900</v>
      </c>
      <c r="M654" s="352"/>
      <c r="N654" s="9">
        <f t="shared" si="521"/>
        <v>3950</v>
      </c>
      <c r="O654" s="9">
        <f t="shared" si="522"/>
        <v>3099.76</v>
      </c>
      <c r="P654" s="9">
        <f t="shared" si="523"/>
        <v>850.24</v>
      </c>
      <c r="Q654" s="139">
        <f t="shared" si="524"/>
        <v>0.78474936708860765</v>
      </c>
      <c r="R654" s="372">
        <v>7900</v>
      </c>
      <c r="S654" s="359" t="s">
        <v>1948</v>
      </c>
      <c r="T654" s="305">
        <v>0.8882969696969697</v>
      </c>
      <c r="U654" s="144"/>
      <c r="V654" s="100"/>
      <c r="W654" s="110">
        <f t="shared" si="525"/>
        <v>7900</v>
      </c>
      <c r="X654" s="110">
        <f t="shared" si="526"/>
        <v>850.24</v>
      </c>
      <c r="Y654" s="110">
        <f t="shared" si="527"/>
        <v>0</v>
      </c>
      <c r="Z654" s="110">
        <f t="shared" si="528"/>
        <v>3099.76</v>
      </c>
      <c r="AA654" s="260">
        <f t="shared" si="529"/>
        <v>0.78474936708860765</v>
      </c>
      <c r="AB654" s="28">
        <f t="shared" si="530"/>
        <v>2.6</v>
      </c>
      <c r="AC654" s="261">
        <f t="shared" si="531"/>
        <v>0.78436176418372261</v>
      </c>
      <c r="AD654" s="111">
        <f t="shared" si="532"/>
        <v>0.6</v>
      </c>
      <c r="AE654" s="262">
        <f t="shared" si="533"/>
        <v>6.5567644796131405E-2</v>
      </c>
      <c r="AF654" s="100"/>
      <c r="AG654" s="111">
        <f t="shared" si="534"/>
        <v>0.9</v>
      </c>
      <c r="AH654" s="262">
        <f t="shared" si="535"/>
        <v>0.37704509653075435</v>
      </c>
      <c r="AI654" s="100"/>
      <c r="AJ654" s="111">
        <f t="shared" si="536"/>
        <v>0.9</v>
      </c>
      <c r="AK654" s="262">
        <f t="shared" si="537"/>
        <v>0.37704509653075435</v>
      </c>
      <c r="AL654" s="100"/>
      <c r="AM654" s="111">
        <f t="shared" si="538"/>
        <v>0.8</v>
      </c>
      <c r="AN654" s="262">
        <f t="shared" si="539"/>
        <v>0.29917573359709859</v>
      </c>
      <c r="AO654" s="100"/>
      <c r="AP654" s="24" t="e">
        <f>VLOOKUP(C654,#REF!,6,FALSE)</f>
        <v>#REF!</v>
      </c>
      <c r="AQ654" s="24" t="e">
        <f>VLOOKUP(C654,#REF!,7,FALSE)</f>
        <v>#REF!</v>
      </c>
      <c r="AR654" s="24" t="e">
        <f>VLOOKUP(C654,#REF!,12,FALSE)</f>
        <v>#REF!</v>
      </c>
      <c r="AS654" s="24" t="e">
        <f>VLOOKUP(C654,#REF!,13,FALSE)</f>
        <v>#REF!</v>
      </c>
      <c r="AT654" s="100"/>
      <c r="AU654" s="100"/>
      <c r="AV654" s="100">
        <v>638</v>
      </c>
      <c r="AW654" s="100"/>
      <c r="AY654" s="352">
        <v>7900</v>
      </c>
    </row>
    <row r="655" spans="1:51" s="2" customFormat="1" ht="12.75" customHeight="1" x14ac:dyDescent="0.25">
      <c r="A655" s="1"/>
      <c r="B655" s="3"/>
      <c r="C655" s="3"/>
      <c r="E655" s="274"/>
      <c r="F655" s="275"/>
      <c r="H655" s="132"/>
      <c r="I655" s="132"/>
      <c r="J655" s="134"/>
      <c r="K655" s="132"/>
      <c r="L655" s="18"/>
      <c r="M655" s="132"/>
      <c r="N655" s="132"/>
      <c r="O655" s="132"/>
      <c r="P655" s="132"/>
      <c r="Q655" s="147"/>
      <c r="R655" s="371"/>
      <c r="S655" s="360"/>
      <c r="T655" s="307"/>
      <c r="U655" s="135"/>
      <c r="V655" s="100"/>
      <c r="W655"/>
      <c r="X655"/>
      <c r="Y655"/>
      <c r="Z655"/>
      <c r="AA655"/>
      <c r="AB655"/>
      <c r="AC655"/>
      <c r="AD655" s="263"/>
      <c r="AE655"/>
      <c r="AF655" s="100"/>
      <c r="AG655" s="263"/>
      <c r="AH655"/>
      <c r="AI655" s="100"/>
      <c r="AJ655" s="263"/>
      <c r="AK655"/>
      <c r="AL655" s="100"/>
      <c r="AM655" s="263"/>
      <c r="AN655"/>
      <c r="AO655" s="100"/>
      <c r="AP655" s="100"/>
      <c r="AQ655" s="100"/>
      <c r="AR655" s="100"/>
      <c r="AS655" s="100"/>
      <c r="AT655" s="100"/>
      <c r="AU655" s="100"/>
      <c r="AV655" s="100">
        <v>639</v>
      </c>
      <c r="AW655" s="100"/>
      <c r="AY655" s="18"/>
    </row>
    <row r="656" spans="1:51" s="2" customFormat="1" ht="12.75" customHeight="1" x14ac:dyDescent="0.25">
      <c r="A656" s="160" t="s">
        <v>667</v>
      </c>
      <c r="B656" s="168"/>
      <c r="C656" s="168"/>
      <c r="D656" s="206"/>
      <c r="E656" s="174"/>
      <c r="F656" s="162"/>
      <c r="G656" s="162"/>
      <c r="H656" s="132"/>
      <c r="I656" s="132"/>
      <c r="J656" s="134"/>
      <c r="K656" s="132"/>
      <c r="L656" s="18"/>
      <c r="M656" s="132"/>
      <c r="N656" s="132"/>
      <c r="O656" s="132"/>
      <c r="P656" s="132"/>
      <c r="Q656" s="147"/>
      <c r="R656" s="371"/>
      <c r="S656" s="360"/>
      <c r="T656" s="307"/>
      <c r="U656" s="135"/>
      <c r="V656" s="100"/>
      <c r="W656"/>
      <c r="X656"/>
      <c r="Y656"/>
      <c r="Z656"/>
      <c r="AA656"/>
      <c r="AB656"/>
      <c r="AC656"/>
      <c r="AD656" s="263"/>
      <c r="AE656"/>
      <c r="AF656" s="100"/>
      <c r="AG656" s="263"/>
      <c r="AH656"/>
      <c r="AI656" s="100"/>
      <c r="AJ656" s="263"/>
      <c r="AK656"/>
      <c r="AL656" s="100"/>
      <c r="AM656" s="263"/>
      <c r="AN656"/>
      <c r="AO656" s="100"/>
      <c r="AP656" s="100"/>
      <c r="AQ656" s="100"/>
      <c r="AR656" s="100"/>
      <c r="AS656" s="100"/>
      <c r="AT656" s="100"/>
      <c r="AU656" s="100"/>
      <c r="AV656" s="100">
        <v>640</v>
      </c>
      <c r="AW656" s="100"/>
      <c r="AY656" s="18"/>
    </row>
    <row r="657" spans="1:51" s="2" customFormat="1" ht="12.75" customHeight="1" x14ac:dyDescent="0.2">
      <c r="A657" s="6" t="s">
        <v>1469</v>
      </c>
      <c r="B657" s="8">
        <v>9789500208963</v>
      </c>
      <c r="C657" s="8">
        <v>609577</v>
      </c>
      <c r="D657" s="7">
        <v>24</v>
      </c>
      <c r="E657" s="6" t="s">
        <v>292</v>
      </c>
      <c r="F657" s="6" t="s">
        <v>294</v>
      </c>
      <c r="G657" s="107">
        <v>42430</v>
      </c>
      <c r="H657" s="108">
        <v>42401</v>
      </c>
      <c r="I657" s="24">
        <v>3000</v>
      </c>
      <c r="J657" s="28" t="s">
        <v>1946</v>
      </c>
      <c r="K657" s="28">
        <v>34.520000000000003</v>
      </c>
      <c r="L657" s="112">
        <v>12200</v>
      </c>
      <c r="M657" s="112">
        <f>+L657*0.08</f>
        <v>976</v>
      </c>
      <c r="N657" s="9">
        <f>+L657/2</f>
        <v>6100</v>
      </c>
      <c r="O657" s="9">
        <f>+N657-M657-K657</f>
        <v>5089.4799999999996</v>
      </c>
      <c r="P657" s="9">
        <f>+M657+K657</f>
        <v>1010.52</v>
      </c>
      <c r="Q657" s="139">
        <f>+O657/N657</f>
        <v>0.83434098360655728</v>
      </c>
      <c r="R657" s="345">
        <v>12200</v>
      </c>
      <c r="S657" s="359" t="s">
        <v>1948</v>
      </c>
      <c r="T657" s="305">
        <v>0.83434098360655728</v>
      </c>
      <c r="U657" s="144"/>
      <c r="V657" s="100"/>
      <c r="W657" s="110">
        <f>+L657</f>
        <v>12200</v>
      </c>
      <c r="X657" s="110">
        <f>+K657</f>
        <v>34.520000000000003</v>
      </c>
      <c r="Y657" s="110">
        <f>+M657</f>
        <v>976</v>
      </c>
      <c r="Z657" s="110">
        <f>+W657/2-X657-Y657</f>
        <v>5089.4799999999996</v>
      </c>
      <c r="AA657" s="260">
        <f>+Z657/(W657/2)</f>
        <v>0.83434098360655728</v>
      </c>
      <c r="AB657" s="28">
        <f>ROUND($W657/2/$X$1,1)</f>
        <v>4</v>
      </c>
      <c r="AC657" s="261">
        <f>+(AB657*$X$1-$X657-$Y657)/(AB657*$X$1)</f>
        <v>0.83341246290801185</v>
      </c>
      <c r="AD657" s="111">
        <f>+IFERROR(ROUND(($X657+$Y657)/(1-$X$2)/$X$1,1),0)</f>
        <v>0.7</v>
      </c>
      <c r="AE657" s="262">
        <f>+(AD657*$X$1-$X657-$Y657)/(AD657*$X$1)</f>
        <v>4.8071216617210658E-2</v>
      </c>
      <c r="AF657" s="100"/>
      <c r="AG657" s="111">
        <f>+IFERROR(ROUND(($X657+$Y657)/(1-$AG$2)/$X$1,1),0)</f>
        <v>1.1000000000000001</v>
      </c>
      <c r="AH657" s="262">
        <f>+(AG657*$X$1-$X657-$Y657)/(AG657*$X$1)</f>
        <v>0.39422713784731594</v>
      </c>
      <c r="AI657" s="100"/>
      <c r="AJ657" s="111">
        <f>+IFERROR(ROUND(($X657+$Y657)/(1-$AJ$2)/$X$1,1),0)</f>
        <v>1</v>
      </c>
      <c r="AK657" s="262">
        <f>+(AJ657*$X$1-$X657-$Y657)/(AJ657*$X$1)</f>
        <v>0.33364985163204747</v>
      </c>
      <c r="AL657" s="100"/>
      <c r="AM657" s="111">
        <f>+IFERROR(ROUND(($X657+$Y657)/(1-$AM$2)/$X$1,1),0)</f>
        <v>1</v>
      </c>
      <c r="AN657" s="262">
        <f>+(AM657*$X$1-$X657-$Y657)/(AM657*$X$1)</f>
        <v>0.33364985163204747</v>
      </c>
      <c r="AO657" s="100"/>
      <c r="AP657" s="24" t="e">
        <f>VLOOKUP(C657,#REF!,6,FALSE)</f>
        <v>#REF!</v>
      </c>
      <c r="AQ657" s="24" t="e">
        <f>VLOOKUP(C657,#REF!,7,FALSE)</f>
        <v>#REF!</v>
      </c>
      <c r="AR657" s="24" t="e">
        <f>VLOOKUP(C657,#REF!,12,FALSE)</f>
        <v>#REF!</v>
      </c>
      <c r="AS657" s="24" t="e">
        <f>VLOOKUP(C657,#REF!,13,FALSE)</f>
        <v>#REF!</v>
      </c>
      <c r="AT657" s="100"/>
      <c r="AU657" s="100"/>
      <c r="AV657" s="100">
        <v>641</v>
      </c>
      <c r="AW657" s="100"/>
      <c r="AY657" s="112">
        <v>12200</v>
      </c>
    </row>
    <row r="658" spans="1:51" s="2" customFormat="1" ht="12.75" customHeight="1" x14ac:dyDescent="0.2">
      <c r="A658" s="6" t="s">
        <v>1470</v>
      </c>
      <c r="B658" s="8">
        <v>9789500208949</v>
      </c>
      <c r="C658" s="8">
        <v>613396</v>
      </c>
      <c r="D658" s="7">
        <v>40</v>
      </c>
      <c r="E658" s="31" t="s">
        <v>292</v>
      </c>
      <c r="F658" s="32" t="s">
        <v>293</v>
      </c>
      <c r="G658" s="107">
        <v>42491</v>
      </c>
      <c r="H658" s="108">
        <v>42461</v>
      </c>
      <c r="I658" s="24">
        <v>3030</v>
      </c>
      <c r="J658" s="28" t="s">
        <v>1946</v>
      </c>
      <c r="K658" s="28">
        <v>42.51</v>
      </c>
      <c r="L658" s="112">
        <v>12200</v>
      </c>
      <c r="M658" s="112">
        <f>+L658*0.08</f>
        <v>976</v>
      </c>
      <c r="N658" s="9">
        <f>+L658/2</f>
        <v>6100</v>
      </c>
      <c r="O658" s="9">
        <f>+N658-M658-K658</f>
        <v>5081.49</v>
      </c>
      <c r="P658" s="9">
        <f>+M658+K658</f>
        <v>1018.51</v>
      </c>
      <c r="Q658" s="139">
        <f>+O658/N658</f>
        <v>0.83303114754098362</v>
      </c>
      <c r="R658" s="345">
        <v>12200</v>
      </c>
      <c r="S658" s="359" t="s">
        <v>1948</v>
      </c>
      <c r="T658" s="305">
        <v>0.83303114754098362</v>
      </c>
      <c r="U658" s="144"/>
      <c r="V658" s="100"/>
      <c r="W658" s="110">
        <f>+L658</f>
        <v>12200</v>
      </c>
      <c r="X658" s="110">
        <f>+K658</f>
        <v>42.51</v>
      </c>
      <c r="Y658" s="110">
        <f>+M658</f>
        <v>976</v>
      </c>
      <c r="Z658" s="110">
        <f>+W658/2-X658-Y658</f>
        <v>5081.49</v>
      </c>
      <c r="AA658" s="260">
        <f>+Z658/(W658/2)</f>
        <v>0.83303114754098362</v>
      </c>
      <c r="AB658" s="28">
        <f>ROUND($W658/2/$X$1,1)</f>
        <v>4</v>
      </c>
      <c r="AC658" s="261">
        <f>+(AB658*$X$1-$X658-$Y658)/(AB658*$X$1)</f>
        <v>0.83209528519617537</v>
      </c>
      <c r="AD658" s="111">
        <f>+IFERROR(ROUND(($X658+$Y658)/(1-$X$2)/$X$1,1),0)</f>
        <v>0.7</v>
      </c>
      <c r="AE658" s="262">
        <f>+(AD658*$X$1-$X658-$Y658)/(AD658*$X$1)</f>
        <v>4.0544486835287989E-2</v>
      </c>
      <c r="AF658" s="100"/>
      <c r="AG658" s="111">
        <f>+IFERROR(ROUND(($X658+$Y658)/(1-$AG$2)/$X$1,1),0)</f>
        <v>1.1000000000000001</v>
      </c>
      <c r="AH658" s="262">
        <f>+(AG658*$X$1-$X658-$Y658)/(AG658*$X$1)</f>
        <v>0.38943740071336513</v>
      </c>
      <c r="AI658" s="100"/>
      <c r="AJ658" s="111">
        <f>+IFERROR(ROUND(($X658+$Y658)/(1-$AJ$2)/$X$1,1),0)</f>
        <v>1</v>
      </c>
      <c r="AK658" s="262">
        <f>+(AJ658*$X$1-$X658-$Y658)/(AJ658*$X$1)</f>
        <v>0.3283811407847016</v>
      </c>
      <c r="AL658" s="100"/>
      <c r="AM658" s="111">
        <f>+IFERROR(ROUND(($X658+$Y658)/(1-$AM$2)/$X$1,1),0)</f>
        <v>1</v>
      </c>
      <c r="AN658" s="262">
        <f>+(AM658*$X$1-$X658-$Y658)/(AM658*$X$1)</f>
        <v>0.3283811407847016</v>
      </c>
      <c r="AO658" s="100"/>
      <c r="AP658" s="24" t="e">
        <f>VLOOKUP(C658,#REF!,6,FALSE)</f>
        <v>#REF!</v>
      </c>
      <c r="AQ658" s="24" t="e">
        <f>VLOOKUP(C658,#REF!,7,FALSE)</f>
        <v>#REF!</v>
      </c>
      <c r="AR658" s="24" t="e">
        <f>VLOOKUP(C658,#REF!,12,FALSE)</f>
        <v>#REF!</v>
      </c>
      <c r="AS658" s="24" t="e">
        <f>VLOOKUP(C658,#REF!,13,FALSE)</f>
        <v>#REF!</v>
      </c>
      <c r="AT658" s="100"/>
      <c r="AU658" s="100"/>
      <c r="AV658" s="100">
        <v>642</v>
      </c>
      <c r="AW658" s="100"/>
      <c r="AY658" s="112">
        <v>12200</v>
      </c>
    </row>
    <row r="659" spans="1:51" s="2" customFormat="1" ht="12.75" customHeight="1" x14ac:dyDescent="0.2">
      <c r="A659" s="6" t="s">
        <v>1471</v>
      </c>
      <c r="B659" s="8">
        <v>9789500208956</v>
      </c>
      <c r="C659" s="8">
        <v>614604</v>
      </c>
      <c r="D659" s="7">
        <v>40</v>
      </c>
      <c r="E659" s="31" t="s">
        <v>292</v>
      </c>
      <c r="F659" s="32" t="s">
        <v>295</v>
      </c>
      <c r="G659" s="107">
        <v>42522</v>
      </c>
      <c r="H659" s="108">
        <v>42491</v>
      </c>
      <c r="I659" s="24">
        <v>3046</v>
      </c>
      <c r="J659" s="28" t="s">
        <v>1946</v>
      </c>
      <c r="K659" s="28">
        <v>42.67</v>
      </c>
      <c r="L659" s="112">
        <v>12200</v>
      </c>
      <c r="M659" s="112">
        <f>+L659*0.08</f>
        <v>976</v>
      </c>
      <c r="N659" s="9">
        <f>+L659/2</f>
        <v>6100</v>
      </c>
      <c r="O659" s="9">
        <f>+N659-M659-K659</f>
        <v>5081.33</v>
      </c>
      <c r="P659" s="9">
        <f>+M659+K659</f>
        <v>1018.67</v>
      </c>
      <c r="Q659" s="139">
        <f>+O659/N659</f>
        <v>0.83300491803278687</v>
      </c>
      <c r="R659" s="345">
        <v>12200</v>
      </c>
      <c r="S659" s="359" t="s">
        <v>1948</v>
      </c>
      <c r="T659" s="305">
        <v>0.83300491803278687</v>
      </c>
      <c r="U659" s="144"/>
      <c r="V659" s="100"/>
      <c r="W659" s="110">
        <f>+L659</f>
        <v>12200</v>
      </c>
      <c r="X659" s="110">
        <f>+K659</f>
        <v>42.67</v>
      </c>
      <c r="Y659" s="110">
        <f>+M659</f>
        <v>976</v>
      </c>
      <c r="Z659" s="110">
        <f>+W659/2-X659-Y659</f>
        <v>5081.33</v>
      </c>
      <c r="AA659" s="260">
        <f>+Z659/(W659/2)</f>
        <v>0.83300491803278687</v>
      </c>
      <c r="AB659" s="28">
        <f>ROUND($W659/2/$X$1,1)</f>
        <v>4</v>
      </c>
      <c r="AC659" s="261">
        <f>+(AB659*$X$1-$X659-$Y659)/(AB659*$X$1)</f>
        <v>0.83206890867128258</v>
      </c>
      <c r="AD659" s="111">
        <f>+IFERROR(ROUND(($X659+$Y659)/(1-$X$2)/$X$1,1),0)</f>
        <v>0.7</v>
      </c>
      <c r="AE659" s="262">
        <f>+(AD659*$X$1-$X659-$Y659)/(AD659*$X$1)</f>
        <v>4.0393763835900334E-2</v>
      </c>
      <c r="AF659" s="100"/>
      <c r="AG659" s="111">
        <f>+IFERROR(ROUND(($X659+$Y659)/(1-$AG$2)/$X$1,1),0)</f>
        <v>1.1000000000000001</v>
      </c>
      <c r="AH659" s="262">
        <f>+(AG659*$X$1-$X659-$Y659)/(AG659*$X$1)</f>
        <v>0.38934148607739111</v>
      </c>
      <c r="AI659" s="100"/>
      <c r="AJ659" s="111">
        <f>+IFERROR(ROUND(($X659+$Y659)/(1-$AJ$2)/$X$1,1),0)</f>
        <v>1</v>
      </c>
      <c r="AK659" s="262">
        <f>+(AJ659*$X$1-$X659-$Y659)/(AJ659*$X$1)</f>
        <v>0.32827563468513021</v>
      </c>
      <c r="AL659" s="100"/>
      <c r="AM659" s="111">
        <f>+IFERROR(ROUND(($X659+$Y659)/(1-$AM$2)/$X$1,1),0)</f>
        <v>1</v>
      </c>
      <c r="AN659" s="262">
        <f>+(AM659*$X$1-$X659-$Y659)/(AM659*$X$1)</f>
        <v>0.32827563468513021</v>
      </c>
      <c r="AO659" s="100"/>
      <c r="AP659" s="24" t="e">
        <f>VLOOKUP(C659,#REF!,6,FALSE)</f>
        <v>#REF!</v>
      </c>
      <c r="AQ659" s="24" t="e">
        <f>VLOOKUP(C659,#REF!,7,FALSE)</f>
        <v>#REF!</v>
      </c>
      <c r="AR659" s="24" t="e">
        <f>VLOOKUP(C659,#REF!,12,FALSE)</f>
        <v>#REF!</v>
      </c>
      <c r="AS659" s="24" t="e">
        <f>VLOOKUP(C659,#REF!,13,FALSE)</f>
        <v>#REF!</v>
      </c>
      <c r="AT659" s="100"/>
      <c r="AU659" s="100"/>
      <c r="AV659" s="100">
        <v>643</v>
      </c>
      <c r="AW659" s="100"/>
      <c r="AY659" s="112">
        <v>12200</v>
      </c>
    </row>
    <row r="660" spans="1:51" s="162" customFormat="1" ht="12.75" customHeight="1" x14ac:dyDescent="0.25">
      <c r="A660" s="1"/>
      <c r="B660" s="3"/>
      <c r="C660" s="3"/>
      <c r="D660" s="2"/>
      <c r="E660" s="274"/>
      <c r="F660" s="275"/>
      <c r="G660" s="2"/>
      <c r="H660" s="132"/>
      <c r="I660" s="132"/>
      <c r="J660" s="134"/>
      <c r="K660" s="132"/>
      <c r="L660" s="18"/>
      <c r="M660" s="132"/>
      <c r="N660" s="132"/>
      <c r="O660" s="132"/>
      <c r="P660" s="132"/>
      <c r="Q660" s="147"/>
      <c r="R660" s="371"/>
      <c r="S660" s="360"/>
      <c r="T660" s="307"/>
      <c r="U660" s="135"/>
      <c r="V660" s="100"/>
      <c r="W660"/>
      <c r="X660"/>
      <c r="Y660"/>
      <c r="Z660"/>
      <c r="AA660"/>
      <c r="AB660"/>
      <c r="AC660"/>
      <c r="AD660" s="263"/>
      <c r="AE660"/>
      <c r="AF660" s="100"/>
      <c r="AG660" s="263"/>
      <c r="AH660"/>
      <c r="AI660" s="100"/>
      <c r="AJ660" s="263"/>
      <c r="AK660"/>
      <c r="AL660" s="100"/>
      <c r="AM660" s="263"/>
      <c r="AN660"/>
      <c r="AO660" s="100"/>
      <c r="AP660" s="100"/>
      <c r="AQ660" s="100"/>
      <c r="AR660" s="100"/>
      <c r="AS660" s="100"/>
      <c r="AT660" s="100"/>
      <c r="AU660" s="100"/>
      <c r="AV660" s="100">
        <v>644</v>
      </c>
      <c r="AW660" s="100"/>
      <c r="AY660" s="18"/>
    </row>
    <row r="661" spans="1:51" s="2" customFormat="1" ht="12.75" customHeight="1" x14ac:dyDescent="0.25">
      <c r="A661" s="160" t="s">
        <v>668</v>
      </c>
      <c r="B661" s="168"/>
      <c r="C661" s="168"/>
      <c r="D661" s="206"/>
      <c r="E661" s="174"/>
      <c r="F661" s="162"/>
      <c r="G661" s="162"/>
      <c r="H661" s="132"/>
      <c r="I661" s="132"/>
      <c r="J661" s="134"/>
      <c r="K661" s="132"/>
      <c r="L661" s="18"/>
      <c r="M661" s="132"/>
      <c r="N661" s="132"/>
      <c r="O661" s="132"/>
      <c r="P661" s="132"/>
      <c r="Q661" s="147"/>
      <c r="R661" s="371"/>
      <c r="S661" s="360"/>
      <c r="T661" s="307"/>
      <c r="U661" s="135"/>
      <c r="V661" s="100"/>
      <c r="W661"/>
      <c r="X661"/>
      <c r="Y661"/>
      <c r="Z661"/>
      <c r="AA661"/>
      <c r="AB661"/>
      <c r="AC661"/>
      <c r="AD661" s="263"/>
      <c r="AE661"/>
      <c r="AF661" s="100"/>
      <c r="AG661" s="263"/>
      <c r="AH661"/>
      <c r="AI661" s="100"/>
      <c r="AJ661" s="263"/>
      <c r="AK661"/>
      <c r="AL661" s="100"/>
      <c r="AM661" s="263"/>
      <c r="AN661"/>
      <c r="AO661" s="100"/>
      <c r="AP661" s="100"/>
      <c r="AQ661" s="100"/>
      <c r="AR661" s="100"/>
      <c r="AS661" s="100"/>
      <c r="AT661" s="100"/>
      <c r="AU661" s="100"/>
      <c r="AV661" s="100">
        <v>645</v>
      </c>
      <c r="AW661" s="100"/>
      <c r="AY661" s="18"/>
    </row>
    <row r="662" spans="1:51" s="2" customFormat="1" ht="12.75" customHeight="1" x14ac:dyDescent="0.2">
      <c r="A662" s="6" t="s">
        <v>1472</v>
      </c>
      <c r="B662" s="8">
        <v>9789500208413</v>
      </c>
      <c r="C662" s="8">
        <v>592811</v>
      </c>
      <c r="D662" s="25">
        <v>56</v>
      </c>
      <c r="E662" s="22" t="s">
        <v>299</v>
      </c>
      <c r="F662" s="6" t="s">
        <v>300</v>
      </c>
      <c r="G662" s="107">
        <v>42156</v>
      </c>
      <c r="H662" s="108">
        <v>42125</v>
      </c>
      <c r="I662" s="24">
        <v>3000</v>
      </c>
      <c r="J662" s="28" t="s">
        <v>1894</v>
      </c>
      <c r="K662" s="28">
        <v>17.84</v>
      </c>
      <c r="L662" s="128">
        <v>8700</v>
      </c>
      <c r="M662" s="9">
        <f>+L662*0.07</f>
        <v>609.00000000000011</v>
      </c>
      <c r="N662" s="9">
        <f>+L662/2</f>
        <v>4350</v>
      </c>
      <c r="O662" s="9">
        <f>+N662-M662-K662</f>
        <v>3723.16</v>
      </c>
      <c r="P662" s="9">
        <f>+M662+K662</f>
        <v>626.84000000000015</v>
      </c>
      <c r="Q662" s="139">
        <f>+O662/N662</f>
        <v>0.8558988505747126</v>
      </c>
      <c r="R662" s="345">
        <v>8700</v>
      </c>
      <c r="S662" s="359" t="s">
        <v>1948</v>
      </c>
      <c r="T662" s="305">
        <v>0.8558988505747126</v>
      </c>
      <c r="U662" s="144"/>
      <c r="V662" s="100"/>
      <c r="W662" s="110">
        <f>+L662</f>
        <v>8700</v>
      </c>
      <c r="X662" s="110">
        <f>+K662</f>
        <v>17.84</v>
      </c>
      <c r="Y662" s="110">
        <f>+M662</f>
        <v>609.00000000000011</v>
      </c>
      <c r="Z662" s="110">
        <f>+W662/2-X662-Y662</f>
        <v>3723.16</v>
      </c>
      <c r="AA662" s="260">
        <f>+Z662/(W662/2)</f>
        <v>0.8558988505747126</v>
      </c>
      <c r="AB662" s="28">
        <f>ROUND($W662/2/$X$1,1)</f>
        <v>2.9</v>
      </c>
      <c r="AC662" s="261">
        <f>+(AB662*$X$1-$X662-$Y662)/(AB662*$X$1)</f>
        <v>0.85746671669111041</v>
      </c>
      <c r="AD662" s="111">
        <f>+IFERROR(ROUND(($X662+$Y662)/(1-$X$2)/$X$1,1),0)</f>
        <v>0.4</v>
      </c>
      <c r="AE662" s="262">
        <f>+(AD662*$X$1-$X662-$Y662)/(AD662*$X$1)</f>
        <v>-3.3366303989449592E-2</v>
      </c>
      <c r="AF662" s="100"/>
      <c r="AG662" s="111">
        <f>+IFERROR(ROUND(($X662+$Y662)/(1-$AG$2)/$X$1,1),0)</f>
        <v>0.7</v>
      </c>
      <c r="AH662" s="262">
        <f>+(AG662*$X$1-$X662-$Y662)/(AG662*$X$1)</f>
        <v>0.40950496914888601</v>
      </c>
      <c r="AI662" s="100"/>
      <c r="AJ662" s="111">
        <f>+IFERROR(ROUND(($X662+$Y662)/(1-$AJ$2)/$X$1,1),0)</f>
        <v>0.6</v>
      </c>
      <c r="AK662" s="262">
        <f>+(AJ662*$X$1-$X662-$Y662)/(AJ662*$X$1)</f>
        <v>0.31108913067370025</v>
      </c>
      <c r="AL662" s="100"/>
      <c r="AM662" s="111">
        <f>+IFERROR(ROUND(($X662+$Y662)/(1-$AM$2)/$X$1,1),0)</f>
        <v>0.6</v>
      </c>
      <c r="AN662" s="262">
        <f>+(AM662*$X$1-$X662-$Y662)/(AM662*$X$1)</f>
        <v>0.31108913067370025</v>
      </c>
      <c r="AO662" s="100"/>
      <c r="AP662" s="24" t="e">
        <f>VLOOKUP(C662,#REF!,6,FALSE)</f>
        <v>#REF!</v>
      </c>
      <c r="AQ662" s="24" t="e">
        <f>VLOOKUP(C662,#REF!,7,FALSE)</f>
        <v>#REF!</v>
      </c>
      <c r="AR662" s="24" t="e">
        <f>VLOOKUP(C662,#REF!,12,FALSE)</f>
        <v>#REF!</v>
      </c>
      <c r="AS662" s="24" t="e">
        <f>VLOOKUP(C662,#REF!,13,FALSE)</f>
        <v>#REF!</v>
      </c>
      <c r="AT662" s="100"/>
      <c r="AU662" s="100"/>
      <c r="AV662" s="100">
        <v>646</v>
      </c>
      <c r="AW662" s="100"/>
      <c r="AY662" s="128">
        <v>8700</v>
      </c>
    </row>
    <row r="663" spans="1:51" s="162" customFormat="1" ht="12.75" customHeight="1" x14ac:dyDescent="0.2">
      <c r="A663" s="6" t="s">
        <v>1473</v>
      </c>
      <c r="B663" s="8">
        <v>9789500208437</v>
      </c>
      <c r="C663" s="8">
        <v>592812</v>
      </c>
      <c r="D663" s="25">
        <v>56</v>
      </c>
      <c r="E663" s="22" t="s">
        <v>299</v>
      </c>
      <c r="F663" s="6" t="s">
        <v>1474</v>
      </c>
      <c r="G663" s="107">
        <v>42156</v>
      </c>
      <c r="H663" s="108">
        <v>42125</v>
      </c>
      <c r="I663" s="24">
        <v>3046</v>
      </c>
      <c r="J663" s="28" t="s">
        <v>1894</v>
      </c>
      <c r="K663" s="28">
        <v>17.75</v>
      </c>
      <c r="L663" s="128">
        <v>8700</v>
      </c>
      <c r="M663" s="9">
        <f>+L663*0.07</f>
        <v>609.00000000000011</v>
      </c>
      <c r="N663" s="9">
        <f>+L663/2</f>
        <v>4350</v>
      </c>
      <c r="O663" s="9">
        <f>+N663-M663-K663</f>
        <v>3723.25</v>
      </c>
      <c r="P663" s="9">
        <f>+M663+K663</f>
        <v>626.75000000000011</v>
      </c>
      <c r="Q663" s="139">
        <f>+O663/N663</f>
        <v>0.85591954022988503</v>
      </c>
      <c r="R663" s="345">
        <v>8700</v>
      </c>
      <c r="S663" s="359" t="s">
        <v>1948</v>
      </c>
      <c r="T663" s="305">
        <v>0.85591954022988503</v>
      </c>
      <c r="U663" s="144"/>
      <c r="V663" s="100"/>
      <c r="W663" s="110">
        <f>+L663</f>
        <v>8700</v>
      </c>
      <c r="X663" s="110">
        <f>+K663</f>
        <v>17.75</v>
      </c>
      <c r="Y663" s="110">
        <f>+M663</f>
        <v>609.00000000000011</v>
      </c>
      <c r="Z663" s="110">
        <f>+W663/2-X663-Y663</f>
        <v>3723.25</v>
      </c>
      <c r="AA663" s="260">
        <f>+Z663/(W663/2)</f>
        <v>0.85591954022988503</v>
      </c>
      <c r="AB663" s="28">
        <f>ROUND($W663/2/$X$1,1)</f>
        <v>2.9</v>
      </c>
      <c r="AC663" s="261">
        <f>+(AB663*$X$1-$X663-$Y663)/(AB663*$X$1)</f>
        <v>0.85748718123628587</v>
      </c>
      <c r="AD663" s="111">
        <f>+IFERROR(ROUND(($X663+$Y663)/(1-$X$2)/$X$1,1),0)</f>
        <v>0.4</v>
      </c>
      <c r="AE663" s="262">
        <f>+(AD663*$X$1-$X663-$Y663)/(AD663*$X$1)</f>
        <v>-3.3217936036927284E-2</v>
      </c>
      <c r="AF663" s="100"/>
      <c r="AG663" s="111">
        <f>+IFERROR(ROUND(($X663+$Y663)/(1-$AG$2)/$X$1,1),0)</f>
        <v>0.7</v>
      </c>
      <c r="AH663" s="262">
        <f>+(AG663*$X$1-$X663-$Y663)/(AG663*$X$1)</f>
        <v>0.40958975083604149</v>
      </c>
      <c r="AI663" s="100"/>
      <c r="AJ663" s="111">
        <f>+IFERROR(ROUND(($X663+$Y663)/(1-$AJ$2)/$X$1,1),0)</f>
        <v>0.6</v>
      </c>
      <c r="AK663" s="262">
        <f>+(AJ663*$X$1-$X663-$Y663)/(AJ663*$X$1)</f>
        <v>0.31118804264204841</v>
      </c>
      <c r="AL663" s="100"/>
      <c r="AM663" s="111">
        <f>+IFERROR(ROUND(($X663+$Y663)/(1-$AM$2)/$X$1,1),0)</f>
        <v>0.6</v>
      </c>
      <c r="AN663" s="262">
        <f>+(AM663*$X$1-$X663-$Y663)/(AM663*$X$1)</f>
        <v>0.31118804264204841</v>
      </c>
      <c r="AO663" s="100"/>
      <c r="AP663" s="24" t="e">
        <f>VLOOKUP(C663,#REF!,6,FALSE)</f>
        <v>#REF!</v>
      </c>
      <c r="AQ663" s="24" t="e">
        <f>VLOOKUP(C663,#REF!,7,FALSE)</f>
        <v>#REF!</v>
      </c>
      <c r="AR663" s="24" t="e">
        <f>VLOOKUP(C663,#REF!,12,FALSE)</f>
        <v>#REF!</v>
      </c>
      <c r="AS663" s="24" t="e">
        <f>VLOOKUP(C663,#REF!,13,FALSE)</f>
        <v>#REF!</v>
      </c>
      <c r="AT663" s="100"/>
      <c r="AU663" s="100"/>
      <c r="AV663" s="100">
        <v>647</v>
      </c>
      <c r="AW663" s="100"/>
      <c r="AY663" s="128">
        <v>8700</v>
      </c>
    </row>
    <row r="664" spans="1:51" s="2" customFormat="1" ht="12.75" customHeight="1" x14ac:dyDescent="0.25">
      <c r="A664" s="1"/>
      <c r="B664" s="3"/>
      <c r="C664" s="3"/>
      <c r="E664" s="274"/>
      <c r="F664" s="275"/>
      <c r="H664" s="132"/>
      <c r="I664" s="132"/>
      <c r="J664" s="134"/>
      <c r="K664" s="132"/>
      <c r="L664" s="134"/>
      <c r="M664" s="132"/>
      <c r="N664" s="132"/>
      <c r="O664" s="132"/>
      <c r="P664" s="132"/>
      <c r="Q664" s="147"/>
      <c r="R664" s="371"/>
      <c r="S664" s="360"/>
      <c r="T664" s="307"/>
      <c r="U664" s="135"/>
      <c r="V664" s="100"/>
      <c r="W664"/>
      <c r="X664"/>
      <c r="Y664"/>
      <c r="Z664"/>
      <c r="AA664"/>
      <c r="AB664"/>
      <c r="AC664"/>
      <c r="AD664" s="263"/>
      <c r="AE664"/>
      <c r="AF664" s="100"/>
      <c r="AG664" s="263"/>
      <c r="AH664"/>
      <c r="AI664" s="100"/>
      <c r="AJ664" s="263"/>
      <c r="AK664"/>
      <c r="AL664" s="100"/>
      <c r="AM664" s="263"/>
      <c r="AN664"/>
      <c r="AO664" s="100"/>
      <c r="AP664" s="100"/>
      <c r="AQ664" s="100"/>
      <c r="AR664" s="100"/>
      <c r="AS664" s="100"/>
      <c r="AT664" s="100"/>
      <c r="AU664" s="100"/>
      <c r="AV664" s="100">
        <v>648</v>
      </c>
      <c r="AW664" s="100"/>
      <c r="AY664" s="134"/>
    </row>
    <row r="665" spans="1:51" s="2" customFormat="1" ht="12.75" customHeight="1" x14ac:dyDescent="0.25">
      <c r="A665" s="160" t="s">
        <v>1475</v>
      </c>
      <c r="B665" s="168"/>
      <c r="C665" s="168"/>
      <c r="D665" s="206"/>
      <c r="E665" s="174"/>
      <c r="F665" s="162"/>
      <c r="G665" s="162"/>
      <c r="H665" s="132"/>
      <c r="I665" s="132"/>
      <c r="J665" s="134"/>
      <c r="K665" s="132"/>
      <c r="L665" s="134"/>
      <c r="M665" s="132"/>
      <c r="N665" s="132"/>
      <c r="O665" s="132"/>
      <c r="P665" s="132"/>
      <c r="Q665" s="147"/>
      <c r="R665" s="371"/>
      <c r="S665" s="360"/>
      <c r="T665" s="307"/>
      <c r="U665" s="135"/>
      <c r="V665" s="100"/>
      <c r="W665"/>
      <c r="X665"/>
      <c r="Y665"/>
      <c r="Z665"/>
      <c r="AA665"/>
      <c r="AB665"/>
      <c r="AC665"/>
      <c r="AD665" s="263"/>
      <c r="AE665"/>
      <c r="AF665" s="100"/>
      <c r="AG665" s="263"/>
      <c r="AH665"/>
      <c r="AI665" s="100"/>
      <c r="AJ665" s="263"/>
      <c r="AK665"/>
      <c r="AL665" s="100"/>
      <c r="AM665" s="263"/>
      <c r="AN665"/>
      <c r="AO665" s="100"/>
      <c r="AP665" s="100"/>
      <c r="AQ665" s="100"/>
      <c r="AR665" s="100"/>
      <c r="AS665" s="100"/>
      <c r="AT665" s="100"/>
      <c r="AU665" s="100"/>
      <c r="AV665" s="100">
        <v>649</v>
      </c>
      <c r="AW665" s="100"/>
      <c r="AY665" s="134"/>
    </row>
    <row r="666" spans="1:51" s="2" customFormat="1" ht="12.75" customHeight="1" x14ac:dyDescent="0.2">
      <c r="A666" s="7" t="s">
        <v>1476</v>
      </c>
      <c r="B666" s="8">
        <v>9789500207607</v>
      </c>
      <c r="C666" s="21">
        <v>569647</v>
      </c>
      <c r="D666" s="25">
        <v>32</v>
      </c>
      <c r="E666" s="22" t="s">
        <v>268</v>
      </c>
      <c r="F666" s="6" t="s">
        <v>269</v>
      </c>
      <c r="G666" s="107">
        <v>41548</v>
      </c>
      <c r="H666" s="108">
        <v>41518</v>
      </c>
      <c r="I666" s="24">
        <v>4040</v>
      </c>
      <c r="J666" s="28" t="s">
        <v>1946</v>
      </c>
      <c r="K666" s="28">
        <v>17.57</v>
      </c>
      <c r="L666" s="128">
        <v>15900</v>
      </c>
      <c r="M666" s="112">
        <f>+L666*0.06</f>
        <v>954</v>
      </c>
      <c r="N666" s="9">
        <f t="shared" ref="N666:N672" si="540">+L666/2</f>
        <v>7950</v>
      </c>
      <c r="O666" s="9">
        <f t="shared" ref="O666:O672" si="541">+N666-M666-K666</f>
        <v>6978.43</v>
      </c>
      <c r="P666" s="9">
        <f t="shared" ref="P666:P672" si="542">+M666+K666</f>
        <v>971.57</v>
      </c>
      <c r="Q666" s="139">
        <f t="shared" ref="Q666:Q672" si="543">+O666/N666</f>
        <v>0.87778993710691833</v>
      </c>
      <c r="R666" s="345">
        <v>15900</v>
      </c>
      <c r="S666" s="359" t="s">
        <v>1948</v>
      </c>
      <c r="T666" s="305">
        <v>0.87778993710691833</v>
      </c>
      <c r="U666" s="115" t="s">
        <v>1063</v>
      </c>
      <c r="V666" s="100"/>
      <c r="W666" s="110">
        <f t="shared" ref="W666:W672" si="544">+L666</f>
        <v>15900</v>
      </c>
      <c r="X666" s="110">
        <f t="shared" ref="X666:X672" si="545">+K666</f>
        <v>17.57</v>
      </c>
      <c r="Y666" s="110">
        <f t="shared" ref="Y666:Y672" si="546">+M666</f>
        <v>954</v>
      </c>
      <c r="Z666" s="110">
        <f t="shared" ref="Z666:Z672" si="547">+W666/2-X666-Y666</f>
        <v>6978.43</v>
      </c>
      <c r="AA666" s="260">
        <f t="shared" ref="AA666:AA672" si="548">+Z666/(W666/2)</f>
        <v>0.87778993710691833</v>
      </c>
      <c r="AB666" s="28">
        <f t="shared" ref="AB666:AB672" si="549">ROUND($W666/2/$X$1,1)</f>
        <v>5.2</v>
      </c>
      <c r="AC666" s="261">
        <f t="shared" ref="AC666:AC672" si="550">+(AB666*$X$1-$X666-$Y666)/(AB666*$X$1)</f>
        <v>0.87679499860508769</v>
      </c>
      <c r="AD666" s="111">
        <f t="shared" ref="AD666:AD672" si="551">+IFERROR(ROUND(($X666+$Y666)/(1-$X$2)/$X$1,1),0)</f>
        <v>0.7</v>
      </c>
      <c r="AE666" s="262">
        <f t="shared" ref="AE666:AE672" si="552">+(AD666*$X$1-$X666-$Y666)/(AD666*$X$1)</f>
        <v>8.4762846780650949E-2</v>
      </c>
      <c r="AF666" s="100"/>
      <c r="AG666" s="111">
        <f t="shared" ref="AG666:AG672" si="553">+IFERROR(ROUND(($X666+$Y666)/(1-$AG$2)/$X$1,1),0)</f>
        <v>1.1000000000000001</v>
      </c>
      <c r="AH666" s="262">
        <f t="shared" ref="AH666:AH672" si="554">+(AG666*$X$1-$X666-$Y666)/(AG666*$X$1)</f>
        <v>0.4175763570422325</v>
      </c>
      <c r="AI666" s="100"/>
      <c r="AJ666" s="111">
        <f t="shared" ref="AJ666:AJ672" si="555">+IFERROR(ROUND(($X666+$Y666)/(1-$AJ$2)/$X$1,1),0)</f>
        <v>1</v>
      </c>
      <c r="AK666" s="262">
        <f t="shared" ref="AK666:AK672" si="556">+(AJ666*$X$1-$X666-$Y666)/(AJ666*$X$1)</f>
        <v>0.35933399274645572</v>
      </c>
      <c r="AL666" s="100"/>
      <c r="AM666" s="111">
        <f t="shared" ref="AM666:AM672" si="557">+IFERROR(ROUND(($X666+$Y666)/(1-$AM$2)/$X$1,1),0)</f>
        <v>0.9</v>
      </c>
      <c r="AN666" s="262">
        <f t="shared" ref="AN666:AN672" si="558">+(AM666*$X$1-$X666-$Y666)/(AM666*$X$1)</f>
        <v>0.28814888082939527</v>
      </c>
      <c r="AO666" s="100"/>
      <c r="AP666" s="24" t="e">
        <f>VLOOKUP(C666,#REF!,6,FALSE)</f>
        <v>#REF!</v>
      </c>
      <c r="AQ666" s="24" t="e">
        <f>VLOOKUP(C666,#REF!,7,FALSE)</f>
        <v>#REF!</v>
      </c>
      <c r="AR666" s="24" t="e">
        <f>VLOOKUP(C666,#REF!,12,FALSE)</f>
        <v>#REF!</v>
      </c>
      <c r="AS666" s="24" t="e">
        <f>VLOOKUP(C666,#REF!,13,FALSE)</f>
        <v>#REF!</v>
      </c>
      <c r="AT666" s="100"/>
      <c r="AU666" s="100"/>
      <c r="AV666" s="100">
        <v>650</v>
      </c>
      <c r="AW666" s="100"/>
      <c r="AY666" s="128">
        <v>15900</v>
      </c>
    </row>
    <row r="667" spans="1:51" s="2" customFormat="1" ht="12.75" customHeight="1" x14ac:dyDescent="0.2">
      <c r="A667" s="7" t="s">
        <v>1477</v>
      </c>
      <c r="B667" s="8">
        <v>9789500213493</v>
      </c>
      <c r="C667" s="8">
        <v>703457</v>
      </c>
      <c r="D667" s="7">
        <v>36</v>
      </c>
      <c r="E667" s="6" t="s">
        <v>301</v>
      </c>
      <c r="F667" s="6" t="s">
        <v>1478</v>
      </c>
      <c r="G667" s="107">
        <v>44986</v>
      </c>
      <c r="H667" s="108">
        <v>44986</v>
      </c>
      <c r="I667" s="7">
        <v>2030</v>
      </c>
      <c r="J667" s="6" t="s">
        <v>1762</v>
      </c>
      <c r="K667" s="117">
        <v>511.7</v>
      </c>
      <c r="L667" s="128">
        <v>18600</v>
      </c>
      <c r="M667" s="9">
        <f t="shared" ref="M667:M672" si="559">+L667*0.08</f>
        <v>1488</v>
      </c>
      <c r="N667" s="9">
        <f t="shared" si="540"/>
        <v>9300</v>
      </c>
      <c r="O667" s="9">
        <f t="shared" si="541"/>
        <v>7300.3</v>
      </c>
      <c r="P667" s="9">
        <f t="shared" si="542"/>
        <v>1999.7</v>
      </c>
      <c r="Q667" s="139">
        <f t="shared" si="543"/>
        <v>0.78497849462365599</v>
      </c>
      <c r="R667" s="345">
        <v>18600</v>
      </c>
      <c r="S667" s="359" t="s">
        <v>1948</v>
      </c>
      <c r="T667" s="305">
        <v>0.78497849462365599</v>
      </c>
      <c r="U667" s="144"/>
      <c r="V667" s="100"/>
      <c r="W667" s="110">
        <f t="shared" si="544"/>
        <v>18600</v>
      </c>
      <c r="X667" s="110">
        <f t="shared" si="545"/>
        <v>511.7</v>
      </c>
      <c r="Y667" s="110">
        <f t="shared" si="546"/>
        <v>1488</v>
      </c>
      <c r="Z667" s="110">
        <f t="shared" si="547"/>
        <v>7300.2999999999993</v>
      </c>
      <c r="AA667" s="260">
        <f t="shared" si="548"/>
        <v>0.78497849462365588</v>
      </c>
      <c r="AB667" s="28">
        <f t="shared" si="549"/>
        <v>6.1</v>
      </c>
      <c r="AC667" s="261">
        <f t="shared" si="550"/>
        <v>0.78383140644170946</v>
      </c>
      <c r="AD667" s="111">
        <f t="shared" si="551"/>
        <v>1.4</v>
      </c>
      <c r="AE667" s="262">
        <f t="shared" si="552"/>
        <v>5.8122556638877054E-2</v>
      </c>
      <c r="AF667" s="100"/>
      <c r="AG667" s="111">
        <f t="shared" si="553"/>
        <v>2.2000000000000002</v>
      </c>
      <c r="AH667" s="262">
        <f t="shared" si="554"/>
        <v>0.40062344513383097</v>
      </c>
      <c r="AI667" s="100"/>
      <c r="AJ667" s="111">
        <f t="shared" si="555"/>
        <v>2</v>
      </c>
      <c r="AK667" s="262">
        <f t="shared" si="556"/>
        <v>0.34068578964721402</v>
      </c>
      <c r="AL667" s="100"/>
      <c r="AM667" s="111">
        <f t="shared" si="557"/>
        <v>1.9</v>
      </c>
      <c r="AN667" s="262">
        <f t="shared" si="558"/>
        <v>0.3059850417339095</v>
      </c>
      <c r="AO667" s="100"/>
      <c r="AP667" s="24" t="e">
        <f>VLOOKUP(C667,#REF!,6,FALSE)</f>
        <v>#REF!</v>
      </c>
      <c r="AQ667" s="24" t="e">
        <f>VLOOKUP(C667,#REF!,7,FALSE)</f>
        <v>#REF!</v>
      </c>
      <c r="AR667" s="24" t="e">
        <f>VLOOKUP(C667,#REF!,12,FALSE)</f>
        <v>#REF!</v>
      </c>
      <c r="AS667" s="24" t="e">
        <f>VLOOKUP(C667,#REF!,13,FALSE)</f>
        <v>#REF!</v>
      </c>
      <c r="AT667" s="100"/>
      <c r="AU667" s="100"/>
      <c r="AV667" s="100">
        <v>651</v>
      </c>
      <c r="AW667" s="100"/>
      <c r="AY667" s="128">
        <v>18600</v>
      </c>
    </row>
    <row r="668" spans="1:51" s="162" customFormat="1" ht="12.75" customHeight="1" x14ac:dyDescent="0.2">
      <c r="A668" s="7" t="s">
        <v>1479</v>
      </c>
      <c r="B668" s="8">
        <v>9789500213509</v>
      </c>
      <c r="C668" s="8">
        <v>703456</v>
      </c>
      <c r="D668" s="7">
        <v>36</v>
      </c>
      <c r="E668" s="6" t="s">
        <v>301</v>
      </c>
      <c r="F668" s="6" t="s">
        <v>1480</v>
      </c>
      <c r="G668" s="107">
        <v>44986</v>
      </c>
      <c r="H668" s="108">
        <v>44986</v>
      </c>
      <c r="I668" s="7">
        <v>2070</v>
      </c>
      <c r="J668" s="6" t="s">
        <v>1762</v>
      </c>
      <c r="K668" s="117">
        <v>505.43</v>
      </c>
      <c r="L668" s="128">
        <v>18600</v>
      </c>
      <c r="M668" s="9">
        <f t="shared" si="559"/>
        <v>1488</v>
      </c>
      <c r="N668" s="9">
        <f t="shared" si="540"/>
        <v>9300</v>
      </c>
      <c r="O668" s="9">
        <f t="shared" si="541"/>
        <v>7306.57</v>
      </c>
      <c r="P668" s="9">
        <f t="shared" si="542"/>
        <v>1993.43</v>
      </c>
      <c r="Q668" s="139">
        <f t="shared" si="543"/>
        <v>0.78565268817204303</v>
      </c>
      <c r="R668" s="345">
        <v>18600</v>
      </c>
      <c r="S668" s="359" t="s">
        <v>1948</v>
      </c>
      <c r="T668" s="305">
        <v>0.78565268817204303</v>
      </c>
      <c r="U668" s="144"/>
      <c r="V668" s="100"/>
      <c r="W668" s="110">
        <f t="shared" si="544"/>
        <v>18600</v>
      </c>
      <c r="X668" s="110">
        <f t="shared" si="545"/>
        <v>505.43</v>
      </c>
      <c r="Y668" s="110">
        <f t="shared" si="546"/>
        <v>1488</v>
      </c>
      <c r="Z668" s="110">
        <f t="shared" si="547"/>
        <v>7306.57</v>
      </c>
      <c r="AA668" s="260">
        <f t="shared" si="548"/>
        <v>0.78565268817204303</v>
      </c>
      <c r="AB668" s="28">
        <f t="shared" si="549"/>
        <v>6.1</v>
      </c>
      <c r="AC668" s="261">
        <f t="shared" si="550"/>
        <v>0.78450919665104613</v>
      </c>
      <c r="AD668" s="111">
        <f t="shared" si="551"/>
        <v>1.4</v>
      </c>
      <c r="AE668" s="262">
        <f t="shared" si="552"/>
        <v>6.1075785408129551E-2</v>
      </c>
      <c r="AF668" s="100"/>
      <c r="AG668" s="111">
        <f t="shared" si="553"/>
        <v>2.2000000000000002</v>
      </c>
      <c r="AH668" s="262">
        <f t="shared" si="554"/>
        <v>0.40250277253244621</v>
      </c>
      <c r="AI668" s="100"/>
      <c r="AJ668" s="111">
        <f t="shared" si="555"/>
        <v>2</v>
      </c>
      <c r="AK668" s="262">
        <f t="shared" si="556"/>
        <v>0.34275304978569077</v>
      </c>
      <c r="AL668" s="100"/>
      <c r="AM668" s="111">
        <f t="shared" si="557"/>
        <v>1.9</v>
      </c>
      <c r="AN668" s="262">
        <f t="shared" si="558"/>
        <v>0.30816110503756922</v>
      </c>
      <c r="AO668" s="100"/>
      <c r="AP668" s="24" t="e">
        <f>VLOOKUP(C668,#REF!,6,FALSE)</f>
        <v>#REF!</v>
      </c>
      <c r="AQ668" s="24" t="e">
        <f>VLOOKUP(C668,#REF!,7,FALSE)</f>
        <v>#REF!</v>
      </c>
      <c r="AR668" s="24" t="e">
        <f>VLOOKUP(C668,#REF!,12,FALSE)</f>
        <v>#REF!</v>
      </c>
      <c r="AS668" s="24" t="e">
        <f>VLOOKUP(C668,#REF!,13,FALSE)</f>
        <v>#REF!</v>
      </c>
      <c r="AT668" s="100"/>
      <c r="AU668" s="100"/>
      <c r="AV668" s="100">
        <v>652</v>
      </c>
      <c r="AW668" s="100"/>
      <c r="AY668" s="128">
        <v>18600</v>
      </c>
    </row>
    <row r="669" spans="1:51" s="2" customFormat="1" ht="12.75" customHeight="1" x14ac:dyDescent="0.2">
      <c r="A669" s="6" t="s">
        <v>1481</v>
      </c>
      <c r="B669" s="8">
        <v>9789500298667</v>
      </c>
      <c r="C669" s="8">
        <v>609578</v>
      </c>
      <c r="D669" s="7">
        <v>36</v>
      </c>
      <c r="E669" s="6" t="s">
        <v>301</v>
      </c>
      <c r="F669" s="6" t="s">
        <v>304</v>
      </c>
      <c r="G669" s="107">
        <v>42430</v>
      </c>
      <c r="H669" s="108">
        <v>42401</v>
      </c>
      <c r="I669" s="24">
        <v>3024</v>
      </c>
      <c r="J669" s="28" t="s">
        <v>1946</v>
      </c>
      <c r="K669" s="28">
        <v>35.43</v>
      </c>
      <c r="L669" s="128">
        <v>16700</v>
      </c>
      <c r="M669" s="9">
        <f t="shared" si="559"/>
        <v>1336</v>
      </c>
      <c r="N669" s="9">
        <f t="shared" si="540"/>
        <v>8350</v>
      </c>
      <c r="O669" s="9">
        <f t="shared" si="541"/>
        <v>6978.57</v>
      </c>
      <c r="P669" s="9">
        <f t="shared" si="542"/>
        <v>1371.43</v>
      </c>
      <c r="Q669" s="139">
        <f t="shared" si="543"/>
        <v>0.83575688622754485</v>
      </c>
      <c r="R669" s="345">
        <v>16700</v>
      </c>
      <c r="S669" s="359" t="s">
        <v>1948</v>
      </c>
      <c r="T669" s="305">
        <v>0.83575688622754485</v>
      </c>
      <c r="U669" s="144"/>
      <c r="V669" s="100"/>
      <c r="W669" s="110">
        <f t="shared" si="544"/>
        <v>16700</v>
      </c>
      <c r="X669" s="110">
        <f t="shared" si="545"/>
        <v>35.43</v>
      </c>
      <c r="Y669" s="110">
        <f t="shared" si="546"/>
        <v>1336</v>
      </c>
      <c r="Z669" s="110">
        <f t="shared" si="547"/>
        <v>6978.57</v>
      </c>
      <c r="AA669" s="260">
        <f t="shared" si="548"/>
        <v>0.83575688622754485</v>
      </c>
      <c r="AB669" s="28">
        <f t="shared" si="549"/>
        <v>5.5</v>
      </c>
      <c r="AC669" s="261">
        <f t="shared" si="550"/>
        <v>0.83557473848275032</v>
      </c>
      <c r="AD669" s="111">
        <f t="shared" si="551"/>
        <v>1</v>
      </c>
      <c r="AE669" s="262">
        <f t="shared" si="552"/>
        <v>9.5661061655126889E-2</v>
      </c>
      <c r="AF669" s="100"/>
      <c r="AG669" s="111">
        <f t="shared" si="553"/>
        <v>1.5</v>
      </c>
      <c r="AH669" s="262">
        <f t="shared" si="554"/>
        <v>0.39710737443675137</v>
      </c>
      <c r="AI669" s="100"/>
      <c r="AJ669" s="111">
        <f t="shared" si="555"/>
        <v>1.4</v>
      </c>
      <c r="AK669" s="262">
        <f t="shared" si="556"/>
        <v>0.35404361546794788</v>
      </c>
      <c r="AL669" s="100"/>
      <c r="AM669" s="111">
        <f t="shared" si="557"/>
        <v>1.3</v>
      </c>
      <c r="AN669" s="262">
        <f t="shared" si="558"/>
        <v>0.30435466281163609</v>
      </c>
      <c r="AO669" s="100"/>
      <c r="AP669" s="24" t="e">
        <f>VLOOKUP(C669,#REF!,6,FALSE)</f>
        <v>#REF!</v>
      </c>
      <c r="AQ669" s="24" t="e">
        <f>VLOOKUP(C669,#REF!,7,FALSE)</f>
        <v>#REF!</v>
      </c>
      <c r="AR669" s="24" t="e">
        <f>VLOOKUP(C669,#REF!,12,FALSE)</f>
        <v>#REF!</v>
      </c>
      <c r="AS669" s="24" t="e">
        <f>VLOOKUP(C669,#REF!,13,FALSE)</f>
        <v>#REF!</v>
      </c>
      <c r="AT669" s="100"/>
      <c r="AU669" s="100"/>
      <c r="AV669" s="100">
        <v>653</v>
      </c>
      <c r="AW669" s="100"/>
      <c r="AY669" s="128">
        <v>16700</v>
      </c>
    </row>
    <row r="670" spans="1:51" s="2" customFormat="1" ht="12.75" customHeight="1" x14ac:dyDescent="0.2">
      <c r="A670" s="6" t="s">
        <v>1482</v>
      </c>
      <c r="B670" s="8">
        <v>9789500298698</v>
      </c>
      <c r="C670" s="8">
        <v>609579</v>
      </c>
      <c r="D670" s="7">
        <v>36</v>
      </c>
      <c r="E670" s="6" t="s">
        <v>301</v>
      </c>
      <c r="F670" s="6" t="s">
        <v>305</v>
      </c>
      <c r="G670" s="107">
        <v>42430</v>
      </c>
      <c r="H670" s="108">
        <v>42401</v>
      </c>
      <c r="I670" s="24">
        <v>3006</v>
      </c>
      <c r="J670" s="28" t="s">
        <v>1946</v>
      </c>
      <c r="K670" s="28">
        <v>35.51</v>
      </c>
      <c r="L670" s="128">
        <v>16700</v>
      </c>
      <c r="M670" s="9">
        <f t="shared" si="559"/>
        <v>1336</v>
      </c>
      <c r="N670" s="9">
        <f t="shared" si="540"/>
        <v>8350</v>
      </c>
      <c r="O670" s="9">
        <f t="shared" si="541"/>
        <v>6978.49</v>
      </c>
      <c r="P670" s="9">
        <f t="shared" si="542"/>
        <v>1371.51</v>
      </c>
      <c r="Q670" s="139">
        <f t="shared" si="543"/>
        <v>0.83574730538922148</v>
      </c>
      <c r="R670" s="345">
        <v>16700</v>
      </c>
      <c r="S670" s="359" t="s">
        <v>1948</v>
      </c>
      <c r="T670" s="305">
        <v>0.83574730538922148</v>
      </c>
      <c r="U670" s="144"/>
      <c r="V670" s="100"/>
      <c r="W670" s="110">
        <f t="shared" si="544"/>
        <v>16700</v>
      </c>
      <c r="X670" s="110">
        <f t="shared" si="545"/>
        <v>35.51</v>
      </c>
      <c r="Y670" s="110">
        <f t="shared" si="546"/>
        <v>1336</v>
      </c>
      <c r="Z670" s="110">
        <f t="shared" si="547"/>
        <v>6978.49</v>
      </c>
      <c r="AA670" s="260">
        <f t="shared" si="548"/>
        <v>0.83574730538922148</v>
      </c>
      <c r="AB670" s="28">
        <f t="shared" si="549"/>
        <v>5.5</v>
      </c>
      <c r="AC670" s="261">
        <f t="shared" si="550"/>
        <v>0.83556514701915297</v>
      </c>
      <c r="AD670" s="111">
        <f t="shared" si="551"/>
        <v>1</v>
      </c>
      <c r="AE670" s="262">
        <f t="shared" si="552"/>
        <v>9.5608308605341252E-2</v>
      </c>
      <c r="AF670" s="100"/>
      <c r="AG670" s="111">
        <f t="shared" si="553"/>
        <v>1.5</v>
      </c>
      <c r="AH670" s="262">
        <f t="shared" si="554"/>
        <v>0.39707220573689406</v>
      </c>
      <c r="AI670" s="100"/>
      <c r="AJ670" s="111">
        <f t="shared" si="555"/>
        <v>1.4</v>
      </c>
      <c r="AK670" s="262">
        <f t="shared" si="556"/>
        <v>0.35400593471810077</v>
      </c>
      <c r="AL670" s="100"/>
      <c r="AM670" s="111">
        <f t="shared" si="557"/>
        <v>1.3</v>
      </c>
      <c r="AN670" s="262">
        <f t="shared" si="558"/>
        <v>0.30431408354257022</v>
      </c>
      <c r="AO670" s="100"/>
      <c r="AP670" s="24" t="e">
        <f>VLOOKUP(C670,#REF!,6,FALSE)</f>
        <v>#REF!</v>
      </c>
      <c r="AQ670" s="24" t="e">
        <f>VLOOKUP(C670,#REF!,7,FALSE)</f>
        <v>#REF!</v>
      </c>
      <c r="AR670" s="24" t="e">
        <f>VLOOKUP(C670,#REF!,12,FALSE)</f>
        <v>#REF!</v>
      </c>
      <c r="AS670" s="24" t="e">
        <f>VLOOKUP(C670,#REF!,13,FALSE)</f>
        <v>#REF!</v>
      </c>
      <c r="AT670" s="100">
        <v>28</v>
      </c>
      <c r="AU670" s="100"/>
      <c r="AV670" s="100">
        <v>654</v>
      </c>
      <c r="AW670" s="100"/>
      <c r="AY670" s="128">
        <v>16700</v>
      </c>
    </row>
    <row r="671" spans="1:51" s="2" customFormat="1" ht="12.75" customHeight="1" x14ac:dyDescent="0.2">
      <c r="A671" s="6" t="s">
        <v>1483</v>
      </c>
      <c r="B671" s="8">
        <v>9789500298681</v>
      </c>
      <c r="C671" s="8">
        <v>609580</v>
      </c>
      <c r="D671" s="7">
        <v>36</v>
      </c>
      <c r="E671" s="6" t="s">
        <v>301</v>
      </c>
      <c r="F671" s="6" t="s">
        <v>303</v>
      </c>
      <c r="G671" s="107">
        <v>42430</v>
      </c>
      <c r="H671" s="108">
        <v>42401</v>
      </c>
      <c r="I671" s="24">
        <v>3042</v>
      </c>
      <c r="J671" s="6" t="s">
        <v>1762</v>
      </c>
      <c r="K671" s="28">
        <v>35.340000000000003</v>
      </c>
      <c r="L671" s="128">
        <v>18900</v>
      </c>
      <c r="M671" s="9">
        <f t="shared" si="559"/>
        <v>1512</v>
      </c>
      <c r="N671" s="9">
        <f t="shared" si="540"/>
        <v>9450</v>
      </c>
      <c r="O671" s="9">
        <f t="shared" si="541"/>
        <v>7902.66</v>
      </c>
      <c r="P671" s="9">
        <f t="shared" si="542"/>
        <v>1547.34</v>
      </c>
      <c r="Q671" s="139">
        <f t="shared" si="543"/>
        <v>0.83626031746031748</v>
      </c>
      <c r="R671" s="345">
        <v>18900</v>
      </c>
      <c r="S671" s="359" t="s">
        <v>1948</v>
      </c>
      <c r="T671" s="305">
        <v>0.83626031746031748</v>
      </c>
      <c r="U671" s="144"/>
      <c r="V671" s="100"/>
      <c r="W671" s="110">
        <f t="shared" si="544"/>
        <v>18900</v>
      </c>
      <c r="X671" s="110">
        <f t="shared" si="545"/>
        <v>35.340000000000003</v>
      </c>
      <c r="Y671" s="110">
        <f t="shared" si="546"/>
        <v>1512</v>
      </c>
      <c r="Z671" s="110">
        <f t="shared" si="547"/>
        <v>7902.66</v>
      </c>
      <c r="AA671" s="260">
        <f t="shared" si="548"/>
        <v>0.83626031746031748</v>
      </c>
      <c r="AB671" s="28">
        <f t="shared" si="549"/>
        <v>6.2</v>
      </c>
      <c r="AC671" s="261">
        <f t="shared" si="550"/>
        <v>0.83542962892058326</v>
      </c>
      <c r="AD671" s="111">
        <f t="shared" si="551"/>
        <v>1.1000000000000001</v>
      </c>
      <c r="AE671" s="262">
        <f t="shared" si="552"/>
        <v>7.2421544825105752E-2</v>
      </c>
      <c r="AF671" s="100"/>
      <c r="AG671" s="111">
        <f t="shared" si="553"/>
        <v>1.7</v>
      </c>
      <c r="AH671" s="262">
        <f t="shared" si="554"/>
        <v>0.39980217606330354</v>
      </c>
      <c r="AI671" s="100"/>
      <c r="AJ671" s="111">
        <f t="shared" si="555"/>
        <v>1.6</v>
      </c>
      <c r="AK671" s="262">
        <f t="shared" si="556"/>
        <v>0.36228981206726008</v>
      </c>
      <c r="AL671" s="100"/>
      <c r="AM671" s="111">
        <f t="shared" si="557"/>
        <v>1.5</v>
      </c>
      <c r="AN671" s="262">
        <f t="shared" si="558"/>
        <v>0.31977579953841073</v>
      </c>
      <c r="AO671" s="100"/>
      <c r="AP671" s="24" t="e">
        <f>VLOOKUP(C671,#REF!,6,FALSE)</f>
        <v>#REF!</v>
      </c>
      <c r="AQ671" s="24" t="e">
        <f>VLOOKUP(C671,#REF!,7,FALSE)</f>
        <v>#REF!</v>
      </c>
      <c r="AR671" s="24" t="e">
        <f>VLOOKUP(C671,#REF!,12,FALSE)</f>
        <v>#REF!</v>
      </c>
      <c r="AS671" s="24" t="e">
        <f>VLOOKUP(C671,#REF!,13,FALSE)</f>
        <v>#REF!</v>
      </c>
      <c r="AT671" s="100"/>
      <c r="AU671" s="100"/>
      <c r="AV671" s="100">
        <v>655</v>
      </c>
      <c r="AW671" s="100"/>
      <c r="AY671" s="128">
        <v>18900</v>
      </c>
    </row>
    <row r="672" spans="1:51" s="2" customFormat="1" ht="12.75" customHeight="1" x14ac:dyDescent="0.2">
      <c r="A672" s="6" t="s">
        <v>1484</v>
      </c>
      <c r="B672" s="8">
        <v>9789500298674</v>
      </c>
      <c r="C672" s="8">
        <v>609581</v>
      </c>
      <c r="D672" s="7">
        <v>36</v>
      </c>
      <c r="E672" s="6" t="s">
        <v>301</v>
      </c>
      <c r="F672" s="6" t="s">
        <v>302</v>
      </c>
      <c r="G672" s="107">
        <v>42430</v>
      </c>
      <c r="H672" s="108">
        <v>42401</v>
      </c>
      <c r="I672" s="24">
        <v>3042</v>
      </c>
      <c r="J672" s="6" t="s">
        <v>1762</v>
      </c>
      <c r="K672" s="28">
        <v>35.340000000000003</v>
      </c>
      <c r="L672" s="128">
        <v>18900</v>
      </c>
      <c r="M672" s="9">
        <f t="shared" si="559"/>
        <v>1512</v>
      </c>
      <c r="N672" s="9">
        <f t="shared" si="540"/>
        <v>9450</v>
      </c>
      <c r="O672" s="9">
        <f t="shared" si="541"/>
        <v>7902.66</v>
      </c>
      <c r="P672" s="9">
        <f t="shared" si="542"/>
        <v>1547.34</v>
      </c>
      <c r="Q672" s="139">
        <f t="shared" si="543"/>
        <v>0.83626031746031748</v>
      </c>
      <c r="R672" s="345">
        <v>18900</v>
      </c>
      <c r="S672" s="359" t="s">
        <v>1948</v>
      </c>
      <c r="T672" s="305">
        <v>0.83626031746031748</v>
      </c>
      <c r="U672" s="144"/>
      <c r="V672" s="100"/>
      <c r="W672" s="110">
        <f t="shared" si="544"/>
        <v>18900</v>
      </c>
      <c r="X672" s="110">
        <f t="shared" si="545"/>
        <v>35.340000000000003</v>
      </c>
      <c r="Y672" s="110">
        <f t="shared" si="546"/>
        <v>1512</v>
      </c>
      <c r="Z672" s="110">
        <f t="shared" si="547"/>
        <v>7902.66</v>
      </c>
      <c r="AA672" s="260">
        <f t="shared" si="548"/>
        <v>0.83626031746031748</v>
      </c>
      <c r="AB672" s="28">
        <f t="shared" si="549"/>
        <v>6.2</v>
      </c>
      <c r="AC672" s="261">
        <f t="shared" si="550"/>
        <v>0.83542962892058326</v>
      </c>
      <c r="AD672" s="111">
        <f t="shared" si="551"/>
        <v>1.1000000000000001</v>
      </c>
      <c r="AE672" s="262">
        <f t="shared" si="552"/>
        <v>7.2421544825105752E-2</v>
      </c>
      <c r="AF672" s="100"/>
      <c r="AG672" s="111">
        <f t="shared" si="553"/>
        <v>1.7</v>
      </c>
      <c r="AH672" s="262">
        <f t="shared" si="554"/>
        <v>0.39980217606330354</v>
      </c>
      <c r="AI672" s="100"/>
      <c r="AJ672" s="111">
        <f t="shared" si="555"/>
        <v>1.6</v>
      </c>
      <c r="AK672" s="262">
        <f t="shared" si="556"/>
        <v>0.36228981206726008</v>
      </c>
      <c r="AL672" s="100"/>
      <c r="AM672" s="111">
        <f t="shared" si="557"/>
        <v>1.5</v>
      </c>
      <c r="AN672" s="262">
        <f t="shared" si="558"/>
        <v>0.31977579953841073</v>
      </c>
      <c r="AO672" s="100"/>
      <c r="AP672" s="24" t="e">
        <f>VLOOKUP(C672,#REF!,6,FALSE)</f>
        <v>#REF!</v>
      </c>
      <c r="AQ672" s="24" t="e">
        <f>VLOOKUP(C672,#REF!,7,FALSE)</f>
        <v>#REF!</v>
      </c>
      <c r="AR672" s="24" t="e">
        <f>VLOOKUP(C672,#REF!,12,FALSE)</f>
        <v>#REF!</v>
      </c>
      <c r="AS672" s="24" t="e">
        <f>VLOOKUP(C672,#REF!,13,FALSE)</f>
        <v>#REF!</v>
      </c>
      <c r="AT672" s="100"/>
      <c r="AU672" s="100"/>
      <c r="AV672" s="100">
        <v>656</v>
      </c>
      <c r="AW672" s="100"/>
      <c r="AY672" s="128">
        <v>18900</v>
      </c>
    </row>
    <row r="673" spans="1:51" s="2" customFormat="1" ht="12.75" customHeight="1" x14ac:dyDescent="0.25">
      <c r="A673" s="1"/>
      <c r="B673" s="3"/>
      <c r="C673" s="3"/>
      <c r="E673" s="274"/>
      <c r="F673" s="275"/>
      <c r="H673" s="132"/>
      <c r="I673" s="132"/>
      <c r="J673" s="134"/>
      <c r="K673" s="132"/>
      <c r="L673" s="134"/>
      <c r="M673" s="132"/>
      <c r="N673" s="132"/>
      <c r="O673" s="132"/>
      <c r="P673" s="132"/>
      <c r="Q673" s="147"/>
      <c r="R673" s="371"/>
      <c r="S673" s="360"/>
      <c r="T673" s="307"/>
      <c r="U673" s="135"/>
      <c r="V673" s="100"/>
      <c r="W673"/>
      <c r="X673"/>
      <c r="Y673"/>
      <c r="Z673"/>
      <c r="AA673"/>
      <c r="AB673"/>
      <c r="AC673"/>
      <c r="AD673" s="263"/>
      <c r="AE673"/>
      <c r="AF673" s="100"/>
      <c r="AG673" s="263"/>
      <c r="AH673"/>
      <c r="AI673" s="100"/>
      <c r="AJ673" s="263"/>
      <c r="AK673"/>
      <c r="AL673" s="100"/>
      <c r="AM673" s="263"/>
      <c r="AN673"/>
      <c r="AO673" s="100"/>
      <c r="AP673" s="100"/>
      <c r="AQ673" s="100"/>
      <c r="AR673" s="100"/>
      <c r="AS673" s="100"/>
      <c r="AT673" s="100"/>
      <c r="AU673" s="100"/>
      <c r="AV673" s="100">
        <v>657</v>
      </c>
      <c r="AW673" s="100"/>
      <c r="AY673" s="134"/>
    </row>
    <row r="674" spans="1:51" s="2" customFormat="1" ht="12.75" customHeight="1" x14ac:dyDescent="0.25">
      <c r="A674" s="202" t="s">
        <v>669</v>
      </c>
      <c r="B674" s="203"/>
      <c r="C674" s="203"/>
      <c r="D674" s="204"/>
      <c r="E674" s="205"/>
      <c r="F674" s="162"/>
      <c r="G674" s="162"/>
      <c r="H674" s="132"/>
      <c r="I674" s="132"/>
      <c r="J674" s="134"/>
      <c r="K674" s="132"/>
      <c r="L674" s="134"/>
      <c r="M674" s="132"/>
      <c r="N674" s="132"/>
      <c r="O674" s="132"/>
      <c r="P674" s="132"/>
      <c r="Q674" s="147"/>
      <c r="R674" s="371"/>
      <c r="S674" s="360"/>
      <c r="T674" s="307"/>
      <c r="U674" s="135"/>
      <c r="V674" s="100"/>
      <c r="W674"/>
      <c r="X674"/>
      <c r="Y674"/>
      <c r="Z674"/>
      <c r="AA674"/>
      <c r="AB674"/>
      <c r="AC674"/>
      <c r="AD674" s="263"/>
      <c r="AE674"/>
      <c r="AF674" s="100"/>
      <c r="AG674" s="263"/>
      <c r="AH674"/>
      <c r="AI674" s="100"/>
      <c r="AJ674" s="263"/>
      <c r="AK674"/>
      <c r="AL674" s="100"/>
      <c r="AM674" s="263"/>
      <c r="AN674"/>
      <c r="AO674" s="100"/>
      <c r="AP674" s="100"/>
      <c r="AQ674" s="100"/>
      <c r="AR674" s="100"/>
      <c r="AS674" s="100"/>
      <c r="AT674" s="100"/>
      <c r="AU674" s="100"/>
      <c r="AV674" s="100">
        <v>658</v>
      </c>
      <c r="AW674" s="100"/>
      <c r="AY674" s="134"/>
    </row>
    <row r="675" spans="1:51" s="2" customFormat="1" ht="12.75" customHeight="1" x14ac:dyDescent="0.2">
      <c r="A675" s="6" t="s">
        <v>1485</v>
      </c>
      <c r="B675" s="8">
        <v>9789500209441</v>
      </c>
      <c r="C675" s="6">
        <v>655165</v>
      </c>
      <c r="D675" s="7">
        <v>40</v>
      </c>
      <c r="E675" s="8" t="s">
        <v>409</v>
      </c>
      <c r="F675" s="7" t="s">
        <v>410</v>
      </c>
      <c r="G675" s="107">
        <v>43374</v>
      </c>
      <c r="H675" s="108">
        <v>43313</v>
      </c>
      <c r="I675" s="24">
        <v>3060</v>
      </c>
      <c r="J675" s="28" t="s">
        <v>1946</v>
      </c>
      <c r="K675" s="28">
        <v>81.97</v>
      </c>
      <c r="L675" s="128">
        <v>14300</v>
      </c>
      <c r="M675" s="112"/>
      <c r="N675" s="9">
        <f t="shared" ref="N675:N681" si="560">+L675/2</f>
        <v>7150</v>
      </c>
      <c r="O675" s="9">
        <f t="shared" ref="O675:O681" si="561">+N675-M675-K675</f>
        <v>7068.03</v>
      </c>
      <c r="P675" s="9">
        <f t="shared" ref="P675:P681" si="562">+M675+K675</f>
        <v>81.97</v>
      </c>
      <c r="Q675" s="139">
        <f t="shared" ref="Q675:Q681" si="563">+O675/N675</f>
        <v>0.98853566433566431</v>
      </c>
      <c r="R675" s="345">
        <v>14300</v>
      </c>
      <c r="S675" s="359" t="s">
        <v>1948</v>
      </c>
      <c r="T675" s="305">
        <v>0.98853566433566431</v>
      </c>
      <c r="U675" s="144"/>
      <c r="V675" s="100"/>
      <c r="W675" s="110">
        <f t="shared" ref="W675:W681" si="564">+L675</f>
        <v>14300</v>
      </c>
      <c r="X675" s="110">
        <f t="shared" ref="X675:X681" si="565">+K675</f>
        <v>81.97</v>
      </c>
      <c r="Y675" s="110">
        <f t="shared" ref="Y675:Y681" si="566">+M675</f>
        <v>0</v>
      </c>
      <c r="Z675" s="110">
        <f t="shared" ref="Z675:Z681" si="567">+W675/2-X675-Y675</f>
        <v>7068.03</v>
      </c>
      <c r="AA675" s="260">
        <f t="shared" ref="AA675:AA681" si="568">+Z675/(W675/2)</f>
        <v>0.98853566433566431</v>
      </c>
      <c r="AB675" s="28">
        <f t="shared" ref="AB675:AB681" si="569">ROUND($W675/2/$X$1,1)</f>
        <v>4.7</v>
      </c>
      <c r="AC675" s="261">
        <f t="shared" ref="AC675:AC681" si="570">+(AB675*$X$1-$X675-$Y675)/(AB675*$X$1)</f>
        <v>0.98849955454539074</v>
      </c>
      <c r="AD675" s="111">
        <f t="shared" ref="AD675:AD681" si="571">+IFERROR(ROUND(($X675+$Y675)/(1-$X$2)/$X$1,1),0)</f>
        <v>0.1</v>
      </c>
      <c r="AE675" s="262">
        <f t="shared" ref="AE675:AE681" si="572">+(AD675*$X$1-$X675-$Y675)/(AD675*$X$1)</f>
        <v>0.45947906363336632</v>
      </c>
      <c r="AF675" s="100"/>
      <c r="AG675" s="111">
        <f t="shared" ref="AG675:AG681" si="573">+IFERROR(ROUND(($X675+$Y675)/(1-$AG$2)/$X$1,1),0)</f>
        <v>0.1</v>
      </c>
      <c r="AH675" s="262">
        <f t="shared" ref="AH675:AH681" si="574">+(AG675*$X$1-$X675-$Y675)/(AG675*$X$1)</f>
        <v>0.45947906363336632</v>
      </c>
      <c r="AI675" s="100"/>
      <c r="AJ675" s="111">
        <f t="shared" ref="AJ675:AJ681" si="575">+IFERROR(ROUND(($X675+$Y675)/(1-$AJ$2)/$X$1,1),0)</f>
        <v>0.1</v>
      </c>
      <c r="AK675" s="262">
        <f t="shared" ref="AK675:AK681" si="576">+(AJ675*$X$1-$X675-$Y675)/(AJ675*$X$1)</f>
        <v>0.45947906363336632</v>
      </c>
      <c r="AL675" s="100"/>
      <c r="AM675" s="111">
        <f t="shared" ref="AM675:AM681" si="577">+IFERROR(ROUND(($X675+$Y675)/(1-$AM$2)/$X$1,1),0)</f>
        <v>0.1</v>
      </c>
      <c r="AN675" s="262">
        <f t="shared" ref="AN675:AN681" si="578">+(AM675*$X$1-$X675-$Y675)/(AM675*$X$1)</f>
        <v>0.45947906363336632</v>
      </c>
      <c r="AO675" s="100"/>
      <c r="AP675" s="24" t="e">
        <f>VLOOKUP(C675,#REF!,6,FALSE)</f>
        <v>#REF!</v>
      </c>
      <c r="AQ675" s="24" t="e">
        <f>VLOOKUP(C675,#REF!,7,FALSE)</f>
        <v>#REF!</v>
      </c>
      <c r="AR675" s="24" t="e">
        <f>VLOOKUP(C675,#REF!,12,FALSE)</f>
        <v>#REF!</v>
      </c>
      <c r="AS675" s="24" t="e">
        <f>VLOOKUP(C675,#REF!,13,FALSE)</f>
        <v>#REF!</v>
      </c>
      <c r="AT675" s="100"/>
      <c r="AU675" s="100"/>
      <c r="AV675" s="100">
        <v>659</v>
      </c>
      <c r="AW675" s="100"/>
      <c r="AY675" s="128">
        <v>14300</v>
      </c>
    </row>
    <row r="676" spans="1:51" s="2" customFormat="1" ht="12.75" customHeight="1" x14ac:dyDescent="0.2">
      <c r="A676" s="6" t="s">
        <v>1486</v>
      </c>
      <c r="B676" s="8">
        <v>9789500209588</v>
      </c>
      <c r="C676" s="6">
        <v>655164</v>
      </c>
      <c r="D676" s="7">
        <v>40</v>
      </c>
      <c r="E676" s="8" t="s">
        <v>409</v>
      </c>
      <c r="F676" s="7" t="s">
        <v>604</v>
      </c>
      <c r="G676" s="107">
        <v>43497</v>
      </c>
      <c r="H676" s="108">
        <v>43313</v>
      </c>
      <c r="I676" s="24">
        <v>3060</v>
      </c>
      <c r="J676" s="28" t="s">
        <v>1946</v>
      </c>
      <c r="K676" s="28">
        <v>82.621003267973805</v>
      </c>
      <c r="L676" s="128">
        <v>14300</v>
      </c>
      <c r="M676" s="112"/>
      <c r="N676" s="9">
        <f t="shared" si="560"/>
        <v>7150</v>
      </c>
      <c r="O676" s="9">
        <f t="shared" si="561"/>
        <v>7067.3789967320263</v>
      </c>
      <c r="P676" s="9">
        <f t="shared" si="562"/>
        <v>82.621003267973805</v>
      </c>
      <c r="Q676" s="139">
        <f t="shared" si="563"/>
        <v>0.98844461492755609</v>
      </c>
      <c r="R676" s="345">
        <v>14300</v>
      </c>
      <c r="S676" s="359" t="s">
        <v>1948</v>
      </c>
      <c r="T676" s="305">
        <v>0.98844461492755609</v>
      </c>
      <c r="U676" s="144"/>
      <c r="V676" s="100"/>
      <c r="W676" s="110">
        <f t="shared" si="564"/>
        <v>14300</v>
      </c>
      <c r="X676" s="110">
        <f t="shared" si="565"/>
        <v>82.621003267973805</v>
      </c>
      <c r="Y676" s="110">
        <f t="shared" si="566"/>
        <v>0</v>
      </c>
      <c r="Z676" s="110">
        <f t="shared" si="567"/>
        <v>7067.3789967320263</v>
      </c>
      <c r="AA676" s="260">
        <f t="shared" si="568"/>
        <v>0.98844461492755609</v>
      </c>
      <c r="AB676" s="28">
        <f t="shared" si="569"/>
        <v>4.7</v>
      </c>
      <c r="AC676" s="261">
        <f t="shared" si="570"/>
        <v>0.98840821835441717</v>
      </c>
      <c r="AD676" s="111">
        <f t="shared" si="571"/>
        <v>0.1</v>
      </c>
      <c r="AE676" s="262">
        <f t="shared" si="572"/>
        <v>0.45518626265760764</v>
      </c>
      <c r="AF676" s="100"/>
      <c r="AG676" s="111">
        <f t="shared" si="573"/>
        <v>0.1</v>
      </c>
      <c r="AH676" s="262">
        <f t="shared" si="574"/>
        <v>0.45518626265760764</v>
      </c>
      <c r="AI676" s="100"/>
      <c r="AJ676" s="111">
        <f t="shared" si="575"/>
        <v>0.1</v>
      </c>
      <c r="AK676" s="262">
        <f t="shared" si="576"/>
        <v>0.45518626265760764</v>
      </c>
      <c r="AL676" s="100"/>
      <c r="AM676" s="111">
        <f t="shared" si="577"/>
        <v>0.1</v>
      </c>
      <c r="AN676" s="262">
        <f t="shared" si="578"/>
        <v>0.45518626265760764</v>
      </c>
      <c r="AO676" s="100"/>
      <c r="AP676" s="24" t="e">
        <f>VLOOKUP(C676,#REF!,6,FALSE)</f>
        <v>#REF!</v>
      </c>
      <c r="AQ676" s="24" t="e">
        <f>VLOOKUP(C676,#REF!,7,FALSE)</f>
        <v>#REF!</v>
      </c>
      <c r="AR676" s="24" t="e">
        <f>VLOOKUP(C676,#REF!,12,FALSE)</f>
        <v>#REF!</v>
      </c>
      <c r="AS676" s="24" t="e">
        <f>VLOOKUP(C676,#REF!,13,FALSE)</f>
        <v>#REF!</v>
      </c>
      <c r="AT676" s="100"/>
      <c r="AU676" s="100"/>
      <c r="AV676" s="100">
        <v>660</v>
      </c>
      <c r="AW676" s="100"/>
      <c r="AY676" s="128">
        <v>14300</v>
      </c>
    </row>
    <row r="677" spans="1:51" s="2" customFormat="1" ht="12.75" customHeight="1" x14ac:dyDescent="0.2">
      <c r="A677" s="6" t="s">
        <v>1487</v>
      </c>
      <c r="B677" s="8">
        <v>9789500299558</v>
      </c>
      <c r="C677" s="6">
        <v>632045</v>
      </c>
      <c r="D677" s="7">
        <v>32</v>
      </c>
      <c r="E677" s="7" t="s">
        <v>239</v>
      </c>
      <c r="F677" s="11" t="s">
        <v>241</v>
      </c>
      <c r="G677" s="107">
        <v>42917</v>
      </c>
      <c r="H677" s="108">
        <v>44621</v>
      </c>
      <c r="I677" s="24">
        <v>3000</v>
      </c>
      <c r="J677" s="6" t="s">
        <v>1762</v>
      </c>
      <c r="K677" s="9">
        <v>367.05</v>
      </c>
      <c r="L677" s="128">
        <v>21900</v>
      </c>
      <c r="M677" s="112"/>
      <c r="N677" s="9">
        <f t="shared" si="560"/>
        <v>10950</v>
      </c>
      <c r="O677" s="9">
        <f t="shared" si="561"/>
        <v>10582.95</v>
      </c>
      <c r="P677" s="9">
        <f t="shared" si="562"/>
        <v>367.05</v>
      </c>
      <c r="Q677" s="139">
        <f t="shared" si="563"/>
        <v>0.96647945205479457</v>
      </c>
      <c r="R677" s="345">
        <v>21900</v>
      </c>
      <c r="S677" s="359" t="s">
        <v>1948</v>
      </c>
      <c r="T677" s="305">
        <v>0.96647945205479457</v>
      </c>
      <c r="U677" s="144"/>
      <c r="V677" s="100"/>
      <c r="W677" s="110">
        <f t="shared" si="564"/>
        <v>21900</v>
      </c>
      <c r="X677" s="110">
        <f t="shared" si="565"/>
        <v>367.05</v>
      </c>
      <c r="Y677" s="110">
        <f t="shared" si="566"/>
        <v>0</v>
      </c>
      <c r="Z677" s="110">
        <f t="shared" si="567"/>
        <v>10582.95</v>
      </c>
      <c r="AA677" s="260">
        <f t="shared" si="568"/>
        <v>0.96647945205479457</v>
      </c>
      <c r="AB677" s="28">
        <f t="shared" si="569"/>
        <v>7.2</v>
      </c>
      <c r="AC677" s="261">
        <f t="shared" si="570"/>
        <v>0.9663836685350039</v>
      </c>
      <c r="AD677" s="111">
        <f t="shared" si="571"/>
        <v>0.3</v>
      </c>
      <c r="AE677" s="262">
        <f t="shared" si="572"/>
        <v>0.19320804484009227</v>
      </c>
      <c r="AF677" s="100"/>
      <c r="AG677" s="111">
        <f t="shared" si="573"/>
        <v>0.4</v>
      </c>
      <c r="AH677" s="262">
        <f t="shared" si="574"/>
        <v>0.39490603363006926</v>
      </c>
      <c r="AI677" s="100"/>
      <c r="AJ677" s="111">
        <f t="shared" si="575"/>
        <v>0.4</v>
      </c>
      <c r="AK677" s="262">
        <f t="shared" si="576"/>
        <v>0.39490603363006926</v>
      </c>
      <c r="AL677" s="100"/>
      <c r="AM677" s="111">
        <f t="shared" si="577"/>
        <v>0.3</v>
      </c>
      <c r="AN677" s="262">
        <f t="shared" si="578"/>
        <v>0.19320804484009227</v>
      </c>
      <c r="AO677" s="100"/>
      <c r="AP677" s="24" t="e">
        <f>VLOOKUP(C677,#REF!,6,FALSE)</f>
        <v>#REF!</v>
      </c>
      <c r="AQ677" s="24" t="e">
        <f>VLOOKUP(C677,#REF!,7,FALSE)</f>
        <v>#REF!</v>
      </c>
      <c r="AR677" s="24" t="e">
        <f>VLOOKUP(C677,#REF!,12,FALSE)</f>
        <v>#REF!</v>
      </c>
      <c r="AS677" s="24" t="e">
        <f>VLOOKUP(C677,#REF!,13,FALSE)</f>
        <v>#REF!</v>
      </c>
      <c r="AT677" s="100"/>
      <c r="AU677" s="100"/>
      <c r="AV677" s="100">
        <v>661</v>
      </c>
      <c r="AW677" s="100"/>
      <c r="AY677" s="128">
        <v>21900</v>
      </c>
    </row>
    <row r="678" spans="1:51" s="162" customFormat="1" ht="12.75" customHeight="1" x14ac:dyDescent="0.2">
      <c r="A678" s="6" t="s">
        <v>1488</v>
      </c>
      <c r="B678" s="8">
        <v>9789500299572</v>
      </c>
      <c r="C678" s="6">
        <v>632046</v>
      </c>
      <c r="D678" s="7">
        <v>32</v>
      </c>
      <c r="E678" s="7" t="s">
        <v>239</v>
      </c>
      <c r="F678" s="11" t="s">
        <v>240</v>
      </c>
      <c r="G678" s="107">
        <v>42948</v>
      </c>
      <c r="H678" s="108">
        <v>44621</v>
      </c>
      <c r="I678" s="24">
        <v>3000</v>
      </c>
      <c r="J678" s="6" t="s">
        <v>1762</v>
      </c>
      <c r="K678" s="9">
        <v>367.05</v>
      </c>
      <c r="L678" s="128">
        <v>21900</v>
      </c>
      <c r="M678" s="112"/>
      <c r="N678" s="9">
        <f t="shared" si="560"/>
        <v>10950</v>
      </c>
      <c r="O678" s="9">
        <f t="shared" si="561"/>
        <v>10582.95</v>
      </c>
      <c r="P678" s="9">
        <f t="shared" si="562"/>
        <v>367.05</v>
      </c>
      <c r="Q678" s="139">
        <f t="shared" si="563"/>
        <v>0.96647945205479457</v>
      </c>
      <c r="R678" s="345">
        <v>21900</v>
      </c>
      <c r="S678" s="359" t="s">
        <v>1948</v>
      </c>
      <c r="T678" s="305">
        <v>0.96647945205479457</v>
      </c>
      <c r="U678" s="144"/>
      <c r="V678" s="100"/>
      <c r="W678" s="110">
        <f t="shared" si="564"/>
        <v>21900</v>
      </c>
      <c r="X678" s="110">
        <f t="shared" si="565"/>
        <v>367.05</v>
      </c>
      <c r="Y678" s="110">
        <f t="shared" si="566"/>
        <v>0</v>
      </c>
      <c r="Z678" s="110">
        <f t="shared" si="567"/>
        <v>10582.95</v>
      </c>
      <c r="AA678" s="260">
        <f t="shared" si="568"/>
        <v>0.96647945205479457</v>
      </c>
      <c r="AB678" s="28">
        <f t="shared" si="569"/>
        <v>7.2</v>
      </c>
      <c r="AC678" s="261">
        <f t="shared" si="570"/>
        <v>0.9663836685350039</v>
      </c>
      <c r="AD678" s="111">
        <f t="shared" si="571"/>
        <v>0.3</v>
      </c>
      <c r="AE678" s="262">
        <f t="shared" si="572"/>
        <v>0.19320804484009227</v>
      </c>
      <c r="AF678" s="100"/>
      <c r="AG678" s="111">
        <f t="shared" si="573"/>
        <v>0.4</v>
      </c>
      <c r="AH678" s="262">
        <f t="shared" si="574"/>
        <v>0.39490603363006926</v>
      </c>
      <c r="AI678" s="100"/>
      <c r="AJ678" s="111">
        <f t="shared" si="575"/>
        <v>0.4</v>
      </c>
      <c r="AK678" s="262">
        <f t="shared" si="576"/>
        <v>0.39490603363006926</v>
      </c>
      <c r="AL678" s="100"/>
      <c r="AM678" s="111">
        <f t="shared" si="577"/>
        <v>0.3</v>
      </c>
      <c r="AN678" s="262">
        <f t="shared" si="578"/>
        <v>0.19320804484009227</v>
      </c>
      <c r="AO678" s="100"/>
      <c r="AP678" s="24" t="e">
        <f>VLOOKUP(C678,#REF!,6,FALSE)</f>
        <v>#REF!</v>
      </c>
      <c r="AQ678" s="24" t="e">
        <f>VLOOKUP(C678,#REF!,7,FALSE)</f>
        <v>#REF!</v>
      </c>
      <c r="AR678" s="24" t="e">
        <f>VLOOKUP(C678,#REF!,12,FALSE)</f>
        <v>#REF!</v>
      </c>
      <c r="AS678" s="24" t="e">
        <f>VLOOKUP(C678,#REF!,13,FALSE)</f>
        <v>#REF!</v>
      </c>
      <c r="AT678" s="100"/>
      <c r="AU678" s="100"/>
      <c r="AV678" s="100">
        <v>662</v>
      </c>
      <c r="AW678" s="100"/>
      <c r="AY678" s="128">
        <v>21900</v>
      </c>
    </row>
    <row r="679" spans="1:51" s="2" customFormat="1" ht="12.75" customHeight="1" x14ac:dyDescent="0.2">
      <c r="A679" s="6" t="s">
        <v>1489</v>
      </c>
      <c r="B679" s="8">
        <v>9789500298735</v>
      </c>
      <c r="C679" s="8">
        <v>614605</v>
      </c>
      <c r="D679" s="7">
        <v>48</v>
      </c>
      <c r="E679" s="31" t="s">
        <v>278</v>
      </c>
      <c r="F679" s="6" t="s">
        <v>279</v>
      </c>
      <c r="G679" s="107">
        <v>42522</v>
      </c>
      <c r="H679" s="108">
        <v>42491</v>
      </c>
      <c r="I679" s="24">
        <v>3084</v>
      </c>
      <c r="J679" s="28" t="s">
        <v>1946</v>
      </c>
      <c r="K679" s="28">
        <v>67.13</v>
      </c>
      <c r="L679" s="128">
        <v>15900</v>
      </c>
      <c r="M679" s="9">
        <f>+L679*0.08</f>
        <v>1272</v>
      </c>
      <c r="N679" s="9">
        <f t="shared" si="560"/>
        <v>7950</v>
      </c>
      <c r="O679" s="9">
        <f t="shared" si="561"/>
        <v>6610.87</v>
      </c>
      <c r="P679" s="9">
        <f t="shared" si="562"/>
        <v>1339.13</v>
      </c>
      <c r="Q679" s="139">
        <f t="shared" si="563"/>
        <v>0.83155597484276733</v>
      </c>
      <c r="R679" s="345">
        <v>15900</v>
      </c>
      <c r="S679" s="359" t="s">
        <v>1948</v>
      </c>
      <c r="T679" s="305">
        <v>0.83155597484276733</v>
      </c>
      <c r="U679" s="144"/>
      <c r="V679" s="100"/>
      <c r="W679" s="110">
        <f t="shared" si="564"/>
        <v>15900</v>
      </c>
      <c r="X679" s="110">
        <f t="shared" si="565"/>
        <v>67.13</v>
      </c>
      <c r="Y679" s="110">
        <f t="shared" si="566"/>
        <v>1272</v>
      </c>
      <c r="Z679" s="110">
        <f t="shared" si="567"/>
        <v>6610.87</v>
      </c>
      <c r="AA679" s="260">
        <f t="shared" si="568"/>
        <v>0.83155597484276733</v>
      </c>
      <c r="AB679" s="28">
        <f t="shared" si="569"/>
        <v>5.2</v>
      </c>
      <c r="AC679" s="261">
        <f t="shared" si="570"/>
        <v>0.83018463567424994</v>
      </c>
      <c r="AD679" s="111">
        <f t="shared" si="571"/>
        <v>0.9</v>
      </c>
      <c r="AE679" s="262">
        <f t="shared" si="572"/>
        <v>1.8844561673444154E-2</v>
      </c>
      <c r="AF679" s="100"/>
      <c r="AG679" s="111">
        <f t="shared" si="573"/>
        <v>1.5</v>
      </c>
      <c r="AH679" s="262">
        <f t="shared" si="574"/>
        <v>0.41130673700406634</v>
      </c>
      <c r="AI679" s="100"/>
      <c r="AJ679" s="111">
        <f t="shared" si="575"/>
        <v>1.4</v>
      </c>
      <c r="AK679" s="262">
        <f t="shared" si="576"/>
        <v>0.36925721821864249</v>
      </c>
      <c r="AL679" s="100"/>
      <c r="AM679" s="111">
        <f t="shared" si="577"/>
        <v>1.3</v>
      </c>
      <c r="AN679" s="262">
        <f t="shared" si="578"/>
        <v>0.32073854269699975</v>
      </c>
      <c r="AO679" s="100"/>
      <c r="AP679" s="24" t="e">
        <f>VLOOKUP(C679,#REF!,6,FALSE)</f>
        <v>#REF!</v>
      </c>
      <c r="AQ679" s="24" t="e">
        <f>VLOOKUP(C679,#REF!,7,FALSE)</f>
        <v>#REF!</v>
      </c>
      <c r="AR679" s="24" t="e">
        <f>VLOOKUP(C679,#REF!,12,FALSE)</f>
        <v>#REF!</v>
      </c>
      <c r="AS679" s="24" t="e">
        <f>VLOOKUP(C679,#REF!,13,FALSE)</f>
        <v>#REF!</v>
      </c>
      <c r="AT679" s="100"/>
      <c r="AU679" s="100"/>
      <c r="AV679" s="100">
        <v>663</v>
      </c>
      <c r="AW679" s="100"/>
      <c r="AY679" s="128">
        <v>15900</v>
      </c>
    </row>
    <row r="680" spans="1:51" s="2" customFormat="1" ht="12.75" customHeight="1" x14ac:dyDescent="0.2">
      <c r="A680" s="6" t="s">
        <v>1490</v>
      </c>
      <c r="B680" s="8">
        <v>9789500298759</v>
      </c>
      <c r="C680" s="8">
        <v>617596</v>
      </c>
      <c r="D680" s="7">
        <v>40</v>
      </c>
      <c r="E680" s="11" t="s">
        <v>280</v>
      </c>
      <c r="F680" s="11" t="s">
        <v>1491</v>
      </c>
      <c r="G680" s="107">
        <v>42583</v>
      </c>
      <c r="H680" s="108">
        <v>42552</v>
      </c>
      <c r="I680" s="24">
        <v>3060</v>
      </c>
      <c r="J680" s="28" t="s">
        <v>1946</v>
      </c>
      <c r="K680" s="28">
        <v>58.49</v>
      </c>
      <c r="L680" s="128">
        <v>15900</v>
      </c>
      <c r="M680" s="9">
        <f>+L680*0.08</f>
        <v>1272</v>
      </c>
      <c r="N680" s="9">
        <f t="shared" si="560"/>
        <v>7950</v>
      </c>
      <c r="O680" s="9">
        <f t="shared" si="561"/>
        <v>6619.51</v>
      </c>
      <c r="P680" s="9">
        <f t="shared" si="562"/>
        <v>1330.49</v>
      </c>
      <c r="Q680" s="139">
        <f t="shared" si="563"/>
        <v>0.8326427672955975</v>
      </c>
      <c r="R680" s="345">
        <v>15900</v>
      </c>
      <c r="S680" s="359" t="s">
        <v>1948</v>
      </c>
      <c r="T680" s="305">
        <v>0.8326427672955975</v>
      </c>
      <c r="U680" s="144"/>
      <c r="V680" s="100"/>
      <c r="W680" s="110">
        <f t="shared" si="564"/>
        <v>15900</v>
      </c>
      <c r="X680" s="110">
        <f t="shared" si="565"/>
        <v>58.49</v>
      </c>
      <c r="Y680" s="110">
        <f t="shared" si="566"/>
        <v>1272</v>
      </c>
      <c r="Z680" s="110">
        <f t="shared" si="567"/>
        <v>6619.51</v>
      </c>
      <c r="AA680" s="260">
        <f t="shared" si="568"/>
        <v>0.8326427672955975</v>
      </c>
      <c r="AB680" s="28">
        <f t="shared" si="569"/>
        <v>5.2</v>
      </c>
      <c r="AC680" s="261">
        <f t="shared" si="570"/>
        <v>0.83128027593902964</v>
      </c>
      <c r="AD680" s="111">
        <f t="shared" si="571"/>
        <v>0.9</v>
      </c>
      <c r="AE680" s="262">
        <f t="shared" si="572"/>
        <v>2.5174927647726948E-2</v>
      </c>
      <c r="AF680" s="100"/>
      <c r="AG680" s="111">
        <f t="shared" si="573"/>
        <v>1.5</v>
      </c>
      <c r="AH680" s="262">
        <f t="shared" si="574"/>
        <v>0.41510495658863622</v>
      </c>
      <c r="AI680" s="100"/>
      <c r="AJ680" s="111">
        <f t="shared" si="575"/>
        <v>1.3</v>
      </c>
      <c r="AK680" s="262">
        <f t="shared" si="576"/>
        <v>0.32512110375611858</v>
      </c>
      <c r="AL680" s="100"/>
      <c r="AM680" s="111">
        <f t="shared" si="577"/>
        <v>1.3</v>
      </c>
      <c r="AN680" s="262">
        <f t="shared" si="578"/>
        <v>0.32512110375611858</v>
      </c>
      <c r="AO680" s="100"/>
      <c r="AP680" s="24" t="e">
        <f>VLOOKUP(C680,#REF!,6,FALSE)</f>
        <v>#REF!</v>
      </c>
      <c r="AQ680" s="24" t="e">
        <f>VLOOKUP(C680,#REF!,7,FALSE)</f>
        <v>#REF!</v>
      </c>
      <c r="AR680" s="24" t="e">
        <f>VLOOKUP(C680,#REF!,12,FALSE)</f>
        <v>#REF!</v>
      </c>
      <c r="AS680" s="24" t="e">
        <f>VLOOKUP(C680,#REF!,13,FALSE)</f>
        <v>#REF!</v>
      </c>
      <c r="AT680" s="100"/>
      <c r="AU680" s="100"/>
      <c r="AV680" s="100">
        <v>664</v>
      </c>
      <c r="AW680" s="100"/>
      <c r="AY680" s="128">
        <v>15900</v>
      </c>
    </row>
    <row r="681" spans="1:51" s="2" customFormat="1" ht="12.75" customHeight="1" x14ac:dyDescent="0.2">
      <c r="A681" s="11" t="s">
        <v>1492</v>
      </c>
      <c r="B681" s="8">
        <v>9789500298742</v>
      </c>
      <c r="C681" s="8">
        <v>640868</v>
      </c>
      <c r="D681" s="7">
        <v>48</v>
      </c>
      <c r="E681" s="31" t="s">
        <v>280</v>
      </c>
      <c r="F681" s="11" t="s">
        <v>336</v>
      </c>
      <c r="G681" s="107">
        <v>43070</v>
      </c>
      <c r="H681" s="108">
        <v>43040</v>
      </c>
      <c r="I681" s="24">
        <v>2552</v>
      </c>
      <c r="J681" s="28" t="s">
        <v>1946</v>
      </c>
      <c r="K681" s="28">
        <v>83.9</v>
      </c>
      <c r="L681" s="128">
        <v>15900</v>
      </c>
      <c r="M681" s="141">
        <f>+L681*0.08</f>
        <v>1272</v>
      </c>
      <c r="N681" s="9">
        <f t="shared" si="560"/>
        <v>7950</v>
      </c>
      <c r="O681" s="9">
        <f t="shared" si="561"/>
        <v>6594.1</v>
      </c>
      <c r="P681" s="9">
        <f t="shared" si="562"/>
        <v>1355.9</v>
      </c>
      <c r="Q681" s="139">
        <f t="shared" si="563"/>
        <v>0.82944654088050318</v>
      </c>
      <c r="R681" s="345">
        <v>15900</v>
      </c>
      <c r="S681" s="359" t="s">
        <v>1948</v>
      </c>
      <c r="T681" s="305">
        <v>0.82944654088050318</v>
      </c>
      <c r="U681" s="144"/>
      <c r="V681" s="100"/>
      <c r="W681" s="110">
        <f t="shared" si="564"/>
        <v>15900</v>
      </c>
      <c r="X681" s="110">
        <f t="shared" si="565"/>
        <v>83.9</v>
      </c>
      <c r="Y681" s="110">
        <f t="shared" si="566"/>
        <v>1272</v>
      </c>
      <c r="Z681" s="110">
        <f t="shared" si="567"/>
        <v>6594.1</v>
      </c>
      <c r="AA681" s="260">
        <f t="shared" si="568"/>
        <v>0.82944654088050318</v>
      </c>
      <c r="AB681" s="28">
        <f t="shared" si="569"/>
        <v>5.2</v>
      </c>
      <c r="AC681" s="261">
        <f t="shared" si="570"/>
        <v>0.82805802835476428</v>
      </c>
      <c r="AD681" s="111">
        <f t="shared" si="571"/>
        <v>0.9</v>
      </c>
      <c r="AE681" s="262">
        <f t="shared" si="572"/>
        <v>6.5574971608602008E-3</v>
      </c>
      <c r="AF681" s="100"/>
      <c r="AG681" s="111">
        <f t="shared" si="573"/>
        <v>1.5</v>
      </c>
      <c r="AH681" s="262">
        <f t="shared" si="574"/>
        <v>0.40393449829651606</v>
      </c>
      <c r="AI681" s="100"/>
      <c r="AJ681" s="111">
        <f t="shared" si="575"/>
        <v>1.4</v>
      </c>
      <c r="AK681" s="262">
        <f t="shared" si="576"/>
        <v>0.36135839103198147</v>
      </c>
      <c r="AL681" s="100"/>
      <c r="AM681" s="111">
        <f t="shared" si="577"/>
        <v>1.3</v>
      </c>
      <c r="AN681" s="262">
        <f t="shared" si="578"/>
        <v>0.31223211341905699</v>
      </c>
      <c r="AO681" s="100"/>
      <c r="AP681" s="24" t="e">
        <f>VLOOKUP(C681,#REF!,6,FALSE)</f>
        <v>#REF!</v>
      </c>
      <c r="AQ681" s="24" t="e">
        <f>VLOOKUP(C681,#REF!,7,FALSE)</f>
        <v>#REF!</v>
      </c>
      <c r="AR681" s="24" t="e">
        <f>VLOOKUP(C681,#REF!,12,FALSE)</f>
        <v>#REF!</v>
      </c>
      <c r="AS681" s="24" t="e">
        <f>VLOOKUP(C681,#REF!,13,FALSE)</f>
        <v>#REF!</v>
      </c>
      <c r="AT681" s="100"/>
      <c r="AU681" s="100"/>
      <c r="AV681" s="100">
        <v>665</v>
      </c>
      <c r="AW681" s="100"/>
      <c r="AY681" s="128">
        <v>15900</v>
      </c>
    </row>
    <row r="682" spans="1:51" s="2" customFormat="1" ht="12.75" customHeight="1" x14ac:dyDescent="0.25">
      <c r="B682" s="3"/>
      <c r="C682" s="3"/>
      <c r="H682" s="132"/>
      <c r="I682" s="132"/>
      <c r="J682" s="134"/>
      <c r="K682" s="132"/>
      <c r="L682" s="134"/>
      <c r="M682" s="132"/>
      <c r="N682" s="132"/>
      <c r="O682" s="132"/>
      <c r="P682" s="132"/>
      <c r="Q682" s="147"/>
      <c r="R682" s="371"/>
      <c r="S682" s="360"/>
      <c r="T682" s="307"/>
      <c r="U682" s="135"/>
      <c r="V682" s="100"/>
      <c r="W682"/>
      <c r="X682"/>
      <c r="Y682"/>
      <c r="Z682"/>
      <c r="AA682"/>
      <c r="AB682"/>
      <c r="AC682"/>
      <c r="AD682" s="263"/>
      <c r="AE682"/>
      <c r="AF682" s="100"/>
      <c r="AG682" s="263"/>
      <c r="AH682"/>
      <c r="AI682" s="100"/>
      <c r="AJ682" s="263"/>
      <c r="AK682"/>
      <c r="AL682" s="100"/>
      <c r="AM682" s="263"/>
      <c r="AN682"/>
      <c r="AO682" s="100"/>
      <c r="AP682" s="100"/>
      <c r="AQ682" s="100"/>
      <c r="AR682" s="100"/>
      <c r="AS682" s="100"/>
      <c r="AT682" s="100"/>
      <c r="AU682" s="100"/>
      <c r="AV682" s="100">
        <v>666</v>
      </c>
      <c r="AW682" s="100"/>
      <c r="AY682" s="134"/>
    </row>
    <row r="683" spans="1:51" s="2" customFormat="1" ht="12.75" customHeight="1" x14ac:dyDescent="0.25">
      <c r="A683" s="160" t="s">
        <v>1493</v>
      </c>
      <c r="B683" s="161"/>
      <c r="C683" s="375"/>
      <c r="D683" s="376"/>
      <c r="E683" s="162"/>
      <c r="F683" s="162"/>
      <c r="G683" s="162"/>
      <c r="H683" s="132"/>
      <c r="I683" s="132"/>
      <c r="J683" s="134"/>
      <c r="K683" s="132"/>
      <c r="L683" s="134"/>
      <c r="M683" s="132"/>
      <c r="N683" s="132"/>
      <c r="O683" s="132"/>
      <c r="P683" s="132"/>
      <c r="Q683" s="147"/>
      <c r="R683" s="371"/>
      <c r="S683" s="360"/>
      <c r="T683" s="307"/>
      <c r="U683" s="135"/>
      <c r="V683" s="100"/>
      <c r="W683"/>
      <c r="X683"/>
      <c r="Y683"/>
      <c r="Z683"/>
      <c r="AA683"/>
      <c r="AB683"/>
      <c r="AC683"/>
      <c r="AD683" s="263"/>
      <c r="AE683"/>
      <c r="AF683" s="100"/>
      <c r="AG683" s="263"/>
      <c r="AH683"/>
      <c r="AI683" s="100"/>
      <c r="AJ683" s="263"/>
      <c r="AK683"/>
      <c r="AL683" s="100"/>
      <c r="AM683" s="263"/>
      <c r="AN683"/>
      <c r="AO683" s="100"/>
      <c r="AP683" s="100"/>
      <c r="AQ683" s="100"/>
      <c r="AR683" s="100"/>
      <c r="AS683" s="100"/>
      <c r="AT683" s="100"/>
      <c r="AU683" s="100"/>
      <c r="AV683" s="100">
        <v>667</v>
      </c>
      <c r="AW683" s="100"/>
      <c r="AY683" s="134"/>
    </row>
    <row r="684" spans="1:51" s="2" customFormat="1" ht="12.75" customHeight="1" x14ac:dyDescent="0.2">
      <c r="A684" s="11" t="s">
        <v>1494</v>
      </c>
      <c r="B684" s="8">
        <v>9789500299770</v>
      </c>
      <c r="C684" s="6">
        <v>637581</v>
      </c>
      <c r="D684" s="7">
        <v>10</v>
      </c>
      <c r="E684" s="7" t="s">
        <v>334</v>
      </c>
      <c r="F684" s="11" t="s">
        <v>335</v>
      </c>
      <c r="G684" s="107">
        <v>43040</v>
      </c>
      <c r="H684" s="108">
        <v>43009</v>
      </c>
      <c r="I684" s="24">
        <v>4140</v>
      </c>
      <c r="J684" s="28" t="s">
        <v>1946</v>
      </c>
      <c r="K684" s="28">
        <v>106.27</v>
      </c>
      <c r="L684" s="28">
        <v>17000</v>
      </c>
      <c r="M684" s="112"/>
      <c r="N684" s="9">
        <f>+L684/2</f>
        <v>8500</v>
      </c>
      <c r="O684" s="9">
        <f>+N684-M684-K684</f>
        <v>8393.73</v>
      </c>
      <c r="P684" s="9">
        <f>+M684+K684</f>
        <v>106.27</v>
      </c>
      <c r="Q684" s="139">
        <f>+O684/N684</f>
        <v>0.98749764705882348</v>
      </c>
      <c r="R684" s="345">
        <v>17000</v>
      </c>
      <c r="S684" s="359" t="s">
        <v>1948</v>
      </c>
      <c r="T684" s="305">
        <v>0.98749764705882348</v>
      </c>
      <c r="U684" s="144"/>
      <c r="V684" s="100"/>
      <c r="W684" s="110">
        <f>+L684</f>
        <v>17000</v>
      </c>
      <c r="X684" s="110">
        <f>+K684</f>
        <v>106.27</v>
      </c>
      <c r="Y684" s="110">
        <f>+M684</f>
        <v>0</v>
      </c>
      <c r="Z684" s="110">
        <f>+W684/2-X684-Y684</f>
        <v>8393.73</v>
      </c>
      <c r="AA684" s="260">
        <f>+Z684/(W684/2)</f>
        <v>0.98749764705882348</v>
      </c>
      <c r="AB684" s="28">
        <f>ROUND($W684/2/$X$1,1)</f>
        <v>5.6</v>
      </c>
      <c r="AC684" s="261">
        <f>+(AB684*$X$1-$X684-$Y684)/(AB684*$X$1)</f>
        <v>0.98748645848052374</v>
      </c>
      <c r="AD684" s="111">
        <f>+IFERROR(ROUND(($X684+$Y684)/(1-$X$2)/$X$1,1),0)</f>
        <v>0.1</v>
      </c>
      <c r="AE684" s="262">
        <f>+(AD684*$X$1-$X684-$Y684)/(AD684*$X$1)</f>
        <v>0.29924167490933073</v>
      </c>
      <c r="AF684" s="100"/>
      <c r="AG684" s="111">
        <f>+IFERROR(ROUND(($X684+$Y684)/(1-$AG$2)/$X$1,1),0)</f>
        <v>0.1</v>
      </c>
      <c r="AH684" s="262">
        <f>+(AG684*$X$1-$X684-$Y684)/(AG684*$X$1)</f>
        <v>0.29924167490933073</v>
      </c>
      <c r="AI684" s="100"/>
      <c r="AJ684" s="111">
        <f>+IFERROR(ROUND(($X684+$Y684)/(1-$AJ$2)/$X$1,1),0)</f>
        <v>0.1</v>
      </c>
      <c r="AK684" s="262">
        <f>+(AJ684*$X$1-$X684-$Y684)/(AJ684*$X$1)</f>
        <v>0.29924167490933073</v>
      </c>
      <c r="AL684" s="100"/>
      <c r="AM684" s="111">
        <f>+IFERROR(ROUND(($X684+$Y684)/(1-$AM$2)/$X$1,1),0)</f>
        <v>0.1</v>
      </c>
      <c r="AN684" s="262">
        <f>+(AM684*$X$1-$X684-$Y684)/(AM684*$X$1)</f>
        <v>0.29924167490933073</v>
      </c>
      <c r="AO684" s="100"/>
      <c r="AP684" s="24" t="e">
        <f>VLOOKUP(C684,#REF!,6,FALSE)</f>
        <v>#REF!</v>
      </c>
      <c r="AQ684" s="24" t="e">
        <f>VLOOKUP(C684,#REF!,7,FALSE)</f>
        <v>#REF!</v>
      </c>
      <c r="AR684" s="24" t="e">
        <f>VLOOKUP(C684,#REF!,12,FALSE)</f>
        <v>#REF!</v>
      </c>
      <c r="AS684" s="24" t="e">
        <f>VLOOKUP(C684,#REF!,13,FALSE)</f>
        <v>#REF!</v>
      </c>
      <c r="AT684" s="100"/>
      <c r="AU684" s="100"/>
      <c r="AV684" s="100">
        <v>668</v>
      </c>
      <c r="AW684" s="100"/>
      <c r="AY684" s="28">
        <v>17000</v>
      </c>
    </row>
    <row r="685" spans="1:51" s="2" customFormat="1" ht="12.75" customHeight="1" x14ac:dyDescent="0.25">
      <c r="A685" s="1"/>
      <c r="B685" s="3"/>
      <c r="C685" s="3"/>
      <c r="E685" s="3"/>
      <c r="F685" s="26"/>
      <c r="G685" s="3"/>
      <c r="H685" s="26"/>
      <c r="I685" s="3"/>
      <c r="J685" s="134"/>
      <c r="K685" s="132"/>
      <c r="L685" s="134"/>
      <c r="M685" s="132"/>
      <c r="N685" s="132"/>
      <c r="O685" s="132"/>
      <c r="P685" s="132"/>
      <c r="Q685" s="147"/>
      <c r="R685" s="371"/>
      <c r="S685" s="360"/>
      <c r="T685" s="307"/>
      <c r="U685" s="135"/>
      <c r="V685" s="100"/>
      <c r="W685"/>
      <c r="X685"/>
      <c r="Y685"/>
      <c r="Z685"/>
      <c r="AA685"/>
      <c r="AB685"/>
      <c r="AC685"/>
      <c r="AD685" s="263"/>
      <c r="AE685"/>
      <c r="AF685" s="100"/>
      <c r="AG685" s="263"/>
      <c r="AH685"/>
      <c r="AI685" s="100"/>
      <c r="AJ685" s="263"/>
      <c r="AK685"/>
      <c r="AL685" s="100"/>
      <c r="AM685" s="263"/>
      <c r="AN685"/>
      <c r="AO685" s="100"/>
      <c r="AP685" s="100"/>
      <c r="AQ685" s="100"/>
      <c r="AR685" s="100"/>
      <c r="AS685" s="100"/>
      <c r="AT685" s="100"/>
      <c r="AU685" s="100"/>
      <c r="AV685" s="100">
        <v>669</v>
      </c>
      <c r="AW685" s="100"/>
      <c r="AY685" s="134"/>
    </row>
    <row r="686" spans="1:51" s="2" customFormat="1" ht="12.75" customHeight="1" x14ac:dyDescent="0.25">
      <c r="A686" s="160" t="s">
        <v>1495</v>
      </c>
      <c r="B686" s="168"/>
      <c r="C686" s="168"/>
      <c r="D686" s="206"/>
      <c r="E686" s="174"/>
      <c r="F686" s="162"/>
      <c r="G686" s="162"/>
      <c r="H686" s="132"/>
      <c r="I686" s="132"/>
      <c r="J686" s="134"/>
      <c r="K686" s="132"/>
      <c r="L686" s="134"/>
      <c r="M686" s="132"/>
      <c r="N686" s="132"/>
      <c r="O686" s="132"/>
      <c r="P686" s="132"/>
      <c r="Q686" s="147"/>
      <c r="R686" s="371"/>
      <c r="S686" s="360"/>
      <c r="T686" s="307"/>
      <c r="U686" s="135"/>
      <c r="V686" s="100"/>
      <c r="W686"/>
      <c r="X686"/>
      <c r="Y686"/>
      <c r="Z686"/>
      <c r="AA686"/>
      <c r="AB686"/>
      <c r="AC686"/>
      <c r="AD686" s="263"/>
      <c r="AE686"/>
      <c r="AF686" s="100"/>
      <c r="AG686" s="263"/>
      <c r="AH686"/>
      <c r="AI686" s="100"/>
      <c r="AJ686" s="263"/>
      <c r="AK686"/>
      <c r="AL686" s="100"/>
      <c r="AM686" s="263"/>
      <c r="AN686"/>
      <c r="AO686" s="100"/>
      <c r="AP686" s="100"/>
      <c r="AQ686" s="100"/>
      <c r="AR686" s="100"/>
      <c r="AS686" s="100"/>
      <c r="AT686" s="100"/>
      <c r="AU686" s="100"/>
      <c r="AV686" s="100">
        <v>670</v>
      </c>
      <c r="AW686" s="100"/>
      <c r="AY686" s="134"/>
    </row>
    <row r="687" spans="1:51" s="2" customFormat="1" ht="12.75" customHeight="1" x14ac:dyDescent="0.2">
      <c r="A687" s="7" t="s">
        <v>2455</v>
      </c>
      <c r="B687" s="8">
        <v>9789500218290</v>
      </c>
      <c r="C687" s="8">
        <v>751238</v>
      </c>
      <c r="D687" s="7">
        <v>160</v>
      </c>
      <c r="E687" s="7" t="s">
        <v>156</v>
      </c>
      <c r="F687" s="7" t="s">
        <v>2456</v>
      </c>
      <c r="G687" s="107">
        <v>46296</v>
      </c>
      <c r="H687" s="108">
        <v>46266</v>
      </c>
      <c r="I687" s="116">
        <v>4039</v>
      </c>
      <c r="J687" s="6" t="s">
        <v>2160</v>
      </c>
      <c r="K687" s="148">
        <v>4130.87</v>
      </c>
      <c r="L687" s="352">
        <v>20900</v>
      </c>
      <c r="M687" s="112"/>
      <c r="N687" s="9">
        <f t="shared" ref="N687" si="579">+L687/2</f>
        <v>10450</v>
      </c>
      <c r="O687" s="9">
        <f t="shared" ref="O687" si="580">+N687-M687-K687</f>
        <v>6319.13</v>
      </c>
      <c r="P687" s="9">
        <f t="shared" ref="P687" si="581">+M687+K687</f>
        <v>4130.87</v>
      </c>
      <c r="Q687" s="139">
        <f t="shared" ref="Q687" si="582">+O687/N687</f>
        <v>0.60470143540669863</v>
      </c>
      <c r="R687" s="313">
        <v>20900</v>
      </c>
      <c r="S687" s="359" t="s">
        <v>2140</v>
      </c>
      <c r="T687" s="305">
        <v>0.62689246231155782</v>
      </c>
      <c r="U687" s="144"/>
      <c r="V687" s="100"/>
      <c r="W687" s="110">
        <f t="shared" ref="W687" si="583">+L687</f>
        <v>20900</v>
      </c>
      <c r="X687" s="110">
        <f t="shared" ref="X687" si="584">+K687</f>
        <v>4130.87</v>
      </c>
      <c r="Y687" s="110">
        <f t="shared" ref="Y687" si="585">+M687</f>
        <v>0</v>
      </c>
      <c r="Z687" s="110">
        <f t="shared" ref="Z687" si="586">+W687/2-X687-Y687</f>
        <v>6319.13</v>
      </c>
      <c r="AA687" s="260">
        <f t="shared" ref="AA687" si="587">+Z687/(W687/2)</f>
        <v>0.60470143540669863</v>
      </c>
      <c r="AB687" s="28">
        <f t="shared" ref="AB687:AB734" si="588">ROUND($W687/2/$X$1,1)</f>
        <v>6.9</v>
      </c>
      <c r="AC687" s="261">
        <f t="shared" ref="AC687" si="589">+(AB687*$X$1-$X687-$Y687)/(AB687*$X$1)</f>
        <v>0.60522465440540529</v>
      </c>
      <c r="AD687" s="111">
        <f t="shared" ref="AD687:AD734" si="590">+IFERROR(ROUND(($X687+$Y687)/(1-$X$2)/$X$1,1),0)</f>
        <v>2.9</v>
      </c>
      <c r="AE687" s="262">
        <f t="shared" ref="AE687" si="591">+(AD687*$X$1-$X687-$Y687)/(AD687*$X$1)</f>
        <v>6.0706936343895221E-2</v>
      </c>
      <c r="AF687" s="100"/>
      <c r="AG687" s="111">
        <f t="shared" ref="AG687:AG734" si="592">+IFERROR(ROUND(($X687+$Y687)/(1-$AG$2)/$X$1,1),0)</f>
        <v>4.5</v>
      </c>
      <c r="AH687" s="262">
        <f t="shared" ref="AH687" si="593">+(AG687*$X$1-$X687-$Y687)/(AG687*$X$1)</f>
        <v>0.39467780342162145</v>
      </c>
      <c r="AI687" s="100"/>
      <c r="AJ687" s="111">
        <f t="shared" ref="AJ687:AJ734" si="594">+IFERROR(ROUND(($X687+$Y687)/(1-$AJ$2)/$X$1,1),0)</f>
        <v>4.2</v>
      </c>
      <c r="AK687" s="262">
        <f t="shared" ref="AK687" si="595">+(AJ687*$X$1-$X687-$Y687)/(AJ687*$X$1)</f>
        <v>0.35144050366602297</v>
      </c>
      <c r="AL687" s="100"/>
      <c r="AM687" s="111">
        <f t="shared" ref="AM687:AM734" si="596">+IFERROR(ROUND(($X687+$Y687)/(1-$AM$2)/$X$1,1),0)</f>
        <v>3.9</v>
      </c>
      <c r="AN687" s="262">
        <f t="shared" ref="AN687" si="597">+(AM687*$X$1-$X687-$Y687)/(AM687*$X$1)</f>
        <v>0.30155131164033239</v>
      </c>
      <c r="AO687" s="100"/>
      <c r="AP687" s="24" t="e">
        <f>VLOOKUP(C687,#REF!,6,FALSE)</f>
        <v>#REF!</v>
      </c>
      <c r="AQ687" s="24" t="e">
        <f>VLOOKUP(C687,#REF!,7,FALSE)</f>
        <v>#REF!</v>
      </c>
      <c r="AR687" s="24" t="e">
        <f>VLOOKUP(C687,#REF!,12,FALSE)</f>
        <v>#REF!</v>
      </c>
      <c r="AS687" s="24" t="e">
        <f>VLOOKUP(C687,#REF!,13,FALSE)</f>
        <v>#REF!</v>
      </c>
      <c r="AT687" s="100"/>
      <c r="AU687" s="3"/>
      <c r="AV687" s="100">
        <v>671</v>
      </c>
      <c r="AW687" s="100"/>
      <c r="AY687" s="352">
        <v>20900</v>
      </c>
    </row>
    <row r="688" spans="1:51" s="2" customFormat="1" ht="12.75" customHeight="1" x14ac:dyDescent="0.2">
      <c r="A688" s="7" t="s">
        <v>2453</v>
      </c>
      <c r="B688" s="8">
        <v>9789500218283</v>
      </c>
      <c r="C688" s="8">
        <v>751237</v>
      </c>
      <c r="D688" s="7">
        <v>36</v>
      </c>
      <c r="E688" s="7" t="s">
        <v>781</v>
      </c>
      <c r="F688" s="7" t="s">
        <v>2454</v>
      </c>
      <c r="G688" s="107">
        <v>46296</v>
      </c>
      <c r="H688" s="108">
        <v>46266</v>
      </c>
      <c r="I688" s="116">
        <v>3160</v>
      </c>
      <c r="J688" s="6" t="s">
        <v>2160</v>
      </c>
      <c r="K688" s="148">
        <v>2226.89</v>
      </c>
      <c r="L688" s="9">
        <v>23500</v>
      </c>
      <c r="M688" s="141">
        <f>+L688*0.08</f>
        <v>1880</v>
      </c>
      <c r="N688" s="142">
        <f t="shared" ref="N688" si="598">+L688/2</f>
        <v>11750</v>
      </c>
      <c r="O688" s="142">
        <f t="shared" ref="O688" si="599">+N688-M688-K688</f>
        <v>7643.1100000000006</v>
      </c>
      <c r="P688" s="142">
        <f t="shared" ref="P688" si="600">+M688+K688</f>
        <v>4106.8899999999994</v>
      </c>
      <c r="Q688" s="139">
        <f t="shared" ref="Q688" si="601">+O688/N688</f>
        <v>0.65047744680851072</v>
      </c>
      <c r="R688" s="313">
        <v>23500</v>
      </c>
      <c r="S688" s="359" t="s">
        <v>2140</v>
      </c>
      <c r="T688" s="305">
        <v>0.75537342175251965</v>
      </c>
      <c r="U688" s="7"/>
      <c r="V688" s="100"/>
      <c r="W688" s="110">
        <f t="shared" ref="W688" si="602">+L688</f>
        <v>23500</v>
      </c>
      <c r="X688" s="110">
        <f t="shared" ref="X688" si="603">+K688</f>
        <v>2226.89</v>
      </c>
      <c r="Y688" s="110">
        <f t="shared" ref="Y688" si="604">+M688</f>
        <v>1880</v>
      </c>
      <c r="Z688" s="110">
        <f t="shared" ref="Z688" si="605">+W688/2-X688-Y688</f>
        <v>7643.1100000000006</v>
      </c>
      <c r="AA688" s="260">
        <f t="shared" ref="AA688" si="606">+Z688/(W688/2)</f>
        <v>0.65047744680851072</v>
      </c>
      <c r="AB688" s="28">
        <f t="shared" si="588"/>
        <v>7.7</v>
      </c>
      <c r="AC688" s="261">
        <f t="shared" ref="AC688" si="607">+(AB688*$X$1-$X688-$Y688)/(AB688*$X$1)</f>
        <v>0.64829387559357898</v>
      </c>
      <c r="AD688" s="111">
        <f t="shared" si="590"/>
        <v>2.9</v>
      </c>
      <c r="AE688" s="262">
        <f t="shared" ref="AE688" si="608">+(AD688*$X$1-$X688-$Y688)/(AD688*$X$1)</f>
        <v>6.6159600713985162E-2</v>
      </c>
      <c r="AF688" s="100"/>
      <c r="AG688" s="111">
        <f t="shared" si="592"/>
        <v>4.5</v>
      </c>
      <c r="AH688" s="262">
        <f t="shared" ref="AH688" si="609">+(AG688*$X$1-$X688-$Y688)/(AG688*$X$1)</f>
        <v>0.39819174268234614</v>
      </c>
      <c r="AI688" s="100"/>
      <c r="AJ688" s="111">
        <f t="shared" si="594"/>
        <v>4.2</v>
      </c>
      <c r="AK688" s="262">
        <f t="shared" ref="AK688" si="610">+(AJ688*$X$1-$X688-$Y688)/(AJ688*$X$1)</f>
        <v>0.3552054385882279</v>
      </c>
      <c r="AL688" s="100"/>
      <c r="AM688" s="111">
        <f t="shared" si="596"/>
        <v>3.9</v>
      </c>
      <c r="AN688" s="262">
        <f t="shared" ref="AN688" si="611">+(AM688*$X$1-$X688-$Y688)/(AM688*$X$1)</f>
        <v>0.30560585694116849</v>
      </c>
      <c r="AO688" s="100"/>
      <c r="AP688" s="24" t="e">
        <f>VLOOKUP(C688,#REF!,6,FALSE)</f>
        <v>#REF!</v>
      </c>
      <c r="AQ688" s="24" t="e">
        <f>VLOOKUP(C688,#REF!,7,FALSE)</f>
        <v>#REF!</v>
      </c>
      <c r="AR688" s="24" t="e">
        <f>VLOOKUP(C688,#REF!,12,FALSE)</f>
        <v>#REF!</v>
      </c>
      <c r="AS688" s="24" t="e">
        <f>VLOOKUP(C688,#REF!,13,FALSE)</f>
        <v>#REF!</v>
      </c>
      <c r="AT688" s="100"/>
      <c r="AU688" s="100"/>
      <c r="AV688" s="100">
        <v>675</v>
      </c>
      <c r="AW688" s="100"/>
      <c r="AY688" s="9">
        <v>23500</v>
      </c>
    </row>
    <row r="689" spans="1:51" s="2" customFormat="1" ht="12.75" customHeight="1" x14ac:dyDescent="0.2">
      <c r="A689" s="6" t="s">
        <v>2347</v>
      </c>
      <c r="B689" s="8">
        <v>9789500217767</v>
      </c>
      <c r="C689" s="8">
        <v>745992</v>
      </c>
      <c r="D689" s="8">
        <v>160</v>
      </c>
      <c r="E689" s="6" t="s">
        <v>2348</v>
      </c>
      <c r="F689" s="6" t="s">
        <v>2349</v>
      </c>
      <c r="G689" s="107">
        <v>46174</v>
      </c>
      <c r="H689" s="108">
        <v>46143</v>
      </c>
      <c r="I689" s="116">
        <v>5060</v>
      </c>
      <c r="J689" s="8" t="s">
        <v>1762</v>
      </c>
      <c r="K689" s="148">
        <v>3712.42</v>
      </c>
      <c r="L689" s="352">
        <v>20900</v>
      </c>
      <c r="M689" s="112"/>
      <c r="N689" s="9">
        <f t="shared" ref="N689:N706" si="612">+L689/2</f>
        <v>10450</v>
      </c>
      <c r="O689" s="9">
        <f t="shared" ref="O689:O706" si="613">+N689-M689-K689</f>
        <v>6737.58</v>
      </c>
      <c r="P689" s="9">
        <f t="shared" ref="P689:P706" si="614">+M689+K689</f>
        <v>3712.42</v>
      </c>
      <c r="Q689" s="139">
        <f t="shared" ref="Q689:Q706" si="615">+O689/N689</f>
        <v>0.64474449760765551</v>
      </c>
      <c r="R689" s="387">
        <v>20900</v>
      </c>
      <c r="S689" s="359" t="s">
        <v>1948</v>
      </c>
      <c r="T689" s="305">
        <v>0.62689246231155782</v>
      </c>
      <c r="U689" s="144"/>
      <c r="V689" s="100"/>
      <c r="W689" s="110">
        <f t="shared" ref="W689:W734" si="616">+L689</f>
        <v>20900</v>
      </c>
      <c r="X689" s="110">
        <f t="shared" ref="X689:X734" si="617">+K689</f>
        <v>3712.42</v>
      </c>
      <c r="Y689" s="110">
        <f t="shared" ref="Y689:Y734" si="618">+M689</f>
        <v>0</v>
      </c>
      <c r="Z689" s="110">
        <f t="shared" ref="Z689:Z734" si="619">+W689/2-X689-Y689</f>
        <v>6737.58</v>
      </c>
      <c r="AA689" s="260">
        <f t="shared" ref="AA689:AA734" si="620">+Z689/(W689/2)</f>
        <v>0.64474449760765551</v>
      </c>
      <c r="AB689" s="28">
        <f t="shared" si="588"/>
        <v>6.9</v>
      </c>
      <c r="AC689" s="261">
        <f t="shared" ref="AC689:AC734" si="621">+(AB689*$X$1-$X689-$Y689)/(AB689*$X$1)</f>
        <v>0.64521471542501085</v>
      </c>
      <c r="AD689" s="111">
        <f t="shared" si="590"/>
        <v>2.6</v>
      </c>
      <c r="AE689" s="262">
        <f t="shared" ref="AE689:AE734" si="622">+(AD689*$X$1-$X689-$Y689)/(AD689*$X$1)</f>
        <v>5.845443708945193E-2</v>
      </c>
      <c r="AF689" s="100"/>
      <c r="AG689" s="111">
        <f t="shared" si="592"/>
        <v>4.0999999999999996</v>
      </c>
      <c r="AH689" s="262">
        <f t="shared" ref="AH689:AH734" si="623">+(AG689*$X$1-$X689-$Y689)/(AG689*$X$1)</f>
        <v>0.40292232595916461</v>
      </c>
      <c r="AI689" s="100"/>
      <c r="AJ689" s="111">
        <f t="shared" si="594"/>
        <v>3.8</v>
      </c>
      <c r="AK689" s="262">
        <f t="shared" ref="AK689:AK734" si="624">+(AJ689*$X$1-$X689-$Y689)/(AJ689*$X$1)</f>
        <v>0.35578461485067758</v>
      </c>
      <c r="AL689" s="100"/>
      <c r="AM689" s="111">
        <f t="shared" si="596"/>
        <v>3.5</v>
      </c>
      <c r="AN689" s="262">
        <f t="shared" ref="AN689:AN734" si="625">+(AM689*$X$1-$X689-$Y689)/(AM689*$X$1)</f>
        <v>0.30056615326644998</v>
      </c>
      <c r="AO689" s="100"/>
      <c r="AP689" s="24" t="e">
        <f>VLOOKUP(C689,#REF!,6,FALSE)</f>
        <v>#REF!</v>
      </c>
      <c r="AQ689" s="24" t="e">
        <f>VLOOKUP(C689,#REF!,7,FALSE)</f>
        <v>#REF!</v>
      </c>
      <c r="AR689" s="24" t="e">
        <f>VLOOKUP(C689,#REF!,12,FALSE)</f>
        <v>#REF!</v>
      </c>
      <c r="AS689" s="24" t="e">
        <f>VLOOKUP(C689,#REF!,13,FALSE)</f>
        <v>#REF!</v>
      </c>
      <c r="AT689" s="100"/>
      <c r="AU689" s="3"/>
      <c r="AV689" s="100">
        <v>671</v>
      </c>
      <c r="AW689" s="100"/>
      <c r="AY689" s="352">
        <v>20900</v>
      </c>
    </row>
    <row r="690" spans="1:51" s="2" customFormat="1" ht="12.75" customHeight="1" x14ac:dyDescent="0.2">
      <c r="A690" s="6" t="s">
        <v>2248</v>
      </c>
      <c r="B690" s="153">
        <v>9789500217354</v>
      </c>
      <c r="C690" s="6">
        <v>741700</v>
      </c>
      <c r="D690" s="41">
        <v>96</v>
      </c>
      <c r="E690" s="6" t="s">
        <v>1899</v>
      </c>
      <c r="F690" s="6" t="s">
        <v>2249</v>
      </c>
      <c r="G690" s="107">
        <v>46082</v>
      </c>
      <c r="H690" s="108">
        <v>46174</v>
      </c>
      <c r="I690" s="7">
        <v>2120</v>
      </c>
      <c r="J690" s="7" t="s">
        <v>1762</v>
      </c>
      <c r="K690" s="148">
        <v>2871.23</v>
      </c>
      <c r="L690" s="9">
        <v>24500</v>
      </c>
      <c r="M690" s="112">
        <f>+L690*0.08</f>
        <v>1960</v>
      </c>
      <c r="N690" s="9">
        <f t="shared" si="612"/>
        <v>12250</v>
      </c>
      <c r="O690" s="9">
        <f t="shared" si="613"/>
        <v>7418.77</v>
      </c>
      <c r="P690" s="9">
        <f t="shared" si="614"/>
        <v>4831.2299999999996</v>
      </c>
      <c r="Q690" s="139">
        <f t="shared" si="615"/>
        <v>0.60561387755102047</v>
      </c>
      <c r="R690" s="387">
        <v>24500</v>
      </c>
      <c r="S690" s="359" t="s">
        <v>1948</v>
      </c>
      <c r="T690" s="305">
        <v>0.6256655319148936</v>
      </c>
      <c r="U690" s="6"/>
      <c r="V690" s="100"/>
      <c r="W690" s="110">
        <f t="shared" si="616"/>
        <v>24500</v>
      </c>
      <c r="X690" s="110">
        <f t="shared" si="617"/>
        <v>2871.23</v>
      </c>
      <c r="Y690" s="110">
        <f t="shared" si="618"/>
        <v>1960</v>
      </c>
      <c r="Z690" s="110">
        <f t="shared" si="619"/>
        <v>7418.77</v>
      </c>
      <c r="AA690" s="260">
        <f t="shared" si="620"/>
        <v>0.60561387755102047</v>
      </c>
      <c r="AB690" s="28">
        <f t="shared" si="588"/>
        <v>8.1</v>
      </c>
      <c r="AC690" s="261">
        <f t="shared" si="621"/>
        <v>0.60669426432697127</v>
      </c>
      <c r="AD690" s="111">
        <f t="shared" si="590"/>
        <v>3.4</v>
      </c>
      <c r="AE690" s="262">
        <f t="shared" si="622"/>
        <v>6.3006923837784265E-2</v>
      </c>
      <c r="AF690" s="100"/>
      <c r="AG690" s="111">
        <f t="shared" si="592"/>
        <v>5.3</v>
      </c>
      <c r="AH690" s="262">
        <f t="shared" si="623"/>
        <v>0.3989101020846163</v>
      </c>
      <c r="AI690" s="100"/>
      <c r="AJ690" s="111">
        <f t="shared" si="594"/>
        <v>4.9000000000000004</v>
      </c>
      <c r="AK690" s="262">
        <f t="shared" si="624"/>
        <v>0.34984153898948311</v>
      </c>
      <c r="AL690" s="100"/>
      <c r="AM690" s="111">
        <f t="shared" si="596"/>
        <v>4.5999999999999996</v>
      </c>
      <c r="AN690" s="262">
        <f t="shared" si="625"/>
        <v>0.30743990022792761</v>
      </c>
      <c r="AO690" s="100"/>
      <c r="AP690" s="24" t="e">
        <f>VLOOKUP(C690,#REF!,6,FALSE)</f>
        <v>#REF!</v>
      </c>
      <c r="AQ690" s="24" t="e">
        <f>VLOOKUP(C690,#REF!,7,FALSE)</f>
        <v>#REF!</v>
      </c>
      <c r="AR690" s="24" t="e">
        <f>VLOOKUP(C690,#REF!,12,FALSE)</f>
        <v>#REF!</v>
      </c>
      <c r="AS690" s="24" t="e">
        <f>VLOOKUP(C690,#REF!,13,FALSE)</f>
        <v>#REF!</v>
      </c>
      <c r="AT690" s="100"/>
      <c r="AU690" s="100"/>
      <c r="AV690" s="100">
        <v>672</v>
      </c>
      <c r="AW690" s="100"/>
      <c r="AY690" s="9">
        <v>24500</v>
      </c>
    </row>
    <row r="691" spans="1:51" s="2" customFormat="1" ht="12.75" customHeight="1" x14ac:dyDescent="0.2">
      <c r="A691" s="6" t="s">
        <v>2182</v>
      </c>
      <c r="B691" s="153">
        <v>9789500216876</v>
      </c>
      <c r="C691" s="6">
        <v>737025</v>
      </c>
      <c r="D691" s="41">
        <v>64</v>
      </c>
      <c r="E691" s="316" t="s">
        <v>1899</v>
      </c>
      <c r="F691" s="29" t="s">
        <v>2183</v>
      </c>
      <c r="G691" s="329">
        <v>45962</v>
      </c>
      <c r="H691" s="108">
        <v>46174</v>
      </c>
      <c r="I691" s="7">
        <v>2053</v>
      </c>
      <c r="J691" s="7" t="s">
        <v>1762</v>
      </c>
      <c r="K691" s="292">
        <v>2195.48</v>
      </c>
      <c r="L691" s="9">
        <v>20500</v>
      </c>
      <c r="M691" s="112">
        <f>+L691*0.08</f>
        <v>1640</v>
      </c>
      <c r="N691" s="9">
        <f t="shared" si="612"/>
        <v>10250</v>
      </c>
      <c r="O691" s="9">
        <f t="shared" si="613"/>
        <v>6414.52</v>
      </c>
      <c r="P691" s="9">
        <f t="shared" si="614"/>
        <v>3835.48</v>
      </c>
      <c r="Q691" s="139">
        <f t="shared" si="615"/>
        <v>0.62580682926829267</v>
      </c>
      <c r="R691" s="387">
        <v>20500</v>
      </c>
      <c r="S691" s="359" t="s">
        <v>1948</v>
      </c>
      <c r="T691" s="305">
        <v>0.62580682926829267</v>
      </c>
      <c r="U691" s="6"/>
      <c r="V691" s="100"/>
      <c r="W691" s="110">
        <f t="shared" si="616"/>
        <v>20500</v>
      </c>
      <c r="X691" s="110">
        <f t="shared" si="617"/>
        <v>2195.48</v>
      </c>
      <c r="Y691" s="110">
        <f t="shared" si="618"/>
        <v>1640</v>
      </c>
      <c r="Z691" s="110">
        <f t="shared" si="619"/>
        <v>6414.52</v>
      </c>
      <c r="AA691" s="260">
        <f t="shared" si="620"/>
        <v>0.62580682926829267</v>
      </c>
      <c r="AB691" s="28">
        <f t="shared" si="588"/>
        <v>6.8</v>
      </c>
      <c r="AC691" s="261">
        <f t="shared" si="621"/>
        <v>0.62806384670584359</v>
      </c>
      <c r="AD691" s="111">
        <f t="shared" si="590"/>
        <v>2.7</v>
      </c>
      <c r="AE691" s="262">
        <f t="shared" si="622"/>
        <v>6.3271910222124569E-2</v>
      </c>
      <c r="AF691" s="100"/>
      <c r="AG691" s="111">
        <f t="shared" si="592"/>
        <v>4.2</v>
      </c>
      <c r="AH691" s="262">
        <f t="shared" si="623"/>
        <v>0.3978176565713657</v>
      </c>
      <c r="AI691" s="100"/>
      <c r="AJ691" s="111">
        <f t="shared" si="594"/>
        <v>3.9</v>
      </c>
      <c r="AK691" s="262">
        <f t="shared" si="624"/>
        <v>0.35149593784608613</v>
      </c>
      <c r="AL691" s="100"/>
      <c r="AM691" s="111">
        <f t="shared" si="596"/>
        <v>3.6</v>
      </c>
      <c r="AN691" s="262">
        <f t="shared" si="625"/>
        <v>0.29745393266659348</v>
      </c>
      <c r="AO691" s="100"/>
      <c r="AP691" s="24" t="e">
        <f>VLOOKUP(C691,#REF!,6,FALSE)</f>
        <v>#REF!</v>
      </c>
      <c r="AQ691" s="24" t="e">
        <f>VLOOKUP(C691,#REF!,7,FALSE)</f>
        <v>#REF!</v>
      </c>
      <c r="AR691" s="24" t="e">
        <f>VLOOKUP(C691,#REF!,12,FALSE)</f>
        <v>#REF!</v>
      </c>
      <c r="AS691" s="24" t="e">
        <f>VLOOKUP(C691,#REF!,13,FALSE)</f>
        <v>#REF!</v>
      </c>
      <c r="AT691" s="100"/>
      <c r="AU691" s="100"/>
      <c r="AV691" s="100">
        <v>673</v>
      </c>
      <c r="AW691" s="100"/>
      <c r="AY691" s="9">
        <v>20500</v>
      </c>
    </row>
    <row r="692" spans="1:51" s="2" customFormat="1" ht="12.75" customHeight="1" x14ac:dyDescent="0.2">
      <c r="A692" s="6" t="s">
        <v>2184</v>
      </c>
      <c r="B692" s="153">
        <v>9789500216586</v>
      </c>
      <c r="C692" s="6">
        <v>737017</v>
      </c>
      <c r="D692" s="41">
        <v>64</v>
      </c>
      <c r="E692" s="6" t="s">
        <v>1899</v>
      </c>
      <c r="F692" s="29" t="s">
        <v>2185</v>
      </c>
      <c r="G692" s="329">
        <v>45962</v>
      </c>
      <c r="H692" s="108">
        <v>45931</v>
      </c>
      <c r="I692" s="7">
        <v>2053</v>
      </c>
      <c r="J692" s="7" t="s">
        <v>1946</v>
      </c>
      <c r="K692" s="148">
        <v>9682.14</v>
      </c>
      <c r="L692" s="9">
        <v>45000</v>
      </c>
      <c r="M692" s="141">
        <f>+L692*0.08</f>
        <v>3600</v>
      </c>
      <c r="N692" s="9">
        <f t="shared" si="612"/>
        <v>22500</v>
      </c>
      <c r="O692" s="9">
        <f t="shared" si="613"/>
        <v>9217.86</v>
      </c>
      <c r="P692" s="9">
        <f t="shared" si="614"/>
        <v>13282.14</v>
      </c>
      <c r="Q692" s="139">
        <f t="shared" si="615"/>
        <v>0.40968266666666669</v>
      </c>
      <c r="R692" s="387">
        <v>45000</v>
      </c>
      <c r="S692" s="359" t="s">
        <v>1948</v>
      </c>
      <c r="T692" s="305">
        <v>0.40968266666666669</v>
      </c>
      <c r="U692" s="6"/>
      <c r="V692" s="100"/>
      <c r="W692" s="110">
        <f t="shared" si="616"/>
        <v>45000</v>
      </c>
      <c r="X692" s="110">
        <f t="shared" si="617"/>
        <v>9682.14</v>
      </c>
      <c r="Y692" s="110">
        <f t="shared" si="618"/>
        <v>3600</v>
      </c>
      <c r="Z692" s="110">
        <f t="shared" si="619"/>
        <v>9217.86</v>
      </c>
      <c r="AA692" s="260">
        <f t="shared" si="620"/>
        <v>0.40968266666666669</v>
      </c>
      <c r="AB692" s="28">
        <f t="shared" si="588"/>
        <v>14.8</v>
      </c>
      <c r="AC692" s="261">
        <f t="shared" si="621"/>
        <v>0.40821503996578185</v>
      </c>
      <c r="AD692" s="111">
        <f t="shared" si="590"/>
        <v>9.1999999999999993</v>
      </c>
      <c r="AE692" s="262">
        <f t="shared" si="622"/>
        <v>4.7998107771040285E-2</v>
      </c>
      <c r="AF692" s="100"/>
      <c r="AG692" s="111">
        <f t="shared" si="592"/>
        <v>14.6</v>
      </c>
      <c r="AH692" s="262">
        <f t="shared" si="623"/>
        <v>0.40010839667764181</v>
      </c>
      <c r="AI692" s="100"/>
      <c r="AJ692" s="111">
        <f t="shared" si="594"/>
        <v>13.5</v>
      </c>
      <c r="AK692" s="262">
        <f t="shared" si="624"/>
        <v>0.35122834011063492</v>
      </c>
      <c r="AL692" s="100"/>
      <c r="AM692" s="111">
        <f t="shared" si="596"/>
        <v>12.5</v>
      </c>
      <c r="AN692" s="262">
        <f t="shared" si="625"/>
        <v>0.29932660731948568</v>
      </c>
      <c r="AO692" s="100"/>
      <c r="AP692" s="24" t="e">
        <f>VLOOKUP(C692,#REF!,6,FALSE)</f>
        <v>#REF!</v>
      </c>
      <c r="AQ692" s="24" t="e">
        <f>VLOOKUP(C692,#REF!,7,FALSE)</f>
        <v>#REF!</v>
      </c>
      <c r="AR692" s="24" t="e">
        <f>VLOOKUP(C692,#REF!,12,FALSE)</f>
        <v>#REF!</v>
      </c>
      <c r="AS692" s="24" t="e">
        <f>VLOOKUP(C692,#REF!,13,FALSE)</f>
        <v>#REF!</v>
      </c>
      <c r="AT692" s="100"/>
      <c r="AU692" s="100"/>
      <c r="AV692" s="100">
        <v>674</v>
      </c>
      <c r="AW692" s="100"/>
      <c r="AY692" s="9">
        <v>45000</v>
      </c>
    </row>
    <row r="693" spans="1:51" s="2" customFormat="1" ht="12.75" customHeight="1" x14ac:dyDescent="0.2">
      <c r="A693" s="6" t="s">
        <v>2179</v>
      </c>
      <c r="B693" s="153">
        <v>9789500216890</v>
      </c>
      <c r="C693" s="6">
        <v>737019</v>
      </c>
      <c r="D693" s="41">
        <v>36</v>
      </c>
      <c r="E693" s="6" t="s">
        <v>2180</v>
      </c>
      <c r="F693" s="29" t="s">
        <v>2181</v>
      </c>
      <c r="G693" s="329">
        <v>45962</v>
      </c>
      <c r="H693" s="108">
        <v>45931</v>
      </c>
      <c r="I693" s="7">
        <v>6080</v>
      </c>
      <c r="J693" s="7" t="s">
        <v>1762</v>
      </c>
      <c r="K693" s="148">
        <v>994.36229440789475</v>
      </c>
      <c r="L693" s="9">
        <v>23500</v>
      </c>
      <c r="M693" s="141">
        <f>+L693*0.08</f>
        <v>1880</v>
      </c>
      <c r="N693" s="142">
        <f t="shared" si="612"/>
        <v>11750</v>
      </c>
      <c r="O693" s="142">
        <f t="shared" si="613"/>
        <v>8875.6377055921057</v>
      </c>
      <c r="P693" s="142">
        <f t="shared" si="614"/>
        <v>2874.3622944078948</v>
      </c>
      <c r="Q693" s="139">
        <f t="shared" si="615"/>
        <v>0.75537342175251965</v>
      </c>
      <c r="R693" s="387">
        <v>23500</v>
      </c>
      <c r="S693" s="359" t="s">
        <v>1948</v>
      </c>
      <c r="T693" s="305">
        <v>0.75537342175251965</v>
      </c>
      <c r="U693" s="7"/>
      <c r="V693" s="100"/>
      <c r="W693" s="110">
        <f t="shared" si="616"/>
        <v>23500</v>
      </c>
      <c r="X693" s="110">
        <f t="shared" si="617"/>
        <v>994.36229440789475</v>
      </c>
      <c r="Y693" s="110">
        <f t="shared" si="618"/>
        <v>1880</v>
      </c>
      <c r="Z693" s="110">
        <f t="shared" si="619"/>
        <v>8875.6377055921057</v>
      </c>
      <c r="AA693" s="260">
        <f t="shared" si="620"/>
        <v>0.75537342175251965</v>
      </c>
      <c r="AB693" s="28">
        <f t="shared" si="588"/>
        <v>7.7</v>
      </c>
      <c r="AC693" s="261">
        <f t="shared" si="621"/>
        <v>0.75384516685225345</v>
      </c>
      <c r="AD693" s="111">
        <f t="shared" si="590"/>
        <v>2</v>
      </c>
      <c r="AE693" s="262">
        <f t="shared" si="622"/>
        <v>5.2303892381175485E-2</v>
      </c>
      <c r="AF693" s="100"/>
      <c r="AG693" s="111">
        <f t="shared" si="592"/>
        <v>3.2</v>
      </c>
      <c r="AH693" s="262">
        <f t="shared" si="623"/>
        <v>0.40768993273823473</v>
      </c>
      <c r="AI693" s="100"/>
      <c r="AJ693" s="111">
        <f t="shared" si="594"/>
        <v>2.9</v>
      </c>
      <c r="AK693" s="262">
        <f t="shared" si="624"/>
        <v>0.34641647750425886</v>
      </c>
      <c r="AL693" s="100"/>
      <c r="AM693" s="111">
        <f t="shared" si="596"/>
        <v>2.7</v>
      </c>
      <c r="AN693" s="262">
        <f t="shared" si="625"/>
        <v>0.29800288324531521</v>
      </c>
      <c r="AO693" s="100"/>
      <c r="AP693" s="24" t="e">
        <f>VLOOKUP(C693,#REF!,6,FALSE)</f>
        <v>#REF!</v>
      </c>
      <c r="AQ693" s="24" t="e">
        <f>VLOOKUP(C693,#REF!,7,FALSE)</f>
        <v>#REF!</v>
      </c>
      <c r="AR693" s="24" t="e">
        <f>VLOOKUP(C693,#REF!,12,FALSE)</f>
        <v>#REF!</v>
      </c>
      <c r="AS693" s="24" t="e">
        <f>VLOOKUP(C693,#REF!,13,FALSE)</f>
        <v>#REF!</v>
      </c>
      <c r="AT693" s="100"/>
      <c r="AU693" s="100"/>
      <c r="AV693" s="100">
        <v>675</v>
      </c>
      <c r="AW693" s="100"/>
      <c r="AY693" s="9">
        <v>23500</v>
      </c>
    </row>
    <row r="694" spans="1:51" s="2" customFormat="1" ht="12.75" customHeight="1" x14ac:dyDescent="0.2">
      <c r="A694" s="6" t="s">
        <v>2080</v>
      </c>
      <c r="B694" s="279">
        <v>9789500216302</v>
      </c>
      <c r="C694" s="6">
        <v>731834</v>
      </c>
      <c r="D694" s="8" t="s">
        <v>2081</v>
      </c>
      <c r="E694" s="8" t="s">
        <v>706</v>
      </c>
      <c r="F694" s="6" t="s">
        <v>2082</v>
      </c>
      <c r="G694" s="107">
        <v>45839</v>
      </c>
      <c r="H694" s="108">
        <v>45809</v>
      </c>
      <c r="I694" s="264">
        <v>4120</v>
      </c>
      <c r="J694" s="315" t="s">
        <v>1946</v>
      </c>
      <c r="K694" s="292">
        <v>2408.9699999999998</v>
      </c>
      <c r="L694" s="9">
        <v>26900</v>
      </c>
      <c r="M694" s="112">
        <f>+L694*0.1</f>
        <v>2690</v>
      </c>
      <c r="N694" s="9">
        <f t="shared" si="612"/>
        <v>13450</v>
      </c>
      <c r="O694" s="9">
        <f t="shared" si="613"/>
        <v>8351.0300000000007</v>
      </c>
      <c r="P694" s="9">
        <f t="shared" si="614"/>
        <v>5098.9699999999993</v>
      </c>
      <c r="Q694" s="139">
        <f t="shared" si="615"/>
        <v>0.62089442379182158</v>
      </c>
      <c r="R694" s="387">
        <v>26900</v>
      </c>
      <c r="S694" s="359" t="s">
        <v>1948</v>
      </c>
      <c r="T694" s="305">
        <v>0.62089442379182158</v>
      </c>
      <c r="U694" s="6"/>
      <c r="V694" s="100"/>
      <c r="W694" s="110">
        <f t="shared" si="616"/>
        <v>26900</v>
      </c>
      <c r="X694" s="110">
        <f t="shared" si="617"/>
        <v>2408.9699999999998</v>
      </c>
      <c r="Y694" s="110">
        <f t="shared" si="618"/>
        <v>2690</v>
      </c>
      <c r="Z694" s="110">
        <f t="shared" si="619"/>
        <v>8351.0300000000007</v>
      </c>
      <c r="AA694" s="260">
        <f t="shared" si="620"/>
        <v>0.62089442379182158</v>
      </c>
      <c r="AB694" s="28">
        <f t="shared" si="588"/>
        <v>8.9</v>
      </c>
      <c r="AC694" s="261">
        <f t="shared" si="621"/>
        <v>0.62221036760429294</v>
      </c>
      <c r="AD694" s="111">
        <f t="shared" si="590"/>
        <v>3.5</v>
      </c>
      <c r="AE694" s="262">
        <f t="shared" si="622"/>
        <v>3.9334934765201862E-2</v>
      </c>
      <c r="AF694" s="100"/>
      <c r="AG694" s="111">
        <f t="shared" si="592"/>
        <v>5.6</v>
      </c>
      <c r="AH694" s="262">
        <f t="shared" si="623"/>
        <v>0.39958433422825118</v>
      </c>
      <c r="AI694" s="100"/>
      <c r="AJ694" s="111">
        <f t="shared" si="594"/>
        <v>5.2</v>
      </c>
      <c r="AK694" s="262">
        <f t="shared" si="624"/>
        <v>0.35339851378427045</v>
      </c>
      <c r="AL694" s="100"/>
      <c r="AM694" s="111">
        <f t="shared" si="596"/>
        <v>4.8</v>
      </c>
      <c r="AN694" s="262">
        <f t="shared" si="625"/>
        <v>0.29951505659962629</v>
      </c>
      <c r="AO694" s="100"/>
      <c r="AP694" s="24" t="e">
        <f>VLOOKUP(C694,#REF!,6,FALSE)</f>
        <v>#REF!</v>
      </c>
      <c r="AQ694" s="24" t="e">
        <f>VLOOKUP(C694,#REF!,7,FALSE)</f>
        <v>#REF!</v>
      </c>
      <c r="AR694" s="24" t="e">
        <f>VLOOKUP(C694,#REF!,12,FALSE)</f>
        <v>#REF!</v>
      </c>
      <c r="AS694" s="24" t="e">
        <f>VLOOKUP(C694,#REF!,13,FALSE)</f>
        <v>#REF!</v>
      </c>
      <c r="AT694" s="100"/>
      <c r="AU694" s="100"/>
      <c r="AV694" s="100">
        <v>676</v>
      </c>
      <c r="AW694" s="100"/>
      <c r="AY694" s="9">
        <v>26900</v>
      </c>
    </row>
    <row r="695" spans="1:51" s="2" customFormat="1" ht="12.75" customHeight="1" x14ac:dyDescent="0.2">
      <c r="A695" s="6" t="s">
        <v>1968</v>
      </c>
      <c r="B695" s="8">
        <v>9789500215824</v>
      </c>
      <c r="C695" s="6">
        <v>725188</v>
      </c>
      <c r="D695" s="239">
        <v>36</v>
      </c>
      <c r="E695" s="6" t="s">
        <v>781</v>
      </c>
      <c r="F695" s="6" t="s">
        <v>1969</v>
      </c>
      <c r="G695" s="107">
        <v>45658</v>
      </c>
      <c r="H695" s="108">
        <v>45992</v>
      </c>
      <c r="I695" s="264">
        <v>3145</v>
      </c>
      <c r="J695" s="7" t="s">
        <v>1762</v>
      </c>
      <c r="K695" s="148">
        <v>1503.84</v>
      </c>
      <c r="L695" s="9">
        <v>23500</v>
      </c>
      <c r="M695" s="141">
        <f>+L695*0.08</f>
        <v>1880</v>
      </c>
      <c r="N695" s="142">
        <f t="shared" si="612"/>
        <v>11750</v>
      </c>
      <c r="O695" s="142">
        <f t="shared" si="613"/>
        <v>8366.16</v>
      </c>
      <c r="P695" s="142">
        <f t="shared" si="614"/>
        <v>3383.84</v>
      </c>
      <c r="Q695" s="139">
        <f t="shared" si="615"/>
        <v>0.71201361702127663</v>
      </c>
      <c r="R695" s="387">
        <v>23500</v>
      </c>
      <c r="S695" s="359" t="s">
        <v>1948</v>
      </c>
      <c r="T695" s="305">
        <v>0.71201361702127663</v>
      </c>
      <c r="U695" s="7"/>
      <c r="V695" s="100"/>
      <c r="W695" s="110">
        <f t="shared" si="616"/>
        <v>23500</v>
      </c>
      <c r="X695" s="110">
        <f t="shared" si="617"/>
        <v>1503.84</v>
      </c>
      <c r="Y695" s="110">
        <f t="shared" si="618"/>
        <v>1880</v>
      </c>
      <c r="Z695" s="110">
        <f t="shared" si="619"/>
        <v>8366.16</v>
      </c>
      <c r="AA695" s="260">
        <f t="shared" si="620"/>
        <v>0.71201361702127663</v>
      </c>
      <c r="AB695" s="28">
        <f t="shared" si="588"/>
        <v>7.7</v>
      </c>
      <c r="AC695" s="261">
        <f t="shared" si="621"/>
        <v>0.71021448054089009</v>
      </c>
      <c r="AD695" s="111">
        <f t="shared" si="590"/>
        <v>2.2999999999999998</v>
      </c>
      <c r="AE695" s="262">
        <f t="shared" si="622"/>
        <v>2.9848478332544878E-2</v>
      </c>
      <c r="AF695" s="100"/>
      <c r="AG695" s="111">
        <f t="shared" si="592"/>
        <v>3.7</v>
      </c>
      <c r="AH695" s="262">
        <f t="shared" si="623"/>
        <v>0.39693283788239275</v>
      </c>
      <c r="AI695" s="100"/>
      <c r="AJ695" s="111">
        <f t="shared" si="594"/>
        <v>3.4</v>
      </c>
      <c r="AK695" s="262">
        <f t="shared" si="624"/>
        <v>0.34372102946025085</v>
      </c>
      <c r="AL695" s="100"/>
      <c r="AM695" s="111">
        <f t="shared" si="596"/>
        <v>3.2</v>
      </c>
      <c r="AN695" s="262">
        <f t="shared" si="625"/>
        <v>0.30270359380151662</v>
      </c>
      <c r="AO695" s="100"/>
      <c r="AP695" s="24" t="e">
        <f>VLOOKUP(C695,#REF!,6,FALSE)</f>
        <v>#REF!</v>
      </c>
      <c r="AQ695" s="24" t="e">
        <f>VLOOKUP(C695,#REF!,7,FALSE)</f>
        <v>#REF!</v>
      </c>
      <c r="AR695" s="24" t="e">
        <f>VLOOKUP(C695,#REF!,12,FALSE)</f>
        <v>#REF!</v>
      </c>
      <c r="AS695" s="24" t="e">
        <f>VLOOKUP(C695,#REF!,13,FALSE)</f>
        <v>#REF!</v>
      </c>
      <c r="AT695" s="100"/>
      <c r="AU695" s="100"/>
      <c r="AV695" s="100">
        <v>677</v>
      </c>
      <c r="AW695" s="100"/>
      <c r="AY695" s="9">
        <v>23500</v>
      </c>
    </row>
    <row r="696" spans="1:51" s="162" customFormat="1" ht="12.75" customHeight="1" x14ac:dyDescent="0.2">
      <c r="A696" s="7" t="s">
        <v>1842</v>
      </c>
      <c r="B696" s="8">
        <v>9789500215169</v>
      </c>
      <c r="C696" s="8">
        <v>716995</v>
      </c>
      <c r="D696" s="25">
        <v>36</v>
      </c>
      <c r="E696" s="25" t="s">
        <v>1843</v>
      </c>
      <c r="F696" s="25" t="s">
        <v>1844</v>
      </c>
      <c r="G696" s="107">
        <v>45444</v>
      </c>
      <c r="H696" s="108">
        <v>45413</v>
      </c>
      <c r="I696" s="264">
        <v>2110</v>
      </c>
      <c r="J696" s="28" t="s">
        <v>2136</v>
      </c>
      <c r="K696" s="148">
        <v>1613.45</v>
      </c>
      <c r="L696" s="9">
        <v>18900</v>
      </c>
      <c r="M696" s="112">
        <f>+L696*0.08</f>
        <v>1512</v>
      </c>
      <c r="N696" s="9">
        <f t="shared" si="612"/>
        <v>9450</v>
      </c>
      <c r="O696" s="9">
        <f t="shared" si="613"/>
        <v>6324.55</v>
      </c>
      <c r="P696" s="9">
        <f t="shared" si="614"/>
        <v>3125.45</v>
      </c>
      <c r="Q696" s="139">
        <f t="shared" si="615"/>
        <v>0.66926455026455023</v>
      </c>
      <c r="R696" s="387">
        <v>18900</v>
      </c>
      <c r="S696" s="359" t="s">
        <v>1948</v>
      </c>
      <c r="T696" s="305">
        <v>0.66926455026455023</v>
      </c>
      <c r="U696" s="6"/>
      <c r="V696" s="100"/>
      <c r="W696" s="110">
        <f t="shared" si="616"/>
        <v>18900</v>
      </c>
      <c r="X696" s="110">
        <f t="shared" si="617"/>
        <v>1613.45</v>
      </c>
      <c r="Y696" s="110">
        <f t="shared" si="618"/>
        <v>1512</v>
      </c>
      <c r="Z696" s="110">
        <f t="shared" si="619"/>
        <v>6324.55</v>
      </c>
      <c r="AA696" s="260">
        <f t="shared" si="620"/>
        <v>0.66926455026455023</v>
      </c>
      <c r="AB696" s="28">
        <f t="shared" si="588"/>
        <v>6.2</v>
      </c>
      <c r="AC696" s="261">
        <f t="shared" si="621"/>
        <v>0.6675866543292599</v>
      </c>
      <c r="AD696" s="111">
        <f t="shared" si="590"/>
        <v>2.2000000000000002</v>
      </c>
      <c r="AE696" s="262">
        <f t="shared" si="622"/>
        <v>6.3198753109732372E-2</v>
      </c>
      <c r="AF696" s="100"/>
      <c r="AG696" s="111">
        <f t="shared" si="592"/>
        <v>3.4</v>
      </c>
      <c r="AH696" s="262">
        <f t="shared" si="623"/>
        <v>0.39383448730629739</v>
      </c>
      <c r="AI696" s="100"/>
      <c r="AJ696" s="111">
        <f t="shared" si="594"/>
        <v>3.2</v>
      </c>
      <c r="AK696" s="262">
        <f t="shared" si="624"/>
        <v>0.35594914276294104</v>
      </c>
      <c r="AL696" s="100"/>
      <c r="AM696" s="111">
        <f t="shared" si="596"/>
        <v>2.9</v>
      </c>
      <c r="AN696" s="262">
        <f t="shared" si="625"/>
        <v>0.28932319201427964</v>
      </c>
      <c r="AO696" s="100"/>
      <c r="AP696" s="24" t="e">
        <f>VLOOKUP(C696,#REF!,6,FALSE)</f>
        <v>#REF!</v>
      </c>
      <c r="AQ696" s="24" t="e">
        <f>VLOOKUP(C696,#REF!,7,FALSE)</f>
        <v>#REF!</v>
      </c>
      <c r="AR696" s="24" t="e">
        <f>VLOOKUP(C696,#REF!,12,FALSE)</f>
        <v>#REF!</v>
      </c>
      <c r="AS696" s="24" t="e">
        <f>VLOOKUP(C696,#REF!,13,FALSE)</f>
        <v>#REF!</v>
      </c>
      <c r="AT696" s="100"/>
      <c r="AU696" s="100"/>
      <c r="AV696" s="100">
        <v>678</v>
      </c>
      <c r="AW696" s="100"/>
      <c r="AY696" s="9">
        <v>18900</v>
      </c>
    </row>
    <row r="697" spans="1:51" s="2" customFormat="1" ht="12.75" customHeight="1" x14ac:dyDescent="0.2">
      <c r="A697" s="7" t="s">
        <v>1823</v>
      </c>
      <c r="B697" s="8">
        <v>9789500215046</v>
      </c>
      <c r="C697" s="8">
        <v>715424</v>
      </c>
      <c r="D697" s="25">
        <v>64</v>
      </c>
      <c r="E697" s="7" t="s">
        <v>515</v>
      </c>
      <c r="F697" s="25" t="s">
        <v>1817</v>
      </c>
      <c r="G697" s="107">
        <v>45413</v>
      </c>
      <c r="H697" s="108">
        <v>45566</v>
      </c>
      <c r="I697" s="264">
        <v>2120</v>
      </c>
      <c r="J697" s="28" t="s">
        <v>2136</v>
      </c>
      <c r="K697" s="148">
        <v>2042.32</v>
      </c>
      <c r="L697" s="9">
        <v>25900</v>
      </c>
      <c r="M697" s="112">
        <f>+L697*0.1</f>
        <v>2590</v>
      </c>
      <c r="N697" s="9">
        <f t="shared" si="612"/>
        <v>12950</v>
      </c>
      <c r="O697" s="9">
        <f t="shared" si="613"/>
        <v>8317.68</v>
      </c>
      <c r="P697" s="9">
        <f t="shared" si="614"/>
        <v>4632.32</v>
      </c>
      <c r="Q697" s="139">
        <f t="shared" si="615"/>
        <v>0.64229189189189195</v>
      </c>
      <c r="R697" s="387">
        <v>25900</v>
      </c>
      <c r="S697" s="359" t="s">
        <v>1948</v>
      </c>
      <c r="T697" s="305">
        <v>0.64229189189189195</v>
      </c>
      <c r="U697" s="6"/>
      <c r="V697" s="100"/>
      <c r="W697" s="110">
        <f t="shared" si="616"/>
        <v>25900</v>
      </c>
      <c r="X697" s="110">
        <f t="shared" si="617"/>
        <v>2042.32</v>
      </c>
      <c r="Y697" s="110">
        <f t="shared" si="618"/>
        <v>2590</v>
      </c>
      <c r="Z697" s="110">
        <f t="shared" si="619"/>
        <v>8317.68</v>
      </c>
      <c r="AA697" s="260">
        <f t="shared" si="620"/>
        <v>0.64229189189189195</v>
      </c>
      <c r="AB697" s="28">
        <f t="shared" si="588"/>
        <v>8.5</v>
      </c>
      <c r="AC697" s="261">
        <f t="shared" si="621"/>
        <v>0.64063381237757222</v>
      </c>
      <c r="AD697" s="111">
        <f t="shared" si="590"/>
        <v>3.2</v>
      </c>
      <c r="AE697" s="262">
        <f t="shared" si="622"/>
        <v>4.5433564127926242E-2</v>
      </c>
      <c r="AF697" s="100"/>
      <c r="AG697" s="111">
        <f t="shared" si="592"/>
        <v>5.0999999999999996</v>
      </c>
      <c r="AH697" s="262">
        <f t="shared" si="623"/>
        <v>0.40105635396262035</v>
      </c>
      <c r="AI697" s="100"/>
      <c r="AJ697" s="111">
        <f t="shared" si="594"/>
        <v>4.7</v>
      </c>
      <c r="AK697" s="262">
        <f t="shared" si="624"/>
        <v>0.35008242664029021</v>
      </c>
      <c r="AL697" s="100"/>
      <c r="AM697" s="111">
        <f t="shared" si="596"/>
        <v>4.4000000000000004</v>
      </c>
      <c r="AN697" s="262">
        <f t="shared" si="625"/>
        <v>0.30576986482030999</v>
      </c>
      <c r="AO697" s="100"/>
      <c r="AP697" s="24" t="e">
        <f>VLOOKUP(C697,#REF!,6,FALSE)</f>
        <v>#REF!</v>
      </c>
      <c r="AQ697" s="24" t="e">
        <f>VLOOKUP(C697,#REF!,7,FALSE)</f>
        <v>#REF!</v>
      </c>
      <c r="AR697" s="24" t="e">
        <f>VLOOKUP(C697,#REF!,12,FALSE)</f>
        <v>#REF!</v>
      </c>
      <c r="AS697" s="24" t="e">
        <f>VLOOKUP(C697,#REF!,13,FALSE)</f>
        <v>#REF!</v>
      </c>
      <c r="AT697" s="100"/>
      <c r="AU697" s="100"/>
      <c r="AV697" s="100">
        <v>679</v>
      </c>
      <c r="AW697" s="100"/>
      <c r="AY697" s="9">
        <v>25900</v>
      </c>
    </row>
    <row r="698" spans="1:51" s="2" customFormat="1" ht="12.75" customHeight="1" x14ac:dyDescent="0.2">
      <c r="A698" s="7" t="s">
        <v>1824</v>
      </c>
      <c r="B698" s="8">
        <v>9789500215022</v>
      </c>
      <c r="C698" s="8">
        <v>715425</v>
      </c>
      <c r="D698" s="25">
        <v>36</v>
      </c>
      <c r="E698" s="25" t="s">
        <v>1825</v>
      </c>
      <c r="F698" s="25" t="s">
        <v>1818</v>
      </c>
      <c r="G698" s="107">
        <v>45413</v>
      </c>
      <c r="H698" s="108">
        <v>45383</v>
      </c>
      <c r="I698" s="264">
        <v>2113</v>
      </c>
      <c r="J698" s="28" t="s">
        <v>2136</v>
      </c>
      <c r="K698" s="148">
        <v>1562.96</v>
      </c>
      <c r="L698" s="9">
        <v>19700</v>
      </c>
      <c r="M698" s="112">
        <f>+L698*0.08</f>
        <v>1576</v>
      </c>
      <c r="N698" s="9">
        <f t="shared" si="612"/>
        <v>9850</v>
      </c>
      <c r="O698" s="9">
        <f t="shared" si="613"/>
        <v>6711.04</v>
      </c>
      <c r="P698" s="9">
        <f t="shared" si="614"/>
        <v>3138.96</v>
      </c>
      <c r="Q698" s="139">
        <f t="shared" si="615"/>
        <v>0.6813238578680203</v>
      </c>
      <c r="R698" s="387">
        <v>19700</v>
      </c>
      <c r="S698" s="359" t="s">
        <v>1948</v>
      </c>
      <c r="T698" s="305">
        <v>0.6813238578680203</v>
      </c>
      <c r="U698" s="6"/>
      <c r="V698" s="100"/>
      <c r="W698" s="110">
        <f t="shared" si="616"/>
        <v>19700</v>
      </c>
      <c r="X698" s="110">
        <f t="shared" si="617"/>
        <v>1562.96</v>
      </c>
      <c r="Y698" s="110">
        <f t="shared" si="618"/>
        <v>1576</v>
      </c>
      <c r="Z698" s="110">
        <f t="shared" si="619"/>
        <v>6711.0400000000009</v>
      </c>
      <c r="AA698" s="260">
        <f t="shared" si="620"/>
        <v>0.68132385786802041</v>
      </c>
      <c r="AB698" s="28">
        <f t="shared" si="588"/>
        <v>6.5</v>
      </c>
      <c r="AC698" s="261">
        <f t="shared" si="621"/>
        <v>0.68155824393213127</v>
      </c>
      <c r="AD698" s="111">
        <f t="shared" si="590"/>
        <v>2.2000000000000002</v>
      </c>
      <c r="AE698" s="262">
        <f t="shared" si="622"/>
        <v>5.9149357072205776E-2</v>
      </c>
      <c r="AF698" s="100"/>
      <c r="AG698" s="111">
        <f t="shared" si="592"/>
        <v>3.4</v>
      </c>
      <c r="AH698" s="262">
        <f t="shared" si="623"/>
        <v>0.3912142898702507</v>
      </c>
      <c r="AI698" s="100"/>
      <c r="AJ698" s="111">
        <f t="shared" si="594"/>
        <v>3.2</v>
      </c>
      <c r="AK698" s="262">
        <f t="shared" si="624"/>
        <v>0.35316518298714145</v>
      </c>
      <c r="AL698" s="100"/>
      <c r="AM698" s="111">
        <f t="shared" si="596"/>
        <v>3</v>
      </c>
      <c r="AN698" s="262">
        <f t="shared" si="625"/>
        <v>0.31004286185295088</v>
      </c>
      <c r="AO698" s="100"/>
      <c r="AP698" s="24" t="e">
        <f>VLOOKUP(C698,#REF!,6,FALSE)</f>
        <v>#REF!</v>
      </c>
      <c r="AQ698" s="24" t="e">
        <f>VLOOKUP(C698,#REF!,7,FALSE)</f>
        <v>#REF!</v>
      </c>
      <c r="AR698" s="24" t="e">
        <f>VLOOKUP(C698,#REF!,12,FALSE)</f>
        <v>#REF!</v>
      </c>
      <c r="AS698" s="24" t="e">
        <f>VLOOKUP(C698,#REF!,13,FALSE)</f>
        <v>#REF!</v>
      </c>
      <c r="AT698" s="100"/>
      <c r="AU698" s="100"/>
      <c r="AV698" s="100">
        <v>680</v>
      </c>
      <c r="AW698" s="100"/>
      <c r="AY698" s="9">
        <v>19700</v>
      </c>
    </row>
    <row r="699" spans="1:51" s="162" customFormat="1" ht="12.75" customHeight="1" x14ac:dyDescent="0.2">
      <c r="A699" s="7" t="s">
        <v>1795</v>
      </c>
      <c r="B699" s="8">
        <v>9789500214964</v>
      </c>
      <c r="C699" s="8">
        <v>714592</v>
      </c>
      <c r="D699" s="25">
        <v>36</v>
      </c>
      <c r="E699" s="25" t="s">
        <v>1796</v>
      </c>
      <c r="F699" s="25" t="s">
        <v>1800</v>
      </c>
      <c r="G699" s="107">
        <v>45383</v>
      </c>
      <c r="H699" s="108">
        <v>45352</v>
      </c>
      <c r="I699" s="7">
        <v>3125</v>
      </c>
      <c r="J699" s="28" t="s">
        <v>2136</v>
      </c>
      <c r="K699" s="148">
        <v>1430.28</v>
      </c>
      <c r="L699" s="9">
        <v>19900</v>
      </c>
      <c r="M699" s="112">
        <f>+L699*0.08</f>
        <v>1592</v>
      </c>
      <c r="N699" s="9">
        <f t="shared" si="612"/>
        <v>9950</v>
      </c>
      <c r="O699" s="9">
        <f t="shared" si="613"/>
        <v>6927.72</v>
      </c>
      <c r="P699" s="9">
        <f t="shared" si="614"/>
        <v>3022.2799999999997</v>
      </c>
      <c r="Q699" s="139">
        <f t="shared" si="615"/>
        <v>0.69625326633165829</v>
      </c>
      <c r="R699" s="387">
        <v>19900</v>
      </c>
      <c r="S699" s="359" t="s">
        <v>1948</v>
      </c>
      <c r="T699" s="305">
        <v>0.69625326633165829</v>
      </c>
      <c r="U699" s="6"/>
      <c r="V699" s="100"/>
      <c r="W699" s="110">
        <f t="shared" si="616"/>
        <v>19900</v>
      </c>
      <c r="X699" s="110">
        <f t="shared" si="617"/>
        <v>1430.28</v>
      </c>
      <c r="Y699" s="110">
        <f t="shared" si="618"/>
        <v>1592</v>
      </c>
      <c r="Z699" s="110">
        <f t="shared" si="619"/>
        <v>6927.7199999999993</v>
      </c>
      <c r="AA699" s="260">
        <f t="shared" si="620"/>
        <v>0.69625326633165818</v>
      </c>
      <c r="AB699" s="28">
        <f t="shared" si="588"/>
        <v>6.6</v>
      </c>
      <c r="AC699" s="261">
        <f t="shared" si="621"/>
        <v>0.69804074373807301</v>
      </c>
      <c r="AD699" s="111">
        <f t="shared" si="590"/>
        <v>2.1</v>
      </c>
      <c r="AE699" s="262">
        <f t="shared" si="622"/>
        <v>5.098519460537268E-2</v>
      </c>
      <c r="AF699" s="100"/>
      <c r="AG699" s="111">
        <f t="shared" si="592"/>
        <v>3.3</v>
      </c>
      <c r="AH699" s="262">
        <f t="shared" si="623"/>
        <v>0.39608148747614624</v>
      </c>
      <c r="AI699" s="100"/>
      <c r="AJ699" s="111">
        <f t="shared" si="594"/>
        <v>3.1</v>
      </c>
      <c r="AK699" s="262">
        <f t="shared" si="624"/>
        <v>0.35711900279718806</v>
      </c>
      <c r="AL699" s="100"/>
      <c r="AM699" s="111">
        <f t="shared" si="596"/>
        <v>2.8</v>
      </c>
      <c r="AN699" s="262">
        <f t="shared" si="625"/>
        <v>0.28823889595402952</v>
      </c>
      <c r="AO699" s="100"/>
      <c r="AP699" s="24" t="e">
        <f>VLOOKUP(C699,#REF!,6,FALSE)</f>
        <v>#REF!</v>
      </c>
      <c r="AQ699" s="24" t="e">
        <f>VLOOKUP(C699,#REF!,7,FALSE)</f>
        <v>#REF!</v>
      </c>
      <c r="AR699" s="24" t="e">
        <f>VLOOKUP(C699,#REF!,12,FALSE)</f>
        <v>#REF!</v>
      </c>
      <c r="AS699" s="24" t="e">
        <f>VLOOKUP(C699,#REF!,13,FALSE)</f>
        <v>#REF!</v>
      </c>
      <c r="AT699" s="100"/>
      <c r="AU699" s="100"/>
      <c r="AV699" s="100">
        <v>681</v>
      </c>
      <c r="AW699" s="100"/>
      <c r="AY699" s="9">
        <v>19900</v>
      </c>
    </row>
    <row r="700" spans="1:51" s="2" customFormat="1" ht="12.75" customHeight="1" x14ac:dyDescent="0.2">
      <c r="A700" s="7" t="s">
        <v>1792</v>
      </c>
      <c r="B700" s="8">
        <v>9789500214940</v>
      </c>
      <c r="C700" s="8">
        <v>714591</v>
      </c>
      <c r="D700" s="25">
        <v>64</v>
      </c>
      <c r="E700" s="25" t="s">
        <v>1793</v>
      </c>
      <c r="F700" s="25" t="s">
        <v>1794</v>
      </c>
      <c r="G700" s="107">
        <v>45383</v>
      </c>
      <c r="H700" s="108">
        <v>45383</v>
      </c>
      <c r="I700" s="7">
        <v>3099</v>
      </c>
      <c r="J700" s="8" t="s">
        <v>2258</v>
      </c>
      <c r="K700" s="148">
        <v>1338.96</v>
      </c>
      <c r="L700" s="9">
        <v>19800</v>
      </c>
      <c r="M700" s="112">
        <f>+L700*0.08</f>
        <v>1584</v>
      </c>
      <c r="N700" s="9">
        <f t="shared" si="612"/>
        <v>9900</v>
      </c>
      <c r="O700" s="9">
        <f t="shared" si="613"/>
        <v>6977.04</v>
      </c>
      <c r="P700" s="9">
        <f t="shared" si="614"/>
        <v>2922.96</v>
      </c>
      <c r="Q700" s="139">
        <f t="shared" si="615"/>
        <v>0.70475151515151513</v>
      </c>
      <c r="R700" s="387">
        <v>19800</v>
      </c>
      <c r="S700" s="359" t="s">
        <v>1948</v>
      </c>
      <c r="T700" s="305">
        <v>0.70475151515151513</v>
      </c>
      <c r="U700" s="6"/>
      <c r="V700" s="100"/>
      <c r="W700" s="110">
        <f t="shared" si="616"/>
        <v>19800</v>
      </c>
      <c r="X700" s="110">
        <f t="shared" si="617"/>
        <v>1338.96</v>
      </c>
      <c r="Y700" s="110">
        <f t="shared" si="618"/>
        <v>1584</v>
      </c>
      <c r="Z700" s="110">
        <f t="shared" si="619"/>
        <v>6977.0400000000009</v>
      </c>
      <c r="AA700" s="260">
        <f t="shared" si="620"/>
        <v>0.70475151515151524</v>
      </c>
      <c r="AB700" s="28">
        <f t="shared" si="588"/>
        <v>6.5</v>
      </c>
      <c r="AC700" s="261">
        <f t="shared" si="621"/>
        <v>0.70347104922772585</v>
      </c>
      <c r="AD700" s="111">
        <f t="shared" si="590"/>
        <v>2</v>
      </c>
      <c r="AE700" s="262">
        <f t="shared" si="622"/>
        <v>3.6280909990108794E-2</v>
      </c>
      <c r="AF700" s="100"/>
      <c r="AG700" s="111">
        <f t="shared" si="592"/>
        <v>3.2</v>
      </c>
      <c r="AH700" s="262">
        <f t="shared" si="623"/>
        <v>0.39767556874381804</v>
      </c>
      <c r="AI700" s="100"/>
      <c r="AJ700" s="111">
        <f t="shared" si="594"/>
        <v>3</v>
      </c>
      <c r="AK700" s="262">
        <f t="shared" si="624"/>
        <v>0.35752060666007252</v>
      </c>
      <c r="AL700" s="100"/>
      <c r="AM700" s="111">
        <f t="shared" si="596"/>
        <v>2.8</v>
      </c>
      <c r="AN700" s="262">
        <f t="shared" si="625"/>
        <v>0.31162922142150623</v>
      </c>
      <c r="AO700" s="100"/>
      <c r="AP700" s="24" t="e">
        <f>VLOOKUP(C700,#REF!,6,FALSE)</f>
        <v>#REF!</v>
      </c>
      <c r="AQ700" s="24" t="e">
        <f>VLOOKUP(C700,#REF!,7,FALSE)</f>
        <v>#REF!</v>
      </c>
      <c r="AR700" s="24" t="e">
        <f>VLOOKUP(C700,#REF!,12,FALSE)</f>
        <v>#REF!</v>
      </c>
      <c r="AS700" s="24" t="e">
        <f>VLOOKUP(C700,#REF!,13,FALSE)</f>
        <v>#REF!</v>
      </c>
      <c r="AT700" s="100"/>
      <c r="AU700" s="100"/>
      <c r="AV700" s="100">
        <v>682</v>
      </c>
      <c r="AW700" s="100"/>
      <c r="AY700" s="9">
        <v>19800</v>
      </c>
    </row>
    <row r="701" spans="1:51" s="2" customFormat="1" ht="12.75" customHeight="1" x14ac:dyDescent="0.2">
      <c r="A701" s="6" t="s">
        <v>1876</v>
      </c>
      <c r="B701" s="8">
        <v>9789500215398</v>
      </c>
      <c r="C701" s="8">
        <v>718511</v>
      </c>
      <c r="D701" s="41">
        <v>72</v>
      </c>
      <c r="E701" s="25" t="s">
        <v>1793</v>
      </c>
      <c r="F701" s="25" t="s">
        <v>1877</v>
      </c>
      <c r="G701" s="118">
        <v>45383</v>
      </c>
      <c r="H701" s="108">
        <v>46204</v>
      </c>
      <c r="I701" s="267">
        <v>3090</v>
      </c>
      <c r="J701" s="25" t="s">
        <v>1762</v>
      </c>
      <c r="K701" s="148">
        <v>2008.68</v>
      </c>
      <c r="L701" s="9">
        <v>23900</v>
      </c>
      <c r="M701" s="112">
        <f>+L701*0.08</f>
        <v>1912</v>
      </c>
      <c r="N701" s="9">
        <f t="shared" si="612"/>
        <v>11950</v>
      </c>
      <c r="O701" s="9">
        <f t="shared" si="613"/>
        <v>8029.32</v>
      </c>
      <c r="P701" s="9">
        <f t="shared" si="614"/>
        <v>3920.6800000000003</v>
      </c>
      <c r="Q701" s="139">
        <f t="shared" si="615"/>
        <v>0.67190962343096228</v>
      </c>
      <c r="R701" s="387">
        <v>23900</v>
      </c>
      <c r="S701" s="359" t="s">
        <v>1948</v>
      </c>
      <c r="T701" s="305">
        <v>0.68864803493449789</v>
      </c>
      <c r="U701" s="6" t="s">
        <v>1945</v>
      </c>
      <c r="V701" s="100"/>
      <c r="W701" s="110">
        <f t="shared" si="616"/>
        <v>23900</v>
      </c>
      <c r="X701" s="110">
        <f t="shared" si="617"/>
        <v>2008.68</v>
      </c>
      <c r="Y701" s="110">
        <f t="shared" si="618"/>
        <v>1912</v>
      </c>
      <c r="Z701" s="110">
        <f t="shared" si="619"/>
        <v>8029.32</v>
      </c>
      <c r="AA701" s="260">
        <f t="shared" si="620"/>
        <v>0.67190962343096228</v>
      </c>
      <c r="AB701" s="28">
        <f t="shared" si="588"/>
        <v>7.9</v>
      </c>
      <c r="AC701" s="261">
        <f t="shared" si="621"/>
        <v>0.67274077969341461</v>
      </c>
      <c r="AD701" s="111">
        <f t="shared" si="590"/>
        <v>2.7</v>
      </c>
      <c r="AE701" s="262">
        <f t="shared" si="622"/>
        <v>4.2463762806657604E-2</v>
      </c>
      <c r="AF701" s="100"/>
      <c r="AG701" s="111">
        <f t="shared" si="592"/>
        <v>4.3</v>
      </c>
      <c r="AH701" s="262">
        <f t="shared" si="623"/>
        <v>0.3987563161809245</v>
      </c>
      <c r="AI701" s="100"/>
      <c r="AJ701" s="111">
        <f t="shared" si="594"/>
        <v>4</v>
      </c>
      <c r="AK701" s="262">
        <f t="shared" si="624"/>
        <v>0.35366303989449382</v>
      </c>
      <c r="AL701" s="100"/>
      <c r="AM701" s="111">
        <f t="shared" si="596"/>
        <v>3.7</v>
      </c>
      <c r="AN701" s="262">
        <f t="shared" si="625"/>
        <v>0.30125734042647984</v>
      </c>
      <c r="AO701" s="100"/>
      <c r="AP701" s="24" t="e">
        <f>VLOOKUP(C701,#REF!,6,FALSE)</f>
        <v>#REF!</v>
      </c>
      <c r="AQ701" s="24" t="e">
        <f>VLOOKUP(C701,#REF!,7,FALSE)</f>
        <v>#REF!</v>
      </c>
      <c r="AR701" s="24" t="e">
        <f>VLOOKUP(C701,#REF!,12,FALSE)</f>
        <v>#REF!</v>
      </c>
      <c r="AS701" s="24" t="e">
        <f>VLOOKUP(C701,#REF!,13,FALSE)</f>
        <v>#REF!</v>
      </c>
      <c r="AT701" s="100"/>
      <c r="AU701" s="100"/>
      <c r="AV701" s="100">
        <v>683</v>
      </c>
      <c r="AW701" s="100"/>
      <c r="AY701" s="9">
        <v>23900</v>
      </c>
    </row>
    <row r="702" spans="1:51" s="2" customFormat="1" ht="12.75" customHeight="1" x14ac:dyDescent="0.2">
      <c r="A702" s="6" t="s">
        <v>2024</v>
      </c>
      <c r="B702" s="8">
        <v>9789500216135</v>
      </c>
      <c r="C702" s="8">
        <v>728156</v>
      </c>
      <c r="D702" s="41">
        <v>80</v>
      </c>
      <c r="E702" s="6" t="s">
        <v>1899</v>
      </c>
      <c r="F702" s="8" t="s">
        <v>2025</v>
      </c>
      <c r="G702" s="118">
        <v>45748</v>
      </c>
      <c r="H702" s="108">
        <v>46082</v>
      </c>
      <c r="I702" s="264">
        <v>2140</v>
      </c>
      <c r="J702" s="7" t="s">
        <v>1762</v>
      </c>
      <c r="K702" s="148">
        <v>2356.41</v>
      </c>
      <c r="L702" s="9">
        <v>23900</v>
      </c>
      <c r="M702" s="112">
        <f>+L702*0.1</f>
        <v>2390</v>
      </c>
      <c r="N702" s="9">
        <f t="shared" si="612"/>
        <v>11950</v>
      </c>
      <c r="O702" s="9">
        <f t="shared" si="613"/>
        <v>7203.59</v>
      </c>
      <c r="P702" s="9">
        <f t="shared" si="614"/>
        <v>4746.41</v>
      </c>
      <c r="Q702" s="109">
        <f t="shared" si="615"/>
        <v>0.60281087866108785</v>
      </c>
      <c r="R702" s="387">
        <v>23900</v>
      </c>
      <c r="S702" s="359" t="s">
        <v>1948</v>
      </c>
      <c r="T702" s="305">
        <v>0.59420000000000006</v>
      </c>
      <c r="U702" s="12"/>
      <c r="V702" s="100"/>
      <c r="W702" s="110">
        <f t="shared" si="616"/>
        <v>23900</v>
      </c>
      <c r="X702" s="110">
        <f t="shared" si="617"/>
        <v>2356.41</v>
      </c>
      <c r="Y702" s="110">
        <f t="shared" si="618"/>
        <v>2390</v>
      </c>
      <c r="Z702" s="110">
        <f t="shared" si="619"/>
        <v>7203.59</v>
      </c>
      <c r="AA702" s="260">
        <f t="shared" si="620"/>
        <v>0.60281087866108785</v>
      </c>
      <c r="AB702" s="28">
        <f t="shared" si="588"/>
        <v>7.9</v>
      </c>
      <c r="AC702" s="261">
        <f t="shared" si="621"/>
        <v>0.60381708380806909</v>
      </c>
      <c r="AD702" s="111">
        <f t="shared" si="590"/>
        <v>3.3</v>
      </c>
      <c r="AE702" s="262">
        <f t="shared" si="622"/>
        <v>5.1562109722347108E-2</v>
      </c>
      <c r="AF702" s="100"/>
      <c r="AG702" s="111">
        <f t="shared" si="592"/>
        <v>5.2</v>
      </c>
      <c r="AH702" s="262">
        <f t="shared" si="623"/>
        <v>0.39810672347764336</v>
      </c>
      <c r="AI702" s="100"/>
      <c r="AJ702" s="111">
        <f t="shared" si="594"/>
        <v>4.8</v>
      </c>
      <c r="AK702" s="262">
        <f t="shared" si="624"/>
        <v>0.34794895043411367</v>
      </c>
      <c r="AL702" s="100"/>
      <c r="AM702" s="111">
        <f t="shared" si="596"/>
        <v>4.5</v>
      </c>
      <c r="AN702" s="262">
        <f t="shared" si="625"/>
        <v>0.30447888046305455</v>
      </c>
      <c r="AO702" s="100"/>
      <c r="AP702" s="24" t="e">
        <f>VLOOKUP(C702,#REF!,6,FALSE)</f>
        <v>#REF!</v>
      </c>
      <c r="AQ702" s="24" t="e">
        <f>VLOOKUP(C702,#REF!,7,FALSE)</f>
        <v>#REF!</v>
      </c>
      <c r="AR702" s="24" t="e">
        <f>VLOOKUP(C702,#REF!,12,FALSE)</f>
        <v>#REF!</v>
      </c>
      <c r="AS702" s="24" t="e">
        <f>VLOOKUP(C702,#REF!,13,FALSE)</f>
        <v>#REF!</v>
      </c>
      <c r="AT702" s="100"/>
      <c r="AU702" s="100"/>
      <c r="AV702" s="100">
        <v>684</v>
      </c>
      <c r="AW702" s="100"/>
      <c r="AY702" s="9">
        <v>23900</v>
      </c>
    </row>
    <row r="703" spans="1:51" s="2" customFormat="1" ht="12.75" customHeight="1" x14ac:dyDescent="0.2">
      <c r="A703" s="6" t="s">
        <v>2026</v>
      </c>
      <c r="B703" s="8">
        <v>9789500216074</v>
      </c>
      <c r="C703" s="8">
        <v>728157</v>
      </c>
      <c r="D703" s="41">
        <v>72</v>
      </c>
      <c r="E703" s="6" t="s">
        <v>1899</v>
      </c>
      <c r="F703" s="8" t="s">
        <v>2027</v>
      </c>
      <c r="G703" s="107">
        <v>45748</v>
      </c>
      <c r="H703" s="108">
        <v>45839</v>
      </c>
      <c r="I703" s="41">
        <v>3050</v>
      </c>
      <c r="J703" s="8" t="s">
        <v>2136</v>
      </c>
      <c r="K703" s="148">
        <v>4789.92</v>
      </c>
      <c r="L703" s="9">
        <v>29900</v>
      </c>
      <c r="M703" s="9">
        <f>+L703*0.08</f>
        <v>2392</v>
      </c>
      <c r="N703" s="9">
        <f t="shared" si="612"/>
        <v>14950</v>
      </c>
      <c r="O703" s="9">
        <f t="shared" si="613"/>
        <v>7768.08</v>
      </c>
      <c r="P703" s="9">
        <f t="shared" si="614"/>
        <v>7181.92</v>
      </c>
      <c r="Q703" s="109">
        <f t="shared" si="615"/>
        <v>0.51960401337792639</v>
      </c>
      <c r="R703" s="387">
        <v>29900</v>
      </c>
      <c r="S703" s="359" t="s">
        <v>1948</v>
      </c>
      <c r="T703" s="305">
        <v>0.51960401337792639</v>
      </c>
      <c r="U703" s="12"/>
      <c r="V703" s="100"/>
      <c r="W703" s="110">
        <f t="shared" si="616"/>
        <v>29900</v>
      </c>
      <c r="X703" s="110">
        <f t="shared" si="617"/>
        <v>4789.92</v>
      </c>
      <c r="Y703" s="110">
        <f t="shared" si="618"/>
        <v>2392</v>
      </c>
      <c r="Z703" s="110">
        <f t="shared" si="619"/>
        <v>7768.08</v>
      </c>
      <c r="AA703" s="260">
        <f t="shared" si="620"/>
        <v>0.51960401337792639</v>
      </c>
      <c r="AB703" s="28">
        <f t="shared" si="588"/>
        <v>9.9</v>
      </c>
      <c r="AC703" s="261">
        <f t="shared" si="621"/>
        <v>0.52163108167064642</v>
      </c>
      <c r="AD703" s="111">
        <f t="shared" si="590"/>
        <v>5</v>
      </c>
      <c r="AE703" s="262">
        <f t="shared" si="622"/>
        <v>5.2829541707879978E-2</v>
      </c>
      <c r="AF703" s="100"/>
      <c r="AG703" s="111">
        <f t="shared" si="592"/>
        <v>7.9</v>
      </c>
      <c r="AH703" s="262">
        <f t="shared" si="623"/>
        <v>0.4005250263973924</v>
      </c>
      <c r="AI703" s="100"/>
      <c r="AJ703" s="111">
        <f t="shared" si="594"/>
        <v>7.3</v>
      </c>
      <c r="AK703" s="262">
        <f t="shared" si="624"/>
        <v>0.35125311075882182</v>
      </c>
      <c r="AL703" s="100"/>
      <c r="AM703" s="111">
        <f t="shared" si="596"/>
        <v>6.8</v>
      </c>
      <c r="AN703" s="262">
        <f t="shared" si="625"/>
        <v>0.3035511336087352</v>
      </c>
      <c r="AO703" s="100"/>
      <c r="AP703" s="24" t="e">
        <f>VLOOKUP(C703,#REF!,6,FALSE)</f>
        <v>#REF!</v>
      </c>
      <c r="AQ703" s="24" t="e">
        <f>VLOOKUP(C703,#REF!,7,FALSE)</f>
        <v>#REF!</v>
      </c>
      <c r="AR703" s="24" t="e">
        <f>VLOOKUP(C703,#REF!,12,FALSE)</f>
        <v>#REF!</v>
      </c>
      <c r="AS703" s="24" t="e">
        <f>VLOOKUP(C703,#REF!,13,FALSE)</f>
        <v>#REF!</v>
      </c>
      <c r="AT703" s="100"/>
      <c r="AU703" s="100"/>
      <c r="AV703" s="100">
        <v>685</v>
      </c>
      <c r="AW703" s="100"/>
      <c r="AY703" s="9">
        <v>29900</v>
      </c>
    </row>
    <row r="704" spans="1:51" s="2" customFormat="1" ht="12.75" customHeight="1" x14ac:dyDescent="0.2">
      <c r="A704" s="7" t="s">
        <v>1496</v>
      </c>
      <c r="B704" s="8">
        <v>9789500214254</v>
      </c>
      <c r="C704" s="8">
        <v>710541</v>
      </c>
      <c r="D704" s="25">
        <v>48</v>
      </c>
      <c r="E704" s="7" t="s">
        <v>860</v>
      </c>
      <c r="F704" s="7" t="s">
        <v>861</v>
      </c>
      <c r="G704" s="107">
        <v>45231</v>
      </c>
      <c r="H704" s="108">
        <v>45200</v>
      </c>
      <c r="I704" s="7">
        <v>3050</v>
      </c>
      <c r="J704" s="28" t="s">
        <v>2136</v>
      </c>
      <c r="K704" s="117">
        <v>657.43</v>
      </c>
      <c r="L704" s="9">
        <v>19900</v>
      </c>
      <c r="M704" s="9">
        <f>+L704*0.1</f>
        <v>1990</v>
      </c>
      <c r="N704" s="9">
        <f t="shared" si="612"/>
        <v>9950</v>
      </c>
      <c r="O704" s="9">
        <f t="shared" si="613"/>
        <v>7302.57</v>
      </c>
      <c r="P704" s="9">
        <f t="shared" si="614"/>
        <v>2647.43</v>
      </c>
      <c r="Q704" s="139">
        <f t="shared" si="615"/>
        <v>0.73392663316582907</v>
      </c>
      <c r="R704" s="387">
        <v>19900</v>
      </c>
      <c r="S704" s="359" t="s">
        <v>1948</v>
      </c>
      <c r="T704" s="305">
        <v>0.73392663316582907</v>
      </c>
      <c r="U704" s="144"/>
      <c r="V704" s="100"/>
      <c r="W704" s="110">
        <f t="shared" si="616"/>
        <v>19900</v>
      </c>
      <c r="X704" s="110">
        <f t="shared" si="617"/>
        <v>657.43</v>
      </c>
      <c r="Y704" s="110">
        <f t="shared" si="618"/>
        <v>1990</v>
      </c>
      <c r="Z704" s="110">
        <f t="shared" si="619"/>
        <v>7302.57</v>
      </c>
      <c r="AA704" s="260">
        <f t="shared" si="620"/>
        <v>0.73392663316582907</v>
      </c>
      <c r="AB704" s="28">
        <f t="shared" si="588"/>
        <v>6.6</v>
      </c>
      <c r="AC704" s="261">
        <f t="shared" si="621"/>
        <v>0.7354924117535393</v>
      </c>
      <c r="AD704" s="111">
        <f t="shared" si="590"/>
        <v>1.8</v>
      </c>
      <c r="AE704" s="262">
        <f t="shared" si="622"/>
        <v>3.0138843096311107E-2</v>
      </c>
      <c r="AF704" s="100"/>
      <c r="AG704" s="111">
        <f t="shared" si="592"/>
        <v>2.9</v>
      </c>
      <c r="AH704" s="262">
        <f t="shared" si="623"/>
        <v>0.39801721295633091</v>
      </c>
      <c r="AI704" s="100"/>
      <c r="AJ704" s="111">
        <f t="shared" si="594"/>
        <v>2.7</v>
      </c>
      <c r="AK704" s="262">
        <f t="shared" si="624"/>
        <v>0.35342589539754071</v>
      </c>
      <c r="AL704" s="100"/>
      <c r="AM704" s="111">
        <f t="shared" si="596"/>
        <v>2.5</v>
      </c>
      <c r="AN704" s="262">
        <f t="shared" si="625"/>
        <v>0.30169996702934393</v>
      </c>
      <c r="AO704" s="100"/>
      <c r="AP704" s="24" t="e">
        <f>VLOOKUP(C704,#REF!,6,FALSE)</f>
        <v>#REF!</v>
      </c>
      <c r="AQ704" s="24" t="e">
        <f>VLOOKUP(C704,#REF!,7,FALSE)</f>
        <v>#REF!</v>
      </c>
      <c r="AR704" s="24" t="e">
        <f>VLOOKUP(C704,#REF!,12,FALSE)</f>
        <v>#REF!</v>
      </c>
      <c r="AS704" s="24" t="e">
        <f>VLOOKUP(C704,#REF!,13,FALSE)</f>
        <v>#REF!</v>
      </c>
      <c r="AT704" s="100"/>
      <c r="AU704" s="100"/>
      <c r="AV704" s="100">
        <v>686</v>
      </c>
      <c r="AW704" s="100"/>
      <c r="AY704" s="9">
        <v>19900</v>
      </c>
    </row>
    <row r="705" spans="1:51" s="2" customFormat="1" ht="12.75" customHeight="1" x14ac:dyDescent="0.2">
      <c r="A705" s="7" t="s">
        <v>1797</v>
      </c>
      <c r="B705" s="8">
        <v>9789500214957</v>
      </c>
      <c r="C705" s="8">
        <v>714593</v>
      </c>
      <c r="D705" s="25">
        <v>160</v>
      </c>
      <c r="E705" s="7" t="s">
        <v>156</v>
      </c>
      <c r="F705" s="25" t="s">
        <v>1802</v>
      </c>
      <c r="G705" s="107">
        <v>45383</v>
      </c>
      <c r="H705" s="108">
        <v>45809</v>
      </c>
      <c r="I705" s="264">
        <v>2055</v>
      </c>
      <c r="J705" s="7" t="s">
        <v>1762</v>
      </c>
      <c r="K705" s="148">
        <v>2462.7399999999998</v>
      </c>
      <c r="L705" s="9">
        <v>19900</v>
      </c>
      <c r="M705" s="112"/>
      <c r="N705" s="9">
        <f t="shared" si="612"/>
        <v>9950</v>
      </c>
      <c r="O705" s="9">
        <f t="shared" si="613"/>
        <v>7487.26</v>
      </c>
      <c r="P705" s="9">
        <f t="shared" si="614"/>
        <v>2462.7399999999998</v>
      </c>
      <c r="Q705" s="139">
        <f t="shared" si="615"/>
        <v>0.75248844221105526</v>
      </c>
      <c r="R705" s="387">
        <v>19900</v>
      </c>
      <c r="S705" s="359" t="s">
        <v>1948</v>
      </c>
      <c r="T705" s="305">
        <v>0.75248844221105526</v>
      </c>
      <c r="U705" s="6"/>
      <c r="V705" s="100"/>
      <c r="W705" s="110">
        <f t="shared" si="616"/>
        <v>19900</v>
      </c>
      <c r="X705" s="110">
        <f t="shared" si="617"/>
        <v>2462.7399999999998</v>
      </c>
      <c r="Y705" s="110">
        <f t="shared" si="618"/>
        <v>0</v>
      </c>
      <c r="Z705" s="110">
        <f t="shared" si="619"/>
        <v>7487.26</v>
      </c>
      <c r="AA705" s="260">
        <f t="shared" si="620"/>
        <v>0.75248844221105526</v>
      </c>
      <c r="AB705" s="28">
        <f t="shared" si="588"/>
        <v>6.6</v>
      </c>
      <c r="AC705" s="261">
        <f t="shared" si="621"/>
        <v>0.75394498895982576</v>
      </c>
      <c r="AD705" s="111">
        <f t="shared" si="590"/>
        <v>1.7</v>
      </c>
      <c r="AE705" s="262">
        <f t="shared" si="622"/>
        <v>4.4727604196970562E-2</v>
      </c>
      <c r="AF705" s="100"/>
      <c r="AG705" s="111">
        <f t="shared" si="592"/>
        <v>2.7</v>
      </c>
      <c r="AH705" s="262">
        <f t="shared" si="623"/>
        <v>0.39853219523512973</v>
      </c>
      <c r="AI705" s="100"/>
      <c r="AJ705" s="111">
        <f t="shared" si="594"/>
        <v>2.5</v>
      </c>
      <c r="AK705" s="262">
        <f t="shared" si="624"/>
        <v>0.35041477085394007</v>
      </c>
      <c r="AL705" s="100"/>
      <c r="AM705" s="111">
        <f t="shared" si="596"/>
        <v>2.2999999999999998</v>
      </c>
      <c r="AN705" s="262">
        <f t="shared" si="625"/>
        <v>0.29392909875428264</v>
      </c>
      <c r="AO705" s="100"/>
      <c r="AP705" s="24" t="e">
        <f>VLOOKUP(C705,#REF!,6,FALSE)</f>
        <v>#REF!</v>
      </c>
      <c r="AQ705" s="24" t="e">
        <f>VLOOKUP(C705,#REF!,7,FALSE)</f>
        <v>#REF!</v>
      </c>
      <c r="AR705" s="24" t="e">
        <f>VLOOKUP(C705,#REF!,12,FALSE)</f>
        <v>#REF!</v>
      </c>
      <c r="AS705" s="24" t="e">
        <f>VLOOKUP(C705,#REF!,13,FALSE)</f>
        <v>#REF!</v>
      </c>
      <c r="AT705" s="100"/>
      <c r="AU705" s="100"/>
      <c r="AV705" s="100">
        <v>687</v>
      </c>
      <c r="AW705" s="100"/>
      <c r="AY705" s="9">
        <v>19900</v>
      </c>
    </row>
    <row r="706" spans="1:51" s="2" customFormat="1" ht="12.75" customHeight="1" x14ac:dyDescent="0.2">
      <c r="A706" s="6" t="s">
        <v>1497</v>
      </c>
      <c r="B706" s="8">
        <v>9789500214506</v>
      </c>
      <c r="C706" s="6">
        <v>711850</v>
      </c>
      <c r="D706" s="41">
        <v>160</v>
      </c>
      <c r="E706" s="7" t="s">
        <v>156</v>
      </c>
      <c r="F706" s="7" t="s">
        <v>868</v>
      </c>
      <c r="G706" s="107">
        <v>45261</v>
      </c>
      <c r="H706" s="108">
        <v>45717</v>
      </c>
      <c r="I706" s="293">
        <v>2075</v>
      </c>
      <c r="J706" s="8" t="s">
        <v>2219</v>
      </c>
      <c r="K706" s="148">
        <v>2882.77</v>
      </c>
      <c r="L706" s="295">
        <v>19900</v>
      </c>
      <c r="M706" s="112"/>
      <c r="N706" s="9">
        <f t="shared" si="612"/>
        <v>9950</v>
      </c>
      <c r="O706" s="9">
        <f t="shared" si="613"/>
        <v>7067.23</v>
      </c>
      <c r="P706" s="9">
        <f t="shared" si="614"/>
        <v>2882.77</v>
      </c>
      <c r="Q706" s="139">
        <f t="shared" si="615"/>
        <v>0.71027437185929643</v>
      </c>
      <c r="R706" s="387">
        <v>19900</v>
      </c>
      <c r="S706" s="359" t="s">
        <v>1948</v>
      </c>
      <c r="T706" s="305">
        <v>0.71027437185929643</v>
      </c>
      <c r="U706" s="6"/>
      <c r="V706" s="100"/>
      <c r="W706" s="110">
        <f t="shared" si="616"/>
        <v>19900</v>
      </c>
      <c r="X706" s="110">
        <f t="shared" si="617"/>
        <v>2882.77</v>
      </c>
      <c r="Y706" s="110">
        <f t="shared" si="618"/>
        <v>0</v>
      </c>
      <c r="Z706" s="110">
        <f t="shared" si="619"/>
        <v>7067.23</v>
      </c>
      <c r="AA706" s="260">
        <f t="shared" si="620"/>
        <v>0.71027437185929643</v>
      </c>
      <c r="AB706" s="28">
        <f t="shared" si="588"/>
        <v>6.6</v>
      </c>
      <c r="AC706" s="261">
        <f t="shared" si="621"/>
        <v>0.71197933838883387</v>
      </c>
      <c r="AD706" s="111">
        <f t="shared" si="590"/>
        <v>2</v>
      </c>
      <c r="AE706" s="262">
        <f t="shared" si="622"/>
        <v>4.9531816683152E-2</v>
      </c>
      <c r="AF706" s="100"/>
      <c r="AG706" s="111">
        <f t="shared" si="592"/>
        <v>3.2</v>
      </c>
      <c r="AH706" s="262">
        <f t="shared" si="623"/>
        <v>0.40595738542697002</v>
      </c>
      <c r="AI706" s="100"/>
      <c r="AJ706" s="111">
        <f t="shared" si="594"/>
        <v>2.9</v>
      </c>
      <c r="AK706" s="262">
        <f t="shared" si="624"/>
        <v>0.3445047011607944</v>
      </c>
      <c r="AL706" s="100"/>
      <c r="AM706" s="111">
        <f t="shared" si="596"/>
        <v>2.7</v>
      </c>
      <c r="AN706" s="262">
        <f t="shared" si="625"/>
        <v>0.29594949383937186</v>
      </c>
      <c r="AO706" s="100"/>
      <c r="AP706" s="24" t="e">
        <f>VLOOKUP(C706,#REF!,6,FALSE)</f>
        <v>#REF!</v>
      </c>
      <c r="AQ706" s="24" t="e">
        <f>VLOOKUP(C706,#REF!,7,FALSE)</f>
        <v>#REF!</v>
      </c>
      <c r="AR706" s="24" t="e">
        <f>VLOOKUP(C706,#REF!,12,FALSE)</f>
        <v>#REF!</v>
      </c>
      <c r="AS706" s="24" t="e">
        <f>VLOOKUP(C706,#REF!,13,FALSE)</f>
        <v>#REF!</v>
      </c>
      <c r="AT706" s="100"/>
      <c r="AU706" s="100"/>
      <c r="AV706" s="100">
        <v>688</v>
      </c>
      <c r="AW706" s="100"/>
      <c r="AY706" s="295">
        <v>19900</v>
      </c>
    </row>
    <row r="707" spans="1:51" s="2" customFormat="1" ht="12.75" customHeight="1" x14ac:dyDescent="0.2">
      <c r="A707" s="6" t="s">
        <v>1498</v>
      </c>
      <c r="B707" s="8">
        <v>9789500213776</v>
      </c>
      <c r="C707" s="6">
        <v>707255</v>
      </c>
      <c r="D707" s="41">
        <v>160</v>
      </c>
      <c r="E707" s="7" t="s">
        <v>808</v>
      </c>
      <c r="F707" s="6" t="s">
        <v>807</v>
      </c>
      <c r="G707" s="107">
        <v>45108</v>
      </c>
      <c r="H707" s="107">
        <v>46235</v>
      </c>
      <c r="I707" s="239" t="s">
        <v>2435</v>
      </c>
      <c r="J707" s="6" t="s">
        <v>1762</v>
      </c>
      <c r="K707" s="148">
        <v>2812</v>
      </c>
      <c r="L707" s="295">
        <v>19900</v>
      </c>
      <c r="M707" s="9"/>
      <c r="N707" s="142">
        <v>1885</v>
      </c>
      <c r="O707" s="142">
        <v>1223.54</v>
      </c>
      <c r="P707" s="142">
        <v>661.46</v>
      </c>
      <c r="Q707" s="139">
        <v>0.64909283819628649</v>
      </c>
      <c r="R707" s="387">
        <v>19900</v>
      </c>
      <c r="S707" s="359" t="s">
        <v>1948</v>
      </c>
      <c r="T707" s="305">
        <v>0.64909283819628649</v>
      </c>
      <c r="U707" s="7"/>
      <c r="V707" s="100"/>
      <c r="W707" s="110">
        <f t="shared" si="616"/>
        <v>19900</v>
      </c>
      <c r="X707" s="110">
        <f t="shared" si="617"/>
        <v>2812</v>
      </c>
      <c r="Y707" s="110">
        <f t="shared" si="618"/>
        <v>0</v>
      </c>
      <c r="Z707" s="110">
        <f t="shared" si="619"/>
        <v>7138</v>
      </c>
      <c r="AA707" s="260">
        <f t="shared" si="620"/>
        <v>0.71738693467336678</v>
      </c>
      <c r="AB707" s="28">
        <f t="shared" si="588"/>
        <v>6.6</v>
      </c>
      <c r="AC707" s="261">
        <f t="shared" si="621"/>
        <v>0.71905004545954099</v>
      </c>
      <c r="AD707" s="111">
        <f t="shared" si="590"/>
        <v>2</v>
      </c>
      <c r="AE707" s="262">
        <f t="shared" si="622"/>
        <v>7.2865150016485331E-2</v>
      </c>
      <c r="AF707" s="100"/>
      <c r="AG707" s="111">
        <f t="shared" si="592"/>
        <v>3.1</v>
      </c>
      <c r="AH707" s="262">
        <f t="shared" si="623"/>
        <v>0.40184848388160349</v>
      </c>
      <c r="AI707" s="100"/>
      <c r="AJ707" s="111">
        <f t="shared" si="594"/>
        <v>2.9</v>
      </c>
      <c r="AK707" s="262">
        <f t="shared" si="624"/>
        <v>0.36059665518378292</v>
      </c>
      <c r="AL707" s="100"/>
      <c r="AM707" s="111">
        <f t="shared" si="596"/>
        <v>2.6</v>
      </c>
      <c r="AN707" s="262">
        <f t="shared" si="625"/>
        <v>0.28681934616652721</v>
      </c>
      <c r="AO707" s="100"/>
      <c r="AP707" s="24" t="e">
        <f>VLOOKUP(C707,#REF!,6,FALSE)</f>
        <v>#REF!</v>
      </c>
      <c r="AQ707" s="24" t="e">
        <f>VLOOKUP(C707,#REF!,7,FALSE)</f>
        <v>#REF!</v>
      </c>
      <c r="AR707" s="24" t="e">
        <f>VLOOKUP(C707,#REF!,12,FALSE)</f>
        <v>#REF!</v>
      </c>
      <c r="AS707" s="24" t="e">
        <f>VLOOKUP(C707,#REF!,13,FALSE)</f>
        <v>#REF!</v>
      </c>
      <c r="AT707" s="100"/>
      <c r="AU707" s="100"/>
      <c r="AV707" s="100">
        <v>689</v>
      </c>
      <c r="AW707" s="100"/>
      <c r="AY707" s="295">
        <v>19900</v>
      </c>
    </row>
    <row r="708" spans="1:51" s="2" customFormat="1" ht="12.75" customHeight="1" x14ac:dyDescent="0.2">
      <c r="A708" s="6" t="s">
        <v>1499</v>
      </c>
      <c r="B708" s="8">
        <v>9789500214056</v>
      </c>
      <c r="C708" s="6">
        <v>709131</v>
      </c>
      <c r="D708" s="41">
        <v>160</v>
      </c>
      <c r="E708" s="7" t="s">
        <v>156</v>
      </c>
      <c r="F708" s="6" t="s">
        <v>818</v>
      </c>
      <c r="G708" s="107">
        <v>45170</v>
      </c>
      <c r="H708" s="108">
        <v>45901</v>
      </c>
      <c r="I708" s="7">
        <v>2066</v>
      </c>
      <c r="J708" s="7" t="s">
        <v>1762</v>
      </c>
      <c r="K708" s="117">
        <v>2720.42</v>
      </c>
      <c r="L708" s="9">
        <v>19900</v>
      </c>
      <c r="M708" s="9"/>
      <c r="N708" s="142">
        <v>1885</v>
      </c>
      <c r="O708" s="142">
        <v>1223.54</v>
      </c>
      <c r="P708" s="142">
        <v>661.46</v>
      </c>
      <c r="Q708" s="139">
        <v>0.64909283819628649</v>
      </c>
      <c r="R708" s="387">
        <v>19900</v>
      </c>
      <c r="S708" s="359" t="s">
        <v>1948</v>
      </c>
      <c r="T708" s="305">
        <v>0.64909283819628649</v>
      </c>
      <c r="U708" s="7"/>
      <c r="V708" s="100"/>
      <c r="W708" s="110">
        <f t="shared" si="616"/>
        <v>19900</v>
      </c>
      <c r="X708" s="110">
        <f t="shared" si="617"/>
        <v>2720.42</v>
      </c>
      <c r="Y708" s="110">
        <f t="shared" si="618"/>
        <v>0</v>
      </c>
      <c r="Z708" s="110">
        <f t="shared" si="619"/>
        <v>7229.58</v>
      </c>
      <c r="AA708" s="260">
        <f t="shared" si="620"/>
        <v>0.72659095477386937</v>
      </c>
      <c r="AB708" s="28">
        <f t="shared" si="588"/>
        <v>6.6</v>
      </c>
      <c r="AC708" s="261">
        <f t="shared" si="621"/>
        <v>0.72819990208714247</v>
      </c>
      <c r="AD708" s="111">
        <f t="shared" si="590"/>
        <v>1.9</v>
      </c>
      <c r="AE708" s="262">
        <f t="shared" si="622"/>
        <v>5.5852291460600008E-2</v>
      </c>
      <c r="AF708" s="100"/>
      <c r="AG708" s="111">
        <f t="shared" si="592"/>
        <v>3</v>
      </c>
      <c r="AH708" s="262">
        <f t="shared" si="623"/>
        <v>0.40203978459171336</v>
      </c>
      <c r="AI708" s="100"/>
      <c r="AJ708" s="111">
        <f t="shared" si="594"/>
        <v>2.8</v>
      </c>
      <c r="AK708" s="262">
        <f t="shared" si="624"/>
        <v>0.35932834063397856</v>
      </c>
      <c r="AL708" s="100"/>
      <c r="AM708" s="111">
        <f t="shared" si="596"/>
        <v>2.6</v>
      </c>
      <c r="AN708" s="262">
        <f t="shared" si="625"/>
        <v>0.31004590529813081</v>
      </c>
      <c r="AO708" s="100"/>
      <c r="AP708" s="24" t="e">
        <f>VLOOKUP(C708,#REF!,6,FALSE)</f>
        <v>#REF!</v>
      </c>
      <c r="AQ708" s="24" t="e">
        <f>VLOOKUP(C708,#REF!,7,FALSE)</f>
        <v>#REF!</v>
      </c>
      <c r="AR708" s="24" t="e">
        <f>VLOOKUP(C708,#REF!,12,FALSE)</f>
        <v>#REF!</v>
      </c>
      <c r="AS708" s="24" t="e">
        <f>VLOOKUP(C708,#REF!,13,FALSE)</f>
        <v>#REF!</v>
      </c>
      <c r="AT708" s="100"/>
      <c r="AU708" s="100"/>
      <c r="AV708" s="100">
        <v>690</v>
      </c>
      <c r="AW708" s="100"/>
      <c r="AY708" s="9">
        <v>19900</v>
      </c>
    </row>
    <row r="709" spans="1:51" s="2" customFormat="1" ht="12.75" customHeight="1" x14ac:dyDescent="0.2">
      <c r="A709" s="7" t="s">
        <v>1913</v>
      </c>
      <c r="B709" s="277">
        <v>9789500215510</v>
      </c>
      <c r="C709" s="8">
        <v>721549</v>
      </c>
      <c r="D709" s="25">
        <v>160</v>
      </c>
      <c r="E709" s="278" t="s">
        <v>1914</v>
      </c>
      <c r="F709" s="278" t="s">
        <v>1915</v>
      </c>
      <c r="G709" s="107">
        <v>45566</v>
      </c>
      <c r="H709" s="108">
        <v>45931</v>
      </c>
      <c r="I709" s="264">
        <v>2085</v>
      </c>
      <c r="J709" s="25" t="s">
        <v>2219</v>
      </c>
      <c r="K709" s="117">
        <v>3249.62</v>
      </c>
      <c r="L709" s="9">
        <v>19900</v>
      </c>
      <c r="M709" s="9"/>
      <c r="N709" s="142">
        <v>1885</v>
      </c>
      <c r="O709" s="142">
        <v>1223.54</v>
      </c>
      <c r="P709" s="142">
        <v>661.46</v>
      </c>
      <c r="Q709" s="139">
        <v>0.64909283819628649</v>
      </c>
      <c r="R709" s="387">
        <v>19900</v>
      </c>
      <c r="S709" s="359" t="s">
        <v>1948</v>
      </c>
      <c r="T709" s="305">
        <v>0.64909283819628649</v>
      </c>
      <c r="U709" s="7"/>
      <c r="V709" s="100"/>
      <c r="W709" s="110">
        <f t="shared" si="616"/>
        <v>19900</v>
      </c>
      <c r="X709" s="110">
        <f t="shared" si="617"/>
        <v>3249.62</v>
      </c>
      <c r="Y709" s="110">
        <f t="shared" si="618"/>
        <v>0</v>
      </c>
      <c r="Z709" s="110">
        <f t="shared" si="619"/>
        <v>6700.38</v>
      </c>
      <c r="AA709" s="260">
        <f t="shared" si="620"/>
        <v>0.67340502512562816</v>
      </c>
      <c r="AB709" s="28">
        <f t="shared" si="588"/>
        <v>6.6</v>
      </c>
      <c r="AC709" s="261">
        <f t="shared" si="621"/>
        <v>0.67532695900648421</v>
      </c>
      <c r="AD709" s="111">
        <f t="shared" si="590"/>
        <v>2.2999999999999998</v>
      </c>
      <c r="AE709" s="262">
        <f t="shared" si="622"/>
        <v>6.8329534540346029E-2</v>
      </c>
      <c r="AF709" s="100"/>
      <c r="AG709" s="111">
        <f t="shared" si="592"/>
        <v>3.6</v>
      </c>
      <c r="AH709" s="262">
        <f t="shared" si="623"/>
        <v>0.40476609151188786</v>
      </c>
      <c r="AI709" s="100"/>
      <c r="AJ709" s="111">
        <f t="shared" si="594"/>
        <v>3.3</v>
      </c>
      <c r="AK709" s="262">
        <f t="shared" si="624"/>
        <v>0.35065391801296847</v>
      </c>
      <c r="AL709" s="100"/>
      <c r="AM709" s="111">
        <f t="shared" si="596"/>
        <v>3.1</v>
      </c>
      <c r="AN709" s="262">
        <f t="shared" si="625"/>
        <v>0.30876062240090202</v>
      </c>
      <c r="AO709" s="100"/>
      <c r="AP709" s="24" t="e">
        <f>VLOOKUP(C709,#REF!,6,FALSE)</f>
        <v>#REF!</v>
      </c>
      <c r="AQ709" s="24" t="e">
        <f>VLOOKUP(C709,#REF!,7,FALSE)</f>
        <v>#REF!</v>
      </c>
      <c r="AR709" s="24" t="e">
        <f>VLOOKUP(C709,#REF!,12,FALSE)</f>
        <v>#REF!</v>
      </c>
      <c r="AS709" s="24" t="e">
        <f>VLOOKUP(C709,#REF!,13,FALSE)</f>
        <v>#REF!</v>
      </c>
      <c r="AT709" s="100"/>
      <c r="AU709" s="100"/>
      <c r="AV709" s="100">
        <v>691</v>
      </c>
      <c r="AW709" s="100"/>
      <c r="AY709" s="9">
        <v>19900</v>
      </c>
    </row>
    <row r="710" spans="1:51" s="2" customFormat="1" ht="12.75" customHeight="1" x14ac:dyDescent="0.2">
      <c r="A710" s="6" t="s">
        <v>892</v>
      </c>
      <c r="B710" s="8">
        <v>9789500214797</v>
      </c>
      <c r="C710" s="8">
        <v>713926</v>
      </c>
      <c r="D710" s="41">
        <v>48</v>
      </c>
      <c r="E710" s="7" t="s">
        <v>781</v>
      </c>
      <c r="F710" s="7" t="s">
        <v>878</v>
      </c>
      <c r="G710" s="107">
        <v>45352</v>
      </c>
      <c r="H710" s="108">
        <v>45689</v>
      </c>
      <c r="I710" s="7">
        <v>2052</v>
      </c>
      <c r="J710" s="7" t="s">
        <v>1762</v>
      </c>
      <c r="K710" s="117">
        <v>1651.37</v>
      </c>
      <c r="L710" s="9">
        <v>23500</v>
      </c>
      <c r="M710" s="141">
        <f>+L710*0.08</f>
        <v>1880</v>
      </c>
      <c r="N710" s="142">
        <f t="shared" ref="N710:N734" si="626">+L710/2</f>
        <v>11750</v>
      </c>
      <c r="O710" s="142">
        <f t="shared" ref="O710:O734" si="627">+N710-M710-K710</f>
        <v>8218.630000000001</v>
      </c>
      <c r="P710" s="142">
        <f t="shared" ref="P710:P734" si="628">+M710+K710</f>
        <v>3531.37</v>
      </c>
      <c r="Q710" s="139">
        <f t="shared" ref="Q710:Q734" si="629">+O710/N710</f>
        <v>0.69945787234042567</v>
      </c>
      <c r="R710" s="387">
        <v>23500</v>
      </c>
      <c r="S710" s="359" t="s">
        <v>1948</v>
      </c>
      <c r="T710" s="305">
        <v>0.69945787234042567</v>
      </c>
      <c r="U710" s="7"/>
      <c r="V710" s="100"/>
      <c r="W710" s="110">
        <f t="shared" si="616"/>
        <v>23500</v>
      </c>
      <c r="X710" s="110">
        <f t="shared" si="617"/>
        <v>1651.37</v>
      </c>
      <c r="Y710" s="110">
        <f t="shared" si="618"/>
        <v>1880</v>
      </c>
      <c r="Z710" s="110">
        <f t="shared" si="619"/>
        <v>8218.630000000001</v>
      </c>
      <c r="AA710" s="260">
        <f t="shared" si="620"/>
        <v>0.69945787234042567</v>
      </c>
      <c r="AB710" s="28">
        <f t="shared" si="588"/>
        <v>7.7</v>
      </c>
      <c r="AC710" s="261">
        <f t="shared" si="621"/>
        <v>0.69758029639335273</v>
      </c>
      <c r="AD710" s="111">
        <f t="shared" si="590"/>
        <v>2.5</v>
      </c>
      <c r="AE710" s="262">
        <f t="shared" si="622"/>
        <v>6.8547312891526574E-2</v>
      </c>
      <c r="AF710" s="100"/>
      <c r="AG710" s="111">
        <f t="shared" si="592"/>
        <v>3.9</v>
      </c>
      <c r="AH710" s="262">
        <f t="shared" si="623"/>
        <v>0.40291494416123491</v>
      </c>
      <c r="AI710" s="100"/>
      <c r="AJ710" s="111">
        <f t="shared" si="594"/>
        <v>3.6</v>
      </c>
      <c r="AK710" s="262">
        <f t="shared" si="624"/>
        <v>0.35315785617467127</v>
      </c>
      <c r="AL710" s="100"/>
      <c r="AM710" s="111">
        <f t="shared" si="596"/>
        <v>3.3</v>
      </c>
      <c r="AN710" s="262">
        <f t="shared" si="625"/>
        <v>0.29435402491782314</v>
      </c>
      <c r="AO710" s="100"/>
      <c r="AP710" s="24" t="e">
        <f>VLOOKUP(C710,#REF!,6,FALSE)</f>
        <v>#REF!</v>
      </c>
      <c r="AQ710" s="24" t="e">
        <f>VLOOKUP(C710,#REF!,7,FALSE)</f>
        <v>#REF!</v>
      </c>
      <c r="AR710" s="24" t="e">
        <f>VLOOKUP(C710,#REF!,12,FALSE)</f>
        <v>#REF!</v>
      </c>
      <c r="AS710" s="24" t="e">
        <f>VLOOKUP(C710,#REF!,13,FALSE)</f>
        <v>#REF!</v>
      </c>
      <c r="AT710" s="100"/>
      <c r="AU710" s="100"/>
      <c r="AV710" s="100">
        <v>692</v>
      </c>
      <c r="AW710" s="100"/>
      <c r="AY710" s="9">
        <v>23500</v>
      </c>
    </row>
    <row r="711" spans="1:51" s="27" customFormat="1" ht="12.75" customHeight="1" x14ac:dyDescent="0.2">
      <c r="A711" s="6" t="s">
        <v>892</v>
      </c>
      <c r="B711" s="8">
        <v>9789500213790</v>
      </c>
      <c r="C711" s="6">
        <v>706239</v>
      </c>
      <c r="D711" s="41">
        <v>60</v>
      </c>
      <c r="E711" s="7" t="s">
        <v>781</v>
      </c>
      <c r="F711" s="6" t="s">
        <v>782</v>
      </c>
      <c r="G711" s="107">
        <v>45078</v>
      </c>
      <c r="H711" s="108">
        <v>46023</v>
      </c>
      <c r="I711" s="264">
        <v>3030</v>
      </c>
      <c r="J711" s="7" t="s">
        <v>1762</v>
      </c>
      <c r="K711" s="9">
        <v>2055.15</v>
      </c>
      <c r="L711" s="9">
        <v>23500</v>
      </c>
      <c r="M711" s="141">
        <f>+L711*0.08</f>
        <v>1880</v>
      </c>
      <c r="N711" s="142">
        <f t="shared" si="626"/>
        <v>11750</v>
      </c>
      <c r="O711" s="142">
        <f t="shared" si="627"/>
        <v>7814.85</v>
      </c>
      <c r="P711" s="142">
        <f t="shared" si="628"/>
        <v>3935.15</v>
      </c>
      <c r="Q711" s="139">
        <f t="shared" si="629"/>
        <v>0.66509361702127667</v>
      </c>
      <c r="R711" s="345">
        <v>23500</v>
      </c>
      <c r="S711" s="359" t="s">
        <v>1948</v>
      </c>
      <c r="T711" s="305">
        <v>0.66509361702127667</v>
      </c>
      <c r="U711" s="7"/>
      <c r="V711" s="100"/>
      <c r="W711" s="110">
        <f t="shared" si="616"/>
        <v>23500</v>
      </c>
      <c r="X711" s="110">
        <f t="shared" si="617"/>
        <v>2055.15</v>
      </c>
      <c r="Y711" s="110">
        <f t="shared" si="618"/>
        <v>1880</v>
      </c>
      <c r="Z711" s="110">
        <f t="shared" si="619"/>
        <v>7814.85</v>
      </c>
      <c r="AA711" s="260">
        <f t="shared" si="620"/>
        <v>0.66509361702127667</v>
      </c>
      <c r="AB711" s="28">
        <f t="shared" si="588"/>
        <v>7.7</v>
      </c>
      <c r="AC711" s="261">
        <f t="shared" si="621"/>
        <v>0.66300135736337518</v>
      </c>
      <c r="AD711" s="111">
        <f t="shared" si="590"/>
        <v>2.7</v>
      </c>
      <c r="AE711" s="262">
        <f t="shared" si="622"/>
        <v>3.8929796925181052E-2</v>
      </c>
      <c r="AF711" s="100"/>
      <c r="AG711" s="111">
        <f t="shared" si="592"/>
        <v>4.3</v>
      </c>
      <c r="AH711" s="262">
        <f t="shared" si="623"/>
        <v>0.39653731434836936</v>
      </c>
      <c r="AI711" s="100"/>
      <c r="AJ711" s="111">
        <f t="shared" si="594"/>
        <v>4</v>
      </c>
      <c r="AK711" s="262">
        <f t="shared" si="624"/>
        <v>0.35127761292449716</v>
      </c>
      <c r="AL711" s="100"/>
      <c r="AM711" s="111">
        <f t="shared" si="596"/>
        <v>3.7</v>
      </c>
      <c r="AN711" s="262">
        <f t="shared" si="625"/>
        <v>0.29867850045891592</v>
      </c>
      <c r="AO711" s="100"/>
      <c r="AP711" s="24" t="e">
        <f>VLOOKUP(C711,#REF!,6,FALSE)</f>
        <v>#REF!</v>
      </c>
      <c r="AQ711" s="24" t="e">
        <f>VLOOKUP(C711,#REF!,7,FALSE)</f>
        <v>#REF!</v>
      </c>
      <c r="AR711" s="24" t="e">
        <f>VLOOKUP(C711,#REF!,12,FALSE)</f>
        <v>#REF!</v>
      </c>
      <c r="AS711" s="24" t="e">
        <f>VLOOKUP(C711,#REF!,13,FALSE)</f>
        <v>#REF!</v>
      </c>
      <c r="AT711" s="100"/>
      <c r="AU711" s="100"/>
      <c r="AV711" s="100">
        <v>693</v>
      </c>
      <c r="AW711" s="100"/>
      <c r="AY711" s="9">
        <v>23500</v>
      </c>
    </row>
    <row r="712" spans="1:51" s="27" customFormat="1" ht="12.75" customHeight="1" x14ac:dyDescent="0.2">
      <c r="A712" s="6" t="s">
        <v>1500</v>
      </c>
      <c r="B712" s="8">
        <v>9789500213691</v>
      </c>
      <c r="C712" s="6">
        <v>705128</v>
      </c>
      <c r="D712" s="41">
        <v>64</v>
      </c>
      <c r="E712" s="7" t="s">
        <v>790</v>
      </c>
      <c r="F712" s="6" t="s">
        <v>1501</v>
      </c>
      <c r="G712" s="107">
        <v>45047</v>
      </c>
      <c r="H712" s="108">
        <v>45017</v>
      </c>
      <c r="I712" s="7">
        <v>1080</v>
      </c>
      <c r="J712" s="28" t="s">
        <v>1946</v>
      </c>
      <c r="K712" s="117">
        <v>980.18</v>
      </c>
      <c r="L712" s="9">
        <v>19100</v>
      </c>
      <c r="M712" s="112"/>
      <c r="N712" s="9">
        <f t="shared" si="626"/>
        <v>9550</v>
      </c>
      <c r="O712" s="9">
        <f t="shared" si="627"/>
        <v>8569.82</v>
      </c>
      <c r="P712" s="9">
        <f t="shared" si="628"/>
        <v>980.18</v>
      </c>
      <c r="Q712" s="139">
        <f t="shared" si="629"/>
        <v>0.89736335078534024</v>
      </c>
      <c r="R712" s="345">
        <v>19100</v>
      </c>
      <c r="S712" s="359" t="s">
        <v>1948</v>
      </c>
      <c r="T712" s="305">
        <v>0.89736335078534024</v>
      </c>
      <c r="U712" s="7"/>
      <c r="V712" s="100"/>
      <c r="W712" s="110">
        <f t="shared" si="616"/>
        <v>19100</v>
      </c>
      <c r="X712" s="110">
        <f t="shared" si="617"/>
        <v>980.18</v>
      </c>
      <c r="Y712" s="110">
        <f t="shared" si="618"/>
        <v>0</v>
      </c>
      <c r="Z712" s="110">
        <f t="shared" si="619"/>
        <v>8569.82</v>
      </c>
      <c r="AA712" s="260">
        <f t="shared" si="620"/>
        <v>0.89736335078534024</v>
      </c>
      <c r="AB712" s="28">
        <f t="shared" si="588"/>
        <v>6.3</v>
      </c>
      <c r="AC712" s="261">
        <f t="shared" si="621"/>
        <v>0.89740578504178892</v>
      </c>
      <c r="AD712" s="111">
        <f t="shared" si="590"/>
        <v>0.7</v>
      </c>
      <c r="AE712" s="262">
        <f t="shared" si="622"/>
        <v>7.6652065376100989E-2</v>
      </c>
      <c r="AF712" s="100"/>
      <c r="AG712" s="111">
        <f t="shared" si="592"/>
        <v>1.1000000000000001</v>
      </c>
      <c r="AH712" s="262">
        <f t="shared" si="623"/>
        <v>0.41241495069388251</v>
      </c>
      <c r="AI712" s="100"/>
      <c r="AJ712" s="111">
        <f t="shared" si="594"/>
        <v>1</v>
      </c>
      <c r="AK712" s="262">
        <f t="shared" si="624"/>
        <v>0.35365644576327071</v>
      </c>
      <c r="AL712" s="100"/>
      <c r="AM712" s="111">
        <f t="shared" si="596"/>
        <v>0.9</v>
      </c>
      <c r="AN712" s="262">
        <f t="shared" si="625"/>
        <v>0.28184049529252309</v>
      </c>
      <c r="AO712" s="100"/>
      <c r="AP712" s="24" t="e">
        <f>VLOOKUP(C712,#REF!,6,FALSE)</f>
        <v>#REF!</v>
      </c>
      <c r="AQ712" s="24" t="e">
        <f>VLOOKUP(C712,#REF!,7,FALSE)</f>
        <v>#REF!</v>
      </c>
      <c r="AR712" s="24" t="e">
        <f>VLOOKUP(C712,#REF!,12,FALSE)</f>
        <v>#REF!</v>
      </c>
      <c r="AS712" s="24" t="e">
        <f>VLOOKUP(C712,#REF!,13,FALSE)</f>
        <v>#REF!</v>
      </c>
      <c r="AT712" s="100"/>
      <c r="AU712" s="100"/>
      <c r="AV712" s="100">
        <v>694</v>
      </c>
      <c r="AW712" s="100"/>
      <c r="AY712" s="9">
        <v>19100</v>
      </c>
    </row>
    <row r="713" spans="1:51" s="27" customFormat="1" ht="12.75" customHeight="1" x14ac:dyDescent="0.2">
      <c r="A713" s="6" t="s">
        <v>1502</v>
      </c>
      <c r="B713" s="8">
        <v>9789500213417</v>
      </c>
      <c r="C713" s="6">
        <v>702981</v>
      </c>
      <c r="D713" s="41">
        <v>64</v>
      </c>
      <c r="E713" s="7" t="s">
        <v>515</v>
      </c>
      <c r="F713" s="7" t="s">
        <v>754</v>
      </c>
      <c r="G713" s="107">
        <v>44958</v>
      </c>
      <c r="H713" s="107">
        <v>45078</v>
      </c>
      <c r="I713" s="7">
        <v>4133</v>
      </c>
      <c r="J713" s="28" t="s">
        <v>2136</v>
      </c>
      <c r="K713" s="117">
        <v>685.13</v>
      </c>
      <c r="L713" s="9">
        <v>25900</v>
      </c>
      <c r="M713" s="9">
        <f>+L713*0.1</f>
        <v>2590</v>
      </c>
      <c r="N713" s="9">
        <f t="shared" si="626"/>
        <v>12950</v>
      </c>
      <c r="O713" s="9">
        <f t="shared" si="627"/>
        <v>9674.8700000000008</v>
      </c>
      <c r="P713" s="9">
        <f t="shared" si="628"/>
        <v>3275.13</v>
      </c>
      <c r="Q713" s="139">
        <f t="shared" si="629"/>
        <v>0.7470942084942086</v>
      </c>
      <c r="R713" s="345">
        <v>25900</v>
      </c>
      <c r="S713" s="359" t="s">
        <v>1948</v>
      </c>
      <c r="T713" s="305">
        <v>0.7470942084942086</v>
      </c>
      <c r="U713" s="7"/>
      <c r="V713" s="100"/>
      <c r="W713" s="110">
        <f t="shared" si="616"/>
        <v>25900</v>
      </c>
      <c r="X713" s="110">
        <f t="shared" si="617"/>
        <v>685.13</v>
      </c>
      <c r="Y713" s="110">
        <f t="shared" si="618"/>
        <v>2590</v>
      </c>
      <c r="Z713" s="110">
        <f t="shared" si="619"/>
        <v>9674.8700000000008</v>
      </c>
      <c r="AA713" s="260">
        <f t="shared" si="620"/>
        <v>0.7470942084942086</v>
      </c>
      <c r="AB713" s="28">
        <f t="shared" si="588"/>
        <v>8.5</v>
      </c>
      <c r="AC713" s="261">
        <f t="shared" si="621"/>
        <v>0.74592191772851579</v>
      </c>
      <c r="AD713" s="111">
        <f t="shared" si="590"/>
        <v>2.2999999999999998</v>
      </c>
      <c r="AE713" s="262">
        <f t="shared" si="622"/>
        <v>6.1015782909731996E-2</v>
      </c>
      <c r="AF713" s="100"/>
      <c r="AG713" s="111">
        <f t="shared" si="592"/>
        <v>3.6</v>
      </c>
      <c r="AH713" s="262">
        <f t="shared" si="623"/>
        <v>0.40009341685899552</v>
      </c>
      <c r="AI713" s="100"/>
      <c r="AJ713" s="111">
        <f t="shared" si="594"/>
        <v>3.3</v>
      </c>
      <c r="AK713" s="262">
        <f t="shared" si="624"/>
        <v>0.34555645475526775</v>
      </c>
      <c r="AL713" s="100"/>
      <c r="AM713" s="111">
        <f t="shared" si="596"/>
        <v>3.1</v>
      </c>
      <c r="AN713" s="262">
        <f t="shared" si="625"/>
        <v>0.30333429054593031</v>
      </c>
      <c r="AO713" s="100"/>
      <c r="AP713" s="24" t="e">
        <f>VLOOKUP(C713,#REF!,6,FALSE)</f>
        <v>#REF!</v>
      </c>
      <c r="AQ713" s="24" t="e">
        <f>VLOOKUP(C713,#REF!,7,FALSE)</f>
        <v>#REF!</v>
      </c>
      <c r="AR713" s="24" t="e">
        <f>VLOOKUP(C713,#REF!,12,FALSE)</f>
        <v>#REF!</v>
      </c>
      <c r="AS713" s="24" t="e">
        <f>VLOOKUP(C713,#REF!,13,FALSE)</f>
        <v>#REF!</v>
      </c>
      <c r="AT713" s="100"/>
      <c r="AU713" s="100"/>
      <c r="AV713" s="100">
        <v>695</v>
      </c>
      <c r="AW713" s="100"/>
      <c r="AY713" s="9">
        <v>25900</v>
      </c>
    </row>
    <row r="714" spans="1:51" s="27" customFormat="1" ht="12.75" customHeight="1" x14ac:dyDescent="0.2">
      <c r="A714" s="6" t="s">
        <v>1503</v>
      </c>
      <c r="B714" s="8">
        <v>9789500213134</v>
      </c>
      <c r="C714" s="6">
        <v>700538</v>
      </c>
      <c r="D714" s="41">
        <v>32</v>
      </c>
      <c r="E714" s="7" t="s">
        <v>742</v>
      </c>
      <c r="F714" s="7" t="s">
        <v>743</v>
      </c>
      <c r="G714" s="107">
        <v>43862</v>
      </c>
      <c r="H714" s="108">
        <v>44470</v>
      </c>
      <c r="I714" s="7">
        <v>4150</v>
      </c>
      <c r="J714" s="28" t="s">
        <v>2136</v>
      </c>
      <c r="K714" s="9">
        <v>220.73</v>
      </c>
      <c r="L714" s="112">
        <v>22900</v>
      </c>
      <c r="M714" s="112">
        <f>+L714*0.08</f>
        <v>1832</v>
      </c>
      <c r="N714" s="9">
        <f t="shared" si="626"/>
        <v>11450</v>
      </c>
      <c r="O714" s="9">
        <f t="shared" si="627"/>
        <v>9397.27</v>
      </c>
      <c r="P714" s="9">
        <f t="shared" si="628"/>
        <v>2052.73</v>
      </c>
      <c r="Q714" s="139">
        <f t="shared" si="629"/>
        <v>0.82072227074235815</v>
      </c>
      <c r="R714" s="345">
        <v>22900</v>
      </c>
      <c r="S714" s="359" t="s">
        <v>1948</v>
      </c>
      <c r="T714" s="305">
        <v>0.82072227074235815</v>
      </c>
      <c r="U714" s="140"/>
      <c r="V714" s="100"/>
      <c r="W714" s="110">
        <f t="shared" si="616"/>
        <v>22900</v>
      </c>
      <c r="X714" s="110">
        <f t="shared" si="617"/>
        <v>220.73</v>
      </c>
      <c r="Y714" s="110">
        <f t="shared" si="618"/>
        <v>1832</v>
      </c>
      <c r="Z714" s="110">
        <f t="shared" si="619"/>
        <v>9397.27</v>
      </c>
      <c r="AA714" s="260">
        <f t="shared" si="620"/>
        <v>0.82072227074235815</v>
      </c>
      <c r="AB714" s="28">
        <f t="shared" si="588"/>
        <v>7.6</v>
      </c>
      <c r="AC714" s="261">
        <f t="shared" si="621"/>
        <v>0.82189511860759712</v>
      </c>
      <c r="AD714" s="111">
        <f t="shared" si="590"/>
        <v>1.4</v>
      </c>
      <c r="AE714" s="262">
        <f t="shared" si="622"/>
        <v>3.3144929584098676E-2</v>
      </c>
      <c r="AF714" s="100"/>
      <c r="AG714" s="111">
        <f t="shared" si="592"/>
        <v>2.2999999999999998</v>
      </c>
      <c r="AH714" s="262">
        <f t="shared" si="623"/>
        <v>0.41147952235553831</v>
      </c>
      <c r="AI714" s="100"/>
      <c r="AJ714" s="111">
        <f t="shared" si="594"/>
        <v>2.1</v>
      </c>
      <c r="AK714" s="262">
        <f t="shared" si="624"/>
        <v>0.35542995305606584</v>
      </c>
      <c r="AL714" s="100"/>
      <c r="AM714" s="111">
        <f t="shared" si="596"/>
        <v>1.9</v>
      </c>
      <c r="AN714" s="262">
        <f t="shared" si="625"/>
        <v>0.28758047443038848</v>
      </c>
      <c r="AO714" s="100"/>
      <c r="AP714" s="24" t="e">
        <f>VLOOKUP(C714,#REF!,6,FALSE)</f>
        <v>#REF!</v>
      </c>
      <c r="AQ714" s="24" t="e">
        <f>VLOOKUP(C714,#REF!,7,FALSE)</f>
        <v>#REF!</v>
      </c>
      <c r="AR714" s="24" t="e">
        <f>VLOOKUP(C714,#REF!,12,FALSE)</f>
        <v>#REF!</v>
      </c>
      <c r="AS714" s="24" t="e">
        <f>VLOOKUP(C714,#REF!,13,FALSE)</f>
        <v>#REF!</v>
      </c>
      <c r="AT714" s="100"/>
      <c r="AU714" s="100"/>
      <c r="AV714" s="100">
        <v>696</v>
      </c>
      <c r="AW714" s="100"/>
      <c r="AY714" s="112">
        <v>22900</v>
      </c>
    </row>
    <row r="715" spans="1:51" s="2" customFormat="1" ht="12.75" customHeight="1" x14ac:dyDescent="0.2">
      <c r="A715" s="6" t="s">
        <v>1504</v>
      </c>
      <c r="B715" s="8">
        <v>9789500213158</v>
      </c>
      <c r="C715" s="8">
        <v>700558</v>
      </c>
      <c r="D715" s="41">
        <v>32</v>
      </c>
      <c r="E715" s="7" t="s">
        <v>744</v>
      </c>
      <c r="F715" s="7" t="s">
        <v>745</v>
      </c>
      <c r="G715" s="107">
        <v>43862</v>
      </c>
      <c r="H715" s="108">
        <v>44470</v>
      </c>
      <c r="I715" s="7">
        <v>4045</v>
      </c>
      <c r="J715" s="28" t="s">
        <v>2136</v>
      </c>
      <c r="K715" s="9">
        <v>415.88</v>
      </c>
      <c r="L715" s="9">
        <v>19900</v>
      </c>
      <c r="M715" s="9">
        <f>+L715*0.08</f>
        <v>1592</v>
      </c>
      <c r="N715" s="9">
        <f t="shared" si="626"/>
        <v>9950</v>
      </c>
      <c r="O715" s="9">
        <f t="shared" si="627"/>
        <v>7942.12</v>
      </c>
      <c r="P715" s="9">
        <f t="shared" si="628"/>
        <v>2007.88</v>
      </c>
      <c r="Q715" s="139">
        <f t="shared" si="629"/>
        <v>0.79820301507537683</v>
      </c>
      <c r="R715" s="345">
        <v>19900</v>
      </c>
      <c r="S715" s="359" t="s">
        <v>1948</v>
      </c>
      <c r="T715" s="305">
        <v>0.79820301507537683</v>
      </c>
      <c r="U715" s="140"/>
      <c r="V715" s="100"/>
      <c r="W715" s="110">
        <f t="shared" si="616"/>
        <v>19900</v>
      </c>
      <c r="X715" s="110">
        <f t="shared" si="617"/>
        <v>415.88</v>
      </c>
      <c r="Y715" s="110">
        <f t="shared" si="618"/>
        <v>1592</v>
      </c>
      <c r="Z715" s="110">
        <f t="shared" si="619"/>
        <v>7942.1200000000008</v>
      </c>
      <c r="AA715" s="260">
        <f t="shared" si="620"/>
        <v>0.79820301507537694</v>
      </c>
      <c r="AB715" s="28">
        <f t="shared" si="588"/>
        <v>6.6</v>
      </c>
      <c r="AC715" s="261">
        <f t="shared" si="621"/>
        <v>0.79939054241724872</v>
      </c>
      <c r="AD715" s="111">
        <f t="shared" si="590"/>
        <v>1.4</v>
      </c>
      <c r="AE715" s="262">
        <f t="shared" si="622"/>
        <v>5.4269699967029253E-2</v>
      </c>
      <c r="AF715" s="100"/>
      <c r="AG715" s="111">
        <f t="shared" si="592"/>
        <v>2.2000000000000002</v>
      </c>
      <c r="AH715" s="262">
        <f t="shared" si="623"/>
        <v>0.39817162725174593</v>
      </c>
      <c r="AI715" s="100"/>
      <c r="AJ715" s="111">
        <f t="shared" si="594"/>
        <v>2</v>
      </c>
      <c r="AK715" s="262">
        <f t="shared" si="624"/>
        <v>0.3379887899769205</v>
      </c>
      <c r="AL715" s="100"/>
      <c r="AM715" s="111">
        <f t="shared" si="596"/>
        <v>1.9</v>
      </c>
      <c r="AN715" s="262">
        <f t="shared" si="625"/>
        <v>0.30314609471254789</v>
      </c>
      <c r="AO715" s="100"/>
      <c r="AP715" s="24" t="e">
        <f>VLOOKUP(C715,#REF!,6,FALSE)</f>
        <v>#REF!</v>
      </c>
      <c r="AQ715" s="24" t="e">
        <f>VLOOKUP(C715,#REF!,7,FALSE)</f>
        <v>#REF!</v>
      </c>
      <c r="AR715" s="24" t="e">
        <f>VLOOKUP(C715,#REF!,12,FALSE)</f>
        <v>#REF!</v>
      </c>
      <c r="AS715" s="24" t="e">
        <f>VLOOKUP(C715,#REF!,13,FALSE)</f>
        <v>#REF!</v>
      </c>
      <c r="AT715" s="100"/>
      <c r="AU715" s="100"/>
      <c r="AV715" s="100">
        <v>697</v>
      </c>
      <c r="AW715" s="100"/>
      <c r="AY715" s="9">
        <v>19900</v>
      </c>
    </row>
    <row r="716" spans="1:51" s="2" customFormat="1" ht="12.75" customHeight="1" x14ac:dyDescent="0.2">
      <c r="A716" s="6" t="s">
        <v>1505</v>
      </c>
      <c r="B716" s="8">
        <v>9789500213950</v>
      </c>
      <c r="C716" s="8">
        <v>707951</v>
      </c>
      <c r="D716" s="41">
        <v>36</v>
      </c>
      <c r="E716" s="7" t="s">
        <v>744</v>
      </c>
      <c r="F716" s="7" t="s">
        <v>795</v>
      </c>
      <c r="G716" s="107">
        <v>45139</v>
      </c>
      <c r="H716" s="108">
        <v>45108</v>
      </c>
      <c r="I716" s="7">
        <v>4060</v>
      </c>
      <c r="J716" s="28" t="s">
        <v>2136</v>
      </c>
      <c r="K716" s="9">
        <v>552.17999999999995</v>
      </c>
      <c r="L716" s="112">
        <v>19900</v>
      </c>
      <c r="M716" s="112">
        <f>+L716*0.08</f>
        <v>1592</v>
      </c>
      <c r="N716" s="9">
        <f t="shared" si="626"/>
        <v>9950</v>
      </c>
      <c r="O716" s="9">
        <f t="shared" si="627"/>
        <v>7805.82</v>
      </c>
      <c r="P716" s="9">
        <f t="shared" si="628"/>
        <v>2144.1799999999998</v>
      </c>
      <c r="Q716" s="139">
        <f t="shared" si="629"/>
        <v>0.78450452261306525</v>
      </c>
      <c r="R716" s="345">
        <v>19900</v>
      </c>
      <c r="S716" s="359" t="s">
        <v>1948</v>
      </c>
      <c r="T716" s="305">
        <v>0.78450452261306525</v>
      </c>
      <c r="U716" s="140"/>
      <c r="V716" s="100"/>
      <c r="W716" s="110">
        <f t="shared" si="616"/>
        <v>19900</v>
      </c>
      <c r="X716" s="110">
        <f t="shared" si="617"/>
        <v>552.17999999999995</v>
      </c>
      <c r="Y716" s="110">
        <f t="shared" si="618"/>
        <v>1592</v>
      </c>
      <c r="Z716" s="110">
        <f t="shared" si="619"/>
        <v>7805.82</v>
      </c>
      <c r="AA716" s="260">
        <f t="shared" si="620"/>
        <v>0.78450452261306525</v>
      </c>
      <c r="AB716" s="28">
        <f t="shared" si="588"/>
        <v>6.6</v>
      </c>
      <c r="AC716" s="261">
        <f t="shared" si="621"/>
        <v>0.78577266233052578</v>
      </c>
      <c r="AD716" s="111">
        <f t="shared" si="590"/>
        <v>1.5</v>
      </c>
      <c r="AE716" s="262">
        <f t="shared" si="622"/>
        <v>5.7399714254313734E-2</v>
      </c>
      <c r="AF716" s="100"/>
      <c r="AG716" s="111">
        <f t="shared" si="592"/>
        <v>2.4</v>
      </c>
      <c r="AH716" s="262">
        <f t="shared" si="623"/>
        <v>0.41087482140894604</v>
      </c>
      <c r="AI716" s="100"/>
      <c r="AJ716" s="111">
        <f t="shared" si="594"/>
        <v>2.2000000000000002</v>
      </c>
      <c r="AK716" s="262">
        <f t="shared" si="624"/>
        <v>0.35731798699157757</v>
      </c>
      <c r="AL716" s="100"/>
      <c r="AM716" s="111">
        <f t="shared" si="596"/>
        <v>2</v>
      </c>
      <c r="AN716" s="262">
        <f t="shared" si="625"/>
        <v>0.29304978569073531</v>
      </c>
      <c r="AO716" s="100"/>
      <c r="AP716" s="24" t="e">
        <f>VLOOKUP(C716,#REF!,6,FALSE)</f>
        <v>#REF!</v>
      </c>
      <c r="AQ716" s="24" t="e">
        <f>VLOOKUP(C716,#REF!,7,FALSE)</f>
        <v>#REF!</v>
      </c>
      <c r="AR716" s="24" t="e">
        <f>VLOOKUP(C716,#REF!,12,FALSE)</f>
        <v>#REF!</v>
      </c>
      <c r="AS716" s="24" t="e">
        <f>VLOOKUP(C716,#REF!,13,FALSE)</f>
        <v>#REF!</v>
      </c>
      <c r="AT716" s="100"/>
      <c r="AU716" s="100"/>
      <c r="AV716" s="100">
        <v>698</v>
      </c>
      <c r="AW716" s="100"/>
      <c r="AY716" s="112">
        <v>19900</v>
      </c>
    </row>
    <row r="717" spans="1:51" s="2" customFormat="1" ht="12.75" customHeight="1" x14ac:dyDescent="0.2">
      <c r="A717" s="6" t="s">
        <v>1506</v>
      </c>
      <c r="B717" s="8">
        <v>9789500214070</v>
      </c>
      <c r="C717" s="8">
        <v>709126</v>
      </c>
      <c r="D717" s="41">
        <v>32</v>
      </c>
      <c r="E717" s="7" t="s">
        <v>744</v>
      </c>
      <c r="F717" s="7" t="s">
        <v>817</v>
      </c>
      <c r="G717" s="107">
        <v>45170</v>
      </c>
      <c r="H717" s="108">
        <v>45839</v>
      </c>
      <c r="I717" s="264">
        <v>2058</v>
      </c>
      <c r="J717" s="108" t="s">
        <v>2136</v>
      </c>
      <c r="K717" s="9">
        <v>1644.58</v>
      </c>
      <c r="L717" s="9">
        <v>19900</v>
      </c>
      <c r="M717" s="112">
        <f>+L717*0.08</f>
        <v>1592</v>
      </c>
      <c r="N717" s="9">
        <f t="shared" si="626"/>
        <v>9950</v>
      </c>
      <c r="O717" s="9">
        <f t="shared" si="627"/>
        <v>6713.42</v>
      </c>
      <c r="P717" s="9">
        <f t="shared" si="628"/>
        <v>3236.58</v>
      </c>
      <c r="Q717" s="139">
        <f t="shared" si="629"/>
        <v>0.67471557788944725</v>
      </c>
      <c r="R717" s="345">
        <v>19900</v>
      </c>
      <c r="S717" s="359" t="s">
        <v>1948</v>
      </c>
      <c r="T717" s="305">
        <v>0.67471557788944725</v>
      </c>
      <c r="U717" s="140"/>
      <c r="V717" s="100"/>
      <c r="W717" s="110">
        <f t="shared" si="616"/>
        <v>19900</v>
      </c>
      <c r="X717" s="110">
        <f t="shared" si="617"/>
        <v>1644.58</v>
      </c>
      <c r="Y717" s="110">
        <f t="shared" si="618"/>
        <v>1592</v>
      </c>
      <c r="Z717" s="110">
        <f t="shared" si="619"/>
        <v>6713.42</v>
      </c>
      <c r="AA717" s="260">
        <f t="shared" si="620"/>
        <v>0.67471557788944725</v>
      </c>
      <c r="AB717" s="28">
        <f t="shared" si="588"/>
        <v>6.6</v>
      </c>
      <c r="AC717" s="261">
        <f t="shared" si="621"/>
        <v>0.67662979947846413</v>
      </c>
      <c r="AD717" s="111">
        <f t="shared" si="590"/>
        <v>2.2000000000000002</v>
      </c>
      <c r="AE717" s="262">
        <f t="shared" si="622"/>
        <v>2.9889398435392574E-2</v>
      </c>
      <c r="AF717" s="100"/>
      <c r="AG717" s="111">
        <f t="shared" si="592"/>
        <v>3.6</v>
      </c>
      <c r="AH717" s="262">
        <f t="shared" si="623"/>
        <v>0.40715463237718436</v>
      </c>
      <c r="AI717" s="100"/>
      <c r="AJ717" s="111">
        <f t="shared" si="594"/>
        <v>3.3</v>
      </c>
      <c r="AK717" s="262">
        <f t="shared" si="624"/>
        <v>0.35325959895692832</v>
      </c>
      <c r="AL717" s="100"/>
      <c r="AM717" s="111">
        <f t="shared" si="596"/>
        <v>3</v>
      </c>
      <c r="AN717" s="262">
        <f t="shared" si="625"/>
        <v>0.28858555885262116</v>
      </c>
      <c r="AO717" s="100"/>
      <c r="AP717" s="24" t="e">
        <f>VLOOKUP(C717,#REF!,6,FALSE)</f>
        <v>#REF!</v>
      </c>
      <c r="AQ717" s="24" t="e">
        <f>VLOOKUP(C717,#REF!,7,FALSE)</f>
        <v>#REF!</v>
      </c>
      <c r="AR717" s="24" t="e">
        <f>VLOOKUP(C717,#REF!,12,FALSE)</f>
        <v>#REF!</v>
      </c>
      <c r="AS717" s="24" t="e">
        <f>VLOOKUP(C717,#REF!,13,FALSE)</f>
        <v>#REF!</v>
      </c>
      <c r="AT717" s="100"/>
      <c r="AU717" s="100"/>
      <c r="AV717" s="100">
        <v>699</v>
      </c>
      <c r="AW717" s="100"/>
      <c r="AY717" s="9">
        <v>19900</v>
      </c>
    </row>
    <row r="718" spans="1:51" s="2" customFormat="1" ht="12.75" customHeight="1" x14ac:dyDescent="0.2">
      <c r="A718" s="6" t="s">
        <v>1507</v>
      </c>
      <c r="B718" s="8">
        <v>9789500212847</v>
      </c>
      <c r="C718" s="8">
        <v>696625</v>
      </c>
      <c r="D718" s="7">
        <v>64</v>
      </c>
      <c r="E718" s="7" t="s">
        <v>706</v>
      </c>
      <c r="F718" s="7" t="s">
        <v>1508</v>
      </c>
      <c r="G718" s="107">
        <v>44774</v>
      </c>
      <c r="H718" s="108">
        <v>44743</v>
      </c>
      <c r="I718" s="7">
        <v>5005</v>
      </c>
      <c r="J718" s="28" t="s">
        <v>2136</v>
      </c>
      <c r="K718" s="9">
        <v>411.17</v>
      </c>
      <c r="L718" s="9">
        <v>24900</v>
      </c>
      <c r="M718" s="112">
        <f>+L718*0.1</f>
        <v>2490</v>
      </c>
      <c r="N718" s="9">
        <f t="shared" si="626"/>
        <v>12450</v>
      </c>
      <c r="O718" s="9">
        <f t="shared" si="627"/>
        <v>9548.83</v>
      </c>
      <c r="P718" s="9">
        <f t="shared" si="628"/>
        <v>2901.17</v>
      </c>
      <c r="Q718" s="139">
        <f t="shared" si="629"/>
        <v>0.76697429718875498</v>
      </c>
      <c r="R718" s="345">
        <v>24900</v>
      </c>
      <c r="S718" s="359" t="s">
        <v>1948</v>
      </c>
      <c r="T718" s="305">
        <v>0.76697429718875498</v>
      </c>
      <c r="U718" s="28"/>
      <c r="V718" s="100"/>
      <c r="W718" s="110">
        <f t="shared" si="616"/>
        <v>24900</v>
      </c>
      <c r="X718" s="110">
        <f t="shared" si="617"/>
        <v>411.17</v>
      </c>
      <c r="Y718" s="110">
        <f t="shared" si="618"/>
        <v>2490</v>
      </c>
      <c r="Z718" s="110">
        <f t="shared" si="619"/>
        <v>9548.83</v>
      </c>
      <c r="AA718" s="260">
        <f t="shared" si="620"/>
        <v>0.76697429718875498</v>
      </c>
      <c r="AB718" s="28">
        <f t="shared" si="588"/>
        <v>8.1999999999999993</v>
      </c>
      <c r="AC718" s="261">
        <f t="shared" si="621"/>
        <v>0.76669883316043841</v>
      </c>
      <c r="AD718" s="111">
        <f t="shared" si="590"/>
        <v>2</v>
      </c>
      <c r="AE718" s="262">
        <f t="shared" si="622"/>
        <v>4.3465215957797537E-2</v>
      </c>
      <c r="AF718" s="100"/>
      <c r="AG718" s="111">
        <f t="shared" si="592"/>
        <v>3.2</v>
      </c>
      <c r="AH718" s="262">
        <f t="shared" si="623"/>
        <v>0.40216575997362347</v>
      </c>
      <c r="AI718" s="100"/>
      <c r="AJ718" s="111">
        <f t="shared" si="594"/>
        <v>2.9</v>
      </c>
      <c r="AK718" s="262">
        <f t="shared" si="624"/>
        <v>0.34032083859158441</v>
      </c>
      <c r="AL718" s="100"/>
      <c r="AM718" s="111">
        <f t="shared" si="596"/>
        <v>2.7</v>
      </c>
      <c r="AN718" s="262">
        <f t="shared" si="625"/>
        <v>0.2914557155242945</v>
      </c>
      <c r="AO718" s="100"/>
      <c r="AP718" s="24" t="e">
        <f>VLOOKUP(C718,#REF!,6,FALSE)</f>
        <v>#REF!</v>
      </c>
      <c r="AQ718" s="24" t="e">
        <f>VLOOKUP(C718,#REF!,7,FALSE)</f>
        <v>#REF!</v>
      </c>
      <c r="AR718" s="24" t="e">
        <f>VLOOKUP(C718,#REF!,12,FALSE)</f>
        <v>#REF!</v>
      </c>
      <c r="AS718" s="24" t="e">
        <f>VLOOKUP(C718,#REF!,13,FALSE)</f>
        <v>#REF!</v>
      </c>
      <c r="AT718" s="100"/>
      <c r="AU718" s="100"/>
      <c r="AV718" s="100">
        <v>700</v>
      </c>
      <c r="AW718" s="100"/>
      <c r="AY718" s="9">
        <v>24900</v>
      </c>
    </row>
    <row r="719" spans="1:51" s="2" customFormat="1" ht="12.75" customHeight="1" x14ac:dyDescent="0.2">
      <c r="A719" s="7" t="s">
        <v>1509</v>
      </c>
      <c r="B719" s="8">
        <v>9789500212632</v>
      </c>
      <c r="C719" s="8">
        <v>693800</v>
      </c>
      <c r="D719" s="25">
        <v>64</v>
      </c>
      <c r="E719" s="7" t="s">
        <v>691</v>
      </c>
      <c r="F719" s="7" t="s">
        <v>831</v>
      </c>
      <c r="G719" s="107">
        <v>44682</v>
      </c>
      <c r="H719" s="108">
        <v>44652</v>
      </c>
      <c r="I719" s="7">
        <v>1050</v>
      </c>
      <c r="J719" s="28" t="s">
        <v>1762</v>
      </c>
      <c r="K719" s="9">
        <v>357.53</v>
      </c>
      <c r="L719" s="128">
        <v>18600</v>
      </c>
      <c r="M719" s="112"/>
      <c r="N719" s="9">
        <f t="shared" si="626"/>
        <v>9300</v>
      </c>
      <c r="O719" s="9">
        <f t="shared" si="627"/>
        <v>8942.4699999999993</v>
      </c>
      <c r="P719" s="9">
        <f t="shared" si="628"/>
        <v>357.53</v>
      </c>
      <c r="Q719" s="139">
        <f t="shared" si="629"/>
        <v>0.9615559139784946</v>
      </c>
      <c r="R719" s="345">
        <v>18600</v>
      </c>
      <c r="S719" s="359" t="s">
        <v>1948</v>
      </c>
      <c r="T719" s="305">
        <v>0.9615559139784946</v>
      </c>
      <c r="U719" s="144"/>
      <c r="V719" s="100"/>
      <c r="W719" s="110">
        <f t="shared" si="616"/>
        <v>18600</v>
      </c>
      <c r="X719" s="110">
        <f t="shared" si="617"/>
        <v>357.53</v>
      </c>
      <c r="Y719" s="110">
        <f t="shared" si="618"/>
        <v>0</v>
      </c>
      <c r="Z719" s="110">
        <f t="shared" si="619"/>
        <v>8942.4699999999993</v>
      </c>
      <c r="AA719" s="260">
        <f t="shared" si="620"/>
        <v>0.9615559139784946</v>
      </c>
      <c r="AB719" s="28">
        <f t="shared" si="588"/>
        <v>6.1</v>
      </c>
      <c r="AC719" s="261">
        <f t="shared" si="621"/>
        <v>0.96135082399615157</v>
      </c>
      <c r="AD719" s="111">
        <f t="shared" si="590"/>
        <v>0.2</v>
      </c>
      <c r="AE719" s="262">
        <f t="shared" si="622"/>
        <v>-0.17879986811737539</v>
      </c>
      <c r="AF719" s="100"/>
      <c r="AG719" s="111">
        <f t="shared" si="592"/>
        <v>0.4</v>
      </c>
      <c r="AH719" s="262">
        <f t="shared" si="623"/>
        <v>0.41060006594131232</v>
      </c>
      <c r="AI719" s="100"/>
      <c r="AJ719" s="111">
        <f t="shared" si="594"/>
        <v>0.4</v>
      </c>
      <c r="AK719" s="262">
        <f t="shared" si="624"/>
        <v>0.41060006594131232</v>
      </c>
      <c r="AL719" s="100"/>
      <c r="AM719" s="111">
        <f t="shared" si="596"/>
        <v>0.3</v>
      </c>
      <c r="AN719" s="262">
        <f t="shared" si="625"/>
        <v>0.21413342125508303</v>
      </c>
      <c r="AO719" s="100"/>
      <c r="AP719" s="24" t="e">
        <f>VLOOKUP(C719,#REF!,6,FALSE)</f>
        <v>#REF!</v>
      </c>
      <c r="AQ719" s="24" t="e">
        <f>VLOOKUP(C719,#REF!,7,FALSE)</f>
        <v>#REF!</v>
      </c>
      <c r="AR719" s="24" t="e">
        <f>VLOOKUP(C719,#REF!,12,FALSE)</f>
        <v>#REF!</v>
      </c>
      <c r="AS719" s="24" t="e">
        <f>VLOOKUP(C719,#REF!,13,FALSE)</f>
        <v>#REF!</v>
      </c>
      <c r="AT719" s="100"/>
      <c r="AU719" s="100"/>
      <c r="AV719" s="100">
        <v>701</v>
      </c>
      <c r="AW719" s="100"/>
      <c r="AY719" s="128">
        <v>18600</v>
      </c>
    </row>
    <row r="720" spans="1:51" s="2" customFormat="1" ht="12.75" customHeight="1" x14ac:dyDescent="0.2">
      <c r="A720" s="7" t="s">
        <v>1510</v>
      </c>
      <c r="B720" s="8">
        <v>9789500210492</v>
      </c>
      <c r="C720" s="8">
        <v>674460</v>
      </c>
      <c r="D720" s="25">
        <v>128</v>
      </c>
      <c r="E720" s="7" t="s">
        <v>343</v>
      </c>
      <c r="F720" s="7" t="s">
        <v>485</v>
      </c>
      <c r="G720" s="107">
        <v>43983</v>
      </c>
      <c r="H720" s="108">
        <v>45017</v>
      </c>
      <c r="I720" s="7">
        <v>3095</v>
      </c>
      <c r="J720" s="28" t="s">
        <v>1333</v>
      </c>
      <c r="K720" s="9">
        <v>956.72</v>
      </c>
      <c r="L720" s="9">
        <v>24900</v>
      </c>
      <c r="M720" s="112"/>
      <c r="N720" s="9">
        <f t="shared" si="626"/>
        <v>12450</v>
      </c>
      <c r="O720" s="9">
        <f t="shared" si="627"/>
        <v>11493.28</v>
      </c>
      <c r="P720" s="9">
        <f t="shared" si="628"/>
        <v>956.72</v>
      </c>
      <c r="Q720" s="139">
        <f t="shared" si="629"/>
        <v>0.92315502008032135</v>
      </c>
      <c r="R720" s="345">
        <v>24900</v>
      </c>
      <c r="S720" s="359" t="s">
        <v>1948</v>
      </c>
      <c r="T720" s="305">
        <v>0.92315502008032135</v>
      </c>
      <c r="U720" s="144"/>
      <c r="V720" s="100"/>
      <c r="W720" s="110">
        <f t="shared" si="616"/>
        <v>24900</v>
      </c>
      <c r="X720" s="110">
        <f t="shared" si="617"/>
        <v>956.72</v>
      </c>
      <c r="Y720" s="110">
        <f t="shared" si="618"/>
        <v>0</v>
      </c>
      <c r="Z720" s="110">
        <f t="shared" si="619"/>
        <v>11493.28</v>
      </c>
      <c r="AA720" s="260">
        <f t="shared" si="620"/>
        <v>0.92315502008032135</v>
      </c>
      <c r="AB720" s="28">
        <f t="shared" si="588"/>
        <v>8.1999999999999993</v>
      </c>
      <c r="AC720" s="261">
        <f t="shared" si="621"/>
        <v>0.92306418019669811</v>
      </c>
      <c r="AD720" s="111">
        <f t="shared" si="590"/>
        <v>0.7</v>
      </c>
      <c r="AE720" s="262">
        <f t="shared" si="622"/>
        <v>9.8751825161320653E-2</v>
      </c>
      <c r="AF720" s="100"/>
      <c r="AG720" s="111">
        <f t="shared" si="592"/>
        <v>1.1000000000000001</v>
      </c>
      <c r="AH720" s="262">
        <f t="shared" si="623"/>
        <v>0.42647843419356773</v>
      </c>
      <c r="AI720" s="100"/>
      <c r="AJ720" s="111">
        <f t="shared" si="594"/>
        <v>1</v>
      </c>
      <c r="AK720" s="262">
        <f t="shared" si="624"/>
        <v>0.36912627761292449</v>
      </c>
      <c r="AL720" s="100"/>
      <c r="AM720" s="111">
        <f t="shared" si="596"/>
        <v>0.9</v>
      </c>
      <c r="AN720" s="262">
        <f t="shared" si="625"/>
        <v>0.29902919734769395</v>
      </c>
      <c r="AO720" s="100"/>
      <c r="AP720" s="24" t="e">
        <f>VLOOKUP(C720,#REF!,6,FALSE)</f>
        <v>#REF!</v>
      </c>
      <c r="AQ720" s="24" t="e">
        <f>VLOOKUP(C720,#REF!,7,FALSE)</f>
        <v>#REF!</v>
      </c>
      <c r="AR720" s="24" t="e">
        <f>VLOOKUP(C720,#REF!,12,FALSE)</f>
        <v>#REF!</v>
      </c>
      <c r="AS720" s="24" t="e">
        <f>VLOOKUP(C720,#REF!,13,FALSE)</f>
        <v>#REF!</v>
      </c>
      <c r="AT720" s="100"/>
      <c r="AU720" s="100"/>
      <c r="AV720" s="100">
        <v>702</v>
      </c>
      <c r="AW720" s="100"/>
      <c r="AY720" s="9">
        <v>24900</v>
      </c>
    </row>
    <row r="721" spans="1:51" s="2" customFormat="1" ht="12.75" customHeight="1" x14ac:dyDescent="0.2">
      <c r="A721" s="7" t="s">
        <v>1511</v>
      </c>
      <c r="B721" s="8">
        <v>9789500210201</v>
      </c>
      <c r="C721" s="14">
        <v>670528</v>
      </c>
      <c r="D721" s="25">
        <v>32</v>
      </c>
      <c r="E721" s="7" t="s">
        <v>464</v>
      </c>
      <c r="F721" s="7" t="s">
        <v>465</v>
      </c>
      <c r="G721" s="107">
        <v>43770</v>
      </c>
      <c r="H721" s="108">
        <v>43739</v>
      </c>
      <c r="I721" s="7">
        <v>2220</v>
      </c>
      <c r="J721" s="28" t="s">
        <v>1762</v>
      </c>
      <c r="K721" s="9">
        <v>54.61</v>
      </c>
      <c r="L721" s="128">
        <v>17900</v>
      </c>
      <c r="M721" s="112">
        <f>+L721*0.1</f>
        <v>1790</v>
      </c>
      <c r="N721" s="9">
        <f t="shared" si="626"/>
        <v>8950</v>
      </c>
      <c r="O721" s="9">
        <f t="shared" si="627"/>
        <v>7105.39</v>
      </c>
      <c r="P721" s="9">
        <f t="shared" si="628"/>
        <v>1844.61</v>
      </c>
      <c r="Q721" s="139">
        <f t="shared" si="629"/>
        <v>0.79389832402234639</v>
      </c>
      <c r="R721" s="345">
        <v>17900</v>
      </c>
      <c r="S721" s="359" t="s">
        <v>1948</v>
      </c>
      <c r="T721" s="305">
        <v>0.79389832402234639</v>
      </c>
      <c r="U721" s="144"/>
      <c r="V721" s="100"/>
      <c r="W721" s="110">
        <f t="shared" si="616"/>
        <v>17900</v>
      </c>
      <c r="X721" s="110">
        <f t="shared" si="617"/>
        <v>54.61</v>
      </c>
      <c r="Y721" s="110">
        <f t="shared" si="618"/>
        <v>1790</v>
      </c>
      <c r="Z721" s="110">
        <f t="shared" si="619"/>
        <v>7105.3899999999994</v>
      </c>
      <c r="AA721" s="260">
        <f t="shared" si="620"/>
        <v>0.79389832402234628</v>
      </c>
      <c r="AB721" s="28">
        <f t="shared" si="588"/>
        <v>5.9</v>
      </c>
      <c r="AC721" s="261">
        <f t="shared" si="621"/>
        <v>0.79383728142969701</v>
      </c>
      <c r="AD721" s="111">
        <f t="shared" si="590"/>
        <v>1.3</v>
      </c>
      <c r="AE721" s="262">
        <f t="shared" si="622"/>
        <v>6.4338431104009816E-2</v>
      </c>
      <c r="AF721" s="100"/>
      <c r="AG721" s="111">
        <f t="shared" si="592"/>
        <v>2</v>
      </c>
      <c r="AH721" s="262">
        <f t="shared" si="623"/>
        <v>0.39181998021760628</v>
      </c>
      <c r="AI721" s="100"/>
      <c r="AJ721" s="111">
        <f t="shared" si="594"/>
        <v>1.9</v>
      </c>
      <c r="AK721" s="262">
        <f t="shared" si="624"/>
        <v>0.3598105054922171</v>
      </c>
      <c r="AL721" s="100"/>
      <c r="AM721" s="111">
        <f t="shared" si="596"/>
        <v>1.7</v>
      </c>
      <c r="AN721" s="262">
        <f t="shared" si="625"/>
        <v>0.28449409437365436</v>
      </c>
      <c r="AO721" s="100"/>
      <c r="AP721" s="24" t="e">
        <f>VLOOKUP(C721,#REF!,6,FALSE)</f>
        <v>#REF!</v>
      </c>
      <c r="AQ721" s="24" t="e">
        <f>VLOOKUP(C721,#REF!,7,FALSE)</f>
        <v>#REF!</v>
      </c>
      <c r="AR721" s="24" t="e">
        <f>VLOOKUP(C721,#REF!,12,FALSE)</f>
        <v>#REF!</v>
      </c>
      <c r="AS721" s="24" t="e">
        <f>VLOOKUP(C721,#REF!,13,FALSE)</f>
        <v>#REF!</v>
      </c>
      <c r="AT721" s="100"/>
      <c r="AU721" s="100"/>
      <c r="AV721" s="100">
        <v>703</v>
      </c>
      <c r="AW721" s="100"/>
      <c r="AY721" s="128">
        <v>17900</v>
      </c>
    </row>
    <row r="722" spans="1:51" s="2" customFormat="1" ht="12.75" customHeight="1" x14ac:dyDescent="0.2">
      <c r="A722" s="7" t="s">
        <v>1512</v>
      </c>
      <c r="B722" s="8">
        <v>9789500210164</v>
      </c>
      <c r="C722" s="14">
        <v>669520</v>
      </c>
      <c r="D722" s="25">
        <v>36</v>
      </c>
      <c r="E722" s="7" t="s">
        <v>459</v>
      </c>
      <c r="F722" s="7" t="s">
        <v>460</v>
      </c>
      <c r="G722" s="107">
        <v>43739</v>
      </c>
      <c r="H722" s="108">
        <v>43709</v>
      </c>
      <c r="I722" s="24">
        <v>2125</v>
      </c>
      <c r="J722" s="28" t="s">
        <v>1946</v>
      </c>
      <c r="K722" s="28">
        <v>97.46</v>
      </c>
      <c r="L722" s="128">
        <v>14850</v>
      </c>
      <c r="M722" s="112">
        <f>+L722*0.07</f>
        <v>1039.5</v>
      </c>
      <c r="N722" s="9">
        <f t="shared" si="626"/>
        <v>7425</v>
      </c>
      <c r="O722" s="9">
        <f t="shared" si="627"/>
        <v>6288.04</v>
      </c>
      <c r="P722" s="9">
        <f t="shared" si="628"/>
        <v>1136.96</v>
      </c>
      <c r="Q722" s="139">
        <f t="shared" si="629"/>
        <v>0.84687407407407411</v>
      </c>
      <c r="R722" s="345">
        <v>14850</v>
      </c>
      <c r="S722" s="359" t="s">
        <v>1948</v>
      </c>
      <c r="T722" s="305">
        <v>0.84687407407407411</v>
      </c>
      <c r="U722" s="144"/>
      <c r="V722" s="100"/>
      <c r="W722" s="110">
        <f t="shared" si="616"/>
        <v>14850</v>
      </c>
      <c r="X722" s="110">
        <f t="shared" si="617"/>
        <v>97.46</v>
      </c>
      <c r="Y722" s="110">
        <f t="shared" si="618"/>
        <v>1039.5</v>
      </c>
      <c r="Z722" s="110">
        <f t="shared" si="619"/>
        <v>6288.04</v>
      </c>
      <c r="AA722" s="260">
        <f t="shared" si="620"/>
        <v>0.84687407407407411</v>
      </c>
      <c r="AB722" s="28">
        <f t="shared" si="588"/>
        <v>4.9000000000000004</v>
      </c>
      <c r="AC722" s="261">
        <f t="shared" si="621"/>
        <v>0.84699462376444146</v>
      </c>
      <c r="AD722" s="111">
        <f t="shared" si="590"/>
        <v>0.8</v>
      </c>
      <c r="AE722" s="262">
        <f t="shared" si="622"/>
        <v>6.2842070557204088E-2</v>
      </c>
      <c r="AF722" s="100"/>
      <c r="AG722" s="111">
        <f t="shared" si="592"/>
        <v>1.2</v>
      </c>
      <c r="AH722" s="262">
        <f t="shared" si="623"/>
        <v>0.375228047038136</v>
      </c>
      <c r="AI722" s="100"/>
      <c r="AJ722" s="111">
        <f t="shared" si="594"/>
        <v>1.2</v>
      </c>
      <c r="AK722" s="262">
        <f t="shared" si="624"/>
        <v>0.375228047038136</v>
      </c>
      <c r="AL722" s="100"/>
      <c r="AM722" s="111">
        <f t="shared" si="596"/>
        <v>1.1000000000000001</v>
      </c>
      <c r="AN722" s="262">
        <f t="shared" si="625"/>
        <v>0.3184305967688757</v>
      </c>
      <c r="AO722" s="100"/>
      <c r="AP722" s="24" t="e">
        <f>VLOOKUP(C722,#REF!,6,FALSE)</f>
        <v>#REF!</v>
      </c>
      <c r="AQ722" s="24" t="e">
        <f>VLOOKUP(C722,#REF!,7,FALSE)</f>
        <v>#REF!</v>
      </c>
      <c r="AR722" s="24" t="e">
        <f>VLOOKUP(C722,#REF!,12,FALSE)</f>
        <v>#REF!</v>
      </c>
      <c r="AS722" s="24" t="e">
        <f>VLOOKUP(C722,#REF!,13,FALSE)</f>
        <v>#REF!</v>
      </c>
      <c r="AT722" s="100"/>
      <c r="AU722" s="100"/>
      <c r="AV722" s="100">
        <v>704</v>
      </c>
      <c r="AW722" s="100"/>
      <c r="AY722" s="128">
        <v>14850</v>
      </c>
    </row>
    <row r="723" spans="1:51" s="2" customFormat="1" ht="12.75" customHeight="1" x14ac:dyDescent="0.2">
      <c r="A723" s="6" t="s">
        <v>2176</v>
      </c>
      <c r="B723" s="153">
        <v>9789500216845</v>
      </c>
      <c r="C723" s="6">
        <v>737018</v>
      </c>
      <c r="D723" s="41">
        <v>160</v>
      </c>
      <c r="E723" s="6" t="s">
        <v>2177</v>
      </c>
      <c r="F723" s="29" t="s">
        <v>2178</v>
      </c>
      <c r="G723" s="329">
        <v>45962</v>
      </c>
      <c r="H723" s="108">
        <v>45931</v>
      </c>
      <c r="I723" s="7">
        <v>4038</v>
      </c>
      <c r="J723" s="7" t="s">
        <v>2219</v>
      </c>
      <c r="K723" s="148">
        <v>2672.93</v>
      </c>
      <c r="L723" s="9">
        <v>19900</v>
      </c>
      <c r="M723" s="112"/>
      <c r="N723" s="9">
        <f t="shared" si="626"/>
        <v>9950</v>
      </c>
      <c r="O723" s="9">
        <f t="shared" si="627"/>
        <v>7277.07</v>
      </c>
      <c r="P723" s="9">
        <f t="shared" si="628"/>
        <v>2672.93</v>
      </c>
      <c r="Q723" s="139">
        <f t="shared" si="629"/>
        <v>0.73136381909547732</v>
      </c>
      <c r="R723" s="345">
        <v>19900</v>
      </c>
      <c r="S723" s="359" t="s">
        <v>1948</v>
      </c>
      <c r="T723" s="305">
        <v>0.73136381909547732</v>
      </c>
      <c r="U723" s="142"/>
      <c r="V723" s="100"/>
      <c r="W723" s="110">
        <f t="shared" si="616"/>
        <v>19900</v>
      </c>
      <c r="X723" s="110">
        <f t="shared" si="617"/>
        <v>2672.93</v>
      </c>
      <c r="Y723" s="110">
        <f t="shared" si="618"/>
        <v>0</v>
      </c>
      <c r="Z723" s="110">
        <f t="shared" si="619"/>
        <v>7277.07</v>
      </c>
      <c r="AA723" s="260">
        <f t="shared" si="620"/>
        <v>0.73136381909547732</v>
      </c>
      <c r="AB723" s="28">
        <f t="shared" si="588"/>
        <v>6.6</v>
      </c>
      <c r="AC723" s="261">
        <f t="shared" si="621"/>
        <v>0.73294467923548035</v>
      </c>
      <c r="AD723" s="111">
        <f t="shared" si="590"/>
        <v>1.9</v>
      </c>
      <c r="AE723" s="262">
        <f t="shared" si="622"/>
        <v>7.2334148923247812E-2</v>
      </c>
      <c r="AF723" s="100"/>
      <c r="AG723" s="111">
        <f t="shared" si="592"/>
        <v>2.9</v>
      </c>
      <c r="AH723" s="262">
        <f t="shared" si="623"/>
        <v>0.39221892515661055</v>
      </c>
      <c r="AI723" s="100"/>
      <c r="AJ723" s="111">
        <f t="shared" si="594"/>
        <v>2.7</v>
      </c>
      <c r="AK723" s="262">
        <f t="shared" si="624"/>
        <v>0.34719810479784108</v>
      </c>
      <c r="AL723" s="100"/>
      <c r="AM723" s="111">
        <f t="shared" si="596"/>
        <v>2.5</v>
      </c>
      <c r="AN723" s="262">
        <f t="shared" si="625"/>
        <v>0.29497395318166836</v>
      </c>
      <c r="AO723" s="100"/>
      <c r="AP723" s="24" t="e">
        <f>VLOOKUP(C723,#REF!,6,FALSE)</f>
        <v>#REF!</v>
      </c>
      <c r="AQ723" s="24" t="e">
        <f>VLOOKUP(C723,#REF!,7,FALSE)</f>
        <v>#REF!</v>
      </c>
      <c r="AR723" s="24" t="e">
        <f>VLOOKUP(C723,#REF!,12,FALSE)</f>
        <v>#REF!</v>
      </c>
      <c r="AS723" s="24" t="e">
        <f>VLOOKUP(C723,#REF!,13,FALSE)</f>
        <v>#REF!</v>
      </c>
      <c r="AT723" s="100"/>
      <c r="AU723" s="100"/>
      <c r="AV723" s="100">
        <v>705</v>
      </c>
      <c r="AW723" s="100"/>
      <c r="AY723" s="9">
        <v>19900</v>
      </c>
    </row>
    <row r="724" spans="1:51" s="2" customFormat="1" ht="12.75" customHeight="1" x14ac:dyDescent="0.2">
      <c r="A724" s="6" t="s">
        <v>1995</v>
      </c>
      <c r="B724" s="8">
        <v>9789500216012</v>
      </c>
      <c r="C724" s="6">
        <v>727009</v>
      </c>
      <c r="D724" s="239">
        <v>160</v>
      </c>
      <c r="E724" s="7" t="s">
        <v>2007</v>
      </c>
      <c r="F724" s="6" t="s">
        <v>1996</v>
      </c>
      <c r="G724" s="107">
        <v>45717</v>
      </c>
      <c r="H724" s="107">
        <v>46235</v>
      </c>
      <c r="I724" s="239" t="s">
        <v>2435</v>
      </c>
      <c r="J724" s="6" t="s">
        <v>2219</v>
      </c>
      <c r="K724" s="148">
        <v>2812</v>
      </c>
      <c r="L724" s="9">
        <v>19900</v>
      </c>
      <c r="M724" s="112"/>
      <c r="N724" s="9">
        <f t="shared" si="626"/>
        <v>9950</v>
      </c>
      <c r="O724" s="9">
        <f t="shared" si="627"/>
        <v>7138</v>
      </c>
      <c r="P724" s="9">
        <f t="shared" si="628"/>
        <v>2812</v>
      </c>
      <c r="Q724" s="139">
        <f t="shared" si="629"/>
        <v>0.71738693467336678</v>
      </c>
      <c r="R724" s="345">
        <v>19900</v>
      </c>
      <c r="S724" s="359" t="s">
        <v>1948</v>
      </c>
      <c r="T724" s="305">
        <v>0.7194603015075377</v>
      </c>
      <c r="U724" s="142"/>
      <c r="V724" s="100"/>
      <c r="W724" s="110">
        <f t="shared" si="616"/>
        <v>19900</v>
      </c>
      <c r="X724" s="110">
        <f t="shared" si="617"/>
        <v>2812</v>
      </c>
      <c r="Y724" s="110">
        <f t="shared" si="618"/>
        <v>0</v>
      </c>
      <c r="Z724" s="110">
        <f t="shared" si="619"/>
        <v>7138</v>
      </c>
      <c r="AA724" s="260">
        <f t="shared" si="620"/>
        <v>0.71738693467336678</v>
      </c>
      <c r="AB724" s="28">
        <f t="shared" si="588"/>
        <v>6.6</v>
      </c>
      <c r="AC724" s="261">
        <f t="shared" si="621"/>
        <v>0.71905004545954099</v>
      </c>
      <c r="AD724" s="111">
        <f t="shared" si="590"/>
        <v>2</v>
      </c>
      <c r="AE724" s="262">
        <f t="shared" si="622"/>
        <v>7.2865150016485331E-2</v>
      </c>
      <c r="AF724" s="100"/>
      <c r="AG724" s="111">
        <f t="shared" si="592"/>
        <v>3.1</v>
      </c>
      <c r="AH724" s="262">
        <f t="shared" si="623"/>
        <v>0.40184848388160349</v>
      </c>
      <c r="AI724" s="100"/>
      <c r="AJ724" s="111">
        <f t="shared" si="594"/>
        <v>2.9</v>
      </c>
      <c r="AK724" s="262">
        <f t="shared" si="624"/>
        <v>0.36059665518378292</v>
      </c>
      <c r="AL724" s="100"/>
      <c r="AM724" s="111">
        <f t="shared" si="596"/>
        <v>2.6</v>
      </c>
      <c r="AN724" s="262">
        <f t="shared" si="625"/>
        <v>0.28681934616652721</v>
      </c>
      <c r="AO724" s="100"/>
      <c r="AP724" s="24" t="e">
        <f>VLOOKUP(C724,#REF!,6,FALSE)</f>
        <v>#REF!</v>
      </c>
      <c r="AQ724" s="24" t="e">
        <f>VLOOKUP(C724,#REF!,7,FALSE)</f>
        <v>#REF!</v>
      </c>
      <c r="AR724" s="24" t="e">
        <f>VLOOKUP(C724,#REF!,12,FALSE)</f>
        <v>#REF!</v>
      </c>
      <c r="AS724" s="24" t="e">
        <f>VLOOKUP(C724,#REF!,13,FALSE)</f>
        <v>#REF!</v>
      </c>
      <c r="AT724" s="100"/>
      <c r="AU724" s="100"/>
      <c r="AV724" s="100">
        <v>706</v>
      </c>
      <c r="AW724" s="100"/>
      <c r="AY724" s="9">
        <v>19900</v>
      </c>
    </row>
    <row r="725" spans="1:51" s="2" customFormat="1" ht="12.75" customHeight="1" x14ac:dyDescent="0.2">
      <c r="A725" s="7" t="s">
        <v>1513</v>
      </c>
      <c r="B725" s="8">
        <v>9789500210157</v>
      </c>
      <c r="C725" s="6">
        <v>668113</v>
      </c>
      <c r="D725" s="25">
        <v>176</v>
      </c>
      <c r="E725" s="7" t="s">
        <v>155</v>
      </c>
      <c r="F725" s="6" t="s">
        <v>729</v>
      </c>
      <c r="G725" s="107">
        <v>43709</v>
      </c>
      <c r="H725" s="107">
        <v>46174</v>
      </c>
      <c r="I725" s="7">
        <v>2069</v>
      </c>
      <c r="J725" s="28" t="s">
        <v>2219</v>
      </c>
      <c r="K725" s="148">
        <v>3537.7</v>
      </c>
      <c r="L725" s="9">
        <v>19900</v>
      </c>
      <c r="M725" s="112"/>
      <c r="N725" s="9">
        <f t="shared" si="626"/>
        <v>9950</v>
      </c>
      <c r="O725" s="9">
        <f t="shared" si="627"/>
        <v>6412.3</v>
      </c>
      <c r="P725" s="9">
        <f t="shared" si="628"/>
        <v>3537.7</v>
      </c>
      <c r="Q725" s="139">
        <f t="shared" si="629"/>
        <v>0.64445226130653266</v>
      </c>
      <c r="R725" s="345">
        <v>19900</v>
      </c>
      <c r="S725" s="359" t="s">
        <v>1948</v>
      </c>
      <c r="T725" s="305">
        <v>0.83040100502512559</v>
      </c>
      <c r="U725" s="142"/>
      <c r="V725" s="100"/>
      <c r="W725" s="110">
        <f t="shared" si="616"/>
        <v>19900</v>
      </c>
      <c r="X725" s="110">
        <f t="shared" si="617"/>
        <v>3537.7</v>
      </c>
      <c r="Y725" s="110">
        <f t="shared" si="618"/>
        <v>0</v>
      </c>
      <c r="Z725" s="110">
        <f t="shared" si="619"/>
        <v>6412.3</v>
      </c>
      <c r="AA725" s="260">
        <f t="shared" si="620"/>
        <v>0.64445226130653266</v>
      </c>
      <c r="AB725" s="28">
        <f t="shared" si="588"/>
        <v>6.6</v>
      </c>
      <c r="AC725" s="261">
        <f t="shared" si="621"/>
        <v>0.64654457532795817</v>
      </c>
      <c r="AD725" s="111">
        <f t="shared" si="590"/>
        <v>2.5</v>
      </c>
      <c r="AE725" s="262">
        <f t="shared" si="622"/>
        <v>6.6877678865809476E-2</v>
      </c>
      <c r="AF725" s="100"/>
      <c r="AG725" s="111">
        <f t="shared" si="592"/>
        <v>3.9</v>
      </c>
      <c r="AH725" s="262">
        <f t="shared" si="623"/>
        <v>0.40184466593962143</v>
      </c>
      <c r="AI725" s="100"/>
      <c r="AJ725" s="111">
        <f t="shared" si="594"/>
        <v>3.6</v>
      </c>
      <c r="AK725" s="262">
        <f t="shared" si="624"/>
        <v>0.35199838810125667</v>
      </c>
      <c r="AL725" s="100"/>
      <c r="AM725" s="111">
        <f t="shared" si="596"/>
        <v>3.3</v>
      </c>
      <c r="AN725" s="262">
        <f t="shared" si="625"/>
        <v>0.29308915065591623</v>
      </c>
      <c r="AO725" s="100"/>
      <c r="AP725" s="24" t="e">
        <f>VLOOKUP(C725,#REF!,6,FALSE)</f>
        <v>#REF!</v>
      </c>
      <c r="AQ725" s="24" t="e">
        <f>VLOOKUP(C725,#REF!,7,FALSE)</f>
        <v>#REF!</v>
      </c>
      <c r="AR725" s="24" t="e">
        <f>VLOOKUP(C725,#REF!,12,FALSE)</f>
        <v>#REF!</v>
      </c>
      <c r="AS725" s="24" t="e">
        <f>VLOOKUP(C725,#REF!,13,FALSE)</f>
        <v>#REF!</v>
      </c>
      <c r="AT725" s="100"/>
      <c r="AU725" s="100"/>
      <c r="AV725" s="100">
        <v>707</v>
      </c>
      <c r="AW725" s="100"/>
      <c r="AY725" s="9">
        <v>19900</v>
      </c>
    </row>
    <row r="726" spans="1:51" s="2" customFormat="1" ht="12.75" customHeight="1" x14ac:dyDescent="0.2">
      <c r="A726" s="7" t="s">
        <v>1514</v>
      </c>
      <c r="B726" s="8">
        <v>9789500210416</v>
      </c>
      <c r="C726" s="6">
        <v>673647</v>
      </c>
      <c r="D726" s="25">
        <v>176</v>
      </c>
      <c r="E726" s="7" t="s">
        <v>155</v>
      </c>
      <c r="F726" s="7" t="s">
        <v>600</v>
      </c>
      <c r="G726" s="107">
        <v>43862</v>
      </c>
      <c r="H726" s="108">
        <v>46054</v>
      </c>
      <c r="I726" s="7">
        <v>3100</v>
      </c>
      <c r="J726" s="28" t="s">
        <v>2219</v>
      </c>
      <c r="K726" s="117">
        <v>3141.0645161290322</v>
      </c>
      <c r="L726" s="9">
        <v>19900</v>
      </c>
      <c r="M726" s="112"/>
      <c r="N726" s="9">
        <f t="shared" si="626"/>
        <v>9950</v>
      </c>
      <c r="O726" s="9">
        <f t="shared" si="627"/>
        <v>6808.9354838709678</v>
      </c>
      <c r="P726" s="9">
        <f t="shared" si="628"/>
        <v>3141.0645161290322</v>
      </c>
      <c r="Q726" s="139">
        <f t="shared" si="629"/>
        <v>0.68431512400713246</v>
      </c>
      <c r="R726" s="345">
        <v>19900</v>
      </c>
      <c r="S726" s="359" t="s">
        <v>1948</v>
      </c>
      <c r="T726" s="305">
        <v>0.68431512400713246</v>
      </c>
      <c r="U726" s="142"/>
      <c r="V726" s="100"/>
      <c r="W726" s="110">
        <f t="shared" si="616"/>
        <v>19900</v>
      </c>
      <c r="X726" s="110">
        <f t="shared" si="617"/>
        <v>3141.0645161290322</v>
      </c>
      <c r="Y726" s="110">
        <f t="shared" si="618"/>
        <v>0</v>
      </c>
      <c r="Z726" s="110">
        <f t="shared" si="619"/>
        <v>6808.9354838709678</v>
      </c>
      <c r="AA726" s="260">
        <f t="shared" si="620"/>
        <v>0.68431512400713246</v>
      </c>
      <c r="AB726" s="28">
        <f t="shared" si="588"/>
        <v>6.6</v>
      </c>
      <c r="AC726" s="261">
        <f t="shared" si="621"/>
        <v>0.6861728545465503</v>
      </c>
      <c r="AD726" s="111">
        <f t="shared" si="590"/>
        <v>2.2000000000000002</v>
      </c>
      <c r="AE726" s="262">
        <f t="shared" si="622"/>
        <v>5.8518563639651106E-2</v>
      </c>
      <c r="AF726" s="100"/>
      <c r="AG726" s="111">
        <f t="shared" si="592"/>
        <v>3.5</v>
      </c>
      <c r="AH726" s="262">
        <f t="shared" si="623"/>
        <v>0.40821166857349495</v>
      </c>
      <c r="AI726" s="100"/>
      <c r="AJ726" s="111">
        <f t="shared" si="594"/>
        <v>3.2</v>
      </c>
      <c r="AK726" s="262">
        <f t="shared" si="624"/>
        <v>0.35273151250226015</v>
      </c>
      <c r="AL726" s="100"/>
      <c r="AM726" s="111">
        <f t="shared" si="596"/>
        <v>3</v>
      </c>
      <c r="AN726" s="262">
        <f t="shared" si="625"/>
        <v>0.30958028000241078</v>
      </c>
      <c r="AO726" s="100"/>
      <c r="AP726" s="24" t="e">
        <f>VLOOKUP(C726,#REF!,6,FALSE)</f>
        <v>#REF!</v>
      </c>
      <c r="AQ726" s="24" t="e">
        <f>VLOOKUP(C726,#REF!,7,FALSE)</f>
        <v>#REF!</v>
      </c>
      <c r="AR726" s="24" t="e">
        <f>VLOOKUP(C726,#REF!,12,FALSE)</f>
        <v>#REF!</v>
      </c>
      <c r="AS726" s="24" t="e">
        <f>VLOOKUP(C726,#REF!,13,FALSE)</f>
        <v>#REF!</v>
      </c>
      <c r="AT726" s="100"/>
      <c r="AU726" s="100"/>
      <c r="AV726" s="100">
        <v>708</v>
      </c>
      <c r="AW726" s="100"/>
      <c r="AY726" s="9">
        <v>19900</v>
      </c>
    </row>
    <row r="727" spans="1:51" s="2" customFormat="1" ht="12.75" customHeight="1" x14ac:dyDescent="0.2">
      <c r="A727" s="7" t="s">
        <v>1515</v>
      </c>
      <c r="B727" s="8">
        <v>9789500211178</v>
      </c>
      <c r="C727" s="6">
        <v>678281</v>
      </c>
      <c r="D727" s="25">
        <v>176</v>
      </c>
      <c r="E727" s="7" t="s">
        <v>508</v>
      </c>
      <c r="F727" s="7" t="s">
        <v>601</v>
      </c>
      <c r="G727" s="107">
        <v>44136</v>
      </c>
      <c r="H727" s="108">
        <v>46054</v>
      </c>
      <c r="I727" s="7">
        <v>3037</v>
      </c>
      <c r="J727" s="28" t="s">
        <v>2219</v>
      </c>
      <c r="K727" s="117">
        <v>3159.49</v>
      </c>
      <c r="L727" s="9">
        <v>19900</v>
      </c>
      <c r="M727" s="112"/>
      <c r="N727" s="9">
        <f t="shared" si="626"/>
        <v>9950</v>
      </c>
      <c r="O727" s="9">
        <f t="shared" si="627"/>
        <v>6790.51</v>
      </c>
      <c r="P727" s="9">
        <f t="shared" si="628"/>
        <v>3159.49</v>
      </c>
      <c r="Q727" s="139">
        <f t="shared" si="629"/>
        <v>0.68246331658291459</v>
      </c>
      <c r="R727" s="345">
        <v>19900</v>
      </c>
      <c r="S727" s="359" t="s">
        <v>1948</v>
      </c>
      <c r="T727" s="305">
        <v>0.68246331658291459</v>
      </c>
      <c r="U727" s="28"/>
      <c r="V727" s="100"/>
      <c r="W727" s="110">
        <f t="shared" si="616"/>
        <v>19900</v>
      </c>
      <c r="X727" s="110">
        <f t="shared" si="617"/>
        <v>3159.49</v>
      </c>
      <c r="Y727" s="110">
        <f t="shared" si="618"/>
        <v>0</v>
      </c>
      <c r="Z727" s="110">
        <f t="shared" si="619"/>
        <v>6790.51</v>
      </c>
      <c r="AA727" s="260">
        <f t="shared" si="620"/>
        <v>0.68246331658291459</v>
      </c>
      <c r="AB727" s="28">
        <f t="shared" si="588"/>
        <v>6.6</v>
      </c>
      <c r="AC727" s="261">
        <f t="shared" si="621"/>
        <v>0.68433194456933333</v>
      </c>
      <c r="AD727" s="111">
        <f t="shared" si="590"/>
        <v>2.2000000000000002</v>
      </c>
      <c r="AE727" s="262">
        <f t="shared" si="622"/>
        <v>5.2995833707999998E-2</v>
      </c>
      <c r="AF727" s="100"/>
      <c r="AG727" s="111">
        <f t="shared" si="592"/>
        <v>3.5</v>
      </c>
      <c r="AH727" s="262">
        <f t="shared" si="623"/>
        <v>0.4047402383307428</v>
      </c>
      <c r="AI727" s="100"/>
      <c r="AJ727" s="111">
        <f t="shared" si="594"/>
        <v>3.2</v>
      </c>
      <c r="AK727" s="262">
        <f t="shared" si="624"/>
        <v>0.34893463567424998</v>
      </c>
      <c r="AL727" s="100"/>
      <c r="AM727" s="111">
        <f t="shared" si="596"/>
        <v>3</v>
      </c>
      <c r="AN727" s="262">
        <f t="shared" si="625"/>
        <v>0.3055302780525333</v>
      </c>
      <c r="AO727" s="100"/>
      <c r="AP727" s="24" t="e">
        <f>VLOOKUP(C727,#REF!,6,FALSE)</f>
        <v>#REF!</v>
      </c>
      <c r="AQ727" s="24" t="e">
        <f>VLOOKUP(C727,#REF!,7,FALSE)</f>
        <v>#REF!</v>
      </c>
      <c r="AR727" s="24" t="e">
        <f>VLOOKUP(C727,#REF!,12,FALSE)</f>
        <v>#REF!</v>
      </c>
      <c r="AS727" s="24" t="e">
        <f>VLOOKUP(C727,#REF!,13,FALSE)</f>
        <v>#REF!</v>
      </c>
      <c r="AT727" s="100"/>
      <c r="AU727" s="100"/>
      <c r="AV727" s="100">
        <v>709</v>
      </c>
      <c r="AW727" s="100"/>
      <c r="AY727" s="9">
        <v>19900</v>
      </c>
    </row>
    <row r="728" spans="1:51" s="2" customFormat="1" ht="12.75" customHeight="1" x14ac:dyDescent="0.2">
      <c r="A728" s="7" t="s">
        <v>1516</v>
      </c>
      <c r="B728" s="8">
        <v>9789500211925</v>
      </c>
      <c r="C728" s="6">
        <v>685401</v>
      </c>
      <c r="D728" s="25">
        <v>176</v>
      </c>
      <c r="E728" s="7" t="s">
        <v>562</v>
      </c>
      <c r="F728" s="7" t="s">
        <v>563</v>
      </c>
      <c r="G728" s="107">
        <v>44409</v>
      </c>
      <c r="H728" s="107">
        <v>45536</v>
      </c>
      <c r="I728" s="7">
        <v>5000</v>
      </c>
      <c r="J728" s="28" t="s">
        <v>2219</v>
      </c>
      <c r="K728" s="117">
        <v>1686.2</v>
      </c>
      <c r="L728" s="9">
        <v>19900</v>
      </c>
      <c r="M728" s="112"/>
      <c r="N728" s="9">
        <f t="shared" si="626"/>
        <v>9950</v>
      </c>
      <c r="O728" s="9">
        <f t="shared" si="627"/>
        <v>8263.7999999999993</v>
      </c>
      <c r="P728" s="9">
        <f t="shared" si="628"/>
        <v>1686.2</v>
      </c>
      <c r="Q728" s="139">
        <f t="shared" si="629"/>
        <v>0.83053266331658282</v>
      </c>
      <c r="R728" s="345">
        <v>19900</v>
      </c>
      <c r="S728" s="359" t="s">
        <v>1948</v>
      </c>
      <c r="T728" s="305">
        <v>0.83053266331658282</v>
      </c>
      <c r="U728" s="144"/>
      <c r="V728" s="100"/>
      <c r="W728" s="110">
        <f t="shared" si="616"/>
        <v>19900</v>
      </c>
      <c r="X728" s="110">
        <f t="shared" si="617"/>
        <v>1686.2</v>
      </c>
      <c r="Y728" s="110">
        <f t="shared" si="618"/>
        <v>0</v>
      </c>
      <c r="Z728" s="110">
        <f t="shared" si="619"/>
        <v>8263.7999999999993</v>
      </c>
      <c r="AA728" s="260">
        <f t="shared" si="620"/>
        <v>0.83053266331658282</v>
      </c>
      <c r="AB728" s="28">
        <f t="shared" si="588"/>
        <v>6.6</v>
      </c>
      <c r="AC728" s="261">
        <f t="shared" si="621"/>
        <v>0.83152993835486411</v>
      </c>
      <c r="AD728" s="111">
        <f t="shared" si="590"/>
        <v>1.2</v>
      </c>
      <c r="AE728" s="262">
        <f t="shared" si="622"/>
        <v>7.3414660951752891E-2</v>
      </c>
      <c r="AF728" s="100"/>
      <c r="AG728" s="111">
        <f t="shared" si="592"/>
        <v>1.9</v>
      </c>
      <c r="AH728" s="262">
        <f t="shared" si="623"/>
        <v>0.41478820691689655</v>
      </c>
      <c r="AI728" s="100"/>
      <c r="AJ728" s="111">
        <f t="shared" si="594"/>
        <v>1.7</v>
      </c>
      <c r="AK728" s="262">
        <f t="shared" si="624"/>
        <v>0.34593976067182552</v>
      </c>
      <c r="AL728" s="100"/>
      <c r="AM728" s="111">
        <f t="shared" si="596"/>
        <v>1.6</v>
      </c>
      <c r="AN728" s="262">
        <f t="shared" si="625"/>
        <v>0.30506099571381473</v>
      </c>
      <c r="AO728" s="100"/>
      <c r="AP728" s="24" t="e">
        <f>VLOOKUP(C728,#REF!,6,FALSE)</f>
        <v>#REF!</v>
      </c>
      <c r="AQ728" s="24" t="e">
        <f>VLOOKUP(C728,#REF!,7,FALSE)</f>
        <v>#REF!</v>
      </c>
      <c r="AR728" s="24" t="e">
        <f>VLOOKUP(C728,#REF!,12,FALSE)</f>
        <v>#REF!</v>
      </c>
      <c r="AS728" s="24" t="e">
        <f>VLOOKUP(C728,#REF!,13,FALSE)</f>
        <v>#REF!</v>
      </c>
      <c r="AT728" s="100"/>
      <c r="AU728" s="100"/>
      <c r="AV728" s="100">
        <v>710</v>
      </c>
      <c r="AW728" s="100"/>
      <c r="AY728" s="9">
        <v>19900</v>
      </c>
    </row>
    <row r="729" spans="1:51" s="2" customFormat="1" ht="12.75" customHeight="1" x14ac:dyDescent="0.2">
      <c r="A729" s="7" t="s">
        <v>1517</v>
      </c>
      <c r="B729" s="8">
        <v>9789500212489</v>
      </c>
      <c r="C729" s="8">
        <v>692882</v>
      </c>
      <c r="D729" s="25">
        <v>176</v>
      </c>
      <c r="E729" s="7" t="s">
        <v>682</v>
      </c>
      <c r="F729" s="7" t="s">
        <v>683</v>
      </c>
      <c r="G729" s="107">
        <v>44652</v>
      </c>
      <c r="H729" s="108">
        <v>46054</v>
      </c>
      <c r="I729" s="7">
        <v>3065</v>
      </c>
      <c r="J729" s="28" t="s">
        <v>2219</v>
      </c>
      <c r="K729" s="117">
        <v>3151.21</v>
      </c>
      <c r="L729" s="9">
        <v>19900</v>
      </c>
      <c r="M729" s="112"/>
      <c r="N729" s="9">
        <f t="shared" si="626"/>
        <v>9950</v>
      </c>
      <c r="O729" s="9">
        <f t="shared" si="627"/>
        <v>6798.79</v>
      </c>
      <c r="P729" s="9">
        <f t="shared" si="628"/>
        <v>3151.21</v>
      </c>
      <c r="Q729" s="139">
        <f t="shared" si="629"/>
        <v>0.68329547738693464</v>
      </c>
      <c r="R729" s="345">
        <v>19900</v>
      </c>
      <c r="S729" s="359" t="s">
        <v>1948</v>
      </c>
      <c r="T729" s="305">
        <v>0.68329547738693464</v>
      </c>
      <c r="U729" s="28"/>
      <c r="V729" s="100"/>
      <c r="W729" s="110">
        <f t="shared" si="616"/>
        <v>19900</v>
      </c>
      <c r="X729" s="110">
        <f t="shared" si="617"/>
        <v>3151.21</v>
      </c>
      <c r="Y729" s="110">
        <f t="shared" si="618"/>
        <v>0</v>
      </c>
      <c r="Z729" s="110">
        <f t="shared" si="619"/>
        <v>6798.79</v>
      </c>
      <c r="AA729" s="260">
        <f t="shared" si="620"/>
        <v>0.68329547738693464</v>
      </c>
      <c r="AB729" s="28">
        <f t="shared" si="588"/>
        <v>6.6</v>
      </c>
      <c r="AC729" s="261">
        <f t="shared" si="621"/>
        <v>0.68515920830460886</v>
      </c>
      <c r="AD729" s="111">
        <f t="shared" si="590"/>
        <v>2.2000000000000002</v>
      </c>
      <c r="AE729" s="262">
        <f t="shared" si="622"/>
        <v>5.5477624913826733E-2</v>
      </c>
      <c r="AF729" s="100"/>
      <c r="AG729" s="111">
        <f t="shared" si="592"/>
        <v>3.5</v>
      </c>
      <c r="AH729" s="262">
        <f t="shared" si="623"/>
        <v>0.40630022137440536</v>
      </c>
      <c r="AI729" s="100"/>
      <c r="AJ729" s="111">
        <f t="shared" si="594"/>
        <v>3.2</v>
      </c>
      <c r="AK729" s="262">
        <f t="shared" si="624"/>
        <v>0.35064086712825587</v>
      </c>
      <c r="AL729" s="100"/>
      <c r="AM729" s="111">
        <f t="shared" si="596"/>
        <v>3</v>
      </c>
      <c r="AN729" s="262">
        <f t="shared" si="625"/>
        <v>0.30735025827013956</v>
      </c>
      <c r="AO729" s="100"/>
      <c r="AP729" s="24" t="e">
        <f>VLOOKUP(C729,#REF!,6,FALSE)</f>
        <v>#REF!</v>
      </c>
      <c r="AQ729" s="24" t="e">
        <f>VLOOKUP(C729,#REF!,7,FALSE)</f>
        <v>#REF!</v>
      </c>
      <c r="AR729" s="24" t="e">
        <f>VLOOKUP(C729,#REF!,12,FALSE)</f>
        <v>#REF!</v>
      </c>
      <c r="AS729" s="24" t="e">
        <f>VLOOKUP(C729,#REF!,13,FALSE)</f>
        <v>#REF!</v>
      </c>
      <c r="AT729" s="100"/>
      <c r="AU729" s="100"/>
      <c r="AV729" s="100">
        <v>711</v>
      </c>
      <c r="AW729" s="100"/>
      <c r="AY729" s="9">
        <v>19900</v>
      </c>
    </row>
    <row r="730" spans="1:51" s="2" customFormat="1" ht="12.75" customHeight="1" x14ac:dyDescent="0.2">
      <c r="A730" s="6" t="s">
        <v>1518</v>
      </c>
      <c r="B730" s="8">
        <v>9789500213189</v>
      </c>
      <c r="C730" s="6">
        <v>698861</v>
      </c>
      <c r="D730" s="41">
        <v>176</v>
      </c>
      <c r="E730" s="7" t="s">
        <v>562</v>
      </c>
      <c r="F730" s="7" t="s">
        <v>727</v>
      </c>
      <c r="G730" s="107">
        <v>44835</v>
      </c>
      <c r="H730" s="107">
        <v>45536</v>
      </c>
      <c r="I730" s="7">
        <v>4935</v>
      </c>
      <c r="J730" s="28" t="s">
        <v>2219</v>
      </c>
      <c r="K730" s="117">
        <v>1694.8034447821683</v>
      </c>
      <c r="L730" s="9">
        <v>19900</v>
      </c>
      <c r="M730" s="112"/>
      <c r="N730" s="9">
        <f t="shared" si="626"/>
        <v>9950</v>
      </c>
      <c r="O730" s="9">
        <f t="shared" si="627"/>
        <v>8255.1965552178317</v>
      </c>
      <c r="P730" s="9">
        <f t="shared" si="628"/>
        <v>1694.8034447821683</v>
      </c>
      <c r="Q730" s="139">
        <f t="shared" si="629"/>
        <v>0.82966799549927961</v>
      </c>
      <c r="R730" s="345">
        <v>19900</v>
      </c>
      <c r="S730" s="359" t="s">
        <v>1948</v>
      </c>
      <c r="T730" s="305">
        <v>0.82966799549927961</v>
      </c>
      <c r="U730" s="28"/>
      <c r="V730" s="100"/>
      <c r="W730" s="110">
        <f t="shared" si="616"/>
        <v>19900</v>
      </c>
      <c r="X730" s="110">
        <f t="shared" si="617"/>
        <v>1694.8034447821683</v>
      </c>
      <c r="Y730" s="110">
        <f t="shared" si="618"/>
        <v>0</v>
      </c>
      <c r="Z730" s="110">
        <f t="shared" si="619"/>
        <v>8255.1965552178317</v>
      </c>
      <c r="AA730" s="260">
        <f t="shared" si="620"/>
        <v>0.82966799549927961</v>
      </c>
      <c r="AB730" s="28">
        <f t="shared" si="588"/>
        <v>6.6</v>
      </c>
      <c r="AC730" s="261">
        <f t="shared" si="621"/>
        <v>0.83067035890236007</v>
      </c>
      <c r="AD730" s="111">
        <f t="shared" si="590"/>
        <v>1.2</v>
      </c>
      <c r="AE730" s="262">
        <f t="shared" si="622"/>
        <v>6.8686973962980361E-2</v>
      </c>
      <c r="AF730" s="100"/>
      <c r="AG730" s="111">
        <f t="shared" si="592"/>
        <v>1.9</v>
      </c>
      <c r="AH730" s="262">
        <f t="shared" si="623"/>
        <v>0.4118022993450402</v>
      </c>
      <c r="AI730" s="100"/>
      <c r="AJ730" s="111">
        <f t="shared" si="594"/>
        <v>1.7</v>
      </c>
      <c r="AK730" s="262">
        <f t="shared" si="624"/>
        <v>0.3426025698562214</v>
      </c>
      <c r="AL730" s="100"/>
      <c r="AM730" s="111">
        <f t="shared" si="596"/>
        <v>1.6</v>
      </c>
      <c r="AN730" s="262">
        <f t="shared" si="625"/>
        <v>0.30151523047223533</v>
      </c>
      <c r="AO730" s="100"/>
      <c r="AP730" s="24" t="e">
        <f>VLOOKUP(C730,#REF!,6,FALSE)</f>
        <v>#REF!</v>
      </c>
      <c r="AQ730" s="24" t="e">
        <f>VLOOKUP(C730,#REF!,7,FALSE)</f>
        <v>#REF!</v>
      </c>
      <c r="AR730" s="24" t="e">
        <f>VLOOKUP(C730,#REF!,12,FALSE)</f>
        <v>#REF!</v>
      </c>
      <c r="AS730" s="24" t="e">
        <f>VLOOKUP(C730,#REF!,13,FALSE)</f>
        <v>#REF!</v>
      </c>
      <c r="AT730" s="100"/>
      <c r="AU730" s="100"/>
      <c r="AV730" s="100">
        <v>712</v>
      </c>
      <c r="AW730" s="100"/>
      <c r="AY730" s="9">
        <v>19900</v>
      </c>
    </row>
    <row r="731" spans="1:51" s="2" customFormat="1" ht="12.75" customHeight="1" x14ac:dyDescent="0.2">
      <c r="A731" s="7" t="s">
        <v>1519</v>
      </c>
      <c r="B731" s="8">
        <v>9789500212731</v>
      </c>
      <c r="C731" s="8">
        <v>694755</v>
      </c>
      <c r="D731" s="25">
        <v>176</v>
      </c>
      <c r="E731" s="7" t="s">
        <v>155</v>
      </c>
      <c r="F731" s="7" t="s">
        <v>1520</v>
      </c>
      <c r="G731" s="107">
        <v>44713</v>
      </c>
      <c r="H731" s="108">
        <v>46054</v>
      </c>
      <c r="I731" s="7">
        <v>3007</v>
      </c>
      <c r="J731" s="28" t="s">
        <v>2219</v>
      </c>
      <c r="K731" s="148">
        <v>1979.1000000000001</v>
      </c>
      <c r="L731" s="9">
        <v>16900</v>
      </c>
      <c r="M731" s="112"/>
      <c r="N731" s="9">
        <f t="shared" si="626"/>
        <v>8450</v>
      </c>
      <c r="O731" s="9">
        <f t="shared" si="627"/>
        <v>6470.9</v>
      </c>
      <c r="P731" s="9">
        <f t="shared" si="628"/>
        <v>1979.1000000000001</v>
      </c>
      <c r="Q731" s="139">
        <f t="shared" si="629"/>
        <v>0.76578698224852071</v>
      </c>
      <c r="R731" s="345">
        <v>16900</v>
      </c>
      <c r="S731" s="359" t="s">
        <v>1948</v>
      </c>
      <c r="T731" s="305">
        <v>0.76578698224852071</v>
      </c>
      <c r="U731" s="144"/>
      <c r="V731" s="100"/>
      <c r="W731" s="110">
        <f t="shared" si="616"/>
        <v>16900</v>
      </c>
      <c r="X731" s="110">
        <f t="shared" si="617"/>
        <v>1979.1000000000001</v>
      </c>
      <c r="Y731" s="110">
        <f t="shared" si="618"/>
        <v>0</v>
      </c>
      <c r="Z731" s="110">
        <f t="shared" si="619"/>
        <v>6470.9</v>
      </c>
      <c r="AA731" s="260">
        <f t="shared" si="620"/>
        <v>0.76578698224852071</v>
      </c>
      <c r="AB731" s="28">
        <f t="shared" si="588"/>
        <v>5.6</v>
      </c>
      <c r="AC731" s="261">
        <f t="shared" si="621"/>
        <v>0.7669563374311148</v>
      </c>
      <c r="AD731" s="111">
        <f t="shared" si="590"/>
        <v>1.4</v>
      </c>
      <c r="AE731" s="262">
        <f t="shared" si="622"/>
        <v>6.7825349724459416E-2</v>
      </c>
      <c r="AF731" s="100"/>
      <c r="AG731" s="111">
        <f t="shared" si="592"/>
        <v>2.2000000000000002</v>
      </c>
      <c r="AH731" s="262">
        <f t="shared" si="623"/>
        <v>0.40679794982465606</v>
      </c>
      <c r="AI731" s="100"/>
      <c r="AJ731" s="111">
        <f t="shared" si="594"/>
        <v>2</v>
      </c>
      <c r="AK731" s="262">
        <f t="shared" si="624"/>
        <v>0.34747774480712162</v>
      </c>
      <c r="AL731" s="100"/>
      <c r="AM731" s="111">
        <f t="shared" si="596"/>
        <v>1.9</v>
      </c>
      <c r="AN731" s="262">
        <f t="shared" si="625"/>
        <v>0.31313446821802271</v>
      </c>
      <c r="AO731" s="100"/>
      <c r="AP731" s="24" t="e">
        <f>VLOOKUP(C731,#REF!,6,FALSE)</f>
        <v>#REF!</v>
      </c>
      <c r="AQ731" s="24" t="e">
        <f>VLOOKUP(C731,#REF!,7,FALSE)</f>
        <v>#REF!</v>
      </c>
      <c r="AR731" s="24" t="e">
        <f>VLOOKUP(C731,#REF!,12,FALSE)</f>
        <v>#REF!</v>
      </c>
      <c r="AS731" s="24" t="e">
        <f>VLOOKUP(C731,#REF!,13,FALSE)</f>
        <v>#REF!</v>
      </c>
      <c r="AT731" s="100"/>
      <c r="AU731" s="100"/>
      <c r="AV731" s="100">
        <v>713</v>
      </c>
      <c r="AW731" s="100"/>
      <c r="AY731" s="9">
        <v>16900</v>
      </c>
    </row>
    <row r="732" spans="1:51" s="2" customFormat="1" ht="12.75" customHeight="1" x14ac:dyDescent="0.2">
      <c r="A732" s="6" t="s">
        <v>1521</v>
      </c>
      <c r="B732" s="8">
        <v>9789500213486</v>
      </c>
      <c r="C732" s="6">
        <v>703398</v>
      </c>
      <c r="D732" s="41">
        <v>176</v>
      </c>
      <c r="E732" s="7" t="s">
        <v>155</v>
      </c>
      <c r="F732" s="7" t="s">
        <v>1522</v>
      </c>
      <c r="G732" s="107">
        <v>44986</v>
      </c>
      <c r="H732" s="107">
        <v>46266</v>
      </c>
      <c r="I732" s="239">
        <v>1000</v>
      </c>
      <c r="J732" s="6" t="s">
        <v>2219</v>
      </c>
      <c r="K732" s="148">
        <v>3427.5</v>
      </c>
      <c r="L732" s="295">
        <v>16900</v>
      </c>
      <c r="M732" s="112"/>
      <c r="N732" s="9">
        <f t="shared" si="626"/>
        <v>8450</v>
      </c>
      <c r="O732" s="9">
        <f t="shared" si="627"/>
        <v>5022.5</v>
      </c>
      <c r="P732" s="9">
        <f t="shared" si="628"/>
        <v>3427.5</v>
      </c>
      <c r="Q732" s="139">
        <f t="shared" si="629"/>
        <v>0.59437869822485212</v>
      </c>
      <c r="R732" s="345">
        <v>16900</v>
      </c>
      <c r="S732" s="359" t="s">
        <v>1948</v>
      </c>
      <c r="T732" s="305">
        <v>0.81028402366863905</v>
      </c>
      <c r="U732" s="144"/>
      <c r="V732" s="100"/>
      <c r="W732" s="110">
        <f t="shared" si="616"/>
        <v>16900</v>
      </c>
      <c r="X732" s="110">
        <f t="shared" si="617"/>
        <v>3427.5</v>
      </c>
      <c r="Y732" s="110">
        <f t="shared" si="618"/>
        <v>0</v>
      </c>
      <c r="Z732" s="110">
        <f t="shared" si="619"/>
        <v>5022.5</v>
      </c>
      <c r="AA732" s="260">
        <f t="shared" si="620"/>
        <v>0.59437869822485212</v>
      </c>
      <c r="AB732" s="28">
        <f t="shared" si="588"/>
        <v>5.6</v>
      </c>
      <c r="AC732" s="261">
        <f t="shared" si="621"/>
        <v>0.59640384343648434</v>
      </c>
      <c r="AD732" s="111">
        <f t="shared" si="590"/>
        <v>2.4</v>
      </c>
      <c r="AE732" s="262">
        <f t="shared" si="622"/>
        <v>5.8275634685130209E-2</v>
      </c>
      <c r="AF732" s="100"/>
      <c r="AG732" s="111">
        <f t="shared" si="592"/>
        <v>3.8</v>
      </c>
      <c r="AH732" s="262">
        <f t="shared" si="623"/>
        <v>0.40522671664324011</v>
      </c>
      <c r="AI732" s="100"/>
      <c r="AJ732" s="111">
        <f t="shared" si="594"/>
        <v>3.5</v>
      </c>
      <c r="AK732" s="262">
        <f t="shared" si="624"/>
        <v>0.35424614949837502</v>
      </c>
      <c r="AL732" s="100"/>
      <c r="AM732" s="111">
        <f t="shared" si="596"/>
        <v>3.2</v>
      </c>
      <c r="AN732" s="262">
        <f t="shared" si="625"/>
        <v>0.29370672601384767</v>
      </c>
      <c r="AO732" s="100"/>
      <c r="AP732" s="24" t="e">
        <f>VLOOKUP(C732,#REF!,6,FALSE)</f>
        <v>#REF!</v>
      </c>
      <c r="AQ732" s="24" t="e">
        <f>VLOOKUP(C732,#REF!,7,FALSE)</f>
        <v>#REF!</v>
      </c>
      <c r="AR732" s="24" t="e">
        <f>VLOOKUP(C732,#REF!,12,FALSE)</f>
        <v>#REF!</v>
      </c>
      <c r="AS732" s="24" t="e">
        <f>VLOOKUP(C732,#REF!,13,FALSE)</f>
        <v>#REF!</v>
      </c>
      <c r="AT732" s="100"/>
      <c r="AU732" s="100"/>
      <c r="AV732" s="100">
        <v>714</v>
      </c>
      <c r="AW732" s="100"/>
      <c r="AY732" s="295">
        <v>16900</v>
      </c>
    </row>
    <row r="733" spans="1:51" s="2" customFormat="1" ht="12.75" customHeight="1" x14ac:dyDescent="0.2">
      <c r="A733" s="7" t="s">
        <v>1523</v>
      </c>
      <c r="B733" s="8">
        <v>9789500210102</v>
      </c>
      <c r="C733" s="14">
        <v>666999</v>
      </c>
      <c r="D733" s="25">
        <v>160</v>
      </c>
      <c r="E733" s="7" t="s">
        <v>156</v>
      </c>
      <c r="F733" s="7" t="s">
        <v>453</v>
      </c>
      <c r="G733" s="107">
        <v>43678</v>
      </c>
      <c r="H733" s="108">
        <v>44501</v>
      </c>
      <c r="I733" s="7">
        <v>3025</v>
      </c>
      <c r="J733" s="28" t="s">
        <v>1762</v>
      </c>
      <c r="K733" s="28">
        <v>285.93</v>
      </c>
      <c r="L733" s="112">
        <v>19900</v>
      </c>
      <c r="M733" s="9"/>
      <c r="N733" s="9">
        <f t="shared" si="626"/>
        <v>9950</v>
      </c>
      <c r="O733" s="9">
        <f t="shared" si="627"/>
        <v>9664.07</v>
      </c>
      <c r="P733" s="9">
        <f t="shared" si="628"/>
        <v>285.93</v>
      </c>
      <c r="Q733" s="139">
        <f t="shared" si="629"/>
        <v>0.97126331658291454</v>
      </c>
      <c r="R733" s="345">
        <v>19900</v>
      </c>
      <c r="S733" s="359" t="s">
        <v>1948</v>
      </c>
      <c r="T733" s="305">
        <v>0.97126331658291454</v>
      </c>
      <c r="U733" s="144"/>
      <c r="V733" s="100"/>
      <c r="W733" s="110">
        <f t="shared" si="616"/>
        <v>19900</v>
      </c>
      <c r="X733" s="110">
        <f t="shared" si="617"/>
        <v>285.93</v>
      </c>
      <c r="Y733" s="110">
        <f t="shared" si="618"/>
        <v>0</v>
      </c>
      <c r="Z733" s="110">
        <f t="shared" si="619"/>
        <v>9664.07</v>
      </c>
      <c r="AA733" s="260">
        <f t="shared" si="620"/>
        <v>0.97126331658291454</v>
      </c>
      <c r="AB733" s="28">
        <f t="shared" si="588"/>
        <v>6.6</v>
      </c>
      <c r="AC733" s="261">
        <f t="shared" si="621"/>
        <v>0.97143242514162398</v>
      </c>
      <c r="AD733" s="111">
        <f t="shared" si="590"/>
        <v>0.2</v>
      </c>
      <c r="AE733" s="262">
        <f t="shared" si="622"/>
        <v>5.7270029673590517E-2</v>
      </c>
      <c r="AF733" s="100"/>
      <c r="AG733" s="111">
        <f t="shared" si="592"/>
        <v>0.3</v>
      </c>
      <c r="AH733" s="262">
        <f t="shared" si="623"/>
        <v>0.37151335311572697</v>
      </c>
      <c r="AI733" s="100"/>
      <c r="AJ733" s="111">
        <f t="shared" si="594"/>
        <v>0.3</v>
      </c>
      <c r="AK733" s="262">
        <f t="shared" si="624"/>
        <v>0.37151335311572697</v>
      </c>
      <c r="AL733" s="100"/>
      <c r="AM733" s="111">
        <f t="shared" si="596"/>
        <v>0.3</v>
      </c>
      <c r="AN733" s="262">
        <f t="shared" si="625"/>
        <v>0.37151335311572697</v>
      </c>
      <c r="AO733" s="100"/>
      <c r="AP733" s="24" t="e">
        <f>VLOOKUP(C733,#REF!,6,FALSE)</f>
        <v>#REF!</v>
      </c>
      <c r="AQ733" s="24" t="e">
        <f>VLOOKUP(C733,#REF!,7,FALSE)</f>
        <v>#REF!</v>
      </c>
      <c r="AR733" s="24" t="e">
        <f>VLOOKUP(C733,#REF!,12,FALSE)</f>
        <v>#REF!</v>
      </c>
      <c r="AS733" s="24" t="e">
        <f>VLOOKUP(C733,#REF!,13,FALSE)</f>
        <v>#REF!</v>
      </c>
      <c r="AT733" s="100"/>
      <c r="AU733" s="100"/>
      <c r="AV733" s="100">
        <v>715</v>
      </c>
      <c r="AW733" s="100"/>
      <c r="AY733" s="112">
        <v>19900</v>
      </c>
    </row>
    <row r="734" spans="1:51" s="2" customFormat="1" ht="12.75" customHeight="1" x14ac:dyDescent="0.2">
      <c r="A734" s="6" t="s">
        <v>1524</v>
      </c>
      <c r="B734" s="8">
        <v>9789500213141</v>
      </c>
      <c r="C734" s="8">
        <v>704438</v>
      </c>
      <c r="D734" s="41">
        <v>48</v>
      </c>
      <c r="E734" s="7" t="s">
        <v>448</v>
      </c>
      <c r="F734" s="6" t="s">
        <v>766</v>
      </c>
      <c r="G734" s="107">
        <v>45017</v>
      </c>
      <c r="H734" s="108">
        <v>44986</v>
      </c>
      <c r="I734" s="7">
        <v>6000</v>
      </c>
      <c r="J734" s="28" t="s">
        <v>2136</v>
      </c>
      <c r="K734" s="117">
        <v>723.82</v>
      </c>
      <c r="L734" s="9">
        <v>24900</v>
      </c>
      <c r="M734" s="112">
        <f>+L734*0.12</f>
        <v>2988</v>
      </c>
      <c r="N734" s="9">
        <f t="shared" si="626"/>
        <v>12450</v>
      </c>
      <c r="O734" s="9">
        <f t="shared" si="627"/>
        <v>8738.18</v>
      </c>
      <c r="P734" s="9">
        <f t="shared" si="628"/>
        <v>3711.82</v>
      </c>
      <c r="Q734" s="139">
        <f t="shared" si="629"/>
        <v>0.70186184738955826</v>
      </c>
      <c r="R734" s="345">
        <v>24900</v>
      </c>
      <c r="S734" s="359" t="s">
        <v>1948</v>
      </c>
      <c r="T734" s="305">
        <v>0.70186184738955826</v>
      </c>
      <c r="U734" s="144"/>
      <c r="V734" s="100"/>
      <c r="W734" s="110">
        <f t="shared" si="616"/>
        <v>24900</v>
      </c>
      <c r="X734" s="110">
        <f t="shared" si="617"/>
        <v>723.82</v>
      </c>
      <c r="Y734" s="110">
        <f t="shared" si="618"/>
        <v>2988</v>
      </c>
      <c r="Z734" s="110">
        <f t="shared" si="619"/>
        <v>8738.18</v>
      </c>
      <c r="AA734" s="260">
        <f t="shared" si="620"/>
        <v>0.70186184738955826</v>
      </c>
      <c r="AB734" s="28">
        <f t="shared" si="588"/>
        <v>8.1999999999999993</v>
      </c>
      <c r="AC734" s="261">
        <f t="shared" si="621"/>
        <v>0.70150941272023992</v>
      </c>
      <c r="AD734" s="111">
        <f t="shared" si="590"/>
        <v>2.6</v>
      </c>
      <c r="AE734" s="262">
        <f t="shared" si="622"/>
        <v>5.8606609348449093E-2</v>
      </c>
      <c r="AF734" s="100"/>
      <c r="AG734" s="111">
        <f t="shared" si="592"/>
        <v>4.0999999999999996</v>
      </c>
      <c r="AH734" s="262">
        <f t="shared" si="623"/>
        <v>0.40301882544047996</v>
      </c>
      <c r="AI734" s="100"/>
      <c r="AJ734" s="111">
        <f t="shared" si="594"/>
        <v>3.8</v>
      </c>
      <c r="AK734" s="262">
        <f t="shared" si="624"/>
        <v>0.35588873271209681</v>
      </c>
      <c r="AL734" s="100"/>
      <c r="AM734" s="111">
        <f t="shared" si="596"/>
        <v>3.5</v>
      </c>
      <c r="AN734" s="262">
        <f t="shared" si="625"/>
        <v>0.30067919551599082</v>
      </c>
      <c r="AO734" s="100"/>
      <c r="AP734" s="24" t="e">
        <f>VLOOKUP(C734,#REF!,6,FALSE)</f>
        <v>#REF!</v>
      </c>
      <c r="AQ734" s="24" t="e">
        <f>VLOOKUP(C734,#REF!,7,FALSE)</f>
        <v>#REF!</v>
      </c>
      <c r="AR734" s="24" t="e">
        <f>VLOOKUP(C734,#REF!,12,FALSE)</f>
        <v>#REF!</v>
      </c>
      <c r="AS734" s="24" t="e">
        <f>VLOOKUP(C734,#REF!,13,FALSE)</f>
        <v>#REF!</v>
      </c>
      <c r="AT734" s="100"/>
      <c r="AU734" s="100"/>
      <c r="AV734" s="100">
        <v>716</v>
      </c>
      <c r="AW734" s="100"/>
      <c r="AY734" s="9">
        <v>24900</v>
      </c>
    </row>
    <row r="735" spans="1:51" s="2" customFormat="1" ht="12.75" customHeight="1" x14ac:dyDescent="0.25">
      <c r="A735" s="1"/>
      <c r="B735" s="3"/>
      <c r="C735" s="3"/>
      <c r="E735" s="274"/>
      <c r="F735" s="275"/>
      <c r="H735" s="132"/>
      <c r="I735" s="132"/>
      <c r="J735" s="134"/>
      <c r="K735" s="132"/>
      <c r="L735" s="134"/>
      <c r="M735" s="132"/>
      <c r="N735" s="132"/>
      <c r="O735" s="132"/>
      <c r="P735" s="132"/>
      <c r="Q735" s="147"/>
      <c r="R735" s="371"/>
      <c r="S735" s="360"/>
      <c r="T735" s="307"/>
      <c r="U735" s="135"/>
      <c r="V735" s="100"/>
      <c r="W735"/>
      <c r="X735"/>
      <c r="Y735"/>
      <c r="Z735"/>
      <c r="AA735"/>
      <c r="AB735"/>
      <c r="AC735"/>
      <c r="AD735" s="263"/>
      <c r="AE735"/>
      <c r="AF735" s="100"/>
      <c r="AG735" s="263"/>
      <c r="AH735"/>
      <c r="AI735" s="100"/>
      <c r="AJ735" s="263"/>
      <c r="AK735"/>
      <c r="AL735" s="100"/>
      <c r="AM735" s="263"/>
      <c r="AN735"/>
      <c r="AO735" s="100"/>
      <c r="AP735" s="100"/>
      <c r="AQ735" s="100"/>
      <c r="AR735" s="100"/>
      <c r="AS735" s="100"/>
      <c r="AT735" s="100"/>
      <c r="AU735" s="100"/>
      <c r="AV735" s="100">
        <v>717</v>
      </c>
      <c r="AW735" s="100"/>
      <c r="AY735" s="134"/>
    </row>
    <row r="736" spans="1:51" s="2" customFormat="1" ht="12.75" customHeight="1" x14ac:dyDescent="0.25">
      <c r="A736" s="1"/>
      <c r="B736" s="3"/>
      <c r="C736" s="3"/>
      <c r="E736" s="3"/>
      <c r="F736" s="26"/>
      <c r="G736" s="132"/>
      <c r="H736" s="132"/>
      <c r="I736" s="132"/>
      <c r="J736" s="134"/>
      <c r="K736" s="132"/>
      <c r="L736" s="134"/>
      <c r="M736" s="132"/>
      <c r="N736" s="132"/>
      <c r="O736" s="132"/>
      <c r="P736" s="132"/>
      <c r="Q736" s="147"/>
      <c r="R736" s="371"/>
      <c r="S736" s="360"/>
      <c r="T736" s="307"/>
      <c r="U736" s="135"/>
      <c r="V736" s="100"/>
      <c r="W736"/>
      <c r="X736"/>
      <c r="Y736"/>
      <c r="Z736"/>
      <c r="AA736"/>
      <c r="AB736"/>
      <c r="AC736"/>
      <c r="AD736" s="263"/>
      <c r="AE736"/>
      <c r="AF736" s="100"/>
      <c r="AG736" s="263"/>
      <c r="AH736"/>
      <c r="AI736" s="100"/>
      <c r="AJ736" s="263"/>
      <c r="AK736"/>
      <c r="AL736" s="100"/>
      <c r="AM736" s="263"/>
      <c r="AN736"/>
      <c r="AO736" s="100"/>
      <c r="AP736" s="100"/>
      <c r="AQ736" s="100"/>
      <c r="AR736" s="100"/>
      <c r="AS736" s="100"/>
      <c r="AT736" s="100"/>
      <c r="AU736" s="100"/>
      <c r="AV736" s="100">
        <v>718</v>
      </c>
      <c r="AW736" s="100"/>
      <c r="AY736" s="134"/>
    </row>
    <row r="737" spans="1:51" s="2" customFormat="1" ht="12.75" customHeight="1" x14ac:dyDescent="0.25">
      <c r="A737" s="202" t="s">
        <v>1525</v>
      </c>
      <c r="B737" s="203"/>
      <c r="C737" s="203"/>
      <c r="D737" s="204"/>
      <c r="E737" s="205"/>
      <c r="F737" s="162"/>
      <c r="G737" s="162"/>
      <c r="H737" s="132"/>
      <c r="I737" s="132"/>
      <c r="J737" s="134"/>
      <c r="K737" s="132"/>
      <c r="L737" s="134"/>
      <c r="M737" s="132"/>
      <c r="N737" s="132"/>
      <c r="O737" s="132"/>
      <c r="P737" s="132"/>
      <c r="Q737" s="147"/>
      <c r="R737" s="371"/>
      <c r="S737" s="360"/>
      <c r="T737" s="307"/>
      <c r="U737" s="135"/>
      <c r="V737" s="100"/>
      <c r="W737"/>
      <c r="X737"/>
      <c r="Y737"/>
      <c r="Z737"/>
      <c r="AA737"/>
      <c r="AB737"/>
      <c r="AC737"/>
      <c r="AD737" s="263"/>
      <c r="AE737"/>
      <c r="AF737" s="100"/>
      <c r="AG737" s="263"/>
      <c r="AH737"/>
      <c r="AI737" s="100"/>
      <c r="AJ737" s="263"/>
      <c r="AK737"/>
      <c r="AL737" s="100"/>
      <c r="AM737" s="263"/>
      <c r="AN737"/>
      <c r="AO737" s="100"/>
      <c r="AP737" s="100"/>
      <c r="AQ737" s="100"/>
      <c r="AR737" s="100"/>
      <c r="AS737" s="100"/>
      <c r="AT737" s="100"/>
      <c r="AU737" s="100"/>
      <c r="AV737" s="100">
        <v>719</v>
      </c>
      <c r="AW737" s="100"/>
      <c r="AY737" s="134"/>
    </row>
    <row r="738" spans="1:51" s="2" customFormat="1" ht="12.75" customHeight="1" x14ac:dyDescent="0.2">
      <c r="A738" s="6" t="s">
        <v>2326</v>
      </c>
      <c r="B738" s="153">
        <v>9789500217149</v>
      </c>
      <c r="C738" s="6">
        <v>744141</v>
      </c>
      <c r="D738" s="41">
        <v>12</v>
      </c>
      <c r="E738" s="6" t="s">
        <v>2327</v>
      </c>
      <c r="F738" s="6" t="s">
        <v>2328</v>
      </c>
      <c r="G738" s="107">
        <v>46143</v>
      </c>
      <c r="H738" s="108">
        <v>46113</v>
      </c>
      <c r="I738" s="267">
        <v>4008</v>
      </c>
      <c r="J738" s="7" t="s">
        <v>2329</v>
      </c>
      <c r="K738" s="148">
        <v>4918.1899999999996</v>
      </c>
      <c r="L738" s="352">
        <v>24900</v>
      </c>
      <c r="M738" s="9"/>
      <c r="N738" s="9">
        <f>+L738/2</f>
        <v>12450</v>
      </c>
      <c r="O738" s="9">
        <f>+N738-M738-K738</f>
        <v>7531.81</v>
      </c>
      <c r="P738" s="9">
        <f>+M738+K738</f>
        <v>4918.1899999999996</v>
      </c>
      <c r="Q738" s="139">
        <f>+O738/N738</f>
        <v>0.60496465863453819</v>
      </c>
      <c r="R738" s="345">
        <v>24900</v>
      </c>
      <c r="S738" s="359" t="s">
        <v>1948</v>
      </c>
      <c r="T738" s="305">
        <v>0.60496465863453819</v>
      </c>
      <c r="U738" s="36"/>
      <c r="V738" s="100"/>
      <c r="W738" s="110">
        <f t="shared" ref="W738:W769" si="630">+L738</f>
        <v>24900</v>
      </c>
      <c r="X738" s="110">
        <f t="shared" ref="X738:X769" si="631">+K738</f>
        <v>4918.1899999999996</v>
      </c>
      <c r="Y738" s="110">
        <f t="shared" ref="Y738:Y769" si="632">+M738</f>
        <v>0</v>
      </c>
      <c r="Z738" s="110">
        <f t="shared" ref="Z738:Z769" si="633">+W738/2-X738-Y738</f>
        <v>7531.81</v>
      </c>
      <c r="AA738" s="260">
        <f t="shared" ref="AA738:AA769" si="634">+Z738/(W738/2)</f>
        <v>0.60496465863453819</v>
      </c>
      <c r="AB738" s="28">
        <f t="shared" ref="AB738:AB769" si="635">ROUND($W738/2/$X$1,1)</f>
        <v>8.1999999999999993</v>
      </c>
      <c r="AC738" s="261">
        <f t="shared" ref="AC738:AC769" si="636">+(AB738*$X$1-$X738-$Y738)/(AB738*$X$1)</f>
        <v>0.60449767999163673</v>
      </c>
      <c r="AD738" s="111">
        <f t="shared" ref="AD738:AD769" si="637">+IFERROR(ROUND(($X738+$Y738)/(1-$X$2)/$X$1,1),0)</f>
        <v>3.4</v>
      </c>
      <c r="AE738" s="262">
        <f t="shared" ref="AE738:AE769" si="638">+(AD738*$X$1-$X738-$Y738)/(AD738*$X$1)</f>
        <v>4.6141463509241455E-2</v>
      </c>
      <c r="AF738" s="100"/>
      <c r="AG738" s="111">
        <f t="shared" ref="AG738:AG769" si="639">+IFERROR(ROUND(($X738+$Y738)/(1-$AG$2)/$X$1,1),0)</f>
        <v>5.4</v>
      </c>
      <c r="AH738" s="262">
        <f t="shared" ref="AH738:AH769" si="640">+(AG738*$X$1-$X738-$Y738)/(AG738*$X$1)</f>
        <v>0.39942240295026321</v>
      </c>
      <c r="AI738" s="100"/>
      <c r="AJ738" s="111">
        <f t="shared" ref="AJ738:AJ769" si="641">+IFERROR(ROUND(($X738+$Y738)/(1-$AJ$2)/$X$1,1),0)</f>
        <v>5</v>
      </c>
      <c r="AK738" s="262">
        <f t="shared" ref="AK738:AK769" si="642">+(AJ738*$X$1-$X738-$Y738)/(AJ738*$X$1)</f>
        <v>0.35137619518628427</v>
      </c>
      <c r="AL738" s="100"/>
      <c r="AM738" s="111">
        <f t="shared" ref="AM738:AM769" si="643">+IFERROR(ROUND(($X738+$Y738)/(1-$AM$2)/$X$1,1),0)</f>
        <v>4.5999999999999996</v>
      </c>
      <c r="AN738" s="262">
        <f t="shared" ref="AN738:AN769" si="644">+(AM738*$X$1-$X738-$Y738)/(AM738*$X$1)</f>
        <v>0.29497412520248284</v>
      </c>
      <c r="AO738" s="100"/>
      <c r="AP738" s="24" t="e">
        <f>VLOOKUP(C738,#REF!,6,FALSE)</f>
        <v>#REF!</v>
      </c>
      <c r="AQ738" s="24" t="e">
        <f>VLOOKUP(C738,#REF!,7,FALSE)</f>
        <v>#REF!</v>
      </c>
      <c r="AR738" s="24" t="e">
        <f>VLOOKUP(C738,#REF!,12,FALSE)</f>
        <v>#REF!</v>
      </c>
      <c r="AS738" s="24" t="e">
        <f>VLOOKUP(C738,#REF!,13,FALSE)</f>
        <v>#REF!</v>
      </c>
      <c r="AT738" s="100"/>
      <c r="AU738" s="100"/>
      <c r="AV738" s="100">
        <v>720</v>
      </c>
      <c r="AW738" s="100"/>
      <c r="AY738" s="352">
        <v>24900</v>
      </c>
    </row>
    <row r="739" spans="1:51" s="2" customFormat="1" ht="12.75" customHeight="1" x14ac:dyDescent="0.2">
      <c r="A739" s="6" t="s">
        <v>2042</v>
      </c>
      <c r="B739" s="279">
        <v>9789500216210</v>
      </c>
      <c r="C739" s="6">
        <v>729378</v>
      </c>
      <c r="D739" s="41">
        <v>48</v>
      </c>
      <c r="E739" s="8" t="s">
        <v>2043</v>
      </c>
      <c r="F739" s="6" t="s">
        <v>2044</v>
      </c>
      <c r="G739" s="108">
        <v>45778</v>
      </c>
      <c r="H739" s="108">
        <v>45748</v>
      </c>
      <c r="I739" s="264">
        <v>4001</v>
      </c>
      <c r="J739" s="176" t="s">
        <v>2136</v>
      </c>
      <c r="K739" s="292">
        <v>3333.49</v>
      </c>
      <c r="L739" s="9">
        <v>25900</v>
      </c>
      <c r="M739" s="112">
        <f t="shared" ref="M739:M745" si="645">+L739*0.08</f>
        <v>2072</v>
      </c>
      <c r="N739" s="9">
        <f>+L739/2</f>
        <v>12950</v>
      </c>
      <c r="O739" s="9">
        <f>+N739-M739-K739</f>
        <v>7544.51</v>
      </c>
      <c r="P739" s="9">
        <f>+M739+K739</f>
        <v>5405.49</v>
      </c>
      <c r="Q739" s="139">
        <f>+O739/N739</f>
        <v>0.5825876447876448</v>
      </c>
      <c r="R739" s="345">
        <v>25900</v>
      </c>
      <c r="S739" s="359" t="s">
        <v>1948</v>
      </c>
      <c r="T739" s="305">
        <v>0.5825876447876448</v>
      </c>
      <c r="U739" s="6"/>
      <c r="V739" s="100"/>
      <c r="W739" s="110">
        <f t="shared" si="630"/>
        <v>25900</v>
      </c>
      <c r="X739" s="110">
        <f t="shared" si="631"/>
        <v>3333.49</v>
      </c>
      <c r="Y739" s="110">
        <f t="shared" si="632"/>
        <v>2072</v>
      </c>
      <c r="Z739" s="110">
        <f t="shared" si="633"/>
        <v>7544.51</v>
      </c>
      <c r="AA739" s="260">
        <f t="shared" si="634"/>
        <v>0.5825876447876448</v>
      </c>
      <c r="AB739" s="28">
        <f t="shared" si="635"/>
        <v>8.5</v>
      </c>
      <c r="AC739" s="261">
        <f t="shared" si="636"/>
        <v>0.58065281899109789</v>
      </c>
      <c r="AD739" s="111">
        <f t="shared" si="637"/>
        <v>3.8</v>
      </c>
      <c r="AE739" s="262">
        <f t="shared" si="638"/>
        <v>6.198656879587694E-2</v>
      </c>
      <c r="AF739" s="100"/>
      <c r="AG739" s="111">
        <f t="shared" si="639"/>
        <v>5.9</v>
      </c>
      <c r="AH739" s="262">
        <f t="shared" si="640"/>
        <v>0.39585575617361568</v>
      </c>
      <c r="AI739" s="100"/>
      <c r="AJ739" s="111">
        <f t="shared" si="641"/>
        <v>5.5</v>
      </c>
      <c r="AK739" s="262">
        <f t="shared" si="642"/>
        <v>0.35191799298624227</v>
      </c>
      <c r="AL739" s="100"/>
      <c r="AM739" s="111">
        <f t="shared" si="643"/>
        <v>5.0999999999999996</v>
      </c>
      <c r="AN739" s="262">
        <f t="shared" si="644"/>
        <v>0.30108803165182985</v>
      </c>
      <c r="AO739" s="100"/>
      <c r="AP739" s="24" t="e">
        <f>VLOOKUP(C739,#REF!,6,FALSE)</f>
        <v>#REF!</v>
      </c>
      <c r="AQ739" s="24" t="e">
        <f>VLOOKUP(C739,#REF!,7,FALSE)</f>
        <v>#REF!</v>
      </c>
      <c r="AR739" s="24" t="e">
        <f>VLOOKUP(C739,#REF!,12,FALSE)</f>
        <v>#REF!</v>
      </c>
      <c r="AS739" s="24" t="e">
        <f>VLOOKUP(C739,#REF!,13,FALSE)</f>
        <v>#REF!</v>
      </c>
      <c r="AT739" s="100"/>
      <c r="AU739" s="100"/>
      <c r="AV739" s="100">
        <v>721</v>
      </c>
      <c r="AW739" s="100"/>
      <c r="AY739" s="9">
        <v>25900</v>
      </c>
    </row>
    <row r="740" spans="1:51" s="2" customFormat="1" ht="12.75" customHeight="1" x14ac:dyDescent="0.2">
      <c r="A740" s="6" t="s">
        <v>1878</v>
      </c>
      <c r="B740" s="8">
        <v>9789500215220</v>
      </c>
      <c r="C740" s="8">
        <v>717943</v>
      </c>
      <c r="D740" s="41">
        <v>48</v>
      </c>
      <c r="E740" s="7" t="s">
        <v>1879</v>
      </c>
      <c r="F740" s="25" t="s">
        <v>1865</v>
      </c>
      <c r="G740" s="118">
        <v>45474</v>
      </c>
      <c r="H740" s="107">
        <v>46266</v>
      </c>
      <c r="I740" s="239">
        <v>1154</v>
      </c>
      <c r="J740" s="6" t="s">
        <v>1762</v>
      </c>
      <c r="K740" s="148">
        <v>3329.51</v>
      </c>
      <c r="L740" s="9">
        <v>22900</v>
      </c>
      <c r="M740" s="112">
        <f t="shared" si="645"/>
        <v>1832</v>
      </c>
      <c r="N740" s="9">
        <f>+L740/2</f>
        <v>11450</v>
      </c>
      <c r="O740" s="9">
        <f>+N740-M740-K740</f>
        <v>6288.49</v>
      </c>
      <c r="P740" s="9">
        <f>+M740+K740</f>
        <v>5161.51</v>
      </c>
      <c r="Q740" s="139">
        <f>+O740/N740</f>
        <v>0.54921310043668126</v>
      </c>
      <c r="R740" s="345">
        <v>22900</v>
      </c>
      <c r="S740" s="359" t="s">
        <v>1948</v>
      </c>
      <c r="T740" s="305">
        <v>0.65405152838427938</v>
      </c>
      <c r="U740" s="6"/>
      <c r="V740" s="100"/>
      <c r="W740" s="110">
        <f t="shared" si="630"/>
        <v>22900</v>
      </c>
      <c r="X740" s="110">
        <f t="shared" si="631"/>
        <v>3329.51</v>
      </c>
      <c r="Y740" s="110">
        <f t="shared" si="632"/>
        <v>1832</v>
      </c>
      <c r="Z740" s="110">
        <f t="shared" si="633"/>
        <v>6288.49</v>
      </c>
      <c r="AA740" s="260">
        <f t="shared" si="634"/>
        <v>0.54921310043668126</v>
      </c>
      <c r="AB740" s="28">
        <f t="shared" si="635"/>
        <v>7.6</v>
      </c>
      <c r="AC740" s="261">
        <f t="shared" si="636"/>
        <v>0.5521621809221372</v>
      </c>
      <c r="AD740" s="111">
        <f t="shared" si="637"/>
        <v>3.6</v>
      </c>
      <c r="AE740" s="262">
        <f t="shared" si="638"/>
        <v>5.4564604168956352E-2</v>
      </c>
      <c r="AF740" s="100"/>
      <c r="AG740" s="111">
        <f t="shared" si="639"/>
        <v>5.7</v>
      </c>
      <c r="AH740" s="262">
        <f t="shared" si="640"/>
        <v>0.40288290789618297</v>
      </c>
      <c r="AI740" s="100"/>
      <c r="AJ740" s="111">
        <f t="shared" si="641"/>
        <v>5.2</v>
      </c>
      <c r="AK740" s="262">
        <f t="shared" si="642"/>
        <v>0.34546780288620049</v>
      </c>
      <c r="AL740" s="100"/>
      <c r="AM740" s="111">
        <f t="shared" si="643"/>
        <v>4.9000000000000004</v>
      </c>
      <c r="AN740" s="262">
        <f t="shared" si="644"/>
        <v>0.30539440306290666</v>
      </c>
      <c r="AO740" s="100"/>
      <c r="AP740" s="24" t="e">
        <f>VLOOKUP(C740,#REF!,6,FALSE)</f>
        <v>#REF!</v>
      </c>
      <c r="AQ740" s="24" t="e">
        <f>VLOOKUP(C740,#REF!,7,FALSE)</f>
        <v>#REF!</v>
      </c>
      <c r="AR740" s="24" t="e">
        <f>VLOOKUP(C740,#REF!,12,FALSE)</f>
        <v>#REF!</v>
      </c>
      <c r="AS740" s="24" t="e">
        <f>VLOOKUP(C740,#REF!,13,FALSE)</f>
        <v>#REF!</v>
      </c>
      <c r="AT740" s="100"/>
      <c r="AU740" s="100"/>
      <c r="AV740" s="100">
        <v>722</v>
      </c>
      <c r="AW740" s="100"/>
      <c r="AY740" s="9">
        <v>22900</v>
      </c>
    </row>
    <row r="741" spans="1:51" s="2" customFormat="1" ht="12.75" customHeight="1" x14ac:dyDescent="0.2">
      <c r="A741" s="6" t="s">
        <v>1526</v>
      </c>
      <c r="B741" s="8">
        <v>9789500212960</v>
      </c>
      <c r="C741" s="6">
        <v>698774</v>
      </c>
      <c r="D741" s="41">
        <v>32</v>
      </c>
      <c r="E741" s="7" t="s">
        <v>723</v>
      </c>
      <c r="F741" s="7" t="s">
        <v>724</v>
      </c>
      <c r="G741" s="107">
        <v>44835</v>
      </c>
      <c r="H741" s="108">
        <v>44805</v>
      </c>
      <c r="I741" s="7">
        <v>1978</v>
      </c>
      <c r="J741" s="28" t="s">
        <v>2136</v>
      </c>
      <c r="K741" s="117">
        <v>621.70000000000005</v>
      </c>
      <c r="L741" s="9">
        <v>23500</v>
      </c>
      <c r="M741" s="112">
        <f t="shared" si="645"/>
        <v>1880</v>
      </c>
      <c r="N741" s="9">
        <v>1480</v>
      </c>
      <c r="O741" s="9">
        <v>726</v>
      </c>
      <c r="P741" s="9">
        <v>754</v>
      </c>
      <c r="Q741" s="139">
        <v>0.49054054054054053</v>
      </c>
      <c r="R741" s="345">
        <v>23500</v>
      </c>
      <c r="S741" s="359" t="s">
        <v>1948</v>
      </c>
      <c r="T741" s="305">
        <v>0.49054054054054053</v>
      </c>
      <c r="U741" s="28"/>
      <c r="V741" s="100"/>
      <c r="W741" s="110">
        <f t="shared" si="630"/>
        <v>23500</v>
      </c>
      <c r="X741" s="110">
        <f t="shared" si="631"/>
        <v>621.70000000000005</v>
      </c>
      <c r="Y741" s="110">
        <f t="shared" si="632"/>
        <v>1880</v>
      </c>
      <c r="Z741" s="110">
        <f t="shared" si="633"/>
        <v>9248.2999999999993</v>
      </c>
      <c r="AA741" s="260">
        <f t="shared" si="634"/>
        <v>0.78708936170212762</v>
      </c>
      <c r="AB741" s="28">
        <f t="shared" si="635"/>
        <v>7.7</v>
      </c>
      <c r="AC741" s="261">
        <f t="shared" si="636"/>
        <v>0.78575924569989852</v>
      </c>
      <c r="AD741" s="111">
        <f t="shared" si="637"/>
        <v>1.7</v>
      </c>
      <c r="AE741" s="262">
        <f t="shared" si="638"/>
        <v>2.9615406993657879E-2</v>
      </c>
      <c r="AF741" s="100"/>
      <c r="AG741" s="111">
        <f t="shared" si="639"/>
        <v>2.7</v>
      </c>
      <c r="AH741" s="262">
        <f t="shared" si="640"/>
        <v>0.38901710810711809</v>
      </c>
      <c r="AI741" s="100"/>
      <c r="AJ741" s="111">
        <f t="shared" si="641"/>
        <v>2.5</v>
      </c>
      <c r="AK741" s="262">
        <f t="shared" si="642"/>
        <v>0.34013847675568748</v>
      </c>
      <c r="AL741" s="100"/>
      <c r="AM741" s="111">
        <f t="shared" si="643"/>
        <v>2.4</v>
      </c>
      <c r="AN741" s="262">
        <f t="shared" si="644"/>
        <v>0.31264424662050766</v>
      </c>
      <c r="AO741" s="100"/>
      <c r="AP741" s="24" t="e">
        <f>VLOOKUP(C741,#REF!,6,FALSE)</f>
        <v>#REF!</v>
      </c>
      <c r="AQ741" s="24" t="e">
        <f>VLOOKUP(C741,#REF!,7,FALSE)</f>
        <v>#REF!</v>
      </c>
      <c r="AR741" s="24" t="e">
        <f>VLOOKUP(C741,#REF!,12,FALSE)</f>
        <v>#REF!</v>
      </c>
      <c r="AS741" s="24" t="e">
        <f>VLOOKUP(C741,#REF!,13,FALSE)</f>
        <v>#REF!</v>
      </c>
      <c r="AT741" s="100"/>
      <c r="AU741" s="100"/>
      <c r="AV741" s="100">
        <v>723</v>
      </c>
      <c r="AW741" s="100"/>
      <c r="AY741" s="9">
        <v>23500</v>
      </c>
    </row>
    <row r="742" spans="1:51" s="162" customFormat="1" ht="12.75" customHeight="1" x14ac:dyDescent="0.2">
      <c r="A742" s="6" t="s">
        <v>1527</v>
      </c>
      <c r="B742" s="8">
        <v>9789500213004</v>
      </c>
      <c r="C742" s="6">
        <v>698775</v>
      </c>
      <c r="D742" s="41">
        <v>48</v>
      </c>
      <c r="E742" s="7" t="s">
        <v>725</v>
      </c>
      <c r="F742" s="7" t="s">
        <v>726</v>
      </c>
      <c r="G742" s="107">
        <v>44835</v>
      </c>
      <c r="H742" s="108">
        <v>44805</v>
      </c>
      <c r="I742" s="7">
        <v>2055</v>
      </c>
      <c r="J742" s="28" t="s">
        <v>2136</v>
      </c>
      <c r="K742" s="117">
        <v>842.26</v>
      </c>
      <c r="L742" s="9">
        <v>24900</v>
      </c>
      <c r="M742" s="112">
        <f t="shared" si="645"/>
        <v>1992</v>
      </c>
      <c r="N742" s="9">
        <v>1480</v>
      </c>
      <c r="O742" s="9">
        <v>726</v>
      </c>
      <c r="P742" s="9">
        <v>754</v>
      </c>
      <c r="Q742" s="139">
        <v>0.49054054054054053</v>
      </c>
      <c r="R742" s="345">
        <v>24900</v>
      </c>
      <c r="S742" s="359" t="s">
        <v>1948</v>
      </c>
      <c r="T742" s="305">
        <v>0.49054054054054053</v>
      </c>
      <c r="U742" s="28"/>
      <c r="V742" s="100"/>
      <c r="W742" s="110">
        <f t="shared" si="630"/>
        <v>24900</v>
      </c>
      <c r="X742" s="110">
        <f t="shared" si="631"/>
        <v>842.26</v>
      </c>
      <c r="Y742" s="110">
        <f t="shared" si="632"/>
        <v>1992</v>
      </c>
      <c r="Z742" s="110">
        <f t="shared" si="633"/>
        <v>9615.74</v>
      </c>
      <c r="AA742" s="260">
        <f t="shared" si="634"/>
        <v>0.77234859437751002</v>
      </c>
      <c r="AB742" s="28">
        <f t="shared" si="635"/>
        <v>8.1999999999999993</v>
      </c>
      <c r="AC742" s="261">
        <f t="shared" si="636"/>
        <v>0.77207948340610999</v>
      </c>
      <c r="AD742" s="111">
        <f t="shared" si="637"/>
        <v>2</v>
      </c>
      <c r="AE742" s="262">
        <f t="shared" si="638"/>
        <v>6.5525881965051033E-2</v>
      </c>
      <c r="AF742" s="100"/>
      <c r="AG742" s="111">
        <f t="shared" si="639"/>
        <v>3.1</v>
      </c>
      <c r="AH742" s="262">
        <f t="shared" si="640"/>
        <v>0.39711347223551685</v>
      </c>
      <c r="AI742" s="100"/>
      <c r="AJ742" s="111">
        <f t="shared" si="641"/>
        <v>2.9</v>
      </c>
      <c r="AK742" s="262">
        <f t="shared" si="642"/>
        <v>0.35553509101037994</v>
      </c>
      <c r="AL742" s="100"/>
      <c r="AM742" s="111">
        <f t="shared" si="643"/>
        <v>2.7</v>
      </c>
      <c r="AN742" s="262">
        <f t="shared" si="644"/>
        <v>0.30779694960374154</v>
      </c>
      <c r="AO742" s="100"/>
      <c r="AP742" s="24" t="e">
        <f>VLOOKUP(C742,#REF!,6,FALSE)</f>
        <v>#REF!</v>
      </c>
      <c r="AQ742" s="24" t="e">
        <f>VLOOKUP(C742,#REF!,7,FALSE)</f>
        <v>#REF!</v>
      </c>
      <c r="AR742" s="24" t="e">
        <f>VLOOKUP(C742,#REF!,12,FALSE)</f>
        <v>#REF!</v>
      </c>
      <c r="AS742" s="24" t="e">
        <f>VLOOKUP(C742,#REF!,13,FALSE)</f>
        <v>#REF!</v>
      </c>
      <c r="AT742" s="100"/>
      <c r="AU742" s="100"/>
      <c r="AV742" s="100">
        <v>724</v>
      </c>
      <c r="AW742" s="100"/>
      <c r="AY742" s="9">
        <v>24900</v>
      </c>
    </row>
    <row r="743" spans="1:51" s="2" customFormat="1" ht="12.75" customHeight="1" x14ac:dyDescent="0.2">
      <c r="A743" s="6" t="s">
        <v>1528</v>
      </c>
      <c r="B743" s="8">
        <v>9789500212915</v>
      </c>
      <c r="C743" s="6">
        <v>697477</v>
      </c>
      <c r="D743" s="41">
        <v>48</v>
      </c>
      <c r="E743" s="7" t="s">
        <v>717</v>
      </c>
      <c r="F743" s="7" t="s">
        <v>718</v>
      </c>
      <c r="G743" s="107">
        <v>44805</v>
      </c>
      <c r="H743" s="108">
        <v>44774</v>
      </c>
      <c r="I743" s="7">
        <v>2000</v>
      </c>
      <c r="J743" s="28" t="s">
        <v>2136</v>
      </c>
      <c r="K743" s="117">
        <v>517.20000000000005</v>
      </c>
      <c r="L743" s="9">
        <v>22900</v>
      </c>
      <c r="M743" s="112">
        <f t="shared" si="645"/>
        <v>1832</v>
      </c>
      <c r="N743" s="9">
        <f t="shared" ref="N743:N774" si="646">+L743/2</f>
        <v>11450</v>
      </c>
      <c r="O743" s="9">
        <f t="shared" ref="O743:O774" si="647">+N743-M743-K743</f>
        <v>9100.7999999999993</v>
      </c>
      <c r="P743" s="9">
        <f t="shared" ref="P743:P774" si="648">+M743+K743</f>
        <v>2349.1999999999998</v>
      </c>
      <c r="Q743" s="139">
        <f t="shared" ref="Q743:Q774" si="649">+O743/N743</f>
        <v>0.79482969432314399</v>
      </c>
      <c r="R743" s="345">
        <v>22900</v>
      </c>
      <c r="S743" s="359" t="s">
        <v>1948</v>
      </c>
      <c r="T743" s="305">
        <v>0.79482969432314399</v>
      </c>
      <c r="U743" s="28"/>
      <c r="V743" s="100"/>
      <c r="W743" s="110">
        <f t="shared" si="630"/>
        <v>22900</v>
      </c>
      <c r="X743" s="110">
        <f t="shared" si="631"/>
        <v>517.20000000000005</v>
      </c>
      <c r="Y743" s="110">
        <f t="shared" si="632"/>
        <v>1832</v>
      </c>
      <c r="Z743" s="110">
        <f t="shared" si="633"/>
        <v>9100.7999999999993</v>
      </c>
      <c r="AA743" s="260">
        <f t="shared" si="634"/>
        <v>0.79482969432314399</v>
      </c>
      <c r="AB743" s="28">
        <f t="shared" si="635"/>
        <v>7.6</v>
      </c>
      <c r="AC743" s="261">
        <f t="shared" si="636"/>
        <v>0.79617193329515668</v>
      </c>
      <c r="AD743" s="111">
        <f t="shared" si="637"/>
        <v>1.6</v>
      </c>
      <c r="AE743" s="262">
        <f t="shared" si="638"/>
        <v>3.1816683151994742E-2</v>
      </c>
      <c r="AF743" s="100"/>
      <c r="AG743" s="111">
        <f t="shared" si="639"/>
        <v>2.6</v>
      </c>
      <c r="AH743" s="262">
        <f t="shared" si="640"/>
        <v>0.404194881939689</v>
      </c>
      <c r="AI743" s="100"/>
      <c r="AJ743" s="111">
        <f t="shared" si="641"/>
        <v>2.4</v>
      </c>
      <c r="AK743" s="262">
        <f t="shared" si="642"/>
        <v>0.35454445543466306</v>
      </c>
      <c r="AL743" s="100"/>
      <c r="AM743" s="111">
        <f t="shared" si="643"/>
        <v>2.2000000000000002</v>
      </c>
      <c r="AN743" s="262">
        <f t="shared" si="644"/>
        <v>0.29586667865599625</v>
      </c>
      <c r="AO743" s="100"/>
      <c r="AP743" s="24" t="e">
        <f>VLOOKUP(C743,#REF!,6,FALSE)</f>
        <v>#REF!</v>
      </c>
      <c r="AQ743" s="24" t="e">
        <f>VLOOKUP(C743,#REF!,7,FALSE)</f>
        <v>#REF!</v>
      </c>
      <c r="AR743" s="24" t="e">
        <f>VLOOKUP(C743,#REF!,12,FALSE)</f>
        <v>#REF!</v>
      </c>
      <c r="AS743" s="24" t="e">
        <f>VLOOKUP(C743,#REF!,13,FALSE)</f>
        <v>#REF!</v>
      </c>
      <c r="AT743" s="100"/>
      <c r="AU743" s="100"/>
      <c r="AV743" s="100">
        <v>725</v>
      </c>
      <c r="AW743" s="100"/>
      <c r="AY743" s="9">
        <v>22900</v>
      </c>
    </row>
    <row r="744" spans="1:51" s="2" customFormat="1" ht="12.75" customHeight="1" x14ac:dyDescent="0.2">
      <c r="A744" s="6" t="s">
        <v>1529</v>
      </c>
      <c r="B744" s="8">
        <v>9789500212823</v>
      </c>
      <c r="C744" s="6">
        <v>696627</v>
      </c>
      <c r="D744" s="41">
        <v>24</v>
      </c>
      <c r="E744" s="7" t="s">
        <v>708</v>
      </c>
      <c r="F744" s="7" t="s">
        <v>709</v>
      </c>
      <c r="G744" s="107">
        <v>44774</v>
      </c>
      <c r="H744" s="108">
        <v>44743</v>
      </c>
      <c r="I744" s="7">
        <v>3000</v>
      </c>
      <c r="J744" s="28" t="s">
        <v>1762</v>
      </c>
      <c r="K744" s="117">
        <v>396.66</v>
      </c>
      <c r="L744" s="9">
        <v>18900</v>
      </c>
      <c r="M744" s="112">
        <f t="shared" si="645"/>
        <v>1512</v>
      </c>
      <c r="N744" s="9">
        <f t="shared" si="646"/>
        <v>9450</v>
      </c>
      <c r="O744" s="9">
        <f t="shared" si="647"/>
        <v>7541.34</v>
      </c>
      <c r="P744" s="9">
        <f t="shared" si="648"/>
        <v>1908.66</v>
      </c>
      <c r="Q744" s="139">
        <f t="shared" si="649"/>
        <v>0.79802539682539686</v>
      </c>
      <c r="R744" s="345">
        <v>18900</v>
      </c>
      <c r="S744" s="359" t="s">
        <v>1948</v>
      </c>
      <c r="T744" s="305">
        <v>0.79802539682539686</v>
      </c>
      <c r="U744" s="28"/>
      <c r="V744" s="100"/>
      <c r="W744" s="110">
        <f t="shared" si="630"/>
        <v>18900</v>
      </c>
      <c r="X744" s="110">
        <f t="shared" si="631"/>
        <v>396.66</v>
      </c>
      <c r="Y744" s="110">
        <f t="shared" si="632"/>
        <v>1512</v>
      </c>
      <c r="Z744" s="110">
        <f t="shared" si="633"/>
        <v>7541.34</v>
      </c>
      <c r="AA744" s="260">
        <f t="shared" si="634"/>
        <v>0.79802539682539686</v>
      </c>
      <c r="AB744" s="28">
        <f t="shared" si="635"/>
        <v>6.2</v>
      </c>
      <c r="AC744" s="261">
        <f t="shared" si="636"/>
        <v>0.79700073386299097</v>
      </c>
      <c r="AD744" s="111">
        <f t="shared" si="637"/>
        <v>1.3</v>
      </c>
      <c r="AE744" s="262">
        <f t="shared" si="638"/>
        <v>3.1849653808110764E-2</v>
      </c>
      <c r="AF744" s="100"/>
      <c r="AG744" s="111">
        <f t="shared" si="639"/>
        <v>2.1</v>
      </c>
      <c r="AH744" s="262">
        <f t="shared" si="640"/>
        <v>0.40066883330978292</v>
      </c>
      <c r="AI744" s="100"/>
      <c r="AJ744" s="111">
        <f t="shared" si="641"/>
        <v>1.9</v>
      </c>
      <c r="AK744" s="262">
        <f t="shared" si="642"/>
        <v>0.33758134207923374</v>
      </c>
      <c r="AL744" s="100"/>
      <c r="AM744" s="111">
        <f t="shared" si="643"/>
        <v>1.8</v>
      </c>
      <c r="AN744" s="262">
        <f t="shared" si="644"/>
        <v>0.30078030552808011</v>
      </c>
      <c r="AO744" s="100"/>
      <c r="AP744" s="24" t="e">
        <f>VLOOKUP(C744,#REF!,6,FALSE)</f>
        <v>#REF!</v>
      </c>
      <c r="AQ744" s="24" t="e">
        <f>VLOOKUP(C744,#REF!,7,FALSE)</f>
        <v>#REF!</v>
      </c>
      <c r="AR744" s="24" t="e">
        <f>VLOOKUP(C744,#REF!,12,FALSE)</f>
        <v>#REF!</v>
      </c>
      <c r="AS744" s="24" t="e">
        <f>VLOOKUP(C744,#REF!,13,FALSE)</f>
        <v>#REF!</v>
      </c>
      <c r="AT744" s="100"/>
      <c r="AU744" s="100"/>
      <c r="AV744" s="100">
        <v>726</v>
      </c>
      <c r="AW744" s="100"/>
      <c r="AY744" s="9">
        <v>18900</v>
      </c>
    </row>
    <row r="745" spans="1:51" s="2" customFormat="1" ht="12.75" customHeight="1" x14ac:dyDescent="0.2">
      <c r="A745" s="6" t="s">
        <v>1530</v>
      </c>
      <c r="B745" s="8">
        <v>9789500212779</v>
      </c>
      <c r="C745" s="8">
        <v>695683</v>
      </c>
      <c r="D745" s="7">
        <v>32</v>
      </c>
      <c r="E745" s="7" t="s">
        <v>701</v>
      </c>
      <c r="F745" s="7" t="s">
        <v>702</v>
      </c>
      <c r="G745" s="107">
        <v>44743</v>
      </c>
      <c r="H745" s="108">
        <v>44713</v>
      </c>
      <c r="I745" s="7">
        <v>4000</v>
      </c>
      <c r="J745" s="28" t="s">
        <v>1762</v>
      </c>
      <c r="K745" s="117">
        <v>481.14</v>
      </c>
      <c r="L745" s="9">
        <v>18900</v>
      </c>
      <c r="M745" s="112">
        <f t="shared" si="645"/>
        <v>1512</v>
      </c>
      <c r="N745" s="9">
        <f t="shared" si="646"/>
        <v>9450</v>
      </c>
      <c r="O745" s="9">
        <f t="shared" si="647"/>
        <v>7456.86</v>
      </c>
      <c r="P745" s="9">
        <f t="shared" si="648"/>
        <v>1993.1399999999999</v>
      </c>
      <c r="Q745" s="139">
        <f t="shared" si="649"/>
        <v>0.78908571428571428</v>
      </c>
      <c r="R745" s="345">
        <v>18900</v>
      </c>
      <c r="S745" s="359" t="s">
        <v>1948</v>
      </c>
      <c r="T745" s="305">
        <v>0.78908571428571428</v>
      </c>
      <c r="U745" s="144"/>
      <c r="V745" s="100"/>
      <c r="W745" s="110">
        <f t="shared" si="630"/>
        <v>18900</v>
      </c>
      <c r="X745" s="110">
        <f t="shared" si="631"/>
        <v>481.14</v>
      </c>
      <c r="Y745" s="110">
        <f t="shared" si="632"/>
        <v>1512</v>
      </c>
      <c r="Z745" s="110">
        <f t="shared" si="633"/>
        <v>7456.8600000000006</v>
      </c>
      <c r="AA745" s="260">
        <f t="shared" si="634"/>
        <v>0.78908571428571439</v>
      </c>
      <c r="AB745" s="28">
        <f t="shared" si="635"/>
        <v>6.2</v>
      </c>
      <c r="AC745" s="261">
        <f t="shared" si="636"/>
        <v>0.78801569828658957</v>
      </c>
      <c r="AD745" s="111">
        <f t="shared" si="637"/>
        <v>1.4</v>
      </c>
      <c r="AE745" s="262">
        <f t="shared" si="638"/>
        <v>6.1212378126324733E-2</v>
      </c>
      <c r="AF745" s="100"/>
      <c r="AG745" s="111">
        <f t="shared" si="639"/>
        <v>2.2000000000000002</v>
      </c>
      <c r="AH745" s="262">
        <f t="shared" si="640"/>
        <v>0.40258969517129761</v>
      </c>
      <c r="AI745" s="100"/>
      <c r="AJ745" s="111">
        <f t="shared" si="641"/>
        <v>2</v>
      </c>
      <c r="AK745" s="262">
        <f t="shared" si="642"/>
        <v>0.34284866468842734</v>
      </c>
      <c r="AL745" s="100"/>
      <c r="AM745" s="111">
        <f t="shared" si="643"/>
        <v>1.9</v>
      </c>
      <c r="AN745" s="262">
        <f t="shared" si="644"/>
        <v>0.30826175230360769</v>
      </c>
      <c r="AO745" s="100"/>
      <c r="AP745" s="24" t="e">
        <f>VLOOKUP(C745,#REF!,6,FALSE)</f>
        <v>#REF!</v>
      </c>
      <c r="AQ745" s="24" t="e">
        <f>VLOOKUP(C745,#REF!,7,FALSE)</f>
        <v>#REF!</v>
      </c>
      <c r="AR745" s="24" t="e">
        <f>VLOOKUP(C745,#REF!,12,FALSE)</f>
        <v>#REF!</v>
      </c>
      <c r="AS745" s="24" t="e">
        <f>VLOOKUP(C745,#REF!,13,FALSE)</f>
        <v>#REF!</v>
      </c>
      <c r="AT745" s="100"/>
      <c r="AU745" s="100"/>
      <c r="AV745" s="100">
        <v>727</v>
      </c>
      <c r="AW745" s="100"/>
      <c r="AY745" s="9">
        <v>18900</v>
      </c>
    </row>
    <row r="746" spans="1:51" s="2" customFormat="1" ht="12.75" customHeight="1" x14ac:dyDescent="0.2">
      <c r="A746" s="7" t="s">
        <v>1531</v>
      </c>
      <c r="B746" s="8">
        <v>9789500212458</v>
      </c>
      <c r="C746" s="8">
        <v>692880</v>
      </c>
      <c r="D746" s="25">
        <v>48</v>
      </c>
      <c r="E746" s="7" t="s">
        <v>680</v>
      </c>
      <c r="F746" s="7" t="s">
        <v>681</v>
      </c>
      <c r="G746" s="107">
        <v>44652</v>
      </c>
      <c r="H746" s="108">
        <v>44621</v>
      </c>
      <c r="I746" s="7">
        <v>3000</v>
      </c>
      <c r="J746" s="28" t="s">
        <v>1762</v>
      </c>
      <c r="K746" s="9">
        <v>432.82</v>
      </c>
      <c r="L746" s="9">
        <v>21900</v>
      </c>
      <c r="M746" s="112">
        <f>+L746*0.1</f>
        <v>2190</v>
      </c>
      <c r="N746" s="9">
        <f t="shared" si="646"/>
        <v>10950</v>
      </c>
      <c r="O746" s="9">
        <f t="shared" si="647"/>
        <v>8327.18</v>
      </c>
      <c r="P746" s="9">
        <f t="shared" si="648"/>
        <v>2622.82</v>
      </c>
      <c r="Q746" s="139">
        <f t="shared" si="649"/>
        <v>0.76047305936073062</v>
      </c>
      <c r="R746" s="345">
        <v>21900</v>
      </c>
      <c r="S746" s="359" t="s">
        <v>1948</v>
      </c>
      <c r="T746" s="305">
        <v>0.76047305936073062</v>
      </c>
      <c r="U746" s="144"/>
      <c r="V746" s="100"/>
      <c r="W746" s="110">
        <f t="shared" si="630"/>
        <v>21900</v>
      </c>
      <c r="X746" s="110">
        <f t="shared" si="631"/>
        <v>432.82</v>
      </c>
      <c r="Y746" s="110">
        <f t="shared" si="632"/>
        <v>2190</v>
      </c>
      <c r="Z746" s="110">
        <f t="shared" si="633"/>
        <v>8327.18</v>
      </c>
      <c r="AA746" s="260">
        <f t="shared" si="634"/>
        <v>0.76047305936073062</v>
      </c>
      <c r="AB746" s="28">
        <f t="shared" si="635"/>
        <v>7.2</v>
      </c>
      <c r="AC746" s="261">
        <f t="shared" si="636"/>
        <v>0.75978862146023374</v>
      </c>
      <c r="AD746" s="111">
        <f t="shared" si="637"/>
        <v>1.8</v>
      </c>
      <c r="AE746" s="262">
        <f t="shared" si="638"/>
        <v>3.9154485840934936E-2</v>
      </c>
      <c r="AF746" s="100"/>
      <c r="AG746" s="111">
        <f t="shared" si="639"/>
        <v>2.9</v>
      </c>
      <c r="AH746" s="262">
        <f t="shared" si="640"/>
        <v>0.40361312914264913</v>
      </c>
      <c r="AI746" s="100"/>
      <c r="AJ746" s="111">
        <f t="shared" si="641"/>
        <v>2.7</v>
      </c>
      <c r="AK746" s="262">
        <f t="shared" si="642"/>
        <v>0.35943632389395658</v>
      </c>
      <c r="AL746" s="100"/>
      <c r="AM746" s="111">
        <f t="shared" si="643"/>
        <v>2.5</v>
      </c>
      <c r="AN746" s="262">
        <f t="shared" si="644"/>
        <v>0.30819122980547309</v>
      </c>
      <c r="AO746" s="100"/>
      <c r="AP746" s="24" t="e">
        <f>VLOOKUP(C746,#REF!,6,FALSE)</f>
        <v>#REF!</v>
      </c>
      <c r="AQ746" s="24" t="e">
        <f>VLOOKUP(C746,#REF!,7,FALSE)</f>
        <v>#REF!</v>
      </c>
      <c r="AR746" s="24" t="e">
        <f>VLOOKUP(C746,#REF!,12,FALSE)</f>
        <v>#REF!</v>
      </c>
      <c r="AS746" s="24" t="e">
        <f>VLOOKUP(C746,#REF!,13,FALSE)</f>
        <v>#REF!</v>
      </c>
      <c r="AT746" s="100"/>
      <c r="AU746" s="100"/>
      <c r="AV746" s="100">
        <v>728</v>
      </c>
      <c r="AW746" s="100"/>
      <c r="AY746" s="9">
        <v>21900</v>
      </c>
    </row>
    <row r="747" spans="1:51" s="2" customFormat="1" ht="12.75" customHeight="1" x14ac:dyDescent="0.2">
      <c r="A747" s="7" t="s">
        <v>1532</v>
      </c>
      <c r="B747" s="8">
        <v>9789500212212</v>
      </c>
      <c r="C747" s="8">
        <v>688427</v>
      </c>
      <c r="D747" s="25">
        <v>48</v>
      </c>
      <c r="E747" s="9" t="s">
        <v>589</v>
      </c>
      <c r="F747" s="7" t="s">
        <v>659</v>
      </c>
      <c r="G747" s="107">
        <v>44501</v>
      </c>
      <c r="H747" s="108">
        <v>44470</v>
      </c>
      <c r="I747" s="7">
        <v>3000</v>
      </c>
      <c r="J747" s="28" t="s">
        <v>1762</v>
      </c>
      <c r="K747" s="9">
        <v>275.7</v>
      </c>
      <c r="L747" s="9">
        <v>21900</v>
      </c>
      <c r="M747" s="112">
        <f>+L747*0.08</f>
        <v>1752</v>
      </c>
      <c r="N747" s="9">
        <f t="shared" si="646"/>
        <v>10950</v>
      </c>
      <c r="O747" s="9">
        <f t="shared" si="647"/>
        <v>8922.2999999999993</v>
      </c>
      <c r="P747" s="9">
        <f t="shared" si="648"/>
        <v>2027.7</v>
      </c>
      <c r="Q747" s="139">
        <f t="shared" si="649"/>
        <v>0.81482191780821911</v>
      </c>
      <c r="R747" s="345">
        <v>21900</v>
      </c>
      <c r="S747" s="359" t="s">
        <v>1948</v>
      </c>
      <c r="T747" s="305">
        <v>0.81482191780821911</v>
      </c>
      <c r="U747" s="144"/>
      <c r="V747" s="100"/>
      <c r="W747" s="110">
        <f t="shared" si="630"/>
        <v>21900</v>
      </c>
      <c r="X747" s="110">
        <f t="shared" si="631"/>
        <v>275.7</v>
      </c>
      <c r="Y747" s="110">
        <f t="shared" si="632"/>
        <v>1752</v>
      </c>
      <c r="Z747" s="110">
        <f t="shared" si="633"/>
        <v>8922.2999999999993</v>
      </c>
      <c r="AA747" s="260">
        <f t="shared" si="634"/>
        <v>0.81482191780821911</v>
      </c>
      <c r="AB747" s="28">
        <f t="shared" si="635"/>
        <v>7.2</v>
      </c>
      <c r="AC747" s="261">
        <f t="shared" si="636"/>
        <v>0.81429277942631051</v>
      </c>
      <c r="AD747" s="111">
        <f t="shared" si="637"/>
        <v>1.4</v>
      </c>
      <c r="AE747" s="262">
        <f t="shared" si="638"/>
        <v>4.4934294192454365E-2</v>
      </c>
      <c r="AF747" s="100"/>
      <c r="AG747" s="111">
        <f t="shared" si="639"/>
        <v>2.2000000000000002</v>
      </c>
      <c r="AH747" s="262">
        <f t="shared" si="640"/>
        <v>0.39223091448610747</v>
      </c>
      <c r="AI747" s="100"/>
      <c r="AJ747" s="111">
        <f t="shared" si="641"/>
        <v>2.1</v>
      </c>
      <c r="AK747" s="262">
        <f t="shared" si="642"/>
        <v>0.36328952946163634</v>
      </c>
      <c r="AL747" s="100"/>
      <c r="AM747" s="111">
        <f t="shared" si="643"/>
        <v>1.9</v>
      </c>
      <c r="AN747" s="262">
        <f t="shared" si="644"/>
        <v>0.29626737466812436</v>
      </c>
      <c r="AO747" s="100"/>
      <c r="AP747" s="24" t="e">
        <f>VLOOKUP(C747,#REF!,6,FALSE)</f>
        <v>#REF!</v>
      </c>
      <c r="AQ747" s="24" t="e">
        <f>VLOOKUP(C747,#REF!,7,FALSE)</f>
        <v>#REF!</v>
      </c>
      <c r="AR747" s="24" t="e">
        <f>VLOOKUP(C747,#REF!,12,FALSE)</f>
        <v>#REF!</v>
      </c>
      <c r="AS747" s="24" t="e">
        <f>VLOOKUP(C747,#REF!,13,FALSE)</f>
        <v>#REF!</v>
      </c>
      <c r="AT747" s="100"/>
      <c r="AU747" s="100"/>
      <c r="AV747" s="100">
        <v>729</v>
      </c>
      <c r="AW747" s="100"/>
      <c r="AY747" s="9">
        <v>21900</v>
      </c>
    </row>
    <row r="748" spans="1:51" s="2" customFormat="1" ht="12.75" customHeight="1" x14ac:dyDescent="0.2">
      <c r="A748" s="11" t="s">
        <v>1533</v>
      </c>
      <c r="B748" s="8">
        <v>9789500299794</v>
      </c>
      <c r="C748" s="6">
        <v>637754</v>
      </c>
      <c r="D748" s="7">
        <v>32</v>
      </c>
      <c r="E748" s="7" t="s">
        <v>340</v>
      </c>
      <c r="F748" s="11" t="s">
        <v>1534</v>
      </c>
      <c r="G748" s="107">
        <v>43070</v>
      </c>
      <c r="H748" s="108">
        <v>43009</v>
      </c>
      <c r="I748" s="24">
        <v>4120</v>
      </c>
      <c r="J748" s="28" t="s">
        <v>1894</v>
      </c>
      <c r="K748" s="28">
        <v>51.57</v>
      </c>
      <c r="L748" s="28">
        <v>14100</v>
      </c>
      <c r="M748" s="112"/>
      <c r="N748" s="9">
        <f t="shared" si="646"/>
        <v>7050</v>
      </c>
      <c r="O748" s="9">
        <f t="shared" si="647"/>
        <v>6998.43</v>
      </c>
      <c r="P748" s="9">
        <f t="shared" si="648"/>
        <v>51.57</v>
      </c>
      <c r="Q748" s="139">
        <f t="shared" si="649"/>
        <v>0.9926851063829788</v>
      </c>
      <c r="R748" s="345">
        <v>14100</v>
      </c>
      <c r="S748" s="359" t="s">
        <v>1948</v>
      </c>
      <c r="T748" s="305">
        <v>0.9926851063829788</v>
      </c>
      <c r="U748" s="144"/>
      <c r="V748" s="100"/>
      <c r="W748" s="110">
        <f t="shared" si="630"/>
        <v>14100</v>
      </c>
      <c r="X748" s="110">
        <f t="shared" si="631"/>
        <v>51.57</v>
      </c>
      <c r="Y748" s="110">
        <f t="shared" si="632"/>
        <v>0</v>
      </c>
      <c r="Z748" s="110">
        <f t="shared" si="633"/>
        <v>6998.43</v>
      </c>
      <c r="AA748" s="260">
        <f t="shared" si="634"/>
        <v>0.9926851063829788</v>
      </c>
      <c r="AB748" s="28">
        <f t="shared" si="635"/>
        <v>4.5999999999999996</v>
      </c>
      <c r="AC748" s="261">
        <f t="shared" si="636"/>
        <v>0.99260740549606508</v>
      </c>
      <c r="AD748" s="111">
        <f t="shared" si="637"/>
        <v>0</v>
      </c>
      <c r="AE748" s="262" t="e">
        <f t="shared" si="638"/>
        <v>#DIV/0!</v>
      </c>
      <c r="AF748" s="100"/>
      <c r="AG748" s="111">
        <f t="shared" si="639"/>
        <v>0.1</v>
      </c>
      <c r="AH748" s="262">
        <f t="shared" si="640"/>
        <v>0.65994065281899117</v>
      </c>
      <c r="AI748" s="100"/>
      <c r="AJ748" s="111">
        <f t="shared" si="641"/>
        <v>0.1</v>
      </c>
      <c r="AK748" s="262">
        <f t="shared" si="642"/>
        <v>0.65994065281899117</v>
      </c>
      <c r="AL748" s="100"/>
      <c r="AM748" s="111">
        <f t="shared" si="643"/>
        <v>0</v>
      </c>
      <c r="AN748" s="262" t="e">
        <f t="shared" si="644"/>
        <v>#DIV/0!</v>
      </c>
      <c r="AO748" s="100"/>
      <c r="AP748" s="24" t="e">
        <f>VLOOKUP(C748,#REF!,6,FALSE)</f>
        <v>#REF!</v>
      </c>
      <c r="AQ748" s="24" t="e">
        <f>VLOOKUP(C748,#REF!,7,FALSE)</f>
        <v>#REF!</v>
      </c>
      <c r="AR748" s="24" t="e">
        <f>VLOOKUP(C748,#REF!,12,FALSE)</f>
        <v>#REF!</v>
      </c>
      <c r="AS748" s="24" t="e">
        <f>VLOOKUP(C748,#REF!,13,FALSE)</f>
        <v>#REF!</v>
      </c>
      <c r="AT748" s="100"/>
      <c r="AU748" s="100"/>
      <c r="AV748" s="100">
        <v>730</v>
      </c>
      <c r="AW748" s="100"/>
      <c r="AY748" s="28">
        <v>14100</v>
      </c>
    </row>
    <row r="749" spans="1:51" s="2" customFormat="1" ht="12.75" customHeight="1" x14ac:dyDescent="0.2">
      <c r="A749" s="7" t="s">
        <v>1535</v>
      </c>
      <c r="B749" s="8">
        <v>9789500207362</v>
      </c>
      <c r="C749" s="8">
        <v>568266</v>
      </c>
      <c r="D749" s="25">
        <v>48</v>
      </c>
      <c r="E749" s="22" t="s">
        <v>242</v>
      </c>
      <c r="F749" s="6" t="s">
        <v>262</v>
      </c>
      <c r="G749" s="107">
        <v>41518</v>
      </c>
      <c r="H749" s="108">
        <v>41487</v>
      </c>
      <c r="I749" s="24">
        <v>4120</v>
      </c>
      <c r="J749" s="28" t="s">
        <v>1894</v>
      </c>
      <c r="K749" s="28">
        <v>18.97</v>
      </c>
      <c r="L749" s="28">
        <v>14100</v>
      </c>
      <c r="M749" s="112">
        <f>+L749*0.07</f>
        <v>987.00000000000011</v>
      </c>
      <c r="N749" s="9">
        <f t="shared" si="646"/>
        <v>7050</v>
      </c>
      <c r="O749" s="9">
        <f t="shared" si="647"/>
        <v>6044.03</v>
      </c>
      <c r="P749" s="9">
        <f t="shared" si="648"/>
        <v>1005.9700000000001</v>
      </c>
      <c r="Q749" s="139">
        <f t="shared" si="649"/>
        <v>0.857309219858156</v>
      </c>
      <c r="R749" s="345">
        <v>14100</v>
      </c>
      <c r="S749" s="359" t="s">
        <v>1948</v>
      </c>
      <c r="T749" s="305">
        <v>0.857309219858156</v>
      </c>
      <c r="U749" s="144"/>
      <c r="V749" s="100"/>
      <c r="W749" s="110">
        <f t="shared" si="630"/>
        <v>14100</v>
      </c>
      <c r="X749" s="110">
        <f t="shared" si="631"/>
        <v>18.97</v>
      </c>
      <c r="Y749" s="110">
        <f t="shared" si="632"/>
        <v>987.00000000000011</v>
      </c>
      <c r="Z749" s="110">
        <f t="shared" si="633"/>
        <v>6044.03</v>
      </c>
      <c r="AA749" s="260">
        <f t="shared" si="634"/>
        <v>0.857309219858156</v>
      </c>
      <c r="AB749" s="28">
        <f t="shared" si="635"/>
        <v>4.5999999999999996</v>
      </c>
      <c r="AC749" s="261">
        <f t="shared" si="636"/>
        <v>0.85579351768230616</v>
      </c>
      <c r="AD749" s="111">
        <f t="shared" si="637"/>
        <v>0.7</v>
      </c>
      <c r="AE749" s="262">
        <f t="shared" si="638"/>
        <v>5.2357401912297881E-2</v>
      </c>
      <c r="AF749" s="100"/>
      <c r="AG749" s="111">
        <f t="shared" si="639"/>
        <v>1.1000000000000001</v>
      </c>
      <c r="AH749" s="262">
        <f t="shared" si="640"/>
        <v>0.39695471030782598</v>
      </c>
      <c r="AI749" s="100"/>
      <c r="AJ749" s="111">
        <f t="shared" si="641"/>
        <v>1</v>
      </c>
      <c r="AK749" s="262">
        <f t="shared" si="642"/>
        <v>0.33665018133860852</v>
      </c>
      <c r="AL749" s="100"/>
      <c r="AM749" s="111">
        <f t="shared" si="643"/>
        <v>0.9</v>
      </c>
      <c r="AN749" s="262">
        <f t="shared" si="644"/>
        <v>0.26294464593178735</v>
      </c>
      <c r="AO749" s="100"/>
      <c r="AP749" s="24" t="e">
        <f>VLOOKUP(C749,#REF!,6,FALSE)</f>
        <v>#REF!</v>
      </c>
      <c r="AQ749" s="24" t="e">
        <f>VLOOKUP(C749,#REF!,7,FALSE)</f>
        <v>#REF!</v>
      </c>
      <c r="AR749" s="24" t="e">
        <f>VLOOKUP(C749,#REF!,12,FALSE)</f>
        <v>#REF!</v>
      </c>
      <c r="AS749" s="24" t="e">
        <f>VLOOKUP(C749,#REF!,13,FALSE)</f>
        <v>#REF!</v>
      </c>
      <c r="AT749" s="100"/>
      <c r="AU749" s="100"/>
      <c r="AV749" s="100">
        <v>731</v>
      </c>
      <c r="AW749" s="100"/>
      <c r="AY749" s="28">
        <v>14100</v>
      </c>
    </row>
    <row r="750" spans="1:51" s="2" customFormat="1" ht="12.75" customHeight="1" x14ac:dyDescent="0.2">
      <c r="A750" s="6" t="s">
        <v>1536</v>
      </c>
      <c r="B750" s="8">
        <v>9789500299992</v>
      </c>
      <c r="C750" s="6">
        <v>643879</v>
      </c>
      <c r="D750" s="7">
        <v>32</v>
      </c>
      <c r="E750" s="7" t="s">
        <v>343</v>
      </c>
      <c r="F750" s="11" t="s">
        <v>344</v>
      </c>
      <c r="G750" s="107">
        <v>43132</v>
      </c>
      <c r="H750" s="108">
        <v>43070</v>
      </c>
      <c r="I750" s="24">
        <v>3080</v>
      </c>
      <c r="J750" s="28" t="s">
        <v>1894</v>
      </c>
      <c r="K750" s="28">
        <v>81.16</v>
      </c>
      <c r="L750" s="28">
        <v>14100</v>
      </c>
      <c r="M750" s="9"/>
      <c r="N750" s="9">
        <f t="shared" si="646"/>
        <v>7050</v>
      </c>
      <c r="O750" s="9">
        <f t="shared" si="647"/>
        <v>6968.84</v>
      </c>
      <c r="P750" s="9">
        <f t="shared" si="648"/>
        <v>81.16</v>
      </c>
      <c r="Q750" s="139">
        <f t="shared" si="649"/>
        <v>0.98848794326241141</v>
      </c>
      <c r="R750" s="345">
        <v>14100</v>
      </c>
      <c r="S750" s="359" t="s">
        <v>1948</v>
      </c>
      <c r="T750" s="305">
        <v>0.98848794326241141</v>
      </c>
      <c r="U750" s="144"/>
      <c r="V750" s="100"/>
      <c r="W750" s="110">
        <f t="shared" si="630"/>
        <v>14100</v>
      </c>
      <c r="X750" s="110">
        <f t="shared" si="631"/>
        <v>81.16</v>
      </c>
      <c r="Y750" s="110">
        <f t="shared" si="632"/>
        <v>0</v>
      </c>
      <c r="Z750" s="110">
        <f t="shared" si="633"/>
        <v>6968.84</v>
      </c>
      <c r="AA750" s="260">
        <f t="shared" si="634"/>
        <v>0.98848794326241141</v>
      </c>
      <c r="AB750" s="28">
        <f t="shared" si="635"/>
        <v>4.5999999999999996</v>
      </c>
      <c r="AC750" s="261">
        <f t="shared" si="636"/>
        <v>0.98836565891139494</v>
      </c>
      <c r="AD750" s="111">
        <f t="shared" si="637"/>
        <v>0.1</v>
      </c>
      <c r="AE750" s="262">
        <f t="shared" si="638"/>
        <v>0.46482030992416751</v>
      </c>
      <c r="AF750" s="100"/>
      <c r="AG750" s="111">
        <f t="shared" si="639"/>
        <v>0.1</v>
      </c>
      <c r="AH750" s="262">
        <f t="shared" si="640"/>
        <v>0.46482030992416751</v>
      </c>
      <c r="AI750" s="100"/>
      <c r="AJ750" s="111">
        <f t="shared" si="641"/>
        <v>0.1</v>
      </c>
      <c r="AK750" s="262">
        <f t="shared" si="642"/>
        <v>0.46482030992416751</v>
      </c>
      <c r="AL750" s="100"/>
      <c r="AM750" s="111">
        <f t="shared" si="643"/>
        <v>0.1</v>
      </c>
      <c r="AN750" s="262">
        <f t="shared" si="644"/>
        <v>0.46482030992416751</v>
      </c>
      <c r="AO750" s="100"/>
      <c r="AP750" s="24" t="e">
        <f>VLOOKUP(C750,#REF!,6,FALSE)</f>
        <v>#REF!</v>
      </c>
      <c r="AQ750" s="24" t="e">
        <f>VLOOKUP(C750,#REF!,7,FALSE)</f>
        <v>#REF!</v>
      </c>
      <c r="AR750" s="24" t="e">
        <f>VLOOKUP(C750,#REF!,12,FALSE)</f>
        <v>#REF!</v>
      </c>
      <c r="AS750" s="24" t="e">
        <f>VLOOKUP(C750,#REF!,13,FALSE)</f>
        <v>#REF!</v>
      </c>
      <c r="AT750" s="100"/>
      <c r="AU750" s="100"/>
      <c r="AV750" s="100">
        <v>732</v>
      </c>
      <c r="AW750" s="100"/>
      <c r="AY750" s="28">
        <v>14100</v>
      </c>
    </row>
    <row r="751" spans="1:51" s="2" customFormat="1" ht="12.75" customHeight="1" x14ac:dyDescent="0.2">
      <c r="A751" s="7" t="s">
        <v>1537</v>
      </c>
      <c r="B751" s="8">
        <v>9789500207355</v>
      </c>
      <c r="C751" s="8">
        <v>566240</v>
      </c>
      <c r="D751" s="25">
        <v>40</v>
      </c>
      <c r="E751" s="22" t="s">
        <v>246</v>
      </c>
      <c r="F751" s="6" t="s">
        <v>247</v>
      </c>
      <c r="G751" s="107">
        <v>41456</v>
      </c>
      <c r="H751" s="108">
        <v>41426</v>
      </c>
      <c r="I751" s="24">
        <v>4101</v>
      </c>
      <c r="J751" s="28" t="s">
        <v>1894</v>
      </c>
      <c r="K751" s="28">
        <v>17.350000000000001</v>
      </c>
      <c r="L751" s="28">
        <v>14100</v>
      </c>
      <c r="M751" s="112">
        <f t="shared" ref="M751:M757" si="650">+L751*0.07</f>
        <v>987.00000000000011</v>
      </c>
      <c r="N751" s="9">
        <f t="shared" si="646"/>
        <v>7050</v>
      </c>
      <c r="O751" s="9">
        <f t="shared" si="647"/>
        <v>6045.65</v>
      </c>
      <c r="P751" s="9">
        <f t="shared" si="648"/>
        <v>1004.3500000000001</v>
      </c>
      <c r="Q751" s="139">
        <f t="shared" si="649"/>
        <v>0.85753900709219855</v>
      </c>
      <c r="R751" s="345">
        <v>14100</v>
      </c>
      <c r="S751" s="359" t="s">
        <v>1948</v>
      </c>
      <c r="T751" s="305">
        <v>0.85753900709219855</v>
      </c>
      <c r="U751" s="144"/>
      <c r="V751" s="100"/>
      <c r="W751" s="110">
        <f t="shared" si="630"/>
        <v>14100</v>
      </c>
      <c r="X751" s="110">
        <f t="shared" si="631"/>
        <v>17.350000000000001</v>
      </c>
      <c r="Y751" s="110">
        <f t="shared" si="632"/>
        <v>987.00000000000011</v>
      </c>
      <c r="Z751" s="110">
        <f t="shared" si="633"/>
        <v>6045.65</v>
      </c>
      <c r="AA751" s="260">
        <f t="shared" si="634"/>
        <v>0.85753900709219855</v>
      </c>
      <c r="AB751" s="28">
        <f t="shared" si="635"/>
        <v>4.5999999999999996</v>
      </c>
      <c r="AC751" s="261">
        <f t="shared" si="636"/>
        <v>0.85602574578190627</v>
      </c>
      <c r="AD751" s="111">
        <f t="shared" si="637"/>
        <v>0.7</v>
      </c>
      <c r="AE751" s="262">
        <f t="shared" si="638"/>
        <v>5.3883472281098334E-2</v>
      </c>
      <c r="AF751" s="100"/>
      <c r="AG751" s="111">
        <f t="shared" si="639"/>
        <v>1.1000000000000001</v>
      </c>
      <c r="AH751" s="262">
        <f t="shared" si="640"/>
        <v>0.39792584599706265</v>
      </c>
      <c r="AI751" s="100"/>
      <c r="AJ751" s="111">
        <f t="shared" si="641"/>
        <v>1</v>
      </c>
      <c r="AK751" s="262">
        <f t="shared" si="642"/>
        <v>0.33771843059676887</v>
      </c>
      <c r="AL751" s="100"/>
      <c r="AM751" s="111">
        <f t="shared" si="643"/>
        <v>0.9</v>
      </c>
      <c r="AN751" s="262">
        <f t="shared" si="644"/>
        <v>0.26413158955196547</v>
      </c>
      <c r="AO751" s="100"/>
      <c r="AP751" s="24" t="e">
        <f>VLOOKUP(C751,#REF!,6,FALSE)</f>
        <v>#REF!</v>
      </c>
      <c r="AQ751" s="24" t="e">
        <f>VLOOKUP(C751,#REF!,7,FALSE)</f>
        <v>#REF!</v>
      </c>
      <c r="AR751" s="24" t="e">
        <f>VLOOKUP(C751,#REF!,12,FALSE)</f>
        <v>#REF!</v>
      </c>
      <c r="AS751" s="24" t="e">
        <f>VLOOKUP(C751,#REF!,13,FALSE)</f>
        <v>#REF!</v>
      </c>
      <c r="AT751" s="100"/>
      <c r="AU751" s="100"/>
      <c r="AV751" s="100">
        <v>733</v>
      </c>
      <c r="AW751" s="100"/>
      <c r="AY751" s="28">
        <v>14100</v>
      </c>
    </row>
    <row r="752" spans="1:51" s="2" customFormat="1" ht="12.75" customHeight="1" x14ac:dyDescent="0.2">
      <c r="A752" s="6" t="s">
        <v>1538</v>
      </c>
      <c r="B752" s="8">
        <v>9789500208116</v>
      </c>
      <c r="C752" s="8">
        <v>582180</v>
      </c>
      <c r="D752" s="25">
        <v>40</v>
      </c>
      <c r="E752" s="22" t="s">
        <v>251</v>
      </c>
      <c r="F752" s="6" t="s">
        <v>252</v>
      </c>
      <c r="G752" s="107">
        <v>41883</v>
      </c>
      <c r="H752" s="108">
        <v>41852</v>
      </c>
      <c r="I752" s="24">
        <v>4000</v>
      </c>
      <c r="J752" s="28" t="s">
        <v>1894</v>
      </c>
      <c r="K752" s="28">
        <v>21.97</v>
      </c>
      <c r="L752" s="28">
        <v>14100</v>
      </c>
      <c r="M752" s="112">
        <f t="shared" si="650"/>
        <v>987.00000000000011</v>
      </c>
      <c r="N752" s="9">
        <f t="shared" si="646"/>
        <v>7050</v>
      </c>
      <c r="O752" s="9">
        <f t="shared" si="647"/>
        <v>6041.03</v>
      </c>
      <c r="P752" s="9">
        <f t="shared" si="648"/>
        <v>1008.9700000000001</v>
      </c>
      <c r="Q752" s="139">
        <f t="shared" si="649"/>
        <v>0.85688368794326242</v>
      </c>
      <c r="R752" s="345">
        <v>14100</v>
      </c>
      <c r="S752" s="359" t="s">
        <v>1948</v>
      </c>
      <c r="T752" s="305">
        <v>0.85688368794326242</v>
      </c>
      <c r="U752" s="144"/>
      <c r="V752" s="100"/>
      <c r="W752" s="110">
        <f t="shared" si="630"/>
        <v>14100</v>
      </c>
      <c r="X752" s="110">
        <f t="shared" si="631"/>
        <v>21.97</v>
      </c>
      <c r="Y752" s="110">
        <f t="shared" si="632"/>
        <v>987.00000000000011</v>
      </c>
      <c r="Z752" s="110">
        <f t="shared" si="633"/>
        <v>6041.03</v>
      </c>
      <c r="AA752" s="260">
        <f t="shared" si="634"/>
        <v>0.85688368794326242</v>
      </c>
      <c r="AB752" s="28">
        <f t="shared" si="635"/>
        <v>4.5999999999999996</v>
      </c>
      <c r="AC752" s="261">
        <f t="shared" si="636"/>
        <v>0.85536346564600974</v>
      </c>
      <c r="AD752" s="111">
        <f t="shared" si="637"/>
        <v>0.7</v>
      </c>
      <c r="AE752" s="262">
        <f t="shared" si="638"/>
        <v>4.9531345673778732E-2</v>
      </c>
      <c r="AF752" s="100"/>
      <c r="AG752" s="111">
        <f t="shared" si="639"/>
        <v>1.1000000000000001</v>
      </c>
      <c r="AH752" s="262">
        <f t="shared" si="640"/>
        <v>0.39515631088331382</v>
      </c>
      <c r="AI752" s="100"/>
      <c r="AJ752" s="111">
        <f t="shared" si="641"/>
        <v>1</v>
      </c>
      <c r="AK752" s="262">
        <f t="shared" si="642"/>
        <v>0.33467194197164513</v>
      </c>
      <c r="AL752" s="100"/>
      <c r="AM752" s="111">
        <f t="shared" si="643"/>
        <v>1</v>
      </c>
      <c r="AN752" s="262">
        <f t="shared" si="644"/>
        <v>0.33467194197164513</v>
      </c>
      <c r="AO752" s="100"/>
      <c r="AP752" s="24" t="e">
        <f>VLOOKUP(C752,#REF!,6,FALSE)</f>
        <v>#REF!</v>
      </c>
      <c r="AQ752" s="24" t="e">
        <f>VLOOKUP(C752,#REF!,7,FALSE)</f>
        <v>#REF!</v>
      </c>
      <c r="AR752" s="24" t="e">
        <f>VLOOKUP(C752,#REF!,12,FALSE)</f>
        <v>#REF!</v>
      </c>
      <c r="AS752" s="24" t="e">
        <f>VLOOKUP(C752,#REF!,13,FALSE)</f>
        <v>#REF!</v>
      </c>
      <c r="AT752" s="100"/>
      <c r="AU752" s="100"/>
      <c r="AV752" s="100">
        <v>734</v>
      </c>
      <c r="AW752" s="100"/>
      <c r="AY752" s="28">
        <v>14100</v>
      </c>
    </row>
    <row r="753" spans="1:51" s="2" customFormat="1" ht="12.75" customHeight="1" x14ac:dyDescent="0.2">
      <c r="A753" s="7" t="s">
        <v>1539</v>
      </c>
      <c r="B753" s="8">
        <v>9789500206143</v>
      </c>
      <c r="C753" s="8">
        <v>545080</v>
      </c>
      <c r="D753" s="7">
        <v>48</v>
      </c>
      <c r="E753" s="7" t="s">
        <v>244</v>
      </c>
      <c r="F753" s="7" t="s">
        <v>245</v>
      </c>
      <c r="G753" s="107">
        <v>40969</v>
      </c>
      <c r="H753" s="108">
        <v>42309</v>
      </c>
      <c r="I753" s="24">
        <v>3030</v>
      </c>
      <c r="J753" s="28" t="s">
        <v>1894</v>
      </c>
      <c r="K753" s="28">
        <v>33.54</v>
      </c>
      <c r="L753" s="28">
        <v>14100</v>
      </c>
      <c r="M753" s="112">
        <f t="shared" si="650"/>
        <v>987.00000000000011</v>
      </c>
      <c r="N753" s="9">
        <f t="shared" si="646"/>
        <v>7050</v>
      </c>
      <c r="O753" s="9">
        <f t="shared" si="647"/>
        <v>6029.46</v>
      </c>
      <c r="P753" s="9">
        <f t="shared" si="648"/>
        <v>1020.5400000000001</v>
      </c>
      <c r="Q753" s="139">
        <f t="shared" si="649"/>
        <v>0.85524255319148934</v>
      </c>
      <c r="R753" s="345">
        <v>14100</v>
      </c>
      <c r="S753" s="359" t="s">
        <v>1948</v>
      </c>
      <c r="T753" s="305">
        <v>0.85524255319148934</v>
      </c>
      <c r="U753" s="144"/>
      <c r="V753" s="100"/>
      <c r="W753" s="110">
        <f t="shared" si="630"/>
        <v>14100</v>
      </c>
      <c r="X753" s="110">
        <f t="shared" si="631"/>
        <v>33.54</v>
      </c>
      <c r="Y753" s="110">
        <f t="shared" si="632"/>
        <v>987.00000000000011</v>
      </c>
      <c r="Z753" s="110">
        <f t="shared" si="633"/>
        <v>6029.46</v>
      </c>
      <c r="AA753" s="260">
        <f t="shared" si="634"/>
        <v>0.85524255319148934</v>
      </c>
      <c r="AB753" s="28">
        <f t="shared" si="635"/>
        <v>4.5999999999999996</v>
      </c>
      <c r="AC753" s="261">
        <f t="shared" si="636"/>
        <v>0.85370489829269336</v>
      </c>
      <c r="AD753" s="111">
        <f t="shared" si="637"/>
        <v>0.7</v>
      </c>
      <c r="AE753" s="262">
        <f t="shared" si="638"/>
        <v>3.8632188780556617E-2</v>
      </c>
      <c r="AF753" s="100"/>
      <c r="AG753" s="111">
        <f t="shared" si="639"/>
        <v>1.1000000000000001</v>
      </c>
      <c r="AH753" s="262">
        <f t="shared" si="640"/>
        <v>0.38822048376944518</v>
      </c>
      <c r="AI753" s="100"/>
      <c r="AJ753" s="111">
        <f t="shared" si="641"/>
        <v>1</v>
      </c>
      <c r="AK753" s="262">
        <f t="shared" si="642"/>
        <v>0.32704253214638968</v>
      </c>
      <c r="AL753" s="100"/>
      <c r="AM753" s="111">
        <f t="shared" si="643"/>
        <v>1</v>
      </c>
      <c r="AN753" s="262">
        <f t="shared" si="644"/>
        <v>0.32704253214638968</v>
      </c>
      <c r="AO753" s="100"/>
      <c r="AP753" s="24" t="e">
        <f>VLOOKUP(C753,#REF!,6,FALSE)</f>
        <v>#REF!</v>
      </c>
      <c r="AQ753" s="24" t="e">
        <f>VLOOKUP(C753,#REF!,7,FALSE)</f>
        <v>#REF!</v>
      </c>
      <c r="AR753" s="24" t="e">
        <f>VLOOKUP(C753,#REF!,12,FALSE)</f>
        <v>#REF!</v>
      </c>
      <c r="AS753" s="24" t="e">
        <f>VLOOKUP(C753,#REF!,13,FALSE)</f>
        <v>#REF!</v>
      </c>
      <c r="AT753" s="100"/>
      <c r="AU753" s="100"/>
      <c r="AV753" s="100">
        <v>735</v>
      </c>
      <c r="AW753" s="100"/>
      <c r="AY753" s="28">
        <v>14100</v>
      </c>
    </row>
    <row r="754" spans="1:51" s="2" customFormat="1" ht="12.75" customHeight="1" x14ac:dyDescent="0.2">
      <c r="A754" s="6" t="s">
        <v>1540</v>
      </c>
      <c r="B754" s="8">
        <v>9789500207928</v>
      </c>
      <c r="C754" s="8">
        <v>580539</v>
      </c>
      <c r="D754" s="25">
        <v>48</v>
      </c>
      <c r="E754" s="22" t="s">
        <v>242</v>
      </c>
      <c r="F754" s="6" t="s">
        <v>243</v>
      </c>
      <c r="G754" s="107">
        <v>41852</v>
      </c>
      <c r="H754" s="108">
        <v>41821</v>
      </c>
      <c r="I754" s="24">
        <v>4242</v>
      </c>
      <c r="J754" s="28" t="s">
        <v>1894</v>
      </c>
      <c r="K754" s="28">
        <v>23.3</v>
      </c>
      <c r="L754" s="128">
        <v>14100</v>
      </c>
      <c r="M754" s="112">
        <f t="shared" si="650"/>
        <v>987.00000000000011</v>
      </c>
      <c r="N754" s="9">
        <f t="shared" si="646"/>
        <v>7050</v>
      </c>
      <c r="O754" s="9">
        <f t="shared" si="647"/>
        <v>6039.7</v>
      </c>
      <c r="P754" s="9">
        <f t="shared" si="648"/>
        <v>1010.3000000000001</v>
      </c>
      <c r="Q754" s="139">
        <f t="shared" si="649"/>
        <v>0.8566950354609929</v>
      </c>
      <c r="R754" s="345">
        <v>14100</v>
      </c>
      <c r="S754" s="359" t="s">
        <v>1948</v>
      </c>
      <c r="T754" s="305">
        <v>0.8566950354609929</v>
      </c>
      <c r="U754" s="144"/>
      <c r="V754" s="100"/>
      <c r="W754" s="110">
        <f t="shared" si="630"/>
        <v>14100</v>
      </c>
      <c r="X754" s="110">
        <f t="shared" si="631"/>
        <v>23.3</v>
      </c>
      <c r="Y754" s="110">
        <f t="shared" si="632"/>
        <v>987.00000000000011</v>
      </c>
      <c r="Z754" s="110">
        <f t="shared" si="633"/>
        <v>6039.7</v>
      </c>
      <c r="AA754" s="260">
        <f t="shared" si="634"/>
        <v>0.8566950354609929</v>
      </c>
      <c r="AB754" s="28">
        <f t="shared" si="635"/>
        <v>4.5999999999999996</v>
      </c>
      <c r="AC754" s="261">
        <f t="shared" si="636"/>
        <v>0.85517280924325179</v>
      </c>
      <c r="AD754" s="111">
        <f t="shared" si="637"/>
        <v>0.7</v>
      </c>
      <c r="AE754" s="262">
        <f t="shared" si="638"/>
        <v>4.8278460741368649E-2</v>
      </c>
      <c r="AF754" s="100"/>
      <c r="AG754" s="111">
        <f t="shared" si="639"/>
        <v>1.1000000000000001</v>
      </c>
      <c r="AH754" s="262">
        <f t="shared" si="640"/>
        <v>0.39435902047178012</v>
      </c>
      <c r="AI754" s="100"/>
      <c r="AJ754" s="111">
        <f t="shared" si="641"/>
        <v>1</v>
      </c>
      <c r="AK754" s="262">
        <f t="shared" si="642"/>
        <v>0.33379492251895809</v>
      </c>
      <c r="AL754" s="100"/>
      <c r="AM754" s="111">
        <f t="shared" si="643"/>
        <v>1</v>
      </c>
      <c r="AN754" s="262">
        <f t="shared" si="644"/>
        <v>0.33379492251895809</v>
      </c>
      <c r="AO754" s="100"/>
      <c r="AP754" s="24" t="e">
        <f>VLOOKUP(C754,#REF!,6,FALSE)</f>
        <v>#REF!</v>
      </c>
      <c r="AQ754" s="24" t="e">
        <f>VLOOKUP(C754,#REF!,7,FALSE)</f>
        <v>#REF!</v>
      </c>
      <c r="AR754" s="24" t="e">
        <f>VLOOKUP(C754,#REF!,12,FALSE)</f>
        <v>#REF!</v>
      </c>
      <c r="AS754" s="24" t="e">
        <f>VLOOKUP(C754,#REF!,13,FALSE)</f>
        <v>#REF!</v>
      </c>
      <c r="AT754" s="100"/>
      <c r="AU754" s="100"/>
      <c r="AV754" s="100">
        <v>736</v>
      </c>
      <c r="AW754" s="100"/>
      <c r="AY754" s="128">
        <v>14100</v>
      </c>
    </row>
    <row r="755" spans="1:51" s="2" customFormat="1" ht="12.75" customHeight="1" x14ac:dyDescent="0.2">
      <c r="A755" s="7" t="s">
        <v>1541</v>
      </c>
      <c r="B755" s="8">
        <v>9789500299008</v>
      </c>
      <c r="C755" s="8">
        <v>684666</v>
      </c>
      <c r="D755" s="25">
        <v>48</v>
      </c>
      <c r="E755" s="7" t="s">
        <v>555</v>
      </c>
      <c r="F755" s="116" t="s">
        <v>556</v>
      </c>
      <c r="G755" s="107">
        <v>44378</v>
      </c>
      <c r="H755" s="108">
        <v>44348</v>
      </c>
      <c r="I755" s="7">
        <v>3000</v>
      </c>
      <c r="J755" s="28" t="s">
        <v>1946</v>
      </c>
      <c r="K755" s="9">
        <v>300.02</v>
      </c>
      <c r="L755" s="112">
        <v>19000</v>
      </c>
      <c r="M755" s="112">
        <f t="shared" si="650"/>
        <v>1330.0000000000002</v>
      </c>
      <c r="N755" s="9">
        <f t="shared" si="646"/>
        <v>9500</v>
      </c>
      <c r="O755" s="9">
        <f t="shared" si="647"/>
        <v>7869.98</v>
      </c>
      <c r="P755" s="9">
        <f t="shared" si="648"/>
        <v>1630.0200000000002</v>
      </c>
      <c r="Q755" s="139">
        <f t="shared" si="649"/>
        <v>0.82841894736842103</v>
      </c>
      <c r="R755" s="345">
        <v>19000</v>
      </c>
      <c r="S755" s="359" t="s">
        <v>1948</v>
      </c>
      <c r="T755" s="305">
        <v>0.82841894736842103</v>
      </c>
      <c r="U755" s="144"/>
      <c r="V755" s="100"/>
      <c r="W755" s="110">
        <f t="shared" si="630"/>
        <v>19000</v>
      </c>
      <c r="X755" s="110">
        <f t="shared" si="631"/>
        <v>300.02</v>
      </c>
      <c r="Y755" s="110">
        <f t="shared" si="632"/>
        <v>1330.0000000000002</v>
      </c>
      <c r="Z755" s="110">
        <f t="shared" si="633"/>
        <v>7869.98</v>
      </c>
      <c r="AA755" s="260">
        <f t="shared" si="634"/>
        <v>0.82841894736842103</v>
      </c>
      <c r="AB755" s="28">
        <f t="shared" si="635"/>
        <v>6.3</v>
      </c>
      <c r="AC755" s="261">
        <f t="shared" si="636"/>
        <v>0.82938784481811179</v>
      </c>
      <c r="AD755" s="111">
        <f t="shared" si="637"/>
        <v>1.1000000000000001</v>
      </c>
      <c r="AE755" s="262">
        <f t="shared" si="638"/>
        <v>2.2857656685549788E-2</v>
      </c>
      <c r="AF755" s="100"/>
      <c r="AG755" s="111">
        <f t="shared" si="639"/>
        <v>1.8</v>
      </c>
      <c r="AH755" s="262">
        <f t="shared" si="640"/>
        <v>0.40285745686339158</v>
      </c>
      <c r="AI755" s="100"/>
      <c r="AJ755" s="111">
        <f t="shared" si="641"/>
        <v>1.7</v>
      </c>
      <c r="AK755" s="262">
        <f t="shared" si="642"/>
        <v>0.36773142491417915</v>
      </c>
      <c r="AL755" s="100"/>
      <c r="AM755" s="111">
        <f t="shared" si="643"/>
        <v>1.5</v>
      </c>
      <c r="AN755" s="262">
        <f t="shared" si="644"/>
        <v>0.28342894823606979</v>
      </c>
      <c r="AO755" s="100"/>
      <c r="AP755" s="24" t="e">
        <f>VLOOKUP(C755,#REF!,6,FALSE)</f>
        <v>#REF!</v>
      </c>
      <c r="AQ755" s="24" t="e">
        <f>VLOOKUP(C755,#REF!,7,FALSE)</f>
        <v>#REF!</v>
      </c>
      <c r="AR755" s="24" t="e">
        <f>VLOOKUP(C755,#REF!,12,FALSE)</f>
        <v>#REF!</v>
      </c>
      <c r="AS755" s="24" t="e">
        <f>VLOOKUP(C755,#REF!,13,FALSE)</f>
        <v>#REF!</v>
      </c>
      <c r="AT755" s="100"/>
      <c r="AU755" s="100"/>
      <c r="AV755" s="100">
        <v>737</v>
      </c>
      <c r="AW755" s="100"/>
      <c r="AY755" s="112">
        <v>19000</v>
      </c>
    </row>
    <row r="756" spans="1:51" s="2" customFormat="1" ht="12.75" customHeight="1" x14ac:dyDescent="0.2">
      <c r="A756" s="7" t="s">
        <v>1542</v>
      </c>
      <c r="B756" s="8">
        <v>9789500208192</v>
      </c>
      <c r="C756" s="8">
        <v>584957</v>
      </c>
      <c r="D756" s="7">
        <v>32</v>
      </c>
      <c r="E756" s="7" t="s">
        <v>1543</v>
      </c>
      <c r="F756" s="7" t="s">
        <v>271</v>
      </c>
      <c r="G756" s="107">
        <v>41944</v>
      </c>
      <c r="H756" s="108">
        <v>41913</v>
      </c>
      <c r="I756" s="24">
        <v>4000</v>
      </c>
      <c r="J756" s="28" t="s">
        <v>1894</v>
      </c>
      <c r="K756" s="28">
        <v>34.200000000000003</v>
      </c>
      <c r="L756" s="28">
        <v>14100</v>
      </c>
      <c r="M756" s="112">
        <f t="shared" si="650"/>
        <v>987.00000000000011</v>
      </c>
      <c r="N756" s="9">
        <f t="shared" si="646"/>
        <v>7050</v>
      </c>
      <c r="O756" s="9">
        <f t="shared" si="647"/>
        <v>6028.8</v>
      </c>
      <c r="P756" s="9">
        <f t="shared" si="648"/>
        <v>1021.2000000000002</v>
      </c>
      <c r="Q756" s="139">
        <f t="shared" si="649"/>
        <v>0.85514893617021281</v>
      </c>
      <c r="R756" s="345">
        <v>14100</v>
      </c>
      <c r="S756" s="359" t="s">
        <v>1948</v>
      </c>
      <c r="T756" s="305">
        <v>0.85514893617021281</v>
      </c>
      <c r="U756" s="144"/>
      <c r="V756" s="100"/>
      <c r="W756" s="110">
        <f t="shared" si="630"/>
        <v>14100</v>
      </c>
      <c r="X756" s="110">
        <f t="shared" si="631"/>
        <v>34.200000000000003</v>
      </c>
      <c r="Y756" s="110">
        <f t="shared" si="632"/>
        <v>987.00000000000011</v>
      </c>
      <c r="Z756" s="110">
        <f t="shared" si="633"/>
        <v>6028.8</v>
      </c>
      <c r="AA756" s="260">
        <f t="shared" si="634"/>
        <v>0.85514893617021281</v>
      </c>
      <c r="AB756" s="28">
        <f t="shared" si="635"/>
        <v>4.5999999999999996</v>
      </c>
      <c r="AC756" s="261">
        <f t="shared" si="636"/>
        <v>0.85361028684470819</v>
      </c>
      <c r="AD756" s="111">
        <f t="shared" si="637"/>
        <v>0.7</v>
      </c>
      <c r="AE756" s="262">
        <f t="shared" si="638"/>
        <v>3.801045640808233E-2</v>
      </c>
      <c r="AF756" s="100"/>
      <c r="AG756" s="111">
        <f t="shared" si="639"/>
        <v>1.1000000000000001</v>
      </c>
      <c r="AH756" s="262">
        <f t="shared" si="640"/>
        <v>0.38782483589605243</v>
      </c>
      <c r="AI756" s="100"/>
      <c r="AJ756" s="111">
        <f t="shared" si="641"/>
        <v>1</v>
      </c>
      <c r="AK756" s="262">
        <f t="shared" si="642"/>
        <v>0.32660731948565763</v>
      </c>
      <c r="AL756" s="100"/>
      <c r="AM756" s="111">
        <f t="shared" si="643"/>
        <v>1</v>
      </c>
      <c r="AN756" s="262">
        <f t="shared" si="644"/>
        <v>0.32660731948565763</v>
      </c>
      <c r="AO756" s="100"/>
      <c r="AP756" s="24" t="e">
        <f>VLOOKUP(C756,#REF!,6,FALSE)</f>
        <v>#REF!</v>
      </c>
      <c r="AQ756" s="24" t="e">
        <f>VLOOKUP(C756,#REF!,7,FALSE)</f>
        <v>#REF!</v>
      </c>
      <c r="AR756" s="24" t="e">
        <f>VLOOKUP(C756,#REF!,12,FALSE)</f>
        <v>#REF!</v>
      </c>
      <c r="AS756" s="24" t="e">
        <f>VLOOKUP(C756,#REF!,13,FALSE)</f>
        <v>#REF!</v>
      </c>
      <c r="AT756" s="100"/>
      <c r="AU756" s="100"/>
      <c r="AV756" s="100">
        <v>738</v>
      </c>
      <c r="AW756" s="100"/>
      <c r="AY756" s="28">
        <v>14100</v>
      </c>
    </row>
    <row r="757" spans="1:51" s="2" customFormat="1" ht="12.75" customHeight="1" x14ac:dyDescent="0.2">
      <c r="A757" s="6" t="s">
        <v>1544</v>
      </c>
      <c r="B757" s="8">
        <v>9789500208796</v>
      </c>
      <c r="C757" s="8">
        <v>595692</v>
      </c>
      <c r="D757" s="25">
        <v>40</v>
      </c>
      <c r="E757" s="22" t="s">
        <v>1545</v>
      </c>
      <c r="F757" s="6" t="s">
        <v>260</v>
      </c>
      <c r="G757" s="107">
        <v>42248</v>
      </c>
      <c r="H757" s="108">
        <v>42217</v>
      </c>
      <c r="I757" s="24">
        <v>3111</v>
      </c>
      <c r="J757" s="28" t="s">
        <v>1894</v>
      </c>
      <c r="K757" s="28">
        <v>35.96</v>
      </c>
      <c r="L757" s="128">
        <v>14100</v>
      </c>
      <c r="M757" s="112">
        <f t="shared" si="650"/>
        <v>987.00000000000011</v>
      </c>
      <c r="N757" s="9">
        <f t="shared" si="646"/>
        <v>7050</v>
      </c>
      <c r="O757" s="9">
        <f t="shared" si="647"/>
        <v>6027.04</v>
      </c>
      <c r="P757" s="9">
        <f t="shared" si="648"/>
        <v>1022.9600000000002</v>
      </c>
      <c r="Q757" s="139">
        <f t="shared" si="649"/>
        <v>0.85489929078014182</v>
      </c>
      <c r="R757" s="345">
        <v>14100</v>
      </c>
      <c r="S757" s="359" t="s">
        <v>1948</v>
      </c>
      <c r="T757" s="305">
        <v>0.85489929078014182</v>
      </c>
      <c r="U757" s="144"/>
      <c r="V757" s="100"/>
      <c r="W757" s="110">
        <f t="shared" si="630"/>
        <v>14100</v>
      </c>
      <c r="X757" s="110">
        <f t="shared" si="631"/>
        <v>35.96</v>
      </c>
      <c r="Y757" s="110">
        <f t="shared" si="632"/>
        <v>987.00000000000011</v>
      </c>
      <c r="Z757" s="110">
        <f t="shared" si="633"/>
        <v>6027.04</v>
      </c>
      <c r="AA757" s="260">
        <f t="shared" si="634"/>
        <v>0.85489929078014182</v>
      </c>
      <c r="AB757" s="28">
        <f t="shared" si="635"/>
        <v>4.5999999999999996</v>
      </c>
      <c r="AC757" s="261">
        <f t="shared" si="636"/>
        <v>0.85335798965008103</v>
      </c>
      <c r="AD757" s="111">
        <f t="shared" si="637"/>
        <v>0.7</v>
      </c>
      <c r="AE757" s="262">
        <f t="shared" si="638"/>
        <v>3.6352503414817772E-2</v>
      </c>
      <c r="AF757" s="100"/>
      <c r="AG757" s="111">
        <f t="shared" si="639"/>
        <v>1.1000000000000001</v>
      </c>
      <c r="AH757" s="262">
        <f t="shared" si="640"/>
        <v>0.38676977490033865</v>
      </c>
      <c r="AI757" s="100"/>
      <c r="AJ757" s="111">
        <f t="shared" si="641"/>
        <v>1</v>
      </c>
      <c r="AK757" s="262">
        <f t="shared" si="642"/>
        <v>0.32544675239037246</v>
      </c>
      <c r="AL757" s="100"/>
      <c r="AM757" s="111">
        <f t="shared" si="643"/>
        <v>1</v>
      </c>
      <c r="AN757" s="262">
        <f t="shared" si="644"/>
        <v>0.32544675239037246</v>
      </c>
      <c r="AO757" s="100"/>
      <c r="AP757" s="24" t="e">
        <f>VLOOKUP(C757,#REF!,6,FALSE)</f>
        <v>#REF!</v>
      </c>
      <c r="AQ757" s="24" t="e">
        <f>VLOOKUP(C757,#REF!,7,FALSE)</f>
        <v>#REF!</v>
      </c>
      <c r="AR757" s="24" t="e">
        <f>VLOOKUP(C757,#REF!,12,FALSE)</f>
        <v>#REF!</v>
      </c>
      <c r="AS757" s="24" t="e">
        <f>VLOOKUP(C757,#REF!,13,FALSE)</f>
        <v>#REF!</v>
      </c>
      <c r="AT757" s="100"/>
      <c r="AU757" s="100"/>
      <c r="AV757" s="100">
        <v>739</v>
      </c>
      <c r="AW757" s="100"/>
      <c r="AY757" s="128">
        <v>14100</v>
      </c>
    </row>
    <row r="758" spans="1:51" s="2" customFormat="1" ht="12.75" customHeight="1" x14ac:dyDescent="0.2">
      <c r="A758" s="7" t="s">
        <v>1546</v>
      </c>
      <c r="B758" s="8">
        <v>9789500208291</v>
      </c>
      <c r="C758" s="8">
        <v>586577</v>
      </c>
      <c r="D758" s="7">
        <v>40</v>
      </c>
      <c r="E758" s="7" t="s">
        <v>273</v>
      </c>
      <c r="F758" s="7" t="s">
        <v>2145</v>
      </c>
      <c r="G758" s="107">
        <v>41974</v>
      </c>
      <c r="H758" s="108">
        <v>45231</v>
      </c>
      <c r="I758" s="24">
        <v>5145</v>
      </c>
      <c r="J758" s="28" t="s">
        <v>1333</v>
      </c>
      <c r="K758" s="384">
        <v>1556.59</v>
      </c>
      <c r="L758" s="128">
        <v>24900</v>
      </c>
      <c r="M758" s="112">
        <f>+L758*0.08</f>
        <v>1992</v>
      </c>
      <c r="N758" s="9">
        <f t="shared" si="646"/>
        <v>12450</v>
      </c>
      <c r="O758" s="9">
        <f t="shared" si="647"/>
        <v>8901.41</v>
      </c>
      <c r="P758" s="9">
        <f t="shared" si="648"/>
        <v>3548.59</v>
      </c>
      <c r="Q758" s="139">
        <f t="shared" si="649"/>
        <v>0.71497269076305214</v>
      </c>
      <c r="R758" s="345">
        <v>24900</v>
      </c>
      <c r="S758" s="359" t="s">
        <v>1948</v>
      </c>
      <c r="T758" s="305">
        <v>0.71497269076305214</v>
      </c>
      <c r="U758" s="144"/>
      <c r="V758" s="100"/>
      <c r="W758" s="110">
        <f t="shared" si="630"/>
        <v>24900</v>
      </c>
      <c r="X758" s="110">
        <f t="shared" si="631"/>
        <v>1556.59</v>
      </c>
      <c r="Y758" s="110">
        <f t="shared" si="632"/>
        <v>1992</v>
      </c>
      <c r="Z758" s="110">
        <f t="shared" si="633"/>
        <v>8901.41</v>
      </c>
      <c r="AA758" s="260">
        <f t="shared" si="634"/>
        <v>0.71497269076305214</v>
      </c>
      <c r="AB758" s="28">
        <f t="shared" si="635"/>
        <v>8.1999999999999993</v>
      </c>
      <c r="AC758" s="261">
        <f t="shared" si="636"/>
        <v>0.71463575466615192</v>
      </c>
      <c r="AD758" s="111">
        <f t="shared" si="637"/>
        <v>2.5</v>
      </c>
      <c r="AE758" s="262">
        <f t="shared" si="638"/>
        <v>6.4005275304978529E-2</v>
      </c>
      <c r="AF758" s="100"/>
      <c r="AG758" s="111">
        <f t="shared" si="639"/>
        <v>3.9</v>
      </c>
      <c r="AH758" s="262">
        <f t="shared" si="640"/>
        <v>0.40000338160575544</v>
      </c>
      <c r="AI758" s="100"/>
      <c r="AJ758" s="111">
        <f t="shared" si="641"/>
        <v>3.6</v>
      </c>
      <c r="AK758" s="262">
        <f t="shared" si="642"/>
        <v>0.35000366340623518</v>
      </c>
      <c r="AL758" s="100"/>
      <c r="AM758" s="111">
        <f t="shared" si="643"/>
        <v>3.3</v>
      </c>
      <c r="AN758" s="262">
        <f t="shared" si="644"/>
        <v>0.29091308735225646</v>
      </c>
      <c r="AO758" s="100"/>
      <c r="AP758" s="24" t="e">
        <f>VLOOKUP(C758,#REF!,6,FALSE)</f>
        <v>#REF!</v>
      </c>
      <c r="AQ758" s="24" t="e">
        <f>VLOOKUP(C758,#REF!,7,FALSE)</f>
        <v>#REF!</v>
      </c>
      <c r="AR758" s="24" t="e">
        <f>VLOOKUP(C758,#REF!,12,FALSE)</f>
        <v>#REF!</v>
      </c>
      <c r="AS758" s="24" t="e">
        <f>VLOOKUP(C758,#REF!,13,FALSE)</f>
        <v>#REF!</v>
      </c>
      <c r="AT758" s="100"/>
      <c r="AU758" s="100"/>
      <c r="AV758" s="100">
        <v>740</v>
      </c>
      <c r="AW758" s="100"/>
      <c r="AY758" s="128">
        <v>24900</v>
      </c>
    </row>
    <row r="759" spans="1:51" s="2" customFormat="1" ht="12.75" customHeight="1" x14ac:dyDescent="0.2">
      <c r="A759" s="6" t="s">
        <v>1547</v>
      </c>
      <c r="B759" s="8">
        <v>9789500299565</v>
      </c>
      <c r="C759" s="6">
        <v>652579</v>
      </c>
      <c r="D759" s="7">
        <v>48</v>
      </c>
      <c r="E759" s="9" t="s">
        <v>393</v>
      </c>
      <c r="F759" s="7" t="s">
        <v>394</v>
      </c>
      <c r="G759" s="107">
        <v>43313</v>
      </c>
      <c r="H759" s="108">
        <v>43282</v>
      </c>
      <c r="I759" s="24">
        <v>2530</v>
      </c>
      <c r="J759" s="28" t="s">
        <v>1894</v>
      </c>
      <c r="K759" s="28">
        <v>86.12</v>
      </c>
      <c r="L759" s="128">
        <v>14100</v>
      </c>
      <c r="M759" s="112">
        <f>+L759*0.07</f>
        <v>987.00000000000011</v>
      </c>
      <c r="N759" s="9">
        <f t="shared" si="646"/>
        <v>7050</v>
      </c>
      <c r="O759" s="9">
        <f t="shared" si="647"/>
        <v>5976.88</v>
      </c>
      <c r="P759" s="9">
        <f t="shared" si="648"/>
        <v>1073.1200000000001</v>
      </c>
      <c r="Q759" s="139">
        <f t="shared" si="649"/>
        <v>0.8477843971631206</v>
      </c>
      <c r="R759" s="345">
        <v>14100</v>
      </c>
      <c r="S759" s="359" t="s">
        <v>1948</v>
      </c>
      <c r="T759" s="305">
        <v>0.8477843971631206</v>
      </c>
      <c r="U759" s="144"/>
      <c r="V759" s="100"/>
      <c r="W759" s="110">
        <f t="shared" si="630"/>
        <v>14100</v>
      </c>
      <c r="X759" s="110">
        <f t="shared" si="631"/>
        <v>86.12</v>
      </c>
      <c r="Y759" s="110">
        <f t="shared" si="632"/>
        <v>987.00000000000011</v>
      </c>
      <c r="Z759" s="110">
        <f t="shared" si="633"/>
        <v>5976.88</v>
      </c>
      <c r="AA759" s="260">
        <f t="shared" si="634"/>
        <v>0.8477843971631206</v>
      </c>
      <c r="AB759" s="28">
        <f t="shared" si="635"/>
        <v>4.5999999999999996</v>
      </c>
      <c r="AC759" s="261">
        <f t="shared" si="636"/>
        <v>0.84616751960320535</v>
      </c>
      <c r="AD759" s="111">
        <f t="shared" si="637"/>
        <v>0.7</v>
      </c>
      <c r="AE759" s="262">
        <f t="shared" si="638"/>
        <v>-1.089915689322233E-2</v>
      </c>
      <c r="AF759" s="100"/>
      <c r="AG759" s="111">
        <f t="shared" si="639"/>
        <v>1.2</v>
      </c>
      <c r="AH759" s="262">
        <f t="shared" si="640"/>
        <v>0.41030882514562028</v>
      </c>
      <c r="AI759" s="100"/>
      <c r="AJ759" s="111">
        <f t="shared" si="641"/>
        <v>1.1000000000000001</v>
      </c>
      <c r="AK759" s="262">
        <f t="shared" si="642"/>
        <v>0.356700536522495</v>
      </c>
      <c r="AL759" s="100"/>
      <c r="AM759" s="111">
        <f t="shared" si="643"/>
        <v>1</v>
      </c>
      <c r="AN759" s="262">
        <f t="shared" si="644"/>
        <v>0.29237059017474448</v>
      </c>
      <c r="AO759" s="100"/>
      <c r="AP759" s="24" t="e">
        <f>VLOOKUP(C759,#REF!,6,FALSE)</f>
        <v>#REF!</v>
      </c>
      <c r="AQ759" s="24" t="e">
        <f>VLOOKUP(C759,#REF!,7,FALSE)</f>
        <v>#REF!</v>
      </c>
      <c r="AR759" s="24" t="e">
        <f>VLOOKUP(C759,#REF!,12,FALSE)</f>
        <v>#REF!</v>
      </c>
      <c r="AS759" s="24" t="e">
        <f>VLOOKUP(C759,#REF!,13,FALSE)</f>
        <v>#REF!</v>
      </c>
      <c r="AT759" s="100"/>
      <c r="AU759" s="100"/>
      <c r="AV759" s="100">
        <v>741</v>
      </c>
      <c r="AW759" s="100"/>
      <c r="AY759" s="128">
        <v>14100</v>
      </c>
    </row>
    <row r="760" spans="1:51" s="2" customFormat="1" ht="12.75" customHeight="1" x14ac:dyDescent="0.2">
      <c r="A760" s="6" t="s">
        <v>1548</v>
      </c>
      <c r="B760" s="8">
        <v>9789500208802</v>
      </c>
      <c r="C760" s="8">
        <v>594412</v>
      </c>
      <c r="D760" s="25">
        <v>40</v>
      </c>
      <c r="E760" s="22" t="s">
        <v>1549</v>
      </c>
      <c r="F760" s="6" t="s">
        <v>258</v>
      </c>
      <c r="G760" s="107">
        <v>42217</v>
      </c>
      <c r="H760" s="108">
        <v>42186</v>
      </c>
      <c r="I760" s="24">
        <v>4130</v>
      </c>
      <c r="J760" s="28" t="s">
        <v>1894</v>
      </c>
      <c r="K760" s="28">
        <v>30.77</v>
      </c>
      <c r="L760" s="128">
        <v>14100</v>
      </c>
      <c r="M760" s="112">
        <f>+L760*0.07</f>
        <v>987.00000000000011</v>
      </c>
      <c r="N760" s="9">
        <f t="shared" si="646"/>
        <v>7050</v>
      </c>
      <c r="O760" s="9">
        <f t="shared" si="647"/>
        <v>6032.23</v>
      </c>
      <c r="P760" s="9">
        <f t="shared" si="648"/>
        <v>1017.7700000000001</v>
      </c>
      <c r="Q760" s="139">
        <f t="shared" si="649"/>
        <v>0.85563546099290777</v>
      </c>
      <c r="R760" s="345">
        <v>14100</v>
      </c>
      <c r="S760" s="359" t="s">
        <v>1948</v>
      </c>
      <c r="T760" s="305">
        <v>0.85563546099290777</v>
      </c>
      <c r="U760" s="144"/>
      <c r="V760" s="100"/>
      <c r="W760" s="110">
        <f t="shared" si="630"/>
        <v>14100</v>
      </c>
      <c r="X760" s="110">
        <f t="shared" si="631"/>
        <v>30.77</v>
      </c>
      <c r="Y760" s="110">
        <f t="shared" si="632"/>
        <v>987.00000000000011</v>
      </c>
      <c r="Z760" s="110">
        <f t="shared" si="633"/>
        <v>6032.23</v>
      </c>
      <c r="AA760" s="260">
        <f t="shared" si="634"/>
        <v>0.85563546099290777</v>
      </c>
      <c r="AB760" s="28">
        <f t="shared" si="635"/>
        <v>4.5999999999999996</v>
      </c>
      <c r="AC760" s="261">
        <f t="shared" si="636"/>
        <v>0.85410197967287371</v>
      </c>
      <c r="AD760" s="111">
        <f t="shared" si="637"/>
        <v>0.7</v>
      </c>
      <c r="AE760" s="262">
        <f t="shared" si="638"/>
        <v>4.1241580707455948E-2</v>
      </c>
      <c r="AF760" s="100"/>
      <c r="AG760" s="111">
        <f t="shared" si="639"/>
        <v>1.1000000000000001</v>
      </c>
      <c r="AH760" s="262">
        <f t="shared" si="640"/>
        <v>0.38988100590474473</v>
      </c>
      <c r="AI760" s="100"/>
      <c r="AJ760" s="111">
        <f t="shared" si="641"/>
        <v>1</v>
      </c>
      <c r="AK760" s="262">
        <f t="shared" si="642"/>
        <v>0.32886910649521917</v>
      </c>
      <c r="AL760" s="100"/>
      <c r="AM760" s="111">
        <f t="shared" si="643"/>
        <v>1</v>
      </c>
      <c r="AN760" s="262">
        <f t="shared" si="644"/>
        <v>0.32886910649521917</v>
      </c>
      <c r="AO760" s="100"/>
      <c r="AP760" s="24" t="e">
        <f>VLOOKUP(C760,#REF!,6,FALSE)</f>
        <v>#REF!</v>
      </c>
      <c r="AQ760" s="24" t="e">
        <f>VLOOKUP(C760,#REF!,7,FALSE)</f>
        <v>#REF!</v>
      </c>
      <c r="AR760" s="24" t="e">
        <f>VLOOKUP(C760,#REF!,12,FALSE)</f>
        <v>#REF!</v>
      </c>
      <c r="AS760" s="24" t="e">
        <f>VLOOKUP(C760,#REF!,13,FALSE)</f>
        <v>#REF!</v>
      </c>
      <c r="AT760" s="100"/>
      <c r="AU760" s="100"/>
      <c r="AV760" s="100">
        <v>742</v>
      </c>
      <c r="AW760" s="100"/>
      <c r="AY760" s="128">
        <v>14100</v>
      </c>
    </row>
    <row r="761" spans="1:51" s="2" customFormat="1" ht="12.75" customHeight="1" x14ac:dyDescent="0.2">
      <c r="A761" s="6" t="s">
        <v>1550</v>
      </c>
      <c r="B761" s="8">
        <v>9789500208376</v>
      </c>
      <c r="C761" s="8">
        <v>589999</v>
      </c>
      <c r="D761" s="25">
        <v>48</v>
      </c>
      <c r="E761" s="22" t="s">
        <v>1551</v>
      </c>
      <c r="F761" s="6" t="s">
        <v>250</v>
      </c>
      <c r="G761" s="107">
        <v>42095</v>
      </c>
      <c r="H761" s="108">
        <v>42036</v>
      </c>
      <c r="I761" s="24">
        <v>4000</v>
      </c>
      <c r="J761" s="28" t="s">
        <v>1894</v>
      </c>
      <c r="K761" s="28">
        <v>28.4</v>
      </c>
      <c r="L761" s="128">
        <v>14100</v>
      </c>
      <c r="M761" s="112">
        <f>+L761*0.07</f>
        <v>987.00000000000011</v>
      </c>
      <c r="N761" s="9">
        <f t="shared" si="646"/>
        <v>7050</v>
      </c>
      <c r="O761" s="9">
        <f t="shared" si="647"/>
        <v>6034.6</v>
      </c>
      <c r="P761" s="9">
        <f t="shared" si="648"/>
        <v>1015.4000000000001</v>
      </c>
      <c r="Q761" s="139">
        <f t="shared" si="649"/>
        <v>0.85597163120567377</v>
      </c>
      <c r="R761" s="345">
        <v>14100</v>
      </c>
      <c r="S761" s="359" t="s">
        <v>1948</v>
      </c>
      <c r="T761" s="305">
        <v>0.85597163120567377</v>
      </c>
      <c r="U761" s="144"/>
      <c r="V761" s="100"/>
      <c r="W761" s="110">
        <f t="shared" si="630"/>
        <v>14100</v>
      </c>
      <c r="X761" s="110">
        <f t="shared" si="631"/>
        <v>28.4</v>
      </c>
      <c r="Y761" s="110">
        <f t="shared" si="632"/>
        <v>987.00000000000011</v>
      </c>
      <c r="Z761" s="110">
        <f t="shared" si="633"/>
        <v>6034.6</v>
      </c>
      <c r="AA761" s="260">
        <f t="shared" si="634"/>
        <v>0.85597163120567377</v>
      </c>
      <c r="AB761" s="28">
        <f t="shared" si="635"/>
        <v>4.5999999999999996</v>
      </c>
      <c r="AC761" s="261">
        <f t="shared" si="636"/>
        <v>0.8544417207815479</v>
      </c>
      <c r="AD761" s="111">
        <f t="shared" si="637"/>
        <v>0.7</v>
      </c>
      <c r="AE761" s="262">
        <f t="shared" si="638"/>
        <v>4.3474165135885971E-2</v>
      </c>
      <c r="AF761" s="100"/>
      <c r="AG761" s="111">
        <f t="shared" si="639"/>
        <v>1.1000000000000001</v>
      </c>
      <c r="AH761" s="262">
        <f t="shared" si="640"/>
        <v>0.39130174145010932</v>
      </c>
      <c r="AI761" s="100"/>
      <c r="AJ761" s="111">
        <f t="shared" si="641"/>
        <v>1</v>
      </c>
      <c r="AK761" s="262">
        <f t="shared" si="642"/>
        <v>0.3304319155951202</v>
      </c>
      <c r="AL761" s="100"/>
      <c r="AM761" s="111">
        <f t="shared" si="643"/>
        <v>1</v>
      </c>
      <c r="AN761" s="262">
        <f t="shared" si="644"/>
        <v>0.3304319155951202</v>
      </c>
      <c r="AO761" s="100"/>
      <c r="AP761" s="24" t="e">
        <f>VLOOKUP(C761,#REF!,6,FALSE)</f>
        <v>#REF!</v>
      </c>
      <c r="AQ761" s="24" t="e">
        <f>VLOOKUP(C761,#REF!,7,FALSE)</f>
        <v>#REF!</v>
      </c>
      <c r="AR761" s="24" t="e">
        <f>VLOOKUP(C761,#REF!,12,FALSE)</f>
        <v>#REF!</v>
      </c>
      <c r="AS761" s="24" t="e">
        <f>VLOOKUP(C761,#REF!,13,FALSE)</f>
        <v>#REF!</v>
      </c>
      <c r="AT761" s="100"/>
      <c r="AU761" s="100"/>
      <c r="AV761" s="100">
        <v>743</v>
      </c>
      <c r="AW761" s="100"/>
      <c r="AY761" s="128">
        <v>14100</v>
      </c>
    </row>
    <row r="762" spans="1:51" s="2" customFormat="1" ht="12.75" customHeight="1" x14ac:dyDescent="0.2">
      <c r="A762" s="6" t="s">
        <v>1552</v>
      </c>
      <c r="B762" s="8">
        <v>9789500208208</v>
      </c>
      <c r="C762" s="8">
        <v>584958</v>
      </c>
      <c r="D762" s="25">
        <v>40</v>
      </c>
      <c r="E762" s="22" t="s">
        <v>1553</v>
      </c>
      <c r="F762" s="6" t="s">
        <v>259</v>
      </c>
      <c r="G762" s="107">
        <v>41944</v>
      </c>
      <c r="H762" s="108">
        <v>41913</v>
      </c>
      <c r="I762" s="24">
        <v>4000</v>
      </c>
      <c r="J762" s="28" t="s">
        <v>1894</v>
      </c>
      <c r="K762" s="28">
        <v>23.6</v>
      </c>
      <c r="L762" s="128">
        <v>14100</v>
      </c>
      <c r="M762" s="112">
        <f>+L762*0.07</f>
        <v>987.00000000000011</v>
      </c>
      <c r="N762" s="9">
        <f t="shared" si="646"/>
        <v>7050</v>
      </c>
      <c r="O762" s="9">
        <f t="shared" si="647"/>
        <v>6039.4</v>
      </c>
      <c r="P762" s="9">
        <f t="shared" si="648"/>
        <v>1010.6000000000001</v>
      </c>
      <c r="Q762" s="139">
        <f t="shared" si="649"/>
        <v>0.85665248226950352</v>
      </c>
      <c r="R762" s="345">
        <v>14100</v>
      </c>
      <c r="S762" s="359" t="s">
        <v>1948</v>
      </c>
      <c r="T762" s="305">
        <v>0.85665248226950352</v>
      </c>
      <c r="U762" s="144"/>
      <c r="V762" s="100"/>
      <c r="W762" s="110">
        <f t="shared" si="630"/>
        <v>14100</v>
      </c>
      <c r="X762" s="110">
        <f t="shared" si="631"/>
        <v>23.6</v>
      </c>
      <c r="Y762" s="110">
        <f t="shared" si="632"/>
        <v>987.00000000000011</v>
      </c>
      <c r="Z762" s="110">
        <f t="shared" si="633"/>
        <v>6039.4</v>
      </c>
      <c r="AA762" s="260">
        <f t="shared" si="634"/>
        <v>0.85665248226950352</v>
      </c>
      <c r="AB762" s="28">
        <f t="shared" si="635"/>
        <v>4.5999999999999996</v>
      </c>
      <c r="AC762" s="261">
        <f t="shared" si="636"/>
        <v>0.85512980403962202</v>
      </c>
      <c r="AD762" s="111">
        <f t="shared" si="637"/>
        <v>0.7</v>
      </c>
      <c r="AE762" s="262">
        <f t="shared" si="638"/>
        <v>4.7995855117516778E-2</v>
      </c>
      <c r="AF762" s="100"/>
      <c r="AG762" s="111">
        <f t="shared" si="639"/>
        <v>1.1000000000000001</v>
      </c>
      <c r="AH762" s="262">
        <f t="shared" si="640"/>
        <v>0.39417918052932893</v>
      </c>
      <c r="AI762" s="100"/>
      <c r="AJ762" s="111">
        <f t="shared" si="641"/>
        <v>1</v>
      </c>
      <c r="AK762" s="262">
        <f t="shared" si="642"/>
        <v>0.33359709858226178</v>
      </c>
      <c r="AL762" s="100"/>
      <c r="AM762" s="111">
        <f t="shared" si="643"/>
        <v>1</v>
      </c>
      <c r="AN762" s="262">
        <f t="shared" si="644"/>
        <v>0.33359709858226178</v>
      </c>
      <c r="AO762" s="100"/>
      <c r="AP762" s="24" t="e">
        <f>VLOOKUP(C762,#REF!,6,FALSE)</f>
        <v>#REF!</v>
      </c>
      <c r="AQ762" s="24" t="e">
        <f>VLOOKUP(C762,#REF!,7,FALSE)</f>
        <v>#REF!</v>
      </c>
      <c r="AR762" s="24" t="e">
        <f>VLOOKUP(C762,#REF!,12,FALSE)</f>
        <v>#REF!</v>
      </c>
      <c r="AS762" s="24" t="e">
        <f>VLOOKUP(C762,#REF!,13,FALSE)</f>
        <v>#REF!</v>
      </c>
      <c r="AT762" s="100"/>
      <c r="AU762" s="100"/>
      <c r="AV762" s="100">
        <v>744</v>
      </c>
      <c r="AW762" s="100"/>
      <c r="AY762" s="128">
        <v>14100</v>
      </c>
    </row>
    <row r="763" spans="1:51" s="2" customFormat="1" ht="12.75" customHeight="1" x14ac:dyDescent="0.2">
      <c r="A763" s="6" t="s">
        <v>1554</v>
      </c>
      <c r="B763" s="8">
        <v>9789500298803</v>
      </c>
      <c r="C763" s="8">
        <v>617597</v>
      </c>
      <c r="D763" s="7">
        <v>48</v>
      </c>
      <c r="E763" s="11" t="s">
        <v>284</v>
      </c>
      <c r="F763" s="11" t="s">
        <v>5</v>
      </c>
      <c r="G763" s="107">
        <v>42583</v>
      </c>
      <c r="H763" s="108">
        <v>42552</v>
      </c>
      <c r="I763" s="24">
        <v>3046</v>
      </c>
      <c r="J763" s="28" t="s">
        <v>1894</v>
      </c>
      <c r="K763" s="28">
        <v>41.99</v>
      </c>
      <c r="L763" s="128">
        <v>14100</v>
      </c>
      <c r="M763" s="112">
        <f>+L763*0.08</f>
        <v>1128</v>
      </c>
      <c r="N763" s="9">
        <f t="shared" si="646"/>
        <v>7050</v>
      </c>
      <c r="O763" s="9">
        <f t="shared" si="647"/>
        <v>5880.01</v>
      </c>
      <c r="P763" s="9">
        <f t="shared" si="648"/>
        <v>1169.99</v>
      </c>
      <c r="Q763" s="139">
        <f t="shared" si="649"/>
        <v>0.83404397163120569</v>
      </c>
      <c r="R763" s="345">
        <v>14100</v>
      </c>
      <c r="S763" s="359" t="s">
        <v>1948</v>
      </c>
      <c r="T763" s="305">
        <v>0.83404397163120569</v>
      </c>
      <c r="U763" s="144"/>
      <c r="V763" s="100"/>
      <c r="W763" s="110">
        <f t="shared" si="630"/>
        <v>14100</v>
      </c>
      <c r="X763" s="110">
        <f t="shared" si="631"/>
        <v>41.99</v>
      </c>
      <c r="Y763" s="110">
        <f t="shared" si="632"/>
        <v>1128</v>
      </c>
      <c r="Z763" s="110">
        <f t="shared" si="633"/>
        <v>5880.01</v>
      </c>
      <c r="AA763" s="260">
        <f t="shared" si="634"/>
        <v>0.83404397163120569</v>
      </c>
      <c r="AB763" s="28">
        <f t="shared" si="635"/>
        <v>4.5999999999999996</v>
      </c>
      <c r="AC763" s="261">
        <f t="shared" si="636"/>
        <v>0.83228113935119485</v>
      </c>
      <c r="AD763" s="111">
        <f t="shared" si="637"/>
        <v>0.8</v>
      </c>
      <c r="AE763" s="262">
        <f t="shared" si="638"/>
        <v>3.5616551269370286E-2</v>
      </c>
      <c r="AF763" s="100"/>
      <c r="AG763" s="111">
        <f t="shared" si="639"/>
        <v>1.3</v>
      </c>
      <c r="AH763" s="262">
        <f t="shared" si="640"/>
        <v>0.40653326231961245</v>
      </c>
      <c r="AI763" s="100"/>
      <c r="AJ763" s="111">
        <f t="shared" si="641"/>
        <v>1.2</v>
      </c>
      <c r="AK763" s="262">
        <f t="shared" si="642"/>
        <v>0.35707770084624679</v>
      </c>
      <c r="AL763" s="100"/>
      <c r="AM763" s="111">
        <f t="shared" si="643"/>
        <v>1.1000000000000001</v>
      </c>
      <c r="AN763" s="262">
        <f t="shared" si="644"/>
        <v>0.2986302191049966</v>
      </c>
      <c r="AO763" s="100"/>
      <c r="AP763" s="24" t="e">
        <f>VLOOKUP(C763,#REF!,6,FALSE)</f>
        <v>#REF!</v>
      </c>
      <c r="AQ763" s="24" t="e">
        <f>VLOOKUP(C763,#REF!,7,FALSE)</f>
        <v>#REF!</v>
      </c>
      <c r="AR763" s="24" t="e">
        <f>VLOOKUP(C763,#REF!,12,FALSE)</f>
        <v>#REF!</v>
      </c>
      <c r="AS763" s="24" t="e">
        <f>VLOOKUP(C763,#REF!,13,FALSE)</f>
        <v>#REF!</v>
      </c>
      <c r="AT763" s="100"/>
      <c r="AU763" s="100"/>
      <c r="AV763" s="100">
        <v>745</v>
      </c>
      <c r="AW763" s="100"/>
      <c r="AY763" s="128">
        <v>14100</v>
      </c>
    </row>
    <row r="764" spans="1:51" s="2" customFormat="1" ht="12.75" customHeight="1" x14ac:dyDescent="0.2">
      <c r="A764" s="6" t="s">
        <v>1555</v>
      </c>
      <c r="B764" s="8">
        <v>9789500299138</v>
      </c>
      <c r="C764" s="8">
        <v>620184</v>
      </c>
      <c r="D764" s="7">
        <v>40</v>
      </c>
      <c r="E764" s="7" t="s">
        <v>285</v>
      </c>
      <c r="F764" s="7" t="s">
        <v>1556</v>
      </c>
      <c r="G764" s="107">
        <v>42644</v>
      </c>
      <c r="H764" s="108">
        <v>42614</v>
      </c>
      <c r="I764" s="24">
        <v>3030</v>
      </c>
      <c r="J764" s="28" t="s">
        <v>1894</v>
      </c>
      <c r="K764" s="28">
        <v>61.24</v>
      </c>
      <c r="L764" s="128">
        <v>14100</v>
      </c>
      <c r="M764" s="112">
        <f>+L764*0.08</f>
        <v>1128</v>
      </c>
      <c r="N764" s="9">
        <f t="shared" si="646"/>
        <v>7050</v>
      </c>
      <c r="O764" s="9">
        <f t="shared" si="647"/>
        <v>5860.76</v>
      </c>
      <c r="P764" s="9">
        <f t="shared" si="648"/>
        <v>1189.24</v>
      </c>
      <c r="Q764" s="139">
        <f t="shared" si="649"/>
        <v>0.83131347517730503</v>
      </c>
      <c r="R764" s="345">
        <v>14100</v>
      </c>
      <c r="S764" s="359" t="s">
        <v>1948</v>
      </c>
      <c r="T764" s="305">
        <v>0.83131347517730503</v>
      </c>
      <c r="U764" s="144"/>
      <c r="V764" s="100"/>
      <c r="W764" s="110">
        <f t="shared" si="630"/>
        <v>14100</v>
      </c>
      <c r="X764" s="110">
        <f t="shared" si="631"/>
        <v>61.24</v>
      </c>
      <c r="Y764" s="110">
        <f t="shared" si="632"/>
        <v>1128</v>
      </c>
      <c r="Z764" s="110">
        <f t="shared" si="633"/>
        <v>5860.76</v>
      </c>
      <c r="AA764" s="260">
        <f t="shared" si="634"/>
        <v>0.83131347517730503</v>
      </c>
      <c r="AB764" s="28">
        <f t="shared" si="635"/>
        <v>4.5999999999999996</v>
      </c>
      <c r="AC764" s="261">
        <f t="shared" si="636"/>
        <v>0.82952163878495966</v>
      </c>
      <c r="AD764" s="111">
        <f t="shared" si="637"/>
        <v>0.8</v>
      </c>
      <c r="AE764" s="262">
        <f t="shared" si="638"/>
        <v>1.9749423013517998E-2</v>
      </c>
      <c r="AF764" s="100"/>
      <c r="AG764" s="111">
        <f t="shared" si="639"/>
        <v>1.3</v>
      </c>
      <c r="AH764" s="262">
        <f t="shared" si="640"/>
        <v>0.39676887570062647</v>
      </c>
      <c r="AI764" s="100"/>
      <c r="AJ764" s="111">
        <f t="shared" si="641"/>
        <v>1.2</v>
      </c>
      <c r="AK764" s="262">
        <f t="shared" si="642"/>
        <v>0.3464996153423453</v>
      </c>
      <c r="AL764" s="100"/>
      <c r="AM764" s="111">
        <f t="shared" si="643"/>
        <v>1.1000000000000001</v>
      </c>
      <c r="AN764" s="262">
        <f t="shared" si="644"/>
        <v>0.28709048946437676</v>
      </c>
      <c r="AO764" s="100"/>
      <c r="AP764" s="24" t="e">
        <f>VLOOKUP(C764,#REF!,6,FALSE)</f>
        <v>#REF!</v>
      </c>
      <c r="AQ764" s="24" t="e">
        <f>VLOOKUP(C764,#REF!,7,FALSE)</f>
        <v>#REF!</v>
      </c>
      <c r="AR764" s="24" t="e">
        <f>VLOOKUP(C764,#REF!,12,FALSE)</f>
        <v>#REF!</v>
      </c>
      <c r="AS764" s="24" t="e">
        <f>VLOOKUP(C764,#REF!,13,FALSE)</f>
        <v>#REF!</v>
      </c>
      <c r="AT764" s="100"/>
      <c r="AU764" s="100"/>
      <c r="AV764" s="100">
        <v>746</v>
      </c>
      <c r="AW764" s="100"/>
      <c r="AY764" s="128">
        <v>14100</v>
      </c>
    </row>
    <row r="765" spans="1:51" s="2" customFormat="1" ht="12.75" customHeight="1" x14ac:dyDescent="0.2">
      <c r="A765" s="7" t="s">
        <v>1557</v>
      </c>
      <c r="B765" s="8">
        <v>9789500209885</v>
      </c>
      <c r="C765" s="6">
        <v>664751</v>
      </c>
      <c r="D765" s="7">
        <v>80</v>
      </c>
      <c r="E765" s="22" t="s">
        <v>443</v>
      </c>
      <c r="F765" s="15" t="s">
        <v>444</v>
      </c>
      <c r="G765" s="107">
        <v>43617</v>
      </c>
      <c r="H765" s="108">
        <v>43586</v>
      </c>
      <c r="I765" s="24">
        <v>3150</v>
      </c>
      <c r="J765" s="28" t="s">
        <v>1946</v>
      </c>
      <c r="K765" s="28">
        <v>200.61</v>
      </c>
      <c r="L765" s="128">
        <v>21000</v>
      </c>
      <c r="M765" s="112"/>
      <c r="N765" s="9">
        <f t="shared" si="646"/>
        <v>10500</v>
      </c>
      <c r="O765" s="9">
        <f t="shared" si="647"/>
        <v>10299.39</v>
      </c>
      <c r="P765" s="9">
        <f t="shared" si="648"/>
        <v>200.61</v>
      </c>
      <c r="Q765" s="139">
        <f t="shared" si="649"/>
        <v>0.98089428571428561</v>
      </c>
      <c r="R765" s="345">
        <v>21000</v>
      </c>
      <c r="S765" s="359" t="s">
        <v>1948</v>
      </c>
      <c r="T765" s="305">
        <v>0.98089428571428561</v>
      </c>
      <c r="U765" s="115"/>
      <c r="V765" s="100"/>
      <c r="W765" s="110">
        <f t="shared" si="630"/>
        <v>21000</v>
      </c>
      <c r="X765" s="110">
        <f t="shared" si="631"/>
        <v>200.61</v>
      </c>
      <c r="Y765" s="110">
        <f t="shared" si="632"/>
        <v>0</v>
      </c>
      <c r="Z765" s="110">
        <f t="shared" si="633"/>
        <v>10299.39</v>
      </c>
      <c r="AA765" s="260">
        <f t="shared" si="634"/>
        <v>0.98089428571428561</v>
      </c>
      <c r="AB765" s="28">
        <f t="shared" si="635"/>
        <v>6.9</v>
      </c>
      <c r="AC765" s="261">
        <f t="shared" si="636"/>
        <v>0.98082828022190682</v>
      </c>
      <c r="AD765" s="111">
        <f t="shared" si="637"/>
        <v>0.1</v>
      </c>
      <c r="AE765" s="262">
        <f t="shared" si="638"/>
        <v>-0.32284866468842732</v>
      </c>
      <c r="AF765" s="100"/>
      <c r="AG765" s="111">
        <f t="shared" si="639"/>
        <v>0.2</v>
      </c>
      <c r="AH765" s="262">
        <f t="shared" si="640"/>
        <v>0.33857566765578634</v>
      </c>
      <c r="AI765" s="100"/>
      <c r="AJ765" s="111">
        <f t="shared" si="641"/>
        <v>0.2</v>
      </c>
      <c r="AK765" s="262">
        <f t="shared" si="642"/>
        <v>0.33857566765578634</v>
      </c>
      <c r="AL765" s="100"/>
      <c r="AM765" s="111">
        <f t="shared" si="643"/>
        <v>0.2</v>
      </c>
      <c r="AN765" s="262">
        <f t="shared" si="644"/>
        <v>0.33857566765578634</v>
      </c>
      <c r="AO765" s="100"/>
      <c r="AP765" s="24" t="e">
        <f>VLOOKUP(C765,#REF!,6,FALSE)</f>
        <v>#REF!</v>
      </c>
      <c r="AQ765" s="24" t="e">
        <f>VLOOKUP(C765,#REF!,7,FALSE)</f>
        <v>#REF!</v>
      </c>
      <c r="AR765" s="24" t="e">
        <f>VLOOKUP(C765,#REF!,12,FALSE)</f>
        <v>#REF!</v>
      </c>
      <c r="AS765" s="24" t="e">
        <f>VLOOKUP(C765,#REF!,13,FALSE)</f>
        <v>#REF!</v>
      </c>
      <c r="AT765" s="100"/>
      <c r="AU765" s="100"/>
      <c r="AV765" s="100">
        <v>747</v>
      </c>
      <c r="AW765" s="100"/>
      <c r="AY765" s="128">
        <v>21000</v>
      </c>
    </row>
    <row r="766" spans="1:51" s="2" customFormat="1" ht="12.75" customHeight="1" x14ac:dyDescent="0.2">
      <c r="A766" s="11" t="s">
        <v>1558</v>
      </c>
      <c r="B766" s="13">
        <v>9789500209731</v>
      </c>
      <c r="C766" s="6">
        <v>656692</v>
      </c>
      <c r="D766" s="7">
        <v>80</v>
      </c>
      <c r="E766" s="6" t="s">
        <v>423</v>
      </c>
      <c r="F766" s="7" t="s">
        <v>1559</v>
      </c>
      <c r="G766" s="107">
        <v>43435</v>
      </c>
      <c r="H766" s="108">
        <v>43405</v>
      </c>
      <c r="I766" s="24">
        <v>3150</v>
      </c>
      <c r="J766" s="28" t="s">
        <v>1946</v>
      </c>
      <c r="K766" s="28">
        <v>178.34</v>
      </c>
      <c r="L766" s="128">
        <v>21000</v>
      </c>
      <c r="M766" s="112"/>
      <c r="N766" s="9">
        <f t="shared" si="646"/>
        <v>10500</v>
      </c>
      <c r="O766" s="9">
        <f t="shared" si="647"/>
        <v>10321.66</v>
      </c>
      <c r="P766" s="9">
        <f t="shared" si="648"/>
        <v>178.34</v>
      </c>
      <c r="Q766" s="139">
        <f t="shared" si="649"/>
        <v>0.98301523809523805</v>
      </c>
      <c r="R766" s="345">
        <v>21000</v>
      </c>
      <c r="S766" s="359" t="s">
        <v>1948</v>
      </c>
      <c r="T766" s="305">
        <v>0.98301523809523805</v>
      </c>
      <c r="U766" s="144"/>
      <c r="V766" s="100"/>
      <c r="W766" s="110">
        <f t="shared" si="630"/>
        <v>21000</v>
      </c>
      <c r="X766" s="110">
        <f t="shared" si="631"/>
        <v>178.34</v>
      </c>
      <c r="Y766" s="110">
        <f t="shared" si="632"/>
        <v>0</v>
      </c>
      <c r="Z766" s="110">
        <f t="shared" si="633"/>
        <v>10321.66</v>
      </c>
      <c r="AA766" s="260">
        <f t="shared" si="634"/>
        <v>0.98301523809523805</v>
      </c>
      <c r="AB766" s="28">
        <f t="shared" si="635"/>
        <v>6.9</v>
      </c>
      <c r="AC766" s="261">
        <f t="shared" si="636"/>
        <v>0.98295655996597808</v>
      </c>
      <c r="AD766" s="111">
        <f t="shared" si="637"/>
        <v>0.1</v>
      </c>
      <c r="AE766" s="262">
        <f t="shared" si="638"/>
        <v>-0.17599736234751071</v>
      </c>
      <c r="AF766" s="100"/>
      <c r="AG766" s="111">
        <f t="shared" si="639"/>
        <v>0.2</v>
      </c>
      <c r="AH766" s="262">
        <f t="shared" si="640"/>
        <v>0.41200131882624463</v>
      </c>
      <c r="AI766" s="100"/>
      <c r="AJ766" s="111">
        <f t="shared" si="641"/>
        <v>0.2</v>
      </c>
      <c r="AK766" s="262">
        <f t="shared" si="642"/>
        <v>0.41200131882624463</v>
      </c>
      <c r="AL766" s="100"/>
      <c r="AM766" s="111">
        <f t="shared" si="643"/>
        <v>0.2</v>
      </c>
      <c r="AN766" s="262">
        <f t="shared" si="644"/>
        <v>0.41200131882624463</v>
      </c>
      <c r="AO766" s="100"/>
      <c r="AP766" s="24" t="e">
        <f>VLOOKUP(C766,#REF!,6,FALSE)</f>
        <v>#REF!</v>
      </c>
      <c r="AQ766" s="24" t="e">
        <f>VLOOKUP(C766,#REF!,7,FALSE)</f>
        <v>#REF!</v>
      </c>
      <c r="AR766" s="24" t="e">
        <f>VLOOKUP(C766,#REF!,12,FALSE)</f>
        <v>#REF!</v>
      </c>
      <c r="AS766" s="24" t="e">
        <f>VLOOKUP(C766,#REF!,13,FALSE)</f>
        <v>#REF!</v>
      </c>
      <c r="AT766" s="100"/>
      <c r="AU766" s="100"/>
      <c r="AV766" s="100">
        <v>748</v>
      </c>
      <c r="AW766" s="100"/>
      <c r="AY766" s="128">
        <v>21000</v>
      </c>
    </row>
    <row r="767" spans="1:51" s="2" customFormat="1" ht="12.75" customHeight="1" x14ac:dyDescent="0.2">
      <c r="A767" s="11" t="s">
        <v>1560</v>
      </c>
      <c r="B767" s="13">
        <v>9789500209724</v>
      </c>
      <c r="C767" s="6">
        <v>656690</v>
      </c>
      <c r="D767" s="7">
        <v>40</v>
      </c>
      <c r="E767" s="8" t="s">
        <v>416</v>
      </c>
      <c r="F767" s="7" t="s">
        <v>1561</v>
      </c>
      <c r="G767" s="107">
        <v>43405</v>
      </c>
      <c r="H767" s="108">
        <v>43374</v>
      </c>
      <c r="I767" s="24">
        <v>3150</v>
      </c>
      <c r="J767" s="28" t="s">
        <v>1946</v>
      </c>
      <c r="K767" s="28">
        <v>223.13</v>
      </c>
      <c r="L767" s="128">
        <v>26300</v>
      </c>
      <c r="M767" s="112"/>
      <c r="N767" s="9">
        <f t="shared" si="646"/>
        <v>13150</v>
      </c>
      <c r="O767" s="9">
        <f t="shared" si="647"/>
        <v>12926.87</v>
      </c>
      <c r="P767" s="9">
        <f t="shared" si="648"/>
        <v>223.13</v>
      </c>
      <c r="Q767" s="139">
        <f t="shared" si="649"/>
        <v>0.98303193916349818</v>
      </c>
      <c r="R767" s="345">
        <v>26300</v>
      </c>
      <c r="S767" s="359" t="s">
        <v>1948</v>
      </c>
      <c r="T767" s="305">
        <v>0.98303193916349818</v>
      </c>
      <c r="U767" s="144"/>
      <c r="V767" s="100"/>
      <c r="W767" s="110">
        <f t="shared" si="630"/>
        <v>26300</v>
      </c>
      <c r="X767" s="110">
        <f t="shared" si="631"/>
        <v>223.13</v>
      </c>
      <c r="Y767" s="110">
        <f t="shared" si="632"/>
        <v>0</v>
      </c>
      <c r="Z767" s="110">
        <f t="shared" si="633"/>
        <v>12926.87</v>
      </c>
      <c r="AA767" s="260">
        <f t="shared" si="634"/>
        <v>0.98303193916349818</v>
      </c>
      <c r="AB767" s="28">
        <f t="shared" si="635"/>
        <v>8.6999999999999993</v>
      </c>
      <c r="AC767" s="261">
        <f t="shared" si="636"/>
        <v>0.98308794827775703</v>
      </c>
      <c r="AD767" s="111">
        <f t="shared" si="637"/>
        <v>0.2</v>
      </c>
      <c r="AE767" s="262">
        <f t="shared" si="638"/>
        <v>0.2643257500824267</v>
      </c>
      <c r="AF767" s="100"/>
      <c r="AG767" s="111">
        <f t="shared" si="639"/>
        <v>0.2</v>
      </c>
      <c r="AH767" s="262">
        <f t="shared" si="640"/>
        <v>0.2643257500824267</v>
      </c>
      <c r="AI767" s="100"/>
      <c r="AJ767" s="111">
        <f t="shared" si="641"/>
        <v>0.2</v>
      </c>
      <c r="AK767" s="262">
        <f t="shared" si="642"/>
        <v>0.2643257500824267</v>
      </c>
      <c r="AL767" s="100"/>
      <c r="AM767" s="111">
        <f t="shared" si="643"/>
        <v>0.2</v>
      </c>
      <c r="AN767" s="262">
        <f t="shared" si="644"/>
        <v>0.2643257500824267</v>
      </c>
      <c r="AO767" s="100"/>
      <c r="AP767" s="24" t="e">
        <f>VLOOKUP(C767,#REF!,6,FALSE)</f>
        <v>#REF!</v>
      </c>
      <c r="AQ767" s="24" t="e">
        <f>VLOOKUP(C767,#REF!,7,FALSE)</f>
        <v>#REF!</v>
      </c>
      <c r="AR767" s="24" t="e">
        <f>VLOOKUP(C767,#REF!,12,FALSE)</f>
        <v>#REF!</v>
      </c>
      <c r="AS767" s="24" t="e">
        <f>VLOOKUP(C767,#REF!,13,FALSE)</f>
        <v>#REF!</v>
      </c>
      <c r="AT767" s="100"/>
      <c r="AU767" s="100"/>
      <c r="AV767" s="100">
        <v>749</v>
      </c>
      <c r="AW767" s="100"/>
      <c r="AY767" s="128">
        <v>26300</v>
      </c>
    </row>
    <row r="768" spans="1:51" s="2" customFormat="1" ht="12.75" customHeight="1" x14ac:dyDescent="0.2">
      <c r="A768" s="7" t="s">
        <v>1562</v>
      </c>
      <c r="B768" s="25">
        <v>9789500209946</v>
      </c>
      <c r="C768" s="6">
        <v>665878</v>
      </c>
      <c r="D768" s="7">
        <v>80</v>
      </c>
      <c r="E768" s="8" t="s">
        <v>447</v>
      </c>
      <c r="F768" s="7" t="s">
        <v>1563</v>
      </c>
      <c r="G768" s="107">
        <v>43647</v>
      </c>
      <c r="H768" s="108">
        <v>43617</v>
      </c>
      <c r="I768" s="24">
        <v>3150</v>
      </c>
      <c r="J768" s="28" t="s">
        <v>1946</v>
      </c>
      <c r="K768" s="28">
        <v>235.78</v>
      </c>
      <c r="L768" s="128">
        <v>26300</v>
      </c>
      <c r="M768" s="9"/>
      <c r="N768" s="9">
        <f t="shared" si="646"/>
        <v>13150</v>
      </c>
      <c r="O768" s="9">
        <f t="shared" si="647"/>
        <v>12914.22</v>
      </c>
      <c r="P768" s="9">
        <f t="shared" si="648"/>
        <v>235.78</v>
      </c>
      <c r="Q768" s="139">
        <f t="shared" si="649"/>
        <v>0.98206996197718621</v>
      </c>
      <c r="R768" s="345">
        <v>26300</v>
      </c>
      <c r="S768" s="359" t="s">
        <v>1948</v>
      </c>
      <c r="T768" s="305">
        <v>0.98206996197718621</v>
      </c>
      <c r="U768" s="144"/>
      <c r="V768" s="100"/>
      <c r="W768" s="110">
        <f t="shared" si="630"/>
        <v>26300</v>
      </c>
      <c r="X768" s="110">
        <f t="shared" si="631"/>
        <v>235.78</v>
      </c>
      <c r="Y768" s="110">
        <f t="shared" si="632"/>
        <v>0</v>
      </c>
      <c r="Z768" s="110">
        <f t="shared" si="633"/>
        <v>12914.22</v>
      </c>
      <c r="AA768" s="260">
        <f t="shared" si="634"/>
        <v>0.98206996197718621</v>
      </c>
      <c r="AB768" s="28">
        <f t="shared" si="635"/>
        <v>8.6999999999999993</v>
      </c>
      <c r="AC768" s="261">
        <f t="shared" si="636"/>
        <v>0.98212914643897964</v>
      </c>
      <c r="AD768" s="111">
        <f t="shared" si="637"/>
        <v>0.2</v>
      </c>
      <c r="AE768" s="262">
        <f t="shared" si="638"/>
        <v>0.22261787009561493</v>
      </c>
      <c r="AF768" s="100"/>
      <c r="AG768" s="111">
        <f t="shared" si="639"/>
        <v>0.3</v>
      </c>
      <c r="AH768" s="262">
        <f t="shared" si="640"/>
        <v>0.48174524673040992</v>
      </c>
      <c r="AI768" s="100"/>
      <c r="AJ768" s="111">
        <f t="shared" si="641"/>
        <v>0.2</v>
      </c>
      <c r="AK768" s="262">
        <f t="shared" si="642"/>
        <v>0.22261787009561493</v>
      </c>
      <c r="AL768" s="100"/>
      <c r="AM768" s="111">
        <f t="shared" si="643"/>
        <v>0.2</v>
      </c>
      <c r="AN768" s="262">
        <f t="shared" si="644"/>
        <v>0.22261787009561493</v>
      </c>
      <c r="AO768" s="100"/>
      <c r="AP768" s="24" t="e">
        <f>VLOOKUP(C768,#REF!,6,FALSE)</f>
        <v>#REF!</v>
      </c>
      <c r="AQ768" s="24" t="e">
        <f>VLOOKUP(C768,#REF!,7,FALSE)</f>
        <v>#REF!</v>
      </c>
      <c r="AR768" s="24" t="e">
        <f>VLOOKUP(C768,#REF!,12,FALSE)</f>
        <v>#REF!</v>
      </c>
      <c r="AS768" s="24" t="e">
        <f>VLOOKUP(C768,#REF!,13,FALSE)</f>
        <v>#REF!</v>
      </c>
      <c r="AT768" s="100"/>
      <c r="AU768" s="100"/>
      <c r="AV768" s="100">
        <v>750</v>
      </c>
      <c r="AW768" s="100"/>
      <c r="AY768" s="128">
        <v>26300</v>
      </c>
    </row>
    <row r="769" spans="1:51" s="2" customFormat="1" ht="12.75" customHeight="1" x14ac:dyDescent="0.2">
      <c r="A769" s="6" t="s">
        <v>1564</v>
      </c>
      <c r="B769" s="8">
        <v>9789500299077</v>
      </c>
      <c r="C769" s="8">
        <v>618706</v>
      </c>
      <c r="D769" s="7">
        <v>52</v>
      </c>
      <c r="E769" s="11" t="s">
        <v>276</v>
      </c>
      <c r="F769" s="11" t="s">
        <v>277</v>
      </c>
      <c r="G769" s="107">
        <v>42614</v>
      </c>
      <c r="H769" s="108">
        <v>42583</v>
      </c>
      <c r="I769" s="24">
        <v>3078</v>
      </c>
      <c r="J769" s="28" t="s">
        <v>1894</v>
      </c>
      <c r="K769" s="28">
        <v>58.01</v>
      </c>
      <c r="L769" s="128">
        <v>14100</v>
      </c>
      <c r="M769" s="112">
        <f>+L769*0.07</f>
        <v>987.00000000000011</v>
      </c>
      <c r="N769" s="9">
        <f t="shared" si="646"/>
        <v>7050</v>
      </c>
      <c r="O769" s="9">
        <f t="shared" si="647"/>
        <v>6004.99</v>
      </c>
      <c r="P769" s="9">
        <f t="shared" si="648"/>
        <v>1045.0100000000002</v>
      </c>
      <c r="Q769" s="139">
        <f t="shared" si="649"/>
        <v>0.85177163120567367</v>
      </c>
      <c r="R769" s="345">
        <v>14100</v>
      </c>
      <c r="S769" s="359" t="s">
        <v>1948</v>
      </c>
      <c r="T769" s="305">
        <v>0.85177163120567367</v>
      </c>
      <c r="U769" s="144"/>
      <c r="V769" s="100"/>
      <c r="W769" s="110">
        <f t="shared" si="630"/>
        <v>14100</v>
      </c>
      <c r="X769" s="110">
        <f t="shared" si="631"/>
        <v>58.01</v>
      </c>
      <c r="Y769" s="110">
        <f t="shared" si="632"/>
        <v>987.00000000000011</v>
      </c>
      <c r="Z769" s="110">
        <f t="shared" si="633"/>
        <v>6004.99</v>
      </c>
      <c r="AA769" s="260">
        <f t="shared" si="634"/>
        <v>0.85177163120567367</v>
      </c>
      <c r="AB769" s="28">
        <f t="shared" si="635"/>
        <v>4.5999999999999996</v>
      </c>
      <c r="AC769" s="261">
        <f t="shared" si="636"/>
        <v>0.85019710718330244</v>
      </c>
      <c r="AD769" s="111">
        <f t="shared" si="637"/>
        <v>0.7</v>
      </c>
      <c r="AE769" s="262">
        <f t="shared" si="638"/>
        <v>1.5580990061702087E-2</v>
      </c>
      <c r="AF769" s="100"/>
      <c r="AG769" s="111">
        <f t="shared" si="639"/>
        <v>1.1000000000000001</v>
      </c>
      <c r="AH769" s="262">
        <f t="shared" si="640"/>
        <v>0.37355153913017414</v>
      </c>
      <c r="AI769" s="100"/>
      <c r="AJ769" s="111">
        <f t="shared" si="641"/>
        <v>1.1000000000000001</v>
      </c>
      <c r="AK769" s="262">
        <f t="shared" si="642"/>
        <v>0.37355153913017414</v>
      </c>
      <c r="AL769" s="100"/>
      <c r="AM769" s="111">
        <f t="shared" si="643"/>
        <v>1</v>
      </c>
      <c r="AN769" s="262">
        <f t="shared" si="644"/>
        <v>0.31090669304319152</v>
      </c>
      <c r="AO769" s="100"/>
      <c r="AP769" s="24" t="e">
        <f>VLOOKUP(C769,#REF!,6,FALSE)</f>
        <v>#REF!</v>
      </c>
      <c r="AQ769" s="24" t="e">
        <f>VLOOKUP(C769,#REF!,7,FALSE)</f>
        <v>#REF!</v>
      </c>
      <c r="AR769" s="24" t="e">
        <f>VLOOKUP(C769,#REF!,12,FALSE)</f>
        <v>#REF!</v>
      </c>
      <c r="AS769" s="24" t="e">
        <f>VLOOKUP(C769,#REF!,13,FALSE)</f>
        <v>#REF!</v>
      </c>
      <c r="AT769" s="100"/>
      <c r="AU769" s="100"/>
      <c r="AV769" s="100">
        <v>751</v>
      </c>
      <c r="AW769" s="100"/>
      <c r="AY769" s="128">
        <v>14100</v>
      </c>
    </row>
    <row r="770" spans="1:51" s="2" customFormat="1" ht="12.75" customHeight="1" x14ac:dyDescent="0.2">
      <c r="A770" s="6" t="s">
        <v>1565</v>
      </c>
      <c r="B770" s="8">
        <v>9789500208840</v>
      </c>
      <c r="C770" s="8">
        <v>610473</v>
      </c>
      <c r="D770" s="7">
        <v>40</v>
      </c>
      <c r="E770" s="6" t="s">
        <v>263</v>
      </c>
      <c r="F770" s="6" t="s">
        <v>264</v>
      </c>
      <c r="G770" s="107">
        <v>42461</v>
      </c>
      <c r="H770" s="108">
        <v>42430</v>
      </c>
      <c r="I770" s="24">
        <v>3060</v>
      </c>
      <c r="J770" s="28" t="s">
        <v>1894</v>
      </c>
      <c r="K770" s="28">
        <v>50.23</v>
      </c>
      <c r="L770" s="128">
        <v>14100</v>
      </c>
      <c r="M770" s="112">
        <f>+L770*0.08</f>
        <v>1128</v>
      </c>
      <c r="N770" s="9">
        <f t="shared" si="646"/>
        <v>7050</v>
      </c>
      <c r="O770" s="9">
        <f t="shared" si="647"/>
        <v>5871.77</v>
      </c>
      <c r="P770" s="9">
        <f t="shared" si="648"/>
        <v>1178.23</v>
      </c>
      <c r="Q770" s="139">
        <f t="shared" si="649"/>
        <v>0.83287517730496463</v>
      </c>
      <c r="R770" s="345">
        <v>14100</v>
      </c>
      <c r="S770" s="359" t="s">
        <v>1948</v>
      </c>
      <c r="T770" s="305">
        <v>0.83287517730496463</v>
      </c>
      <c r="U770" s="144"/>
      <c r="V770" s="100"/>
      <c r="W770" s="110">
        <f t="shared" ref="W770:W801" si="651">+L770</f>
        <v>14100</v>
      </c>
      <c r="X770" s="110">
        <f t="shared" ref="X770:X801" si="652">+K770</f>
        <v>50.23</v>
      </c>
      <c r="Y770" s="110">
        <f t="shared" ref="Y770:Y801" si="653">+M770</f>
        <v>1128</v>
      </c>
      <c r="Z770" s="110">
        <f t="shared" ref="Z770:Z801" si="654">+W770/2-X770-Y770</f>
        <v>5871.77</v>
      </c>
      <c r="AA770" s="260">
        <f t="shared" ref="AA770:AA801" si="655">+Z770/(W770/2)</f>
        <v>0.83287517730496463</v>
      </c>
      <c r="AB770" s="28">
        <f t="shared" ref="AB770:AB801" si="656">ROUND($W770/2/$X$1,1)</f>
        <v>4.5999999999999996</v>
      </c>
      <c r="AC770" s="261">
        <f t="shared" ref="AC770:AC801" si="657">+(AB770*$X$1-$X770-$Y770)/(AB770*$X$1)</f>
        <v>0.83109992975816749</v>
      </c>
      <c r="AD770" s="111">
        <f t="shared" ref="AD770:AD801" si="658">+IFERROR(ROUND(($X770+$Y770)/(1-$X$2)/$X$1,1),0)</f>
        <v>0.8</v>
      </c>
      <c r="AE770" s="262">
        <f t="shared" ref="AE770:AE801" si="659">+(AD770*$X$1-$X770-$Y770)/(AD770*$X$1)</f>
        <v>2.88245961094626E-2</v>
      </c>
      <c r="AF770" s="100"/>
      <c r="AG770" s="111">
        <f t="shared" ref="AG770:AG801" si="660">+IFERROR(ROUND(($X770+$Y770)/(1-$AG$2)/$X$1,1),0)</f>
        <v>1.3</v>
      </c>
      <c r="AH770" s="262">
        <f t="shared" ref="AH770:AH801" si="661">+(AG770*$X$1-$X770-$Y770)/(AG770*$X$1)</f>
        <v>0.40235359760582312</v>
      </c>
      <c r="AI770" s="100"/>
      <c r="AJ770" s="111">
        <f t="shared" ref="AJ770:AJ801" si="662">+IFERROR(ROUND(($X770+$Y770)/(1-$AJ$2)/$X$1,1),0)</f>
        <v>1.2</v>
      </c>
      <c r="AK770" s="262">
        <f t="shared" ref="AK770:AK801" si="663">+(AJ770*$X$1-$X770-$Y770)/(AJ770*$X$1)</f>
        <v>0.35254973073964169</v>
      </c>
      <c r="AL770" s="100"/>
      <c r="AM770" s="111">
        <f t="shared" ref="AM770:AM801" si="664">+IFERROR(ROUND(($X770+$Y770)/(1-$AM$2)/$X$1,1),0)</f>
        <v>1.1000000000000001</v>
      </c>
      <c r="AN770" s="262">
        <f t="shared" ref="AN770:AN801" si="665">+(AM770*$X$1-$X770-$Y770)/(AM770*$X$1)</f>
        <v>0.29369061535233643</v>
      </c>
      <c r="AO770" s="100"/>
      <c r="AP770" s="24" t="e">
        <f>VLOOKUP(C770,#REF!,6,FALSE)</f>
        <v>#REF!</v>
      </c>
      <c r="AQ770" s="24" t="e">
        <f>VLOOKUP(C770,#REF!,7,FALSE)</f>
        <v>#REF!</v>
      </c>
      <c r="AR770" s="24" t="e">
        <f>VLOOKUP(C770,#REF!,12,FALSE)</f>
        <v>#REF!</v>
      </c>
      <c r="AS770" s="24" t="e">
        <f>VLOOKUP(C770,#REF!,13,FALSE)</f>
        <v>#REF!</v>
      </c>
      <c r="AT770" s="100"/>
      <c r="AU770" s="100"/>
      <c r="AV770" s="100">
        <v>752</v>
      </c>
      <c r="AW770" s="100"/>
      <c r="AY770" s="128">
        <v>14100</v>
      </c>
    </row>
    <row r="771" spans="1:51" s="2" customFormat="1" ht="12.75" customHeight="1" x14ac:dyDescent="0.2">
      <c r="A771" s="7" t="s">
        <v>1566</v>
      </c>
      <c r="B771" s="8">
        <v>9789500210249</v>
      </c>
      <c r="C771" s="13">
        <v>673646</v>
      </c>
      <c r="D771" s="25">
        <v>40</v>
      </c>
      <c r="E771" s="9" t="s">
        <v>464</v>
      </c>
      <c r="F771" s="7" t="s">
        <v>481</v>
      </c>
      <c r="G771" s="107">
        <v>43862</v>
      </c>
      <c r="H771" s="108">
        <v>43862</v>
      </c>
      <c r="I771" s="24">
        <v>2000</v>
      </c>
      <c r="J771" s="28" t="s">
        <v>1333</v>
      </c>
      <c r="K771" s="9">
        <v>142.87</v>
      </c>
      <c r="L771" s="128">
        <v>19900</v>
      </c>
      <c r="M771" s="112">
        <f>+L771*0.1</f>
        <v>1990</v>
      </c>
      <c r="N771" s="9">
        <f t="shared" si="646"/>
        <v>9950</v>
      </c>
      <c r="O771" s="9">
        <f t="shared" si="647"/>
        <v>7817.13</v>
      </c>
      <c r="P771" s="9">
        <f t="shared" si="648"/>
        <v>2132.87</v>
      </c>
      <c r="Q771" s="139">
        <f t="shared" si="649"/>
        <v>0.78564120603015075</v>
      </c>
      <c r="R771" s="345">
        <v>19900</v>
      </c>
      <c r="S771" s="359" t="s">
        <v>1948</v>
      </c>
      <c r="T771" s="305">
        <v>0.78564120603015075</v>
      </c>
      <c r="U771" s="115"/>
      <c r="V771" s="100"/>
      <c r="W771" s="110">
        <f t="shared" si="651"/>
        <v>19900</v>
      </c>
      <c r="X771" s="110">
        <f t="shared" si="652"/>
        <v>142.87</v>
      </c>
      <c r="Y771" s="110">
        <f t="shared" si="653"/>
        <v>1990</v>
      </c>
      <c r="Z771" s="110">
        <f t="shared" si="654"/>
        <v>7817.1299999999992</v>
      </c>
      <c r="AA771" s="260">
        <f t="shared" si="655"/>
        <v>0.78564120603015064</v>
      </c>
      <c r="AB771" s="28">
        <f t="shared" si="656"/>
        <v>6.6</v>
      </c>
      <c r="AC771" s="261">
        <f t="shared" si="657"/>
        <v>0.78690265663559422</v>
      </c>
      <c r="AD771" s="111">
        <f t="shared" si="658"/>
        <v>1.5</v>
      </c>
      <c r="AE771" s="262">
        <f t="shared" si="659"/>
        <v>6.2371689196615059E-2</v>
      </c>
      <c r="AF771" s="100"/>
      <c r="AG771" s="111">
        <f t="shared" si="660"/>
        <v>2.2999999999999998</v>
      </c>
      <c r="AH771" s="262">
        <f t="shared" si="661"/>
        <v>0.38850327556300979</v>
      </c>
      <c r="AI771" s="100"/>
      <c r="AJ771" s="111">
        <f t="shared" si="662"/>
        <v>2.2000000000000002</v>
      </c>
      <c r="AK771" s="262">
        <f t="shared" si="663"/>
        <v>0.36070796990678305</v>
      </c>
      <c r="AL771" s="100"/>
      <c r="AM771" s="111">
        <f t="shared" si="664"/>
        <v>2</v>
      </c>
      <c r="AN771" s="262">
        <f t="shared" si="665"/>
        <v>0.2967787668974613</v>
      </c>
      <c r="AO771" s="100"/>
      <c r="AP771" s="24" t="e">
        <f>VLOOKUP(C771,#REF!,6,FALSE)</f>
        <v>#REF!</v>
      </c>
      <c r="AQ771" s="24" t="e">
        <f>VLOOKUP(C771,#REF!,7,FALSE)</f>
        <v>#REF!</v>
      </c>
      <c r="AR771" s="24" t="e">
        <f>VLOOKUP(C771,#REF!,12,FALSE)</f>
        <v>#REF!</v>
      </c>
      <c r="AS771" s="24" t="e">
        <f>VLOOKUP(C771,#REF!,13,FALSE)</f>
        <v>#REF!</v>
      </c>
      <c r="AT771" s="100"/>
      <c r="AU771" s="100"/>
      <c r="AV771" s="100">
        <v>753</v>
      </c>
      <c r="AW771" s="100"/>
      <c r="AY771" s="128">
        <v>19900</v>
      </c>
    </row>
    <row r="772" spans="1:51" s="2" customFormat="1" ht="12.75" customHeight="1" x14ac:dyDescent="0.2">
      <c r="A772" s="6" t="s">
        <v>1567</v>
      </c>
      <c r="B772" s="8">
        <v>9789500298704</v>
      </c>
      <c r="C772" s="8">
        <v>617595</v>
      </c>
      <c r="D772" s="7">
        <v>32</v>
      </c>
      <c r="E772" s="11" t="s">
        <v>275</v>
      </c>
      <c r="F772" s="11" t="s">
        <v>1568</v>
      </c>
      <c r="G772" s="107">
        <v>42583</v>
      </c>
      <c r="H772" s="108">
        <v>42552</v>
      </c>
      <c r="I772" s="24">
        <v>3021</v>
      </c>
      <c r="J772" s="28" t="s">
        <v>1894</v>
      </c>
      <c r="K772" s="28">
        <v>44.07</v>
      </c>
      <c r="L772" s="128">
        <v>14100</v>
      </c>
      <c r="M772" s="112">
        <f>+L772*0.07</f>
        <v>987.00000000000011</v>
      </c>
      <c r="N772" s="9">
        <f t="shared" si="646"/>
        <v>7050</v>
      </c>
      <c r="O772" s="9">
        <f t="shared" si="647"/>
        <v>6018.93</v>
      </c>
      <c r="P772" s="9">
        <f t="shared" si="648"/>
        <v>1031.0700000000002</v>
      </c>
      <c r="Q772" s="139">
        <f t="shared" si="649"/>
        <v>0.85374893617021286</v>
      </c>
      <c r="R772" s="345">
        <v>14100</v>
      </c>
      <c r="S772" s="359" t="s">
        <v>1948</v>
      </c>
      <c r="T772" s="305">
        <v>0.85374893617021286</v>
      </c>
      <c r="U772" s="144"/>
      <c r="V772" s="100"/>
      <c r="W772" s="110">
        <f t="shared" si="651"/>
        <v>14100</v>
      </c>
      <c r="X772" s="110">
        <f t="shared" si="652"/>
        <v>44.07</v>
      </c>
      <c r="Y772" s="110">
        <f t="shared" si="653"/>
        <v>987.00000000000011</v>
      </c>
      <c r="Z772" s="110">
        <f t="shared" si="654"/>
        <v>6018.93</v>
      </c>
      <c r="AA772" s="260">
        <f t="shared" si="655"/>
        <v>0.85374893617021286</v>
      </c>
      <c r="AB772" s="28">
        <f t="shared" si="656"/>
        <v>4.5999999999999996</v>
      </c>
      <c r="AC772" s="261">
        <f t="shared" si="657"/>
        <v>0.85219541564529311</v>
      </c>
      <c r="AD772" s="111">
        <f t="shared" si="658"/>
        <v>0.7</v>
      </c>
      <c r="AE772" s="262">
        <f t="shared" si="659"/>
        <v>2.8712731383354333E-2</v>
      </c>
      <c r="AF772" s="100"/>
      <c r="AG772" s="111">
        <f t="shared" si="660"/>
        <v>1.1000000000000001</v>
      </c>
      <c r="AH772" s="262">
        <f t="shared" si="661"/>
        <v>0.38190810178940743</v>
      </c>
      <c r="AI772" s="100"/>
      <c r="AJ772" s="111">
        <f t="shared" si="662"/>
        <v>1</v>
      </c>
      <c r="AK772" s="262">
        <f t="shared" si="663"/>
        <v>0.32009891196834811</v>
      </c>
      <c r="AL772" s="100"/>
      <c r="AM772" s="111">
        <f t="shared" si="664"/>
        <v>1</v>
      </c>
      <c r="AN772" s="262">
        <f t="shared" si="665"/>
        <v>0.32009891196834811</v>
      </c>
      <c r="AO772" s="100"/>
      <c r="AP772" s="24" t="e">
        <f>VLOOKUP(C772,#REF!,6,FALSE)</f>
        <v>#REF!</v>
      </c>
      <c r="AQ772" s="24" t="e">
        <f>VLOOKUP(C772,#REF!,7,FALSE)</f>
        <v>#REF!</v>
      </c>
      <c r="AR772" s="24" t="e">
        <f>VLOOKUP(C772,#REF!,12,FALSE)</f>
        <v>#REF!</v>
      </c>
      <c r="AS772" s="24" t="e">
        <f>VLOOKUP(C772,#REF!,13,FALSE)</f>
        <v>#REF!</v>
      </c>
      <c r="AT772" s="100"/>
      <c r="AU772" s="100"/>
      <c r="AV772" s="100">
        <v>754</v>
      </c>
      <c r="AW772" s="100"/>
      <c r="AY772" s="128">
        <v>14100</v>
      </c>
    </row>
    <row r="773" spans="1:51" s="2" customFormat="1" ht="12.75" customHeight="1" x14ac:dyDescent="0.2">
      <c r="A773" s="7" t="s">
        <v>1569</v>
      </c>
      <c r="B773" s="8">
        <v>9789500207751</v>
      </c>
      <c r="C773" s="21">
        <v>580536</v>
      </c>
      <c r="D773" s="7">
        <v>48</v>
      </c>
      <c r="E773" s="7" t="s">
        <v>254</v>
      </c>
      <c r="F773" s="7" t="s">
        <v>255</v>
      </c>
      <c r="G773" s="107">
        <v>40756</v>
      </c>
      <c r="H773" s="108">
        <v>41821</v>
      </c>
      <c r="I773" s="24">
        <v>4200</v>
      </c>
      <c r="J773" s="28" t="s">
        <v>1894</v>
      </c>
      <c r="K773" s="28">
        <v>23.12</v>
      </c>
      <c r="L773" s="128">
        <v>14100</v>
      </c>
      <c r="M773" s="112">
        <f>+L773*0.07</f>
        <v>987.00000000000011</v>
      </c>
      <c r="N773" s="9">
        <f t="shared" si="646"/>
        <v>7050</v>
      </c>
      <c r="O773" s="9">
        <f t="shared" si="647"/>
        <v>6039.88</v>
      </c>
      <c r="P773" s="9">
        <f t="shared" si="648"/>
        <v>1010.1200000000001</v>
      </c>
      <c r="Q773" s="139">
        <f t="shared" si="649"/>
        <v>0.85672056737588653</v>
      </c>
      <c r="R773" s="345">
        <v>14100</v>
      </c>
      <c r="S773" s="359" t="s">
        <v>1948</v>
      </c>
      <c r="T773" s="305">
        <v>0.85672056737588653</v>
      </c>
      <c r="U773" s="144"/>
      <c r="V773" s="100"/>
      <c r="W773" s="110">
        <f t="shared" si="651"/>
        <v>14100</v>
      </c>
      <c r="X773" s="110">
        <f t="shared" si="652"/>
        <v>23.12</v>
      </c>
      <c r="Y773" s="110">
        <f t="shared" si="653"/>
        <v>987.00000000000011</v>
      </c>
      <c r="Z773" s="110">
        <f t="shared" si="654"/>
        <v>6039.88</v>
      </c>
      <c r="AA773" s="260">
        <f t="shared" si="655"/>
        <v>0.85672056737588653</v>
      </c>
      <c r="AB773" s="28">
        <f t="shared" si="656"/>
        <v>4.5999999999999996</v>
      </c>
      <c r="AC773" s="261">
        <f t="shared" si="657"/>
        <v>0.8551986123654296</v>
      </c>
      <c r="AD773" s="111">
        <f t="shared" si="658"/>
        <v>0.7</v>
      </c>
      <c r="AE773" s="262">
        <f t="shared" si="659"/>
        <v>4.8448024115679854E-2</v>
      </c>
      <c r="AF773" s="100"/>
      <c r="AG773" s="111">
        <f t="shared" si="660"/>
        <v>1.1000000000000001</v>
      </c>
      <c r="AH773" s="262">
        <f t="shared" si="661"/>
        <v>0.3944669244372509</v>
      </c>
      <c r="AI773" s="100"/>
      <c r="AJ773" s="111">
        <f t="shared" si="662"/>
        <v>1</v>
      </c>
      <c r="AK773" s="262">
        <f t="shared" si="663"/>
        <v>0.33391361688097593</v>
      </c>
      <c r="AL773" s="100"/>
      <c r="AM773" s="111">
        <f t="shared" si="664"/>
        <v>1</v>
      </c>
      <c r="AN773" s="262">
        <f t="shared" si="665"/>
        <v>0.33391361688097593</v>
      </c>
      <c r="AO773" s="100"/>
      <c r="AP773" s="24" t="e">
        <f>VLOOKUP(C773,#REF!,6,FALSE)</f>
        <v>#REF!</v>
      </c>
      <c r="AQ773" s="24" t="e">
        <f>VLOOKUP(C773,#REF!,7,FALSE)</f>
        <v>#REF!</v>
      </c>
      <c r="AR773" s="24" t="e">
        <f>VLOOKUP(C773,#REF!,12,FALSE)</f>
        <v>#REF!</v>
      </c>
      <c r="AS773" s="24" t="e">
        <f>VLOOKUP(C773,#REF!,13,FALSE)</f>
        <v>#REF!</v>
      </c>
      <c r="AT773" s="100"/>
      <c r="AU773" s="100"/>
      <c r="AV773" s="100">
        <v>755</v>
      </c>
      <c r="AW773" s="100"/>
      <c r="AY773" s="128">
        <v>14100</v>
      </c>
    </row>
    <row r="774" spans="1:51" s="2" customFormat="1" ht="12.75" customHeight="1" x14ac:dyDescent="0.2">
      <c r="A774" s="6" t="s">
        <v>1570</v>
      </c>
      <c r="B774" s="207">
        <v>9789500299602</v>
      </c>
      <c r="C774" s="6">
        <v>633017</v>
      </c>
      <c r="D774" s="7">
        <v>40</v>
      </c>
      <c r="E774" s="7" t="s">
        <v>238</v>
      </c>
      <c r="F774" s="11" t="s">
        <v>618</v>
      </c>
      <c r="G774" s="107">
        <v>42948</v>
      </c>
      <c r="H774" s="108">
        <v>42917</v>
      </c>
      <c r="I774" s="24">
        <v>4200</v>
      </c>
      <c r="J774" s="28" t="s">
        <v>1894</v>
      </c>
      <c r="K774" s="28">
        <v>53</v>
      </c>
      <c r="L774" s="128">
        <v>14100</v>
      </c>
      <c r="M774" s="112"/>
      <c r="N774" s="9">
        <f t="shared" si="646"/>
        <v>7050</v>
      </c>
      <c r="O774" s="9">
        <f t="shared" si="647"/>
        <v>6997</v>
      </c>
      <c r="P774" s="9">
        <f t="shared" si="648"/>
        <v>53</v>
      </c>
      <c r="Q774" s="139">
        <f t="shared" si="649"/>
        <v>0.99248226950354612</v>
      </c>
      <c r="R774" s="345">
        <v>14100</v>
      </c>
      <c r="S774" s="359" t="s">
        <v>1948</v>
      </c>
      <c r="T774" s="305">
        <v>0.99248226950354612</v>
      </c>
      <c r="U774" s="144"/>
      <c r="V774" s="100"/>
      <c r="W774" s="110">
        <f t="shared" si="651"/>
        <v>14100</v>
      </c>
      <c r="X774" s="110">
        <f t="shared" si="652"/>
        <v>53</v>
      </c>
      <c r="Y774" s="110">
        <f t="shared" si="653"/>
        <v>0</v>
      </c>
      <c r="Z774" s="110">
        <f t="shared" si="654"/>
        <v>6997</v>
      </c>
      <c r="AA774" s="260">
        <f t="shared" si="655"/>
        <v>0.99248226950354612</v>
      </c>
      <c r="AB774" s="28">
        <f t="shared" si="656"/>
        <v>4.5999999999999996</v>
      </c>
      <c r="AC774" s="261">
        <f t="shared" si="657"/>
        <v>0.99240241402543039</v>
      </c>
      <c r="AD774" s="111">
        <f t="shared" si="658"/>
        <v>0</v>
      </c>
      <c r="AE774" s="262" t="e">
        <f t="shared" si="659"/>
        <v>#DIV/0!</v>
      </c>
      <c r="AF774" s="100"/>
      <c r="AG774" s="111">
        <f t="shared" si="660"/>
        <v>0.1</v>
      </c>
      <c r="AH774" s="262">
        <f t="shared" si="661"/>
        <v>0.65051104516979885</v>
      </c>
      <c r="AI774" s="100"/>
      <c r="AJ774" s="111">
        <f t="shared" si="662"/>
        <v>0.1</v>
      </c>
      <c r="AK774" s="262">
        <f t="shared" si="663"/>
        <v>0.65051104516979885</v>
      </c>
      <c r="AL774" s="100"/>
      <c r="AM774" s="111">
        <f t="shared" si="664"/>
        <v>0</v>
      </c>
      <c r="AN774" s="262" t="e">
        <f t="shared" si="665"/>
        <v>#DIV/0!</v>
      </c>
      <c r="AO774" s="100"/>
      <c r="AP774" s="24" t="e">
        <f>VLOOKUP(C774,#REF!,6,FALSE)</f>
        <v>#REF!</v>
      </c>
      <c r="AQ774" s="24" t="e">
        <f>VLOOKUP(C774,#REF!,7,FALSE)</f>
        <v>#REF!</v>
      </c>
      <c r="AR774" s="24" t="e">
        <f>VLOOKUP(C774,#REF!,12,FALSE)</f>
        <v>#REF!</v>
      </c>
      <c r="AS774" s="24" t="e">
        <f>VLOOKUP(C774,#REF!,13,FALSE)</f>
        <v>#REF!</v>
      </c>
      <c r="AT774" s="100"/>
      <c r="AU774" s="100"/>
      <c r="AV774" s="100">
        <v>756</v>
      </c>
      <c r="AW774" s="100"/>
      <c r="AY774" s="128">
        <v>14100</v>
      </c>
    </row>
    <row r="775" spans="1:51" s="2" customFormat="1" ht="12.75" customHeight="1" x14ac:dyDescent="0.2">
      <c r="A775" s="11" t="s">
        <v>1571</v>
      </c>
      <c r="B775" s="13">
        <v>9789500209656</v>
      </c>
      <c r="C775" s="6">
        <v>657293</v>
      </c>
      <c r="D775" s="7">
        <v>40</v>
      </c>
      <c r="E775" s="6" t="s">
        <v>422</v>
      </c>
      <c r="F775" s="11" t="s">
        <v>566</v>
      </c>
      <c r="G775" s="107">
        <v>43435</v>
      </c>
      <c r="H775" s="108">
        <v>43405</v>
      </c>
      <c r="I775" s="24">
        <v>3140</v>
      </c>
      <c r="J775" s="28" t="s">
        <v>1894</v>
      </c>
      <c r="K775" s="28">
        <v>112.02</v>
      </c>
      <c r="L775" s="128">
        <v>14100</v>
      </c>
      <c r="M775" s="112"/>
      <c r="N775" s="9">
        <f t="shared" ref="N775:N806" si="666">+L775/2</f>
        <v>7050</v>
      </c>
      <c r="O775" s="9">
        <f t="shared" ref="O775:O806" si="667">+N775-M775-K775</f>
        <v>6937.98</v>
      </c>
      <c r="P775" s="9">
        <f t="shared" ref="P775:P806" si="668">+M775+K775</f>
        <v>112.02</v>
      </c>
      <c r="Q775" s="139">
        <f t="shared" ref="Q775:Q806" si="669">+O775/N775</f>
        <v>0.98411063829787226</v>
      </c>
      <c r="R775" s="345">
        <v>14100</v>
      </c>
      <c r="S775" s="359" t="s">
        <v>1948</v>
      </c>
      <c r="T775" s="305">
        <v>0.98411063829787226</v>
      </c>
      <c r="U775" s="144"/>
      <c r="V775" s="100"/>
      <c r="W775" s="110">
        <f t="shared" si="651"/>
        <v>14100</v>
      </c>
      <c r="X775" s="110">
        <f t="shared" si="652"/>
        <v>112.02</v>
      </c>
      <c r="Y775" s="110">
        <f t="shared" si="653"/>
        <v>0</v>
      </c>
      <c r="Z775" s="110">
        <f t="shared" si="654"/>
        <v>6937.98</v>
      </c>
      <c r="AA775" s="260">
        <f t="shared" si="655"/>
        <v>0.98411063829787226</v>
      </c>
      <c r="AB775" s="28">
        <f t="shared" si="656"/>
        <v>4.5999999999999996</v>
      </c>
      <c r="AC775" s="261">
        <f t="shared" si="657"/>
        <v>0.98394185696469272</v>
      </c>
      <c r="AD775" s="111">
        <f t="shared" si="658"/>
        <v>0.1</v>
      </c>
      <c r="AE775" s="262">
        <f t="shared" si="659"/>
        <v>0.26132542037586554</v>
      </c>
      <c r="AF775" s="100"/>
      <c r="AG775" s="111">
        <f t="shared" si="660"/>
        <v>0.1</v>
      </c>
      <c r="AH775" s="262">
        <f t="shared" si="661"/>
        <v>0.26132542037586554</v>
      </c>
      <c r="AI775" s="100"/>
      <c r="AJ775" s="111">
        <f t="shared" si="662"/>
        <v>0.1</v>
      </c>
      <c r="AK775" s="262">
        <f t="shared" si="663"/>
        <v>0.26132542037586554</v>
      </c>
      <c r="AL775" s="100"/>
      <c r="AM775" s="111">
        <f t="shared" si="664"/>
        <v>0.1</v>
      </c>
      <c r="AN775" s="262">
        <f t="shared" si="665"/>
        <v>0.26132542037586554</v>
      </c>
      <c r="AO775" s="100"/>
      <c r="AP775" s="24" t="e">
        <f>VLOOKUP(C775,#REF!,6,FALSE)</f>
        <v>#REF!</v>
      </c>
      <c r="AQ775" s="24" t="e">
        <f>VLOOKUP(C775,#REF!,7,FALSE)</f>
        <v>#REF!</v>
      </c>
      <c r="AR775" s="24" t="e">
        <f>VLOOKUP(C775,#REF!,12,FALSE)</f>
        <v>#REF!</v>
      </c>
      <c r="AS775" s="24" t="e">
        <f>VLOOKUP(C775,#REF!,13,FALSE)</f>
        <v>#REF!</v>
      </c>
      <c r="AT775" s="100"/>
      <c r="AU775" s="100"/>
      <c r="AV775" s="100">
        <v>757</v>
      </c>
      <c r="AW775" s="100"/>
      <c r="AY775" s="128">
        <v>14100</v>
      </c>
    </row>
    <row r="776" spans="1:51" s="2" customFormat="1" ht="12.75" customHeight="1" x14ac:dyDescent="0.2">
      <c r="A776" s="6" t="s">
        <v>1572</v>
      </c>
      <c r="B776" s="8">
        <v>9789500299084</v>
      </c>
      <c r="C776" s="8">
        <v>618707</v>
      </c>
      <c r="D776" s="7">
        <v>40</v>
      </c>
      <c r="E776" s="11" t="s">
        <v>282</v>
      </c>
      <c r="F776" s="11" t="s">
        <v>283</v>
      </c>
      <c r="G776" s="107">
        <v>42614</v>
      </c>
      <c r="H776" s="108">
        <v>42583</v>
      </c>
      <c r="I776" s="24">
        <v>3030</v>
      </c>
      <c r="J776" s="28" t="s">
        <v>1894</v>
      </c>
      <c r="K776" s="28">
        <v>64.02</v>
      </c>
      <c r="L776" s="128">
        <v>14100</v>
      </c>
      <c r="M776" s="9">
        <f>+L776*0.08</f>
        <v>1128</v>
      </c>
      <c r="N776" s="9">
        <f t="shared" si="666"/>
        <v>7050</v>
      </c>
      <c r="O776" s="9">
        <f t="shared" si="667"/>
        <v>5857.98</v>
      </c>
      <c r="P776" s="9">
        <f t="shared" si="668"/>
        <v>1192.02</v>
      </c>
      <c r="Q776" s="139">
        <f t="shared" si="669"/>
        <v>0.83091914893617014</v>
      </c>
      <c r="R776" s="345">
        <v>14100</v>
      </c>
      <c r="S776" s="359" t="s">
        <v>1948</v>
      </c>
      <c r="T776" s="305">
        <v>0.83091914893617014</v>
      </c>
      <c r="U776" s="144"/>
      <c r="V776" s="100"/>
      <c r="W776" s="110">
        <f t="shared" si="651"/>
        <v>14100</v>
      </c>
      <c r="X776" s="110">
        <f t="shared" si="652"/>
        <v>64.02</v>
      </c>
      <c r="Y776" s="110">
        <f t="shared" si="653"/>
        <v>1128</v>
      </c>
      <c r="Z776" s="110">
        <f t="shared" si="654"/>
        <v>5857.98</v>
      </c>
      <c r="AA776" s="260">
        <f t="shared" si="655"/>
        <v>0.83091914893617014</v>
      </c>
      <c r="AB776" s="28">
        <f t="shared" si="656"/>
        <v>4.5999999999999996</v>
      </c>
      <c r="AC776" s="261">
        <f t="shared" si="657"/>
        <v>0.82912312389799159</v>
      </c>
      <c r="AD776" s="111">
        <f t="shared" si="658"/>
        <v>0.8</v>
      </c>
      <c r="AE776" s="262">
        <f t="shared" si="659"/>
        <v>1.7457962413452079E-2</v>
      </c>
      <c r="AF776" s="100"/>
      <c r="AG776" s="111">
        <f t="shared" si="660"/>
        <v>1.3</v>
      </c>
      <c r="AH776" s="262">
        <f t="shared" si="661"/>
        <v>0.39535874610058591</v>
      </c>
      <c r="AI776" s="100"/>
      <c r="AJ776" s="111">
        <f t="shared" si="662"/>
        <v>1.2</v>
      </c>
      <c r="AK776" s="262">
        <f t="shared" si="663"/>
        <v>0.34497197494230136</v>
      </c>
      <c r="AL776" s="100"/>
      <c r="AM776" s="111">
        <f t="shared" si="664"/>
        <v>1.1000000000000001</v>
      </c>
      <c r="AN776" s="262">
        <f t="shared" si="665"/>
        <v>0.28542397266432878</v>
      </c>
      <c r="AO776" s="100"/>
      <c r="AP776" s="24" t="e">
        <f>VLOOKUP(C776,#REF!,6,FALSE)</f>
        <v>#REF!</v>
      </c>
      <c r="AQ776" s="24" t="e">
        <f>VLOOKUP(C776,#REF!,7,FALSE)</f>
        <v>#REF!</v>
      </c>
      <c r="AR776" s="24" t="e">
        <f>VLOOKUP(C776,#REF!,12,FALSE)</f>
        <v>#REF!</v>
      </c>
      <c r="AS776" s="24" t="e">
        <f>VLOOKUP(C776,#REF!,13,FALSE)</f>
        <v>#REF!</v>
      </c>
      <c r="AT776" s="100"/>
      <c r="AU776" s="100"/>
      <c r="AV776" s="100">
        <v>758</v>
      </c>
      <c r="AW776" s="100"/>
      <c r="AY776" s="128">
        <v>14100</v>
      </c>
    </row>
    <row r="777" spans="1:51" s="2" customFormat="1" ht="12.75" customHeight="1" x14ac:dyDescent="0.2">
      <c r="A777" s="6" t="s">
        <v>1573</v>
      </c>
      <c r="B777" s="8">
        <v>9789500299954</v>
      </c>
      <c r="C777" s="6">
        <v>643880</v>
      </c>
      <c r="D777" s="7">
        <v>32</v>
      </c>
      <c r="E777" s="7" t="s">
        <v>341</v>
      </c>
      <c r="F777" s="177" t="s">
        <v>342</v>
      </c>
      <c r="G777" s="107">
        <v>43132</v>
      </c>
      <c r="H777" s="108">
        <v>43070</v>
      </c>
      <c r="I777" s="24">
        <v>3140</v>
      </c>
      <c r="J777" s="28" t="s">
        <v>1894</v>
      </c>
      <c r="K777" s="28">
        <v>75.36</v>
      </c>
      <c r="L777" s="128">
        <v>14100</v>
      </c>
      <c r="M777" s="9"/>
      <c r="N777" s="9">
        <f t="shared" si="666"/>
        <v>7050</v>
      </c>
      <c r="O777" s="9">
        <f t="shared" si="667"/>
        <v>6974.64</v>
      </c>
      <c r="P777" s="9">
        <f t="shared" si="668"/>
        <v>75.36</v>
      </c>
      <c r="Q777" s="139">
        <f t="shared" si="669"/>
        <v>0.98931063829787236</v>
      </c>
      <c r="R777" s="345">
        <v>14100</v>
      </c>
      <c r="S777" s="359" t="s">
        <v>1948</v>
      </c>
      <c r="T777" s="305">
        <v>0.98931063829787236</v>
      </c>
      <c r="U777" s="144"/>
      <c r="V777" s="100"/>
      <c r="W777" s="110">
        <f t="shared" si="651"/>
        <v>14100</v>
      </c>
      <c r="X777" s="110">
        <f t="shared" si="652"/>
        <v>75.36</v>
      </c>
      <c r="Y777" s="110">
        <f t="shared" si="653"/>
        <v>0</v>
      </c>
      <c r="Z777" s="110">
        <f t="shared" si="654"/>
        <v>6974.64</v>
      </c>
      <c r="AA777" s="260">
        <f t="shared" si="655"/>
        <v>0.98931063829787236</v>
      </c>
      <c r="AB777" s="28">
        <f t="shared" si="656"/>
        <v>4.5999999999999996</v>
      </c>
      <c r="AC777" s="261">
        <f t="shared" si="657"/>
        <v>0.98919709284823465</v>
      </c>
      <c r="AD777" s="111">
        <f t="shared" si="658"/>
        <v>0.1</v>
      </c>
      <c r="AE777" s="262">
        <f t="shared" si="659"/>
        <v>0.50306627101879331</v>
      </c>
      <c r="AF777" s="100"/>
      <c r="AG777" s="111">
        <f t="shared" si="660"/>
        <v>0.1</v>
      </c>
      <c r="AH777" s="262">
        <f t="shared" si="661"/>
        <v>0.50306627101879331</v>
      </c>
      <c r="AI777" s="100"/>
      <c r="AJ777" s="111">
        <f t="shared" si="662"/>
        <v>0.1</v>
      </c>
      <c r="AK777" s="262">
        <f t="shared" si="663"/>
        <v>0.50306627101879331</v>
      </c>
      <c r="AL777" s="100"/>
      <c r="AM777" s="111">
        <f t="shared" si="664"/>
        <v>0.1</v>
      </c>
      <c r="AN777" s="262">
        <f t="shared" si="665"/>
        <v>0.50306627101879331</v>
      </c>
      <c r="AO777" s="100"/>
      <c r="AP777" s="24" t="e">
        <f>VLOOKUP(C777,#REF!,6,FALSE)</f>
        <v>#REF!</v>
      </c>
      <c r="AQ777" s="24" t="e">
        <f>VLOOKUP(C777,#REF!,7,FALSE)</f>
        <v>#REF!</v>
      </c>
      <c r="AR777" s="24" t="e">
        <f>VLOOKUP(C777,#REF!,12,FALSE)</f>
        <v>#REF!</v>
      </c>
      <c r="AS777" s="24" t="e">
        <f>VLOOKUP(C777,#REF!,13,FALSE)</f>
        <v>#REF!</v>
      </c>
      <c r="AT777" s="100"/>
      <c r="AU777" s="100"/>
      <c r="AV777" s="100">
        <v>759</v>
      </c>
      <c r="AW777" s="100"/>
      <c r="AY777" s="128">
        <v>14100</v>
      </c>
    </row>
    <row r="778" spans="1:51" s="2" customFormat="1" ht="12.75" customHeight="1" x14ac:dyDescent="0.2">
      <c r="A778" s="6" t="s">
        <v>1574</v>
      </c>
      <c r="B778" s="8">
        <v>9789500298728</v>
      </c>
      <c r="C778" s="8">
        <v>610472</v>
      </c>
      <c r="D778" s="7">
        <v>40</v>
      </c>
      <c r="E778" s="31" t="s">
        <v>278</v>
      </c>
      <c r="F778" s="32" t="s">
        <v>281</v>
      </c>
      <c r="G778" s="107">
        <v>42461</v>
      </c>
      <c r="H778" s="108">
        <v>42430</v>
      </c>
      <c r="I778" s="24">
        <v>3000</v>
      </c>
      <c r="J778" s="28" t="s">
        <v>1894</v>
      </c>
      <c r="K778" s="28">
        <v>64.13</v>
      </c>
      <c r="L778" s="128">
        <v>14100</v>
      </c>
      <c r="M778" s="9">
        <f>+L778*0.08</f>
        <v>1128</v>
      </c>
      <c r="N778" s="9">
        <f t="shared" si="666"/>
        <v>7050</v>
      </c>
      <c r="O778" s="9">
        <f t="shared" si="667"/>
        <v>5857.87</v>
      </c>
      <c r="P778" s="9">
        <f t="shared" si="668"/>
        <v>1192.1300000000001</v>
      </c>
      <c r="Q778" s="139">
        <f t="shared" si="669"/>
        <v>0.83090354609929074</v>
      </c>
      <c r="R778" s="345">
        <v>14100</v>
      </c>
      <c r="S778" s="359" t="s">
        <v>1948</v>
      </c>
      <c r="T778" s="305">
        <v>0.83090354609929074</v>
      </c>
      <c r="U778" s="144"/>
      <c r="V778" s="100"/>
      <c r="W778" s="110">
        <f t="shared" si="651"/>
        <v>14100</v>
      </c>
      <c r="X778" s="110">
        <f t="shared" si="652"/>
        <v>64.13</v>
      </c>
      <c r="Y778" s="110">
        <f t="shared" si="653"/>
        <v>1128</v>
      </c>
      <c r="Z778" s="110">
        <f t="shared" si="654"/>
        <v>5857.87</v>
      </c>
      <c r="AA778" s="260">
        <f t="shared" si="655"/>
        <v>0.83090354609929074</v>
      </c>
      <c r="AB778" s="28">
        <f t="shared" si="656"/>
        <v>4.5999999999999996</v>
      </c>
      <c r="AC778" s="261">
        <f t="shared" si="657"/>
        <v>0.82910735532332747</v>
      </c>
      <c r="AD778" s="111">
        <f t="shared" si="658"/>
        <v>0.8</v>
      </c>
      <c r="AE778" s="262">
        <f t="shared" si="659"/>
        <v>1.7367293109133007E-2</v>
      </c>
      <c r="AF778" s="100"/>
      <c r="AG778" s="111">
        <f t="shared" si="660"/>
        <v>1.3</v>
      </c>
      <c r="AH778" s="262">
        <f t="shared" si="661"/>
        <v>0.39530294960562029</v>
      </c>
      <c r="AI778" s="100"/>
      <c r="AJ778" s="111">
        <f t="shared" si="662"/>
        <v>1.2</v>
      </c>
      <c r="AK778" s="262">
        <f t="shared" si="663"/>
        <v>0.34491152873942199</v>
      </c>
      <c r="AL778" s="100"/>
      <c r="AM778" s="111">
        <f t="shared" si="664"/>
        <v>1.1000000000000001</v>
      </c>
      <c r="AN778" s="262">
        <f t="shared" si="665"/>
        <v>0.28535803135209659</v>
      </c>
      <c r="AO778" s="100"/>
      <c r="AP778" s="24" t="e">
        <f>VLOOKUP(C778,#REF!,6,FALSE)</f>
        <v>#REF!</v>
      </c>
      <c r="AQ778" s="24" t="e">
        <f>VLOOKUP(C778,#REF!,7,FALSE)</f>
        <v>#REF!</v>
      </c>
      <c r="AR778" s="24" t="e">
        <f>VLOOKUP(C778,#REF!,12,FALSE)</f>
        <v>#REF!</v>
      </c>
      <c r="AS778" s="24" t="e">
        <f>VLOOKUP(C778,#REF!,13,FALSE)</f>
        <v>#REF!</v>
      </c>
      <c r="AT778" s="100"/>
      <c r="AU778" s="100"/>
      <c r="AV778" s="100">
        <v>760</v>
      </c>
      <c r="AW778" s="100"/>
      <c r="AY778" s="128">
        <v>14100</v>
      </c>
    </row>
    <row r="779" spans="1:51" s="2" customFormat="1" ht="12.75" customHeight="1" x14ac:dyDescent="0.2">
      <c r="A779" s="6" t="s">
        <v>1575</v>
      </c>
      <c r="B779" s="8">
        <v>9789500208826</v>
      </c>
      <c r="C779" s="8">
        <v>598210</v>
      </c>
      <c r="D779" s="25">
        <v>48</v>
      </c>
      <c r="E779" s="22" t="s">
        <v>1576</v>
      </c>
      <c r="F779" s="6" t="s">
        <v>261</v>
      </c>
      <c r="G779" s="107">
        <v>42309</v>
      </c>
      <c r="H779" s="108">
        <v>42278</v>
      </c>
      <c r="I779" s="24">
        <v>4000</v>
      </c>
      <c r="J779" s="28" t="s">
        <v>1894</v>
      </c>
      <c r="K779" s="28">
        <v>38.82</v>
      </c>
      <c r="L779" s="128">
        <v>14100</v>
      </c>
      <c r="M779" s="9">
        <f>+L779*0.07</f>
        <v>987.00000000000011</v>
      </c>
      <c r="N779" s="9">
        <f t="shared" si="666"/>
        <v>7050</v>
      </c>
      <c r="O779" s="9">
        <f t="shared" si="667"/>
        <v>6024.18</v>
      </c>
      <c r="P779" s="9">
        <f t="shared" si="668"/>
        <v>1025.8200000000002</v>
      </c>
      <c r="Q779" s="139">
        <f t="shared" si="669"/>
        <v>0.85449361702127669</v>
      </c>
      <c r="R779" s="345">
        <v>14100</v>
      </c>
      <c r="S779" s="359" t="s">
        <v>1948</v>
      </c>
      <c r="T779" s="305">
        <v>0.85449361702127669</v>
      </c>
      <c r="U779" s="144"/>
      <c r="V779" s="100"/>
      <c r="W779" s="110">
        <f t="shared" si="651"/>
        <v>14100</v>
      </c>
      <c r="X779" s="110">
        <f t="shared" si="652"/>
        <v>38.82</v>
      </c>
      <c r="Y779" s="110">
        <f t="shared" si="653"/>
        <v>987.00000000000011</v>
      </c>
      <c r="Z779" s="110">
        <f t="shared" si="654"/>
        <v>6024.18</v>
      </c>
      <c r="AA779" s="260">
        <f t="shared" si="655"/>
        <v>0.85449361702127669</v>
      </c>
      <c r="AB779" s="28">
        <f t="shared" si="656"/>
        <v>4.5999999999999996</v>
      </c>
      <c r="AC779" s="261">
        <f t="shared" si="657"/>
        <v>0.85294800670881177</v>
      </c>
      <c r="AD779" s="111">
        <f t="shared" si="658"/>
        <v>0.7</v>
      </c>
      <c r="AE779" s="262">
        <f t="shared" si="659"/>
        <v>3.3658329800762839E-2</v>
      </c>
      <c r="AF779" s="100"/>
      <c r="AG779" s="111">
        <f t="shared" si="660"/>
        <v>1.1000000000000001</v>
      </c>
      <c r="AH779" s="262">
        <f t="shared" si="661"/>
        <v>0.38505530078230377</v>
      </c>
      <c r="AI779" s="100"/>
      <c r="AJ779" s="111">
        <f t="shared" si="662"/>
        <v>1</v>
      </c>
      <c r="AK779" s="262">
        <f t="shared" si="663"/>
        <v>0.32356083086053411</v>
      </c>
      <c r="AL779" s="100"/>
      <c r="AM779" s="111">
        <f t="shared" si="664"/>
        <v>1</v>
      </c>
      <c r="AN779" s="262">
        <f t="shared" si="665"/>
        <v>0.32356083086053411</v>
      </c>
      <c r="AO779" s="100"/>
      <c r="AP779" s="24" t="e">
        <f>VLOOKUP(C779,#REF!,6,FALSE)</f>
        <v>#REF!</v>
      </c>
      <c r="AQ779" s="24" t="e">
        <f>VLOOKUP(C779,#REF!,7,FALSE)</f>
        <v>#REF!</v>
      </c>
      <c r="AR779" s="24" t="e">
        <f>VLOOKUP(C779,#REF!,12,FALSE)</f>
        <v>#REF!</v>
      </c>
      <c r="AS779" s="24" t="e">
        <f>VLOOKUP(C779,#REF!,13,FALSE)</f>
        <v>#REF!</v>
      </c>
      <c r="AT779" s="100"/>
      <c r="AU779" s="100"/>
      <c r="AV779" s="100">
        <v>761</v>
      </c>
      <c r="AW779" s="100"/>
      <c r="AY779" s="128">
        <v>14100</v>
      </c>
    </row>
    <row r="780" spans="1:51" s="2" customFormat="1" ht="12.75" customHeight="1" x14ac:dyDescent="0.2">
      <c r="A780" s="6" t="s">
        <v>1489</v>
      </c>
      <c r="B780" s="8">
        <v>9789500298995</v>
      </c>
      <c r="C780" s="8">
        <v>616440</v>
      </c>
      <c r="D780" s="7">
        <v>36</v>
      </c>
      <c r="E780" s="31" t="s">
        <v>256</v>
      </c>
      <c r="F780" s="6" t="s">
        <v>257</v>
      </c>
      <c r="G780" s="107">
        <v>42552</v>
      </c>
      <c r="H780" s="108">
        <v>42522</v>
      </c>
      <c r="I780" s="24">
        <v>3024</v>
      </c>
      <c r="J780" s="28" t="s">
        <v>1894</v>
      </c>
      <c r="K780" s="28">
        <v>47.56</v>
      </c>
      <c r="L780" s="128">
        <v>14100</v>
      </c>
      <c r="M780" s="9">
        <f>+L780*0.08</f>
        <v>1128</v>
      </c>
      <c r="N780" s="9">
        <f t="shared" si="666"/>
        <v>7050</v>
      </c>
      <c r="O780" s="9">
        <f t="shared" si="667"/>
        <v>5874.44</v>
      </c>
      <c r="P780" s="9">
        <f t="shared" si="668"/>
        <v>1175.56</v>
      </c>
      <c r="Q780" s="139">
        <f t="shared" si="669"/>
        <v>0.83325390070921979</v>
      </c>
      <c r="R780" s="345">
        <v>14100</v>
      </c>
      <c r="S780" s="359" t="s">
        <v>1948</v>
      </c>
      <c r="T780" s="305">
        <v>0.83325390070921979</v>
      </c>
      <c r="U780" s="144"/>
      <c r="V780" s="100"/>
      <c r="W780" s="110">
        <f t="shared" si="651"/>
        <v>14100</v>
      </c>
      <c r="X780" s="110">
        <f t="shared" si="652"/>
        <v>47.56</v>
      </c>
      <c r="Y780" s="110">
        <f t="shared" si="653"/>
        <v>1128</v>
      </c>
      <c r="Z780" s="110">
        <f t="shared" si="654"/>
        <v>5874.44</v>
      </c>
      <c r="AA780" s="260">
        <f t="shared" si="655"/>
        <v>0.83325390070921979</v>
      </c>
      <c r="AB780" s="28">
        <f t="shared" si="656"/>
        <v>4.5999999999999996</v>
      </c>
      <c r="AC780" s="261">
        <f t="shared" si="657"/>
        <v>0.83148267607047111</v>
      </c>
      <c r="AD780" s="111">
        <f t="shared" si="658"/>
        <v>0.8</v>
      </c>
      <c r="AE780" s="262">
        <f t="shared" si="659"/>
        <v>3.1025387405209444E-2</v>
      </c>
      <c r="AF780" s="100"/>
      <c r="AG780" s="111">
        <f t="shared" si="660"/>
        <v>1.3</v>
      </c>
      <c r="AH780" s="262">
        <f t="shared" si="661"/>
        <v>0.40370793071089811</v>
      </c>
      <c r="AI780" s="100"/>
      <c r="AJ780" s="111">
        <f t="shared" si="662"/>
        <v>1.2</v>
      </c>
      <c r="AK780" s="262">
        <f t="shared" si="663"/>
        <v>0.35401692493680625</v>
      </c>
      <c r="AL780" s="100"/>
      <c r="AM780" s="111">
        <f t="shared" si="664"/>
        <v>1.1000000000000001</v>
      </c>
      <c r="AN780" s="262">
        <f t="shared" si="665"/>
        <v>0.29529119084015232</v>
      </c>
      <c r="AO780" s="100"/>
      <c r="AP780" s="24" t="e">
        <f>VLOOKUP(C780,#REF!,6,FALSE)</f>
        <v>#REF!</v>
      </c>
      <c r="AQ780" s="24" t="e">
        <f>VLOOKUP(C780,#REF!,7,FALSE)</f>
        <v>#REF!</v>
      </c>
      <c r="AR780" s="24" t="e">
        <f>VLOOKUP(C780,#REF!,12,FALSE)</f>
        <v>#REF!</v>
      </c>
      <c r="AS780" s="24" t="e">
        <f>VLOOKUP(C780,#REF!,13,FALSE)</f>
        <v>#REF!</v>
      </c>
      <c r="AT780" s="100"/>
      <c r="AU780" s="100"/>
      <c r="AV780" s="100">
        <v>762</v>
      </c>
      <c r="AW780" s="100"/>
      <c r="AY780" s="128">
        <v>14100</v>
      </c>
    </row>
    <row r="781" spans="1:51" s="2" customFormat="1" ht="12.75" customHeight="1" x14ac:dyDescent="0.2">
      <c r="A781" s="7" t="s">
        <v>1577</v>
      </c>
      <c r="B781" s="8">
        <v>9789500210546</v>
      </c>
      <c r="C781" s="8">
        <v>681095</v>
      </c>
      <c r="D781" s="25">
        <v>40</v>
      </c>
      <c r="E781" s="7" t="s">
        <v>537</v>
      </c>
      <c r="F781" s="7" t="s">
        <v>523</v>
      </c>
      <c r="G781" s="107">
        <v>44256</v>
      </c>
      <c r="H781" s="108">
        <v>44228</v>
      </c>
      <c r="I781" s="7">
        <v>2018</v>
      </c>
      <c r="J781" s="28" t="s">
        <v>1894</v>
      </c>
      <c r="K781" s="9">
        <v>171.63</v>
      </c>
      <c r="L781" s="112">
        <v>14100</v>
      </c>
      <c r="M781" s="9">
        <f>+L781*0.07</f>
        <v>987.00000000000011</v>
      </c>
      <c r="N781" s="9">
        <f t="shared" si="666"/>
        <v>7050</v>
      </c>
      <c r="O781" s="9">
        <f t="shared" si="667"/>
        <v>5891.37</v>
      </c>
      <c r="P781" s="9">
        <f t="shared" si="668"/>
        <v>1158.6300000000001</v>
      </c>
      <c r="Q781" s="139">
        <f t="shared" si="669"/>
        <v>0.8356553191489362</v>
      </c>
      <c r="R781" s="345">
        <v>14100</v>
      </c>
      <c r="S781" s="359" t="s">
        <v>1948</v>
      </c>
      <c r="T781" s="305">
        <v>0.8356553191489362</v>
      </c>
      <c r="U781" s="115"/>
      <c r="V781" s="100"/>
      <c r="W781" s="110">
        <f t="shared" si="651"/>
        <v>14100</v>
      </c>
      <c r="X781" s="110">
        <f t="shared" si="652"/>
        <v>171.63</v>
      </c>
      <c r="Y781" s="110">
        <f t="shared" si="653"/>
        <v>987.00000000000011</v>
      </c>
      <c r="Z781" s="110">
        <f t="shared" si="654"/>
        <v>5891.37</v>
      </c>
      <c r="AA781" s="260">
        <f t="shared" si="655"/>
        <v>0.8356553191489362</v>
      </c>
      <c r="AB781" s="28">
        <f t="shared" si="656"/>
        <v>4.5999999999999996</v>
      </c>
      <c r="AC781" s="261">
        <f t="shared" si="657"/>
        <v>0.83390960306197048</v>
      </c>
      <c r="AD781" s="111">
        <f t="shared" si="658"/>
        <v>0.8</v>
      </c>
      <c r="AE781" s="262">
        <f t="shared" si="659"/>
        <v>4.4980217606330405E-2</v>
      </c>
      <c r="AF781" s="100"/>
      <c r="AG781" s="111">
        <f t="shared" si="660"/>
        <v>1.3</v>
      </c>
      <c r="AH781" s="262">
        <f t="shared" si="661"/>
        <v>0.41229551852697255</v>
      </c>
      <c r="AI781" s="100"/>
      <c r="AJ781" s="111">
        <f t="shared" si="662"/>
        <v>1.2</v>
      </c>
      <c r="AK781" s="262">
        <f t="shared" si="663"/>
        <v>0.36332014507088689</v>
      </c>
      <c r="AL781" s="100"/>
      <c r="AM781" s="111">
        <f t="shared" si="664"/>
        <v>1.1000000000000001</v>
      </c>
      <c r="AN781" s="262">
        <f t="shared" si="665"/>
        <v>0.30544015825914927</v>
      </c>
      <c r="AO781" s="100"/>
      <c r="AP781" s="24" t="e">
        <f>VLOOKUP(C781,#REF!,6,FALSE)</f>
        <v>#REF!</v>
      </c>
      <c r="AQ781" s="24" t="e">
        <f>VLOOKUP(C781,#REF!,7,FALSE)</f>
        <v>#REF!</v>
      </c>
      <c r="AR781" s="24" t="e">
        <f>VLOOKUP(C781,#REF!,12,FALSE)</f>
        <v>#REF!</v>
      </c>
      <c r="AS781" s="24" t="e">
        <f>VLOOKUP(C781,#REF!,13,FALSE)</f>
        <v>#REF!</v>
      </c>
      <c r="AT781" s="100"/>
      <c r="AU781" s="100"/>
      <c r="AV781" s="100">
        <v>763</v>
      </c>
      <c r="AW781" s="100"/>
      <c r="AY781" s="112">
        <v>14100</v>
      </c>
    </row>
    <row r="782" spans="1:51" s="2" customFormat="1" ht="12.75" customHeight="1" x14ac:dyDescent="0.2">
      <c r="A782" s="7" t="s">
        <v>1578</v>
      </c>
      <c r="B782" s="8">
        <v>9789500211369</v>
      </c>
      <c r="C782" s="8">
        <v>681102</v>
      </c>
      <c r="D782" s="25">
        <v>32</v>
      </c>
      <c r="E782" s="7" t="s">
        <v>530</v>
      </c>
      <c r="F782" s="7" t="s">
        <v>1579</v>
      </c>
      <c r="G782" s="107">
        <v>44228</v>
      </c>
      <c r="H782" s="108">
        <v>44197</v>
      </c>
      <c r="I782" s="24">
        <v>3000</v>
      </c>
      <c r="J782" s="28" t="s">
        <v>1762</v>
      </c>
      <c r="K782" s="9">
        <v>174.03</v>
      </c>
      <c r="L782" s="128">
        <v>17500</v>
      </c>
      <c r="M782" s="9">
        <f>+L782*0.08</f>
        <v>1400</v>
      </c>
      <c r="N782" s="9">
        <f t="shared" si="666"/>
        <v>8750</v>
      </c>
      <c r="O782" s="9">
        <f t="shared" si="667"/>
        <v>7175.97</v>
      </c>
      <c r="P782" s="9">
        <f t="shared" si="668"/>
        <v>1574.03</v>
      </c>
      <c r="Q782" s="139">
        <f t="shared" si="669"/>
        <v>0.82011085714285714</v>
      </c>
      <c r="R782" s="345">
        <v>17500</v>
      </c>
      <c r="S782" s="359" t="s">
        <v>1948</v>
      </c>
      <c r="T782" s="305">
        <v>0.82011085714285714</v>
      </c>
      <c r="U782" s="115"/>
      <c r="V782" s="100"/>
      <c r="W782" s="110">
        <f t="shared" si="651"/>
        <v>17500</v>
      </c>
      <c r="X782" s="110">
        <f t="shared" si="652"/>
        <v>174.03</v>
      </c>
      <c r="Y782" s="110">
        <f t="shared" si="653"/>
        <v>1400</v>
      </c>
      <c r="Z782" s="110">
        <f t="shared" si="654"/>
        <v>7175.9699999999993</v>
      </c>
      <c r="AA782" s="260">
        <f t="shared" si="655"/>
        <v>0.82011085714285703</v>
      </c>
      <c r="AB782" s="28">
        <f t="shared" si="656"/>
        <v>5.8</v>
      </c>
      <c r="AC782" s="261">
        <f t="shared" si="657"/>
        <v>0.82104551087463185</v>
      </c>
      <c r="AD782" s="111">
        <f t="shared" si="658"/>
        <v>1.1000000000000001</v>
      </c>
      <c r="AE782" s="262">
        <f t="shared" si="659"/>
        <v>5.6421784611695662E-2</v>
      </c>
      <c r="AF782" s="100"/>
      <c r="AG782" s="111">
        <f t="shared" si="660"/>
        <v>1.7</v>
      </c>
      <c r="AH782" s="262">
        <f t="shared" si="661"/>
        <v>0.38944939004286172</v>
      </c>
      <c r="AI782" s="100"/>
      <c r="AJ782" s="111">
        <f t="shared" si="662"/>
        <v>1.6</v>
      </c>
      <c r="AK782" s="262">
        <f t="shared" si="663"/>
        <v>0.35128997692054065</v>
      </c>
      <c r="AL782" s="100"/>
      <c r="AM782" s="111">
        <f t="shared" si="664"/>
        <v>1.5</v>
      </c>
      <c r="AN782" s="262">
        <f t="shared" si="665"/>
        <v>0.30804264204857668</v>
      </c>
      <c r="AO782" s="100"/>
      <c r="AP782" s="24" t="e">
        <f>VLOOKUP(C782,#REF!,6,FALSE)</f>
        <v>#REF!</v>
      </c>
      <c r="AQ782" s="24" t="e">
        <f>VLOOKUP(C782,#REF!,7,FALSE)</f>
        <v>#REF!</v>
      </c>
      <c r="AR782" s="24" t="e">
        <f>VLOOKUP(C782,#REF!,12,FALSE)</f>
        <v>#REF!</v>
      </c>
      <c r="AS782" s="24" t="e">
        <f>VLOOKUP(C782,#REF!,13,FALSE)</f>
        <v>#REF!</v>
      </c>
      <c r="AT782" s="100"/>
      <c r="AU782" s="100"/>
      <c r="AV782" s="100">
        <v>764</v>
      </c>
      <c r="AW782" s="100"/>
      <c r="AY782" s="128">
        <v>17500</v>
      </c>
    </row>
    <row r="783" spans="1:51" s="2" customFormat="1" ht="12.75" customHeight="1" x14ac:dyDescent="0.2">
      <c r="A783" s="7" t="s">
        <v>1580</v>
      </c>
      <c r="B783" s="8">
        <v>9789500206129</v>
      </c>
      <c r="C783" s="8">
        <v>545081</v>
      </c>
      <c r="D783" s="7">
        <v>48</v>
      </c>
      <c r="E783" s="7" t="s">
        <v>286</v>
      </c>
      <c r="F783" s="7" t="s">
        <v>287</v>
      </c>
      <c r="G783" s="107">
        <v>40969</v>
      </c>
      <c r="H783" s="108">
        <v>42309</v>
      </c>
      <c r="I783" s="24">
        <v>3120</v>
      </c>
      <c r="J783" s="28" t="s">
        <v>1894</v>
      </c>
      <c r="K783" s="28">
        <v>33.299999999999997</v>
      </c>
      <c r="L783" s="128">
        <v>14100</v>
      </c>
      <c r="M783" s="112">
        <f>+L783*0.07</f>
        <v>987.00000000000011</v>
      </c>
      <c r="N783" s="9">
        <f t="shared" si="666"/>
        <v>7050</v>
      </c>
      <c r="O783" s="9">
        <f t="shared" si="667"/>
        <v>6029.7</v>
      </c>
      <c r="P783" s="9">
        <f t="shared" si="668"/>
        <v>1020.3000000000001</v>
      </c>
      <c r="Q783" s="139">
        <f t="shared" si="669"/>
        <v>0.85527659574468085</v>
      </c>
      <c r="R783" s="345">
        <v>14100</v>
      </c>
      <c r="S783" s="359" t="s">
        <v>1948</v>
      </c>
      <c r="T783" s="305">
        <v>0.85527659574468085</v>
      </c>
      <c r="U783" s="144"/>
      <c r="V783" s="100"/>
      <c r="W783" s="110">
        <f t="shared" si="651"/>
        <v>14100</v>
      </c>
      <c r="X783" s="110">
        <f t="shared" si="652"/>
        <v>33.299999999999997</v>
      </c>
      <c r="Y783" s="110">
        <f t="shared" si="653"/>
        <v>987.00000000000011</v>
      </c>
      <c r="Z783" s="110">
        <f t="shared" si="654"/>
        <v>6029.7</v>
      </c>
      <c r="AA783" s="260">
        <f t="shared" si="655"/>
        <v>0.85527659574468085</v>
      </c>
      <c r="AB783" s="28">
        <f t="shared" si="656"/>
        <v>4.5999999999999996</v>
      </c>
      <c r="AC783" s="261">
        <f t="shared" si="657"/>
        <v>0.85373930245559715</v>
      </c>
      <c r="AD783" s="111">
        <f t="shared" si="658"/>
        <v>0.7</v>
      </c>
      <c r="AE783" s="262">
        <f t="shared" si="659"/>
        <v>3.8858273279638159E-2</v>
      </c>
      <c r="AF783" s="100"/>
      <c r="AG783" s="111">
        <f t="shared" si="660"/>
        <v>1.1000000000000001</v>
      </c>
      <c r="AH783" s="262">
        <f t="shared" si="661"/>
        <v>0.38836435572340616</v>
      </c>
      <c r="AI783" s="100"/>
      <c r="AJ783" s="111">
        <f t="shared" si="662"/>
        <v>1</v>
      </c>
      <c r="AK783" s="262">
        <f t="shared" si="663"/>
        <v>0.32720079129574675</v>
      </c>
      <c r="AL783" s="100"/>
      <c r="AM783" s="111">
        <f t="shared" si="664"/>
        <v>1</v>
      </c>
      <c r="AN783" s="262">
        <f t="shared" si="665"/>
        <v>0.32720079129574675</v>
      </c>
      <c r="AO783" s="100"/>
      <c r="AP783" s="24" t="e">
        <f>VLOOKUP(C783,#REF!,6,FALSE)</f>
        <v>#REF!</v>
      </c>
      <c r="AQ783" s="24" t="e">
        <f>VLOOKUP(C783,#REF!,7,FALSE)</f>
        <v>#REF!</v>
      </c>
      <c r="AR783" s="24" t="e">
        <f>VLOOKUP(C783,#REF!,12,FALSE)</f>
        <v>#REF!</v>
      </c>
      <c r="AS783" s="24" t="e">
        <f>VLOOKUP(C783,#REF!,13,FALSE)</f>
        <v>#REF!</v>
      </c>
      <c r="AT783" s="100"/>
      <c r="AU783" s="100"/>
      <c r="AV783" s="100">
        <v>765</v>
      </c>
      <c r="AW783" s="100"/>
      <c r="AY783" s="128">
        <v>14100</v>
      </c>
    </row>
    <row r="784" spans="1:51" s="2" customFormat="1" ht="12.75" customHeight="1" x14ac:dyDescent="0.2">
      <c r="A784" s="11" t="s">
        <v>1581</v>
      </c>
      <c r="B784" s="8">
        <v>9789500299763</v>
      </c>
      <c r="C784" s="6">
        <v>635046</v>
      </c>
      <c r="D784" s="7">
        <v>40</v>
      </c>
      <c r="E784" s="7" t="s">
        <v>234</v>
      </c>
      <c r="F784" s="11" t="s">
        <v>236</v>
      </c>
      <c r="G784" s="107">
        <v>42979</v>
      </c>
      <c r="H784" s="108">
        <v>42948</v>
      </c>
      <c r="I784" s="24">
        <v>3140</v>
      </c>
      <c r="J784" s="28" t="s">
        <v>1894</v>
      </c>
      <c r="K784" s="28">
        <v>66.3</v>
      </c>
      <c r="L784" s="128">
        <v>14100</v>
      </c>
      <c r="M784" s="9"/>
      <c r="N784" s="9">
        <f t="shared" si="666"/>
        <v>7050</v>
      </c>
      <c r="O784" s="9">
        <f t="shared" si="667"/>
        <v>6983.7</v>
      </c>
      <c r="P784" s="9">
        <f t="shared" si="668"/>
        <v>66.3</v>
      </c>
      <c r="Q784" s="139">
        <f t="shared" si="669"/>
        <v>0.99059574468085099</v>
      </c>
      <c r="R784" s="345">
        <v>14100</v>
      </c>
      <c r="S784" s="359" t="s">
        <v>1948</v>
      </c>
      <c r="T784" s="305">
        <v>0.99059574468085099</v>
      </c>
      <c r="U784" s="144"/>
      <c r="V784" s="100"/>
      <c r="W784" s="110">
        <f t="shared" si="651"/>
        <v>14100</v>
      </c>
      <c r="X784" s="110">
        <f t="shared" si="652"/>
        <v>66.3</v>
      </c>
      <c r="Y784" s="110">
        <f t="shared" si="653"/>
        <v>0</v>
      </c>
      <c r="Z784" s="110">
        <f t="shared" si="654"/>
        <v>6983.7</v>
      </c>
      <c r="AA784" s="260">
        <f t="shared" si="655"/>
        <v>0.99059574468085099</v>
      </c>
      <c r="AB784" s="28">
        <f t="shared" si="656"/>
        <v>4.5999999999999996</v>
      </c>
      <c r="AC784" s="261">
        <f t="shared" si="657"/>
        <v>0.99049584999784968</v>
      </c>
      <c r="AD784" s="111">
        <f t="shared" si="658"/>
        <v>0</v>
      </c>
      <c r="AE784" s="262" t="e">
        <f t="shared" si="659"/>
        <v>#DIV/0!</v>
      </c>
      <c r="AF784" s="100"/>
      <c r="AG784" s="111">
        <f t="shared" si="660"/>
        <v>0.1</v>
      </c>
      <c r="AH784" s="262">
        <f t="shared" si="661"/>
        <v>0.56280909990108807</v>
      </c>
      <c r="AI784" s="100"/>
      <c r="AJ784" s="111">
        <f t="shared" si="662"/>
        <v>0.1</v>
      </c>
      <c r="AK784" s="262">
        <f t="shared" si="663"/>
        <v>0.56280909990108807</v>
      </c>
      <c r="AL784" s="100"/>
      <c r="AM784" s="111">
        <f t="shared" si="664"/>
        <v>0.1</v>
      </c>
      <c r="AN784" s="262">
        <f t="shared" si="665"/>
        <v>0.56280909990108807</v>
      </c>
      <c r="AO784" s="100"/>
      <c r="AP784" s="24" t="e">
        <f>VLOOKUP(C784,#REF!,6,FALSE)</f>
        <v>#REF!</v>
      </c>
      <c r="AQ784" s="24" t="e">
        <f>VLOOKUP(C784,#REF!,7,FALSE)</f>
        <v>#REF!</v>
      </c>
      <c r="AR784" s="24" t="e">
        <f>VLOOKUP(C784,#REF!,12,FALSE)</f>
        <v>#REF!</v>
      </c>
      <c r="AS784" s="24" t="e">
        <f>VLOOKUP(C784,#REF!,13,FALSE)</f>
        <v>#REF!</v>
      </c>
      <c r="AT784" s="100"/>
      <c r="AU784" s="100"/>
      <c r="AV784" s="100">
        <v>766</v>
      </c>
      <c r="AW784" s="100"/>
      <c r="AY784" s="128">
        <v>14100</v>
      </c>
    </row>
    <row r="785" spans="1:51" s="2" customFormat="1" ht="12.75" customHeight="1" x14ac:dyDescent="0.2">
      <c r="A785" s="6" t="s">
        <v>1582</v>
      </c>
      <c r="B785" s="8">
        <v>9789500207782</v>
      </c>
      <c r="C785" s="8">
        <v>578532</v>
      </c>
      <c r="D785" s="25">
        <v>40</v>
      </c>
      <c r="E785" s="22" t="s">
        <v>248</v>
      </c>
      <c r="F785" s="6" t="s">
        <v>249</v>
      </c>
      <c r="G785" s="107">
        <v>41791</v>
      </c>
      <c r="H785" s="108">
        <v>41760</v>
      </c>
      <c r="I785" s="24">
        <v>4020</v>
      </c>
      <c r="J785" s="28" t="s">
        <v>1894</v>
      </c>
      <c r="K785" s="28">
        <v>24.7</v>
      </c>
      <c r="L785" s="128">
        <v>14100</v>
      </c>
      <c r="M785" s="9">
        <f>+L785*0.07</f>
        <v>987.00000000000011</v>
      </c>
      <c r="N785" s="9">
        <f t="shared" si="666"/>
        <v>7050</v>
      </c>
      <c r="O785" s="9">
        <f t="shared" si="667"/>
        <v>6038.3</v>
      </c>
      <c r="P785" s="9">
        <f t="shared" si="668"/>
        <v>1011.7000000000002</v>
      </c>
      <c r="Q785" s="139">
        <f t="shared" si="669"/>
        <v>0.85649645390070928</v>
      </c>
      <c r="R785" s="345">
        <v>14100</v>
      </c>
      <c r="S785" s="359" t="s">
        <v>1948</v>
      </c>
      <c r="T785" s="305">
        <v>0.85649645390070928</v>
      </c>
      <c r="U785" s="144"/>
      <c r="V785" s="100"/>
      <c r="W785" s="110">
        <f t="shared" si="651"/>
        <v>14100</v>
      </c>
      <c r="X785" s="110">
        <f t="shared" si="652"/>
        <v>24.7</v>
      </c>
      <c r="Y785" s="110">
        <f t="shared" si="653"/>
        <v>987.00000000000011</v>
      </c>
      <c r="Z785" s="110">
        <f t="shared" si="654"/>
        <v>6038.3</v>
      </c>
      <c r="AA785" s="260">
        <f t="shared" si="655"/>
        <v>0.85649645390070928</v>
      </c>
      <c r="AB785" s="28">
        <f t="shared" si="656"/>
        <v>4.5999999999999996</v>
      </c>
      <c r="AC785" s="261">
        <f t="shared" si="657"/>
        <v>0.85497211829298014</v>
      </c>
      <c r="AD785" s="111">
        <f t="shared" si="658"/>
        <v>0.7</v>
      </c>
      <c r="AE785" s="262">
        <f t="shared" si="659"/>
        <v>4.6959634496726292E-2</v>
      </c>
      <c r="AF785" s="100"/>
      <c r="AG785" s="111">
        <f t="shared" si="660"/>
        <v>1.1000000000000001</v>
      </c>
      <c r="AH785" s="262">
        <f t="shared" si="661"/>
        <v>0.39351976740700773</v>
      </c>
      <c r="AI785" s="100"/>
      <c r="AJ785" s="111">
        <f t="shared" si="662"/>
        <v>1</v>
      </c>
      <c r="AK785" s="262">
        <f t="shared" si="663"/>
        <v>0.33287174414770843</v>
      </c>
      <c r="AL785" s="100"/>
      <c r="AM785" s="111">
        <f t="shared" si="664"/>
        <v>1</v>
      </c>
      <c r="AN785" s="262">
        <f t="shared" si="665"/>
        <v>0.33287174414770843</v>
      </c>
      <c r="AO785" s="100"/>
      <c r="AP785" s="24" t="e">
        <f>VLOOKUP(C785,#REF!,6,FALSE)</f>
        <v>#REF!</v>
      </c>
      <c r="AQ785" s="24" t="e">
        <f>VLOOKUP(C785,#REF!,7,FALSE)</f>
        <v>#REF!</v>
      </c>
      <c r="AR785" s="24" t="e">
        <f>VLOOKUP(C785,#REF!,12,FALSE)</f>
        <v>#REF!</v>
      </c>
      <c r="AS785" s="24" t="e">
        <f>VLOOKUP(C785,#REF!,13,FALSE)</f>
        <v>#REF!</v>
      </c>
      <c r="AT785" s="100"/>
      <c r="AU785" s="100"/>
      <c r="AV785" s="100">
        <v>767</v>
      </c>
      <c r="AW785" s="100"/>
      <c r="AY785" s="128">
        <v>14100</v>
      </c>
    </row>
    <row r="786" spans="1:51" s="2" customFormat="1" ht="12.75" customHeight="1" x14ac:dyDescent="0.2">
      <c r="A786" s="7" t="s">
        <v>1452</v>
      </c>
      <c r="B786" s="8">
        <v>9789500208390</v>
      </c>
      <c r="C786" s="21">
        <v>593817</v>
      </c>
      <c r="D786" s="7">
        <v>40</v>
      </c>
      <c r="E786" s="7" t="s">
        <v>1583</v>
      </c>
      <c r="F786" s="7" t="s">
        <v>270</v>
      </c>
      <c r="G786" s="107">
        <v>42186</v>
      </c>
      <c r="H786" s="108">
        <v>42156</v>
      </c>
      <c r="I786" s="24">
        <v>3121</v>
      </c>
      <c r="J786" s="28" t="s">
        <v>1894</v>
      </c>
      <c r="K786" s="28">
        <v>32.15</v>
      </c>
      <c r="L786" s="128">
        <v>14100</v>
      </c>
      <c r="M786" s="9">
        <f>+L786*0.07</f>
        <v>987.00000000000011</v>
      </c>
      <c r="N786" s="9">
        <f t="shared" si="666"/>
        <v>7050</v>
      </c>
      <c r="O786" s="9">
        <f t="shared" si="667"/>
        <v>6030.85</v>
      </c>
      <c r="P786" s="9">
        <f t="shared" si="668"/>
        <v>1019.1500000000001</v>
      </c>
      <c r="Q786" s="139">
        <f t="shared" si="669"/>
        <v>0.85543971631205684</v>
      </c>
      <c r="R786" s="345">
        <v>14100</v>
      </c>
      <c r="S786" s="359" t="s">
        <v>1948</v>
      </c>
      <c r="T786" s="305">
        <v>0.85543971631205684</v>
      </c>
      <c r="U786" s="144"/>
      <c r="V786" s="100"/>
      <c r="W786" s="110">
        <f t="shared" si="651"/>
        <v>14100</v>
      </c>
      <c r="X786" s="110">
        <f t="shared" si="652"/>
        <v>32.15</v>
      </c>
      <c r="Y786" s="110">
        <f t="shared" si="653"/>
        <v>987.00000000000011</v>
      </c>
      <c r="Z786" s="110">
        <f t="shared" si="654"/>
        <v>6030.85</v>
      </c>
      <c r="AA786" s="260">
        <f t="shared" si="655"/>
        <v>0.85543971631205684</v>
      </c>
      <c r="AB786" s="28">
        <f t="shared" si="656"/>
        <v>4.5999999999999996</v>
      </c>
      <c r="AC786" s="261">
        <f t="shared" si="657"/>
        <v>0.85390415573617751</v>
      </c>
      <c r="AD786" s="111">
        <f t="shared" si="658"/>
        <v>0.7</v>
      </c>
      <c r="AE786" s="262">
        <f t="shared" si="659"/>
        <v>3.9941594837737036E-2</v>
      </c>
      <c r="AF786" s="100"/>
      <c r="AG786" s="111">
        <f t="shared" si="660"/>
        <v>1.1000000000000001</v>
      </c>
      <c r="AH786" s="262">
        <f t="shared" si="661"/>
        <v>0.38905374216946909</v>
      </c>
      <c r="AI786" s="100"/>
      <c r="AJ786" s="111">
        <f t="shared" si="662"/>
        <v>1</v>
      </c>
      <c r="AK786" s="262">
        <f t="shared" si="663"/>
        <v>0.32795911638641595</v>
      </c>
      <c r="AL786" s="100"/>
      <c r="AM786" s="111">
        <f t="shared" si="664"/>
        <v>1</v>
      </c>
      <c r="AN786" s="262">
        <f t="shared" si="665"/>
        <v>0.32795911638641595</v>
      </c>
      <c r="AO786" s="100"/>
      <c r="AP786" s="24" t="e">
        <f>VLOOKUP(C786,#REF!,6,FALSE)</f>
        <v>#REF!</v>
      </c>
      <c r="AQ786" s="24" t="e">
        <f>VLOOKUP(C786,#REF!,7,FALSE)</f>
        <v>#REF!</v>
      </c>
      <c r="AR786" s="24" t="e">
        <f>VLOOKUP(C786,#REF!,12,FALSE)</f>
        <v>#REF!</v>
      </c>
      <c r="AS786" s="24" t="e">
        <f>VLOOKUP(C786,#REF!,13,FALSE)</f>
        <v>#REF!</v>
      </c>
      <c r="AT786" s="100"/>
      <c r="AU786" s="100"/>
      <c r="AV786" s="100">
        <v>768</v>
      </c>
      <c r="AW786" s="100"/>
      <c r="AY786" s="128">
        <v>14100</v>
      </c>
    </row>
    <row r="787" spans="1:51" s="2" customFormat="1" ht="12.75" customHeight="1" x14ac:dyDescent="0.2">
      <c r="A787" s="6" t="s">
        <v>1584</v>
      </c>
      <c r="B787" s="8">
        <v>9789500298766</v>
      </c>
      <c r="C787" s="8">
        <v>616439</v>
      </c>
      <c r="D787" s="7">
        <v>48</v>
      </c>
      <c r="E787" s="31" t="s">
        <v>288</v>
      </c>
      <c r="F787" s="32" t="s">
        <v>289</v>
      </c>
      <c r="G787" s="107">
        <v>42552</v>
      </c>
      <c r="H787" s="108">
        <v>42522</v>
      </c>
      <c r="I787" s="24">
        <v>3076</v>
      </c>
      <c r="J787" s="28" t="s">
        <v>1894</v>
      </c>
      <c r="K787" s="28">
        <v>66.44</v>
      </c>
      <c r="L787" s="128">
        <v>14100</v>
      </c>
      <c r="M787" s="9">
        <f>+L787*0.08</f>
        <v>1128</v>
      </c>
      <c r="N787" s="9">
        <f t="shared" si="666"/>
        <v>7050</v>
      </c>
      <c r="O787" s="9">
        <f t="shared" si="667"/>
        <v>5855.56</v>
      </c>
      <c r="P787" s="9">
        <f t="shared" si="668"/>
        <v>1194.44</v>
      </c>
      <c r="Q787" s="139">
        <f t="shared" si="669"/>
        <v>0.83057588652482273</v>
      </c>
      <c r="R787" s="345">
        <v>14100</v>
      </c>
      <c r="S787" s="359" t="s">
        <v>1948</v>
      </c>
      <c r="T787" s="305">
        <v>0.83057588652482273</v>
      </c>
      <c r="U787" s="144"/>
      <c r="V787" s="100"/>
      <c r="W787" s="110">
        <f t="shared" si="651"/>
        <v>14100</v>
      </c>
      <c r="X787" s="110">
        <f t="shared" si="652"/>
        <v>66.44</v>
      </c>
      <c r="Y787" s="110">
        <f t="shared" si="653"/>
        <v>1128</v>
      </c>
      <c r="Z787" s="110">
        <f t="shared" si="654"/>
        <v>5855.56</v>
      </c>
      <c r="AA787" s="260">
        <f t="shared" si="655"/>
        <v>0.83057588652482273</v>
      </c>
      <c r="AB787" s="28">
        <f t="shared" si="656"/>
        <v>4.5999999999999996</v>
      </c>
      <c r="AC787" s="261">
        <f t="shared" si="657"/>
        <v>0.82877621525537926</v>
      </c>
      <c r="AD787" s="111">
        <f t="shared" si="658"/>
        <v>0.8</v>
      </c>
      <c r="AE787" s="262">
        <f t="shared" si="659"/>
        <v>1.5463237718430589E-2</v>
      </c>
      <c r="AF787" s="100"/>
      <c r="AG787" s="111">
        <f t="shared" si="660"/>
        <v>1.3</v>
      </c>
      <c r="AH787" s="262">
        <f t="shared" si="661"/>
        <v>0.39413122321134192</v>
      </c>
      <c r="AI787" s="100"/>
      <c r="AJ787" s="111">
        <f t="shared" si="662"/>
        <v>1.2</v>
      </c>
      <c r="AK787" s="262">
        <f t="shared" si="663"/>
        <v>0.34364215847895369</v>
      </c>
      <c r="AL787" s="100"/>
      <c r="AM787" s="111">
        <f t="shared" si="664"/>
        <v>1.1000000000000001</v>
      </c>
      <c r="AN787" s="262">
        <f t="shared" si="665"/>
        <v>0.28397326379522225</v>
      </c>
      <c r="AO787" s="100"/>
      <c r="AP787" s="24" t="e">
        <f>VLOOKUP(C787,#REF!,6,FALSE)</f>
        <v>#REF!</v>
      </c>
      <c r="AQ787" s="24" t="e">
        <f>VLOOKUP(C787,#REF!,7,FALSE)</f>
        <v>#REF!</v>
      </c>
      <c r="AR787" s="24" t="e">
        <f>VLOOKUP(C787,#REF!,12,FALSE)</f>
        <v>#REF!</v>
      </c>
      <c r="AS787" s="24" t="e">
        <f>VLOOKUP(C787,#REF!,13,FALSE)</f>
        <v>#REF!</v>
      </c>
      <c r="AT787" s="100"/>
      <c r="AU787" s="100"/>
      <c r="AV787" s="100">
        <v>769</v>
      </c>
      <c r="AW787" s="100"/>
      <c r="AY787" s="128">
        <v>14100</v>
      </c>
    </row>
    <row r="788" spans="1:51" s="2" customFormat="1" ht="12.75" customHeight="1" x14ac:dyDescent="0.2">
      <c r="A788" s="7" t="s">
        <v>1585</v>
      </c>
      <c r="B788" s="8">
        <v>9789500211680</v>
      </c>
      <c r="C788" s="8">
        <v>683320</v>
      </c>
      <c r="D788" s="25">
        <v>40</v>
      </c>
      <c r="E788" s="7" t="s">
        <v>543</v>
      </c>
      <c r="F788" s="6" t="s">
        <v>544</v>
      </c>
      <c r="G788" s="107">
        <v>44317</v>
      </c>
      <c r="H788" s="108">
        <v>44287</v>
      </c>
      <c r="I788" s="24">
        <v>3046</v>
      </c>
      <c r="J788" s="28" t="s">
        <v>2136</v>
      </c>
      <c r="K788" s="117">
        <v>194.72</v>
      </c>
      <c r="L788" s="128">
        <v>16900</v>
      </c>
      <c r="M788" s="141">
        <f>+L788*0.08</f>
        <v>1352</v>
      </c>
      <c r="N788" s="142">
        <f t="shared" si="666"/>
        <v>8450</v>
      </c>
      <c r="O788" s="142">
        <f t="shared" si="667"/>
        <v>6903.28</v>
      </c>
      <c r="P788" s="142">
        <f t="shared" si="668"/>
        <v>1546.72</v>
      </c>
      <c r="Q788" s="139">
        <f t="shared" si="669"/>
        <v>0.81695621301775145</v>
      </c>
      <c r="R788" s="345">
        <v>16900</v>
      </c>
      <c r="S788" s="359" t="s">
        <v>1948</v>
      </c>
      <c r="T788" s="305">
        <v>0.81695621301775145</v>
      </c>
      <c r="U788" s="25"/>
      <c r="V788" s="100"/>
      <c r="W788" s="110">
        <f t="shared" si="651"/>
        <v>16900</v>
      </c>
      <c r="X788" s="110">
        <f t="shared" si="652"/>
        <v>194.72</v>
      </c>
      <c r="Y788" s="110">
        <f t="shared" si="653"/>
        <v>1352</v>
      </c>
      <c r="Z788" s="110">
        <f t="shared" si="654"/>
        <v>6903.2800000000007</v>
      </c>
      <c r="AA788" s="260">
        <f t="shared" si="655"/>
        <v>0.81695621301775156</v>
      </c>
      <c r="AB788" s="28">
        <f t="shared" si="656"/>
        <v>5.6</v>
      </c>
      <c r="AC788" s="261">
        <f t="shared" si="657"/>
        <v>0.81787009561490276</v>
      </c>
      <c r="AD788" s="111">
        <f t="shared" si="658"/>
        <v>1.1000000000000001</v>
      </c>
      <c r="AE788" s="262">
        <f t="shared" si="659"/>
        <v>7.279321403950488E-2</v>
      </c>
      <c r="AF788" s="100"/>
      <c r="AG788" s="111">
        <f t="shared" si="660"/>
        <v>1.7</v>
      </c>
      <c r="AH788" s="262">
        <f t="shared" si="661"/>
        <v>0.40004266790791493</v>
      </c>
      <c r="AI788" s="100"/>
      <c r="AJ788" s="111">
        <f t="shared" si="662"/>
        <v>1.6</v>
      </c>
      <c r="AK788" s="262">
        <f t="shared" si="663"/>
        <v>0.36254533465215971</v>
      </c>
      <c r="AL788" s="100"/>
      <c r="AM788" s="111">
        <f t="shared" si="664"/>
        <v>1.5</v>
      </c>
      <c r="AN788" s="262">
        <f t="shared" si="665"/>
        <v>0.32004835696230366</v>
      </c>
      <c r="AO788" s="100"/>
      <c r="AP788" s="24" t="e">
        <f>VLOOKUP(C788,#REF!,6,FALSE)</f>
        <v>#REF!</v>
      </c>
      <c r="AQ788" s="24" t="e">
        <f>VLOOKUP(C788,#REF!,7,FALSE)</f>
        <v>#REF!</v>
      </c>
      <c r="AR788" s="24" t="e">
        <f>VLOOKUP(C788,#REF!,12,FALSE)</f>
        <v>#REF!</v>
      </c>
      <c r="AS788" s="24" t="e">
        <f>VLOOKUP(C788,#REF!,13,FALSE)</f>
        <v>#REF!</v>
      </c>
      <c r="AT788" s="100"/>
      <c r="AU788" s="100"/>
      <c r="AV788" s="100">
        <v>770</v>
      </c>
      <c r="AW788" s="100"/>
      <c r="AY788" s="128">
        <v>16900</v>
      </c>
    </row>
    <row r="789" spans="1:51" s="2" customFormat="1" ht="12.75" customHeight="1" x14ac:dyDescent="0.2">
      <c r="A789" s="6" t="s">
        <v>2295</v>
      </c>
      <c r="B789" s="279">
        <v>9789500217460</v>
      </c>
      <c r="C789" s="6">
        <v>743068</v>
      </c>
      <c r="D789" s="239">
        <v>36</v>
      </c>
      <c r="E789" s="7" t="s">
        <v>448</v>
      </c>
      <c r="F789" s="294" t="s">
        <v>2308</v>
      </c>
      <c r="G789" s="108">
        <v>46113</v>
      </c>
      <c r="H789" s="107">
        <v>46266</v>
      </c>
      <c r="I789" s="239">
        <v>3046</v>
      </c>
      <c r="J789" s="6" t="s">
        <v>1333</v>
      </c>
      <c r="K789" s="148">
        <v>3533.22</v>
      </c>
      <c r="L789" s="313">
        <v>30900</v>
      </c>
      <c r="M789" s="9">
        <f t="shared" ref="M789:M794" si="670">+L789*0.12</f>
        <v>3708</v>
      </c>
      <c r="N789" s="9">
        <f t="shared" si="666"/>
        <v>15450</v>
      </c>
      <c r="O789" s="9">
        <f t="shared" si="667"/>
        <v>8208.7800000000007</v>
      </c>
      <c r="P789" s="9">
        <f t="shared" si="668"/>
        <v>7241.2199999999993</v>
      </c>
      <c r="Q789" s="139">
        <f t="shared" si="669"/>
        <v>0.5313126213592233</v>
      </c>
      <c r="R789" s="387">
        <v>30900</v>
      </c>
      <c r="S789" s="359" t="s">
        <v>1948</v>
      </c>
      <c r="T789" s="305">
        <v>0.56350769230769238</v>
      </c>
      <c r="U789" s="115"/>
      <c r="V789" s="100"/>
      <c r="W789" s="110">
        <f t="shared" si="651"/>
        <v>30900</v>
      </c>
      <c r="X789" s="110">
        <f t="shared" si="652"/>
        <v>3533.22</v>
      </c>
      <c r="Y789" s="110">
        <f t="shared" si="653"/>
        <v>3708</v>
      </c>
      <c r="Z789" s="110">
        <f t="shared" si="654"/>
        <v>8208.7800000000007</v>
      </c>
      <c r="AA789" s="260">
        <f t="shared" si="655"/>
        <v>0.5313126213592233</v>
      </c>
      <c r="AB789" s="28">
        <f t="shared" si="656"/>
        <v>10.199999999999999</v>
      </c>
      <c r="AC789" s="261">
        <f t="shared" si="657"/>
        <v>0.53186710886134869</v>
      </c>
      <c r="AD789" s="111">
        <f t="shared" si="658"/>
        <v>5</v>
      </c>
      <c r="AE789" s="262">
        <f t="shared" si="659"/>
        <v>4.5008902077151365E-2</v>
      </c>
      <c r="AF789" s="100"/>
      <c r="AG789" s="111">
        <f t="shared" si="660"/>
        <v>8</v>
      </c>
      <c r="AH789" s="262">
        <f t="shared" si="661"/>
        <v>0.40313056379821965</v>
      </c>
      <c r="AI789" s="100"/>
      <c r="AJ789" s="111">
        <f t="shared" si="662"/>
        <v>7.3</v>
      </c>
      <c r="AK789" s="262">
        <f t="shared" si="663"/>
        <v>0.34589650827202145</v>
      </c>
      <c r="AL789" s="100"/>
      <c r="AM789" s="111">
        <f t="shared" si="664"/>
        <v>6.8</v>
      </c>
      <c r="AN789" s="262">
        <f t="shared" si="665"/>
        <v>0.29780066329202304</v>
      </c>
      <c r="AO789" s="100"/>
      <c r="AP789" s="24" t="e">
        <f>VLOOKUP(C789,#REF!,6,FALSE)</f>
        <v>#REF!</v>
      </c>
      <c r="AQ789" s="24" t="e">
        <f>VLOOKUP(C789,#REF!,7,FALSE)</f>
        <v>#REF!</v>
      </c>
      <c r="AR789" s="24" t="e">
        <f>VLOOKUP(C789,#REF!,12,FALSE)</f>
        <v>#REF!</v>
      </c>
      <c r="AS789" s="24" t="e">
        <f>VLOOKUP(C789,#REF!,13,FALSE)</f>
        <v>#REF!</v>
      </c>
      <c r="AT789" s="100"/>
      <c r="AU789" s="100"/>
      <c r="AV789" s="100">
        <v>771</v>
      </c>
      <c r="AW789" s="100"/>
      <c r="AY789" s="9">
        <v>29900</v>
      </c>
    </row>
    <row r="790" spans="1:51" s="2" customFormat="1" ht="12.75" customHeight="1" x14ac:dyDescent="0.2">
      <c r="A790" s="6" t="s">
        <v>2305</v>
      </c>
      <c r="B790" s="279">
        <v>9789500217224</v>
      </c>
      <c r="C790" s="6">
        <v>743235</v>
      </c>
      <c r="D790" s="239">
        <v>48</v>
      </c>
      <c r="E790" s="7" t="s">
        <v>448</v>
      </c>
      <c r="F790" s="294" t="s">
        <v>2306</v>
      </c>
      <c r="G790" s="108">
        <v>46113</v>
      </c>
      <c r="H790" s="108">
        <v>46113</v>
      </c>
      <c r="I790" s="7">
        <v>3094</v>
      </c>
      <c r="J790" s="6" t="s">
        <v>1333</v>
      </c>
      <c r="K790" s="9">
        <v>2007.39</v>
      </c>
      <c r="L790" s="9">
        <v>30900</v>
      </c>
      <c r="M790" s="9">
        <f t="shared" si="670"/>
        <v>3708</v>
      </c>
      <c r="N790" s="9">
        <f t="shared" si="666"/>
        <v>15450</v>
      </c>
      <c r="O790" s="9">
        <f t="shared" si="667"/>
        <v>9734.61</v>
      </c>
      <c r="P790" s="9">
        <f t="shared" si="668"/>
        <v>5715.39</v>
      </c>
      <c r="Q790" s="139">
        <f t="shared" si="669"/>
        <v>0.63007184466019417</v>
      </c>
      <c r="R790" s="387">
        <v>30900</v>
      </c>
      <c r="S790" s="359" t="s">
        <v>1948</v>
      </c>
      <c r="T790" s="305">
        <v>0.62572642140468226</v>
      </c>
      <c r="U790" s="115"/>
      <c r="V790" s="100"/>
      <c r="W790" s="110">
        <f t="shared" si="651"/>
        <v>30900</v>
      </c>
      <c r="X790" s="110">
        <f t="shared" si="652"/>
        <v>2007.39</v>
      </c>
      <c r="Y790" s="110">
        <f t="shared" si="653"/>
        <v>3708</v>
      </c>
      <c r="Z790" s="110">
        <f t="shared" si="654"/>
        <v>9734.61</v>
      </c>
      <c r="AA790" s="260">
        <f t="shared" si="655"/>
        <v>0.63007184466019417</v>
      </c>
      <c r="AB790" s="28">
        <f t="shared" si="656"/>
        <v>10.199999999999999</v>
      </c>
      <c r="AC790" s="261">
        <f t="shared" si="657"/>
        <v>0.63050949360951114</v>
      </c>
      <c r="AD790" s="111">
        <f t="shared" si="658"/>
        <v>4</v>
      </c>
      <c r="AE790" s="262">
        <f t="shared" si="659"/>
        <v>5.779920870425316E-2</v>
      </c>
      <c r="AF790" s="100"/>
      <c r="AG790" s="111">
        <f t="shared" si="660"/>
        <v>6.3</v>
      </c>
      <c r="AH790" s="262">
        <f t="shared" si="661"/>
        <v>0.40177727536777974</v>
      </c>
      <c r="AI790" s="100"/>
      <c r="AJ790" s="111">
        <f t="shared" si="662"/>
        <v>5.8</v>
      </c>
      <c r="AK790" s="262">
        <f t="shared" si="663"/>
        <v>0.35020635083051932</v>
      </c>
      <c r="AL790" s="100"/>
      <c r="AM790" s="111">
        <f t="shared" si="664"/>
        <v>5.4</v>
      </c>
      <c r="AN790" s="262">
        <f t="shared" si="665"/>
        <v>0.30207348792907646</v>
      </c>
      <c r="AO790" s="100"/>
      <c r="AP790" s="24" t="e">
        <f>VLOOKUP(C790,#REF!,6,FALSE)</f>
        <v>#REF!</v>
      </c>
      <c r="AQ790" s="24" t="e">
        <f>VLOOKUP(C790,#REF!,7,FALSE)</f>
        <v>#REF!</v>
      </c>
      <c r="AR790" s="24" t="e">
        <f>VLOOKUP(C790,#REF!,12,FALSE)</f>
        <v>#REF!</v>
      </c>
      <c r="AS790" s="24" t="e">
        <f>VLOOKUP(C790,#REF!,13,FALSE)</f>
        <v>#REF!</v>
      </c>
      <c r="AT790" s="100"/>
      <c r="AU790" s="100"/>
      <c r="AV790" s="100">
        <v>772</v>
      </c>
      <c r="AW790" s="100"/>
      <c r="AY790" s="9">
        <v>30900</v>
      </c>
    </row>
    <row r="791" spans="1:51" s="2" customFormat="1" ht="12.75" customHeight="1" x14ac:dyDescent="0.2">
      <c r="A791" s="6" t="s">
        <v>2051</v>
      </c>
      <c r="B791" s="279">
        <v>9789500216265</v>
      </c>
      <c r="C791" s="6">
        <v>729381</v>
      </c>
      <c r="D791" s="239">
        <v>40</v>
      </c>
      <c r="E791" s="7" t="s">
        <v>448</v>
      </c>
      <c r="F791" s="294" t="s">
        <v>2052</v>
      </c>
      <c r="G791" s="108">
        <v>45809</v>
      </c>
      <c r="H791" s="108">
        <v>46113</v>
      </c>
      <c r="I791" s="264">
        <v>3060</v>
      </c>
      <c r="J791" s="6" t="s">
        <v>1333</v>
      </c>
      <c r="K791" s="9">
        <v>1913.3</v>
      </c>
      <c r="L791" s="9">
        <v>30900</v>
      </c>
      <c r="M791" s="9">
        <f t="shared" si="670"/>
        <v>3708</v>
      </c>
      <c r="N791" s="9">
        <f t="shared" si="666"/>
        <v>15450</v>
      </c>
      <c r="O791" s="9">
        <f t="shared" si="667"/>
        <v>9828.7000000000007</v>
      </c>
      <c r="P791" s="9">
        <f t="shared" si="668"/>
        <v>5621.3</v>
      </c>
      <c r="Q791" s="139">
        <f t="shared" si="669"/>
        <v>0.63616181229773472</v>
      </c>
      <c r="R791" s="387">
        <v>30900</v>
      </c>
      <c r="S791" s="359" t="s">
        <v>1948</v>
      </c>
      <c r="T791" s="305">
        <v>0.63202006688963219</v>
      </c>
      <c r="U791" s="115"/>
      <c r="V791" s="100"/>
      <c r="W791" s="110">
        <f t="shared" si="651"/>
        <v>30900</v>
      </c>
      <c r="X791" s="110">
        <f t="shared" si="652"/>
        <v>1913.3</v>
      </c>
      <c r="Y791" s="110">
        <f t="shared" si="653"/>
        <v>3708</v>
      </c>
      <c r="Z791" s="110">
        <f t="shared" si="654"/>
        <v>9828.7000000000007</v>
      </c>
      <c r="AA791" s="260">
        <f t="shared" si="655"/>
        <v>0.63616181229773472</v>
      </c>
      <c r="AB791" s="28">
        <f t="shared" si="656"/>
        <v>10.199999999999999</v>
      </c>
      <c r="AC791" s="261">
        <f t="shared" si="657"/>
        <v>0.63659225642119688</v>
      </c>
      <c r="AD791" s="111">
        <f t="shared" si="658"/>
        <v>3.9</v>
      </c>
      <c r="AE791" s="262">
        <f t="shared" si="659"/>
        <v>4.9548978332361E-2</v>
      </c>
      <c r="AF791" s="100"/>
      <c r="AG791" s="111">
        <f t="shared" si="660"/>
        <v>6.2</v>
      </c>
      <c r="AH791" s="262">
        <f t="shared" si="661"/>
        <v>0.40213564766067883</v>
      </c>
      <c r="AI791" s="100"/>
      <c r="AJ791" s="111">
        <f t="shared" si="662"/>
        <v>5.7</v>
      </c>
      <c r="AK791" s="262">
        <f t="shared" si="663"/>
        <v>0.34969140622740502</v>
      </c>
      <c r="AL791" s="100"/>
      <c r="AM791" s="111">
        <f t="shared" si="664"/>
        <v>5.3</v>
      </c>
      <c r="AN791" s="262">
        <f t="shared" si="665"/>
        <v>0.30061151235777511</v>
      </c>
      <c r="AO791" s="100"/>
      <c r="AP791" s="24" t="e">
        <f>VLOOKUP(C791,#REF!,6,FALSE)</f>
        <v>#REF!</v>
      </c>
      <c r="AQ791" s="24" t="e">
        <f>VLOOKUP(C791,#REF!,7,FALSE)</f>
        <v>#REF!</v>
      </c>
      <c r="AR791" s="24" t="e">
        <f>VLOOKUP(C791,#REF!,12,FALSE)</f>
        <v>#REF!</v>
      </c>
      <c r="AS791" s="24" t="e">
        <f>VLOOKUP(C791,#REF!,13,FALSE)</f>
        <v>#REF!</v>
      </c>
      <c r="AT791" s="100"/>
      <c r="AU791" s="100"/>
      <c r="AV791" s="100">
        <v>773</v>
      </c>
      <c r="AW791" s="100"/>
      <c r="AY791" s="9">
        <v>30900</v>
      </c>
    </row>
    <row r="792" spans="1:51" s="2" customFormat="1" ht="12.75" customHeight="1" x14ac:dyDescent="0.2">
      <c r="A792" s="6" t="s">
        <v>1586</v>
      </c>
      <c r="B792" s="8">
        <v>9789500213066</v>
      </c>
      <c r="C792" s="6">
        <v>699699</v>
      </c>
      <c r="D792" s="7">
        <v>36</v>
      </c>
      <c r="E792" s="7" t="s">
        <v>379</v>
      </c>
      <c r="F792" s="265" t="s">
        <v>380</v>
      </c>
      <c r="G792" s="107">
        <v>44866</v>
      </c>
      <c r="H792" s="108">
        <v>46113</v>
      </c>
      <c r="I792" s="7">
        <v>3024</v>
      </c>
      <c r="J792" s="6" t="s">
        <v>1333</v>
      </c>
      <c r="K792" s="9">
        <v>1791.68</v>
      </c>
      <c r="L792" s="9">
        <v>30900</v>
      </c>
      <c r="M792" s="9">
        <f t="shared" si="670"/>
        <v>3708</v>
      </c>
      <c r="N792" s="9">
        <f t="shared" si="666"/>
        <v>15450</v>
      </c>
      <c r="O792" s="9">
        <f t="shared" si="667"/>
        <v>9950.32</v>
      </c>
      <c r="P792" s="9">
        <f t="shared" si="668"/>
        <v>5499.68</v>
      </c>
      <c r="Q792" s="139">
        <f t="shared" si="669"/>
        <v>0.6440336569579288</v>
      </c>
      <c r="R792" s="387">
        <v>30900</v>
      </c>
      <c r="S792" s="359" t="s">
        <v>1948</v>
      </c>
      <c r="T792" s="305">
        <v>0.64015518394648829</v>
      </c>
      <c r="U792" s="115"/>
      <c r="V792" s="100"/>
      <c r="W792" s="110">
        <f t="shared" si="651"/>
        <v>30900</v>
      </c>
      <c r="X792" s="110">
        <f t="shared" si="652"/>
        <v>1791.68</v>
      </c>
      <c r="Y792" s="110">
        <f t="shared" si="653"/>
        <v>3708</v>
      </c>
      <c r="Z792" s="110">
        <f t="shared" si="654"/>
        <v>9950.32</v>
      </c>
      <c r="AA792" s="260">
        <f t="shared" si="655"/>
        <v>0.6440336569579288</v>
      </c>
      <c r="AB792" s="28">
        <f t="shared" si="656"/>
        <v>10.199999999999999</v>
      </c>
      <c r="AC792" s="261">
        <f t="shared" si="657"/>
        <v>0.64445478817969648</v>
      </c>
      <c r="AD792" s="111">
        <f t="shared" si="658"/>
        <v>3.8</v>
      </c>
      <c r="AE792" s="262">
        <f t="shared" si="659"/>
        <v>4.5641799850764317E-2</v>
      </c>
      <c r="AF792" s="100"/>
      <c r="AG792" s="111">
        <f t="shared" si="660"/>
        <v>6</v>
      </c>
      <c r="AH792" s="262">
        <f t="shared" si="661"/>
        <v>0.39557313990548409</v>
      </c>
      <c r="AI792" s="100"/>
      <c r="AJ792" s="111">
        <f t="shared" si="662"/>
        <v>5.6</v>
      </c>
      <c r="AK792" s="262">
        <f t="shared" si="663"/>
        <v>0.3523997927558758</v>
      </c>
      <c r="AL792" s="100"/>
      <c r="AM792" s="111">
        <f t="shared" si="664"/>
        <v>5.2</v>
      </c>
      <c r="AN792" s="262">
        <f t="shared" si="665"/>
        <v>0.30258439219863548</v>
      </c>
      <c r="AO792" s="100"/>
      <c r="AP792" s="24" t="e">
        <f>VLOOKUP(C792,#REF!,6,FALSE)</f>
        <v>#REF!</v>
      </c>
      <c r="AQ792" s="24" t="e">
        <f>VLOOKUP(C792,#REF!,7,FALSE)</f>
        <v>#REF!</v>
      </c>
      <c r="AR792" s="24" t="e">
        <f>VLOOKUP(C792,#REF!,12,FALSE)</f>
        <v>#REF!</v>
      </c>
      <c r="AS792" s="24" t="e">
        <f>VLOOKUP(C792,#REF!,13,FALSE)</f>
        <v>#REF!</v>
      </c>
      <c r="AT792" s="100"/>
      <c r="AU792" s="100"/>
      <c r="AV792" s="100">
        <v>774</v>
      </c>
      <c r="AW792" s="100"/>
      <c r="AY792" s="9">
        <v>30900</v>
      </c>
    </row>
    <row r="793" spans="1:51" s="2" customFormat="1" ht="12.75" customHeight="1" x14ac:dyDescent="0.2">
      <c r="A793" s="7" t="s">
        <v>1587</v>
      </c>
      <c r="B793" s="8">
        <v>9789500213073</v>
      </c>
      <c r="C793" s="8">
        <v>699700</v>
      </c>
      <c r="D793" s="25">
        <v>40</v>
      </c>
      <c r="E793" s="7" t="s">
        <v>448</v>
      </c>
      <c r="F793" s="265" t="s">
        <v>517</v>
      </c>
      <c r="G793" s="107">
        <v>44866</v>
      </c>
      <c r="H793" s="108">
        <v>46113</v>
      </c>
      <c r="I793" s="7">
        <v>3024</v>
      </c>
      <c r="J793" s="6" t="s">
        <v>1333</v>
      </c>
      <c r="K793" s="9">
        <v>1913.3</v>
      </c>
      <c r="L793" s="9">
        <v>30900</v>
      </c>
      <c r="M793" s="9">
        <f t="shared" si="670"/>
        <v>3708</v>
      </c>
      <c r="N793" s="9">
        <f t="shared" si="666"/>
        <v>15450</v>
      </c>
      <c r="O793" s="9">
        <f t="shared" si="667"/>
        <v>9828.7000000000007</v>
      </c>
      <c r="P793" s="9">
        <f t="shared" si="668"/>
        <v>5621.3</v>
      </c>
      <c r="Q793" s="139">
        <f t="shared" si="669"/>
        <v>0.63616181229773472</v>
      </c>
      <c r="R793" s="387">
        <v>30900</v>
      </c>
      <c r="S793" s="359" t="s">
        <v>1948</v>
      </c>
      <c r="T793" s="305">
        <v>0.63202006688963219</v>
      </c>
      <c r="U793" s="115"/>
      <c r="V793" s="100"/>
      <c r="W793" s="110">
        <f t="shared" si="651"/>
        <v>30900</v>
      </c>
      <c r="X793" s="110">
        <f t="shared" si="652"/>
        <v>1913.3</v>
      </c>
      <c r="Y793" s="110">
        <f t="shared" si="653"/>
        <v>3708</v>
      </c>
      <c r="Z793" s="110">
        <f t="shared" si="654"/>
        <v>9828.7000000000007</v>
      </c>
      <c r="AA793" s="260">
        <f t="shared" si="655"/>
        <v>0.63616181229773472</v>
      </c>
      <c r="AB793" s="28">
        <f t="shared" si="656"/>
        <v>10.199999999999999</v>
      </c>
      <c r="AC793" s="261">
        <f t="shared" si="657"/>
        <v>0.63659225642119688</v>
      </c>
      <c r="AD793" s="111">
        <f t="shared" si="658"/>
        <v>3.9</v>
      </c>
      <c r="AE793" s="262">
        <f t="shared" si="659"/>
        <v>4.9548978332361E-2</v>
      </c>
      <c r="AF793" s="100"/>
      <c r="AG793" s="111">
        <f t="shared" si="660"/>
        <v>6.2</v>
      </c>
      <c r="AH793" s="262">
        <f t="shared" si="661"/>
        <v>0.40213564766067883</v>
      </c>
      <c r="AI793" s="100"/>
      <c r="AJ793" s="111">
        <f t="shared" si="662"/>
        <v>5.7</v>
      </c>
      <c r="AK793" s="262">
        <f t="shared" si="663"/>
        <v>0.34969140622740502</v>
      </c>
      <c r="AL793" s="100"/>
      <c r="AM793" s="111">
        <f t="shared" si="664"/>
        <v>5.3</v>
      </c>
      <c r="AN793" s="262">
        <f t="shared" si="665"/>
        <v>0.30061151235777511</v>
      </c>
      <c r="AO793" s="100"/>
      <c r="AP793" s="24" t="e">
        <f>VLOOKUP(C793,#REF!,6,FALSE)</f>
        <v>#REF!</v>
      </c>
      <c r="AQ793" s="24" t="e">
        <f>VLOOKUP(C793,#REF!,7,FALSE)</f>
        <v>#REF!</v>
      </c>
      <c r="AR793" s="24" t="e">
        <f>VLOOKUP(C793,#REF!,12,FALSE)</f>
        <v>#REF!</v>
      </c>
      <c r="AS793" s="24" t="e">
        <f>VLOOKUP(C793,#REF!,13,FALSE)</f>
        <v>#REF!</v>
      </c>
      <c r="AT793" s="100"/>
      <c r="AU793" s="100"/>
      <c r="AV793" s="100">
        <v>775</v>
      </c>
      <c r="AW793" s="100"/>
      <c r="AY793" s="9">
        <v>30900</v>
      </c>
    </row>
    <row r="794" spans="1:51" s="2" customFormat="1" ht="12.75" customHeight="1" x14ac:dyDescent="0.2">
      <c r="A794" s="6" t="s">
        <v>1588</v>
      </c>
      <c r="B794" s="8">
        <v>9789500213080</v>
      </c>
      <c r="C794" s="20">
        <v>699701</v>
      </c>
      <c r="D794" s="2">
        <v>40</v>
      </c>
      <c r="E794" s="7" t="s">
        <v>379</v>
      </c>
      <c r="F794" s="309" t="s">
        <v>620</v>
      </c>
      <c r="G794" s="107">
        <v>44866</v>
      </c>
      <c r="H794" s="108">
        <v>46113</v>
      </c>
      <c r="I794" s="7">
        <v>3060</v>
      </c>
      <c r="J794" s="6" t="s">
        <v>1333</v>
      </c>
      <c r="K794" s="9">
        <v>1913.3</v>
      </c>
      <c r="L794" s="9">
        <v>30900</v>
      </c>
      <c r="M794" s="9">
        <f t="shared" si="670"/>
        <v>3708</v>
      </c>
      <c r="N794" s="9">
        <f t="shared" si="666"/>
        <v>15450</v>
      </c>
      <c r="O794" s="9">
        <f t="shared" si="667"/>
        <v>9828.7000000000007</v>
      </c>
      <c r="P794" s="9">
        <f t="shared" si="668"/>
        <v>5621.3</v>
      </c>
      <c r="Q794" s="139">
        <f t="shared" si="669"/>
        <v>0.63616181229773472</v>
      </c>
      <c r="R794" s="387">
        <v>30900</v>
      </c>
      <c r="S794" s="359" t="s">
        <v>1948</v>
      </c>
      <c r="T794" s="305">
        <v>0.63202006688963219</v>
      </c>
      <c r="U794" s="115"/>
      <c r="V794" s="100"/>
      <c r="W794" s="110">
        <f t="shared" si="651"/>
        <v>30900</v>
      </c>
      <c r="X794" s="110">
        <f t="shared" si="652"/>
        <v>1913.3</v>
      </c>
      <c r="Y794" s="110">
        <f t="shared" si="653"/>
        <v>3708</v>
      </c>
      <c r="Z794" s="110">
        <f t="shared" si="654"/>
        <v>9828.7000000000007</v>
      </c>
      <c r="AA794" s="260">
        <f t="shared" si="655"/>
        <v>0.63616181229773472</v>
      </c>
      <c r="AB794" s="28">
        <f t="shared" si="656"/>
        <v>10.199999999999999</v>
      </c>
      <c r="AC794" s="261">
        <f t="shared" si="657"/>
        <v>0.63659225642119688</v>
      </c>
      <c r="AD794" s="111">
        <f t="shared" si="658"/>
        <v>3.9</v>
      </c>
      <c r="AE794" s="262">
        <f t="shared" si="659"/>
        <v>4.9548978332361E-2</v>
      </c>
      <c r="AF794" s="100"/>
      <c r="AG794" s="111">
        <f t="shared" si="660"/>
        <v>6.2</v>
      </c>
      <c r="AH794" s="262">
        <f t="shared" si="661"/>
        <v>0.40213564766067883</v>
      </c>
      <c r="AI794" s="100"/>
      <c r="AJ794" s="111">
        <f t="shared" si="662"/>
        <v>5.7</v>
      </c>
      <c r="AK794" s="262">
        <f t="shared" si="663"/>
        <v>0.34969140622740502</v>
      </c>
      <c r="AL794" s="100"/>
      <c r="AM794" s="111">
        <f t="shared" si="664"/>
        <v>5.3</v>
      </c>
      <c r="AN794" s="262">
        <f t="shared" si="665"/>
        <v>0.30061151235777511</v>
      </c>
      <c r="AO794" s="100"/>
      <c r="AP794" s="24" t="e">
        <f>VLOOKUP(C794,#REF!,6,FALSE)</f>
        <v>#REF!</v>
      </c>
      <c r="AQ794" s="24" t="e">
        <f>VLOOKUP(C794,#REF!,7,FALSE)</f>
        <v>#REF!</v>
      </c>
      <c r="AR794" s="24" t="e">
        <f>VLOOKUP(C794,#REF!,12,FALSE)</f>
        <v>#REF!</v>
      </c>
      <c r="AS794" s="24" t="e">
        <f>VLOOKUP(C794,#REF!,13,FALSE)</f>
        <v>#REF!</v>
      </c>
      <c r="AT794" s="100"/>
      <c r="AU794" s="100"/>
      <c r="AV794" s="100">
        <v>776</v>
      </c>
      <c r="AW794" s="100"/>
      <c r="AY794" s="9">
        <v>30900</v>
      </c>
    </row>
    <row r="795" spans="1:51" s="2" customFormat="1" ht="12.75" customHeight="1" x14ac:dyDescent="0.2">
      <c r="A795" s="7" t="s">
        <v>1589</v>
      </c>
      <c r="B795" s="8">
        <v>9789500210041</v>
      </c>
      <c r="C795" s="8">
        <v>665952</v>
      </c>
      <c r="D795" s="25">
        <v>36</v>
      </c>
      <c r="E795" s="7" t="s">
        <v>448</v>
      </c>
      <c r="F795" s="265" t="s">
        <v>449</v>
      </c>
      <c r="G795" s="107">
        <v>43647</v>
      </c>
      <c r="H795" s="108">
        <v>46113</v>
      </c>
      <c r="I795" s="7">
        <v>3015</v>
      </c>
      <c r="J795" s="6" t="s">
        <v>1333</v>
      </c>
      <c r="K795" s="9">
        <v>1791.68</v>
      </c>
      <c r="L795" s="9">
        <v>30900</v>
      </c>
      <c r="M795" s="9">
        <f>+L795*0.1</f>
        <v>3090</v>
      </c>
      <c r="N795" s="9">
        <f t="shared" si="666"/>
        <v>15450</v>
      </c>
      <c r="O795" s="9">
        <f t="shared" si="667"/>
        <v>10568.32</v>
      </c>
      <c r="P795" s="9">
        <f t="shared" si="668"/>
        <v>4881.68</v>
      </c>
      <c r="Q795" s="139">
        <f t="shared" si="669"/>
        <v>0.68403365695792884</v>
      </c>
      <c r="R795" s="387">
        <v>30900</v>
      </c>
      <c r="S795" s="359" t="s">
        <v>1948</v>
      </c>
      <c r="T795" s="305">
        <v>0.68015518394648833</v>
      </c>
      <c r="U795" s="115"/>
      <c r="V795" s="100"/>
      <c r="W795" s="110">
        <f t="shared" si="651"/>
        <v>30900</v>
      </c>
      <c r="X795" s="110">
        <f t="shared" si="652"/>
        <v>1791.68</v>
      </c>
      <c r="Y795" s="110">
        <f t="shared" si="653"/>
        <v>3090</v>
      </c>
      <c r="Z795" s="110">
        <f t="shared" si="654"/>
        <v>10568.32</v>
      </c>
      <c r="AA795" s="260">
        <f t="shared" si="655"/>
        <v>0.68403365695792884</v>
      </c>
      <c r="AB795" s="28">
        <f t="shared" si="656"/>
        <v>10.199999999999999</v>
      </c>
      <c r="AC795" s="261">
        <f t="shared" si="657"/>
        <v>0.68440746559091814</v>
      </c>
      <c r="AD795" s="111">
        <f t="shared" si="658"/>
        <v>3.4</v>
      </c>
      <c r="AE795" s="262">
        <f t="shared" si="659"/>
        <v>5.3222396772754442E-2</v>
      </c>
      <c r="AF795" s="100"/>
      <c r="AG795" s="111">
        <f t="shared" si="660"/>
        <v>5.4</v>
      </c>
      <c r="AH795" s="262">
        <f t="shared" si="661"/>
        <v>0.40388076833840103</v>
      </c>
      <c r="AI795" s="100"/>
      <c r="AJ795" s="111">
        <f t="shared" si="662"/>
        <v>5</v>
      </c>
      <c r="AK795" s="262">
        <f t="shared" si="663"/>
        <v>0.35619122980547308</v>
      </c>
      <c r="AL795" s="100"/>
      <c r="AM795" s="111">
        <f t="shared" si="664"/>
        <v>4.5999999999999996</v>
      </c>
      <c r="AN795" s="262">
        <f t="shared" si="665"/>
        <v>0.30020785848420983</v>
      </c>
      <c r="AO795" s="100"/>
      <c r="AP795" s="24" t="e">
        <f>VLOOKUP(C795,#REF!,6,FALSE)</f>
        <v>#REF!</v>
      </c>
      <c r="AQ795" s="24" t="e">
        <f>VLOOKUP(C795,#REF!,7,FALSE)</f>
        <v>#REF!</v>
      </c>
      <c r="AR795" s="24" t="e">
        <f>VLOOKUP(C795,#REF!,12,FALSE)</f>
        <v>#REF!</v>
      </c>
      <c r="AS795" s="24" t="e">
        <f>VLOOKUP(C795,#REF!,13,FALSE)</f>
        <v>#REF!</v>
      </c>
      <c r="AT795" s="100"/>
      <c r="AU795" s="100"/>
      <c r="AV795" s="100">
        <v>777</v>
      </c>
      <c r="AW795" s="100"/>
      <c r="AY795" s="9">
        <v>30900</v>
      </c>
    </row>
    <row r="796" spans="1:51" s="2" customFormat="1" ht="12.75" customHeight="1" x14ac:dyDescent="0.2">
      <c r="A796" s="6" t="s">
        <v>2028</v>
      </c>
      <c r="B796" s="279">
        <v>9789500216166</v>
      </c>
      <c r="C796" s="8">
        <v>728158</v>
      </c>
      <c r="D796" s="239">
        <v>32</v>
      </c>
      <c r="E796" s="6" t="s">
        <v>448</v>
      </c>
      <c r="F796" s="6" t="s">
        <v>2010</v>
      </c>
      <c r="G796" s="107">
        <v>45748</v>
      </c>
      <c r="H796" s="107">
        <v>46266</v>
      </c>
      <c r="I796" s="239">
        <v>2075</v>
      </c>
      <c r="J796" s="6" t="s">
        <v>1333</v>
      </c>
      <c r="K796" s="148">
        <v>2366.08</v>
      </c>
      <c r="L796" s="295">
        <v>25500</v>
      </c>
      <c r="M796" s="9">
        <f>+L796*0.1</f>
        <v>2550</v>
      </c>
      <c r="N796" s="9">
        <f t="shared" si="666"/>
        <v>12750</v>
      </c>
      <c r="O796" s="9">
        <f t="shared" si="667"/>
        <v>7833.92</v>
      </c>
      <c r="P796" s="9">
        <f t="shared" si="668"/>
        <v>4916.08</v>
      </c>
      <c r="Q796" s="139">
        <f t="shared" si="669"/>
        <v>0.61442509803921574</v>
      </c>
      <c r="R796" s="387">
        <v>25500</v>
      </c>
      <c r="S796" s="359" t="s">
        <v>1948</v>
      </c>
      <c r="T796" s="305">
        <v>0.53889387755102036</v>
      </c>
      <c r="U796" s="115"/>
      <c r="V796" s="100"/>
      <c r="W796" s="110">
        <f t="shared" si="651"/>
        <v>25500</v>
      </c>
      <c r="X796" s="110">
        <f t="shared" si="652"/>
        <v>2366.08</v>
      </c>
      <c r="Y796" s="110">
        <f t="shared" si="653"/>
        <v>2550</v>
      </c>
      <c r="Z796" s="110">
        <f t="shared" si="654"/>
        <v>7833.92</v>
      </c>
      <c r="AA796" s="260">
        <f t="shared" si="655"/>
        <v>0.61442509803921574</v>
      </c>
      <c r="AB796" s="28">
        <f t="shared" si="656"/>
        <v>8.4</v>
      </c>
      <c r="AC796" s="261">
        <f t="shared" si="657"/>
        <v>0.61408004019279983</v>
      </c>
      <c r="AD796" s="111">
        <f t="shared" si="658"/>
        <v>3.4</v>
      </c>
      <c r="AE796" s="262">
        <f t="shared" si="659"/>
        <v>4.655068753515245E-2</v>
      </c>
      <c r="AF796" s="100"/>
      <c r="AG796" s="111">
        <f t="shared" si="660"/>
        <v>5.4</v>
      </c>
      <c r="AH796" s="262">
        <f t="shared" si="661"/>
        <v>0.39968006252213312</v>
      </c>
      <c r="AI796" s="100"/>
      <c r="AJ796" s="111">
        <f t="shared" si="662"/>
        <v>5</v>
      </c>
      <c r="AK796" s="262">
        <f t="shared" si="663"/>
        <v>0.35165446752390372</v>
      </c>
      <c r="AL796" s="100"/>
      <c r="AM796" s="111">
        <f t="shared" si="664"/>
        <v>4.5999999999999996</v>
      </c>
      <c r="AN796" s="262">
        <f t="shared" si="665"/>
        <v>0.29527659513467791</v>
      </c>
      <c r="AO796" s="100"/>
      <c r="AP796" s="24" t="e">
        <f>VLOOKUP(C796,#REF!,6,FALSE)</f>
        <v>#REF!</v>
      </c>
      <c r="AQ796" s="24" t="e">
        <f>VLOOKUP(C796,#REF!,7,FALSE)</f>
        <v>#REF!</v>
      </c>
      <c r="AR796" s="24" t="e">
        <f>VLOOKUP(C796,#REF!,12,FALSE)</f>
        <v>#REF!</v>
      </c>
      <c r="AS796" s="24" t="e">
        <f>VLOOKUP(C796,#REF!,13,FALSE)</f>
        <v>#REF!</v>
      </c>
      <c r="AT796" s="100"/>
      <c r="AU796" s="100"/>
      <c r="AV796" s="100">
        <v>778</v>
      </c>
      <c r="AW796" s="100"/>
      <c r="AY796" s="295">
        <v>25500</v>
      </c>
    </row>
    <row r="797" spans="1:51" s="2" customFormat="1" ht="12.75" customHeight="1" x14ac:dyDescent="0.2">
      <c r="A797" s="6" t="s">
        <v>1590</v>
      </c>
      <c r="B797" s="8">
        <v>9789500213998</v>
      </c>
      <c r="C797" s="8">
        <v>707948</v>
      </c>
      <c r="D797" s="41">
        <v>40</v>
      </c>
      <c r="E797" s="7" t="s">
        <v>448</v>
      </c>
      <c r="F797" s="7" t="s">
        <v>1952</v>
      </c>
      <c r="G797" s="118">
        <v>45139</v>
      </c>
      <c r="H797" s="108">
        <v>46082</v>
      </c>
      <c r="I797" s="264">
        <v>2145</v>
      </c>
      <c r="J797" s="6" t="s">
        <v>1333</v>
      </c>
      <c r="K797" s="9">
        <v>2523.5100000000002</v>
      </c>
      <c r="L797" s="295">
        <v>25500</v>
      </c>
      <c r="M797" s="9">
        <f>+L797*0.12</f>
        <v>3060</v>
      </c>
      <c r="N797" s="9">
        <f t="shared" si="666"/>
        <v>12750</v>
      </c>
      <c r="O797" s="9">
        <f t="shared" si="667"/>
        <v>7166.49</v>
      </c>
      <c r="P797" s="9">
        <f t="shared" si="668"/>
        <v>5583.51</v>
      </c>
      <c r="Q797" s="139">
        <f t="shared" si="669"/>
        <v>0.56207764705882346</v>
      </c>
      <c r="R797" s="387">
        <v>25500</v>
      </c>
      <c r="S797" s="359" t="s">
        <v>1948</v>
      </c>
      <c r="T797" s="305">
        <v>0.55399918367346934</v>
      </c>
      <c r="U797" s="115"/>
      <c r="V797" s="100"/>
      <c r="W797" s="110">
        <f t="shared" si="651"/>
        <v>25500</v>
      </c>
      <c r="X797" s="110">
        <f t="shared" si="652"/>
        <v>2523.5100000000002</v>
      </c>
      <c r="Y797" s="110">
        <f t="shared" si="653"/>
        <v>3060</v>
      </c>
      <c r="Z797" s="110">
        <f t="shared" si="654"/>
        <v>7166.49</v>
      </c>
      <c r="AA797" s="260">
        <f t="shared" si="655"/>
        <v>0.56207764705882346</v>
      </c>
      <c r="AB797" s="28">
        <f t="shared" si="656"/>
        <v>8.4</v>
      </c>
      <c r="AC797" s="261">
        <f t="shared" si="657"/>
        <v>0.56168574254627668</v>
      </c>
      <c r="AD797" s="111">
        <f t="shared" si="658"/>
        <v>3.9</v>
      </c>
      <c r="AE797" s="262">
        <f t="shared" si="659"/>
        <v>5.5938522407365014E-2</v>
      </c>
      <c r="AF797" s="100"/>
      <c r="AG797" s="111">
        <f t="shared" si="660"/>
        <v>6.1</v>
      </c>
      <c r="AH797" s="262">
        <f t="shared" si="661"/>
        <v>0.39641971104733176</v>
      </c>
      <c r="AI797" s="100"/>
      <c r="AJ797" s="111">
        <f t="shared" si="662"/>
        <v>5.7</v>
      </c>
      <c r="AK797" s="262">
        <f t="shared" si="663"/>
        <v>0.35406319954188148</v>
      </c>
      <c r="AL797" s="100"/>
      <c r="AM797" s="111">
        <f t="shared" si="664"/>
        <v>5.3</v>
      </c>
      <c r="AN797" s="262">
        <f t="shared" si="665"/>
        <v>0.30531325233749507</v>
      </c>
      <c r="AO797" s="100"/>
      <c r="AP797" s="24" t="e">
        <f>VLOOKUP(C797,#REF!,6,FALSE)</f>
        <v>#REF!</v>
      </c>
      <c r="AQ797" s="24" t="e">
        <f>VLOOKUP(C797,#REF!,7,FALSE)</f>
        <v>#REF!</v>
      </c>
      <c r="AR797" s="24" t="e">
        <f>VLOOKUP(C797,#REF!,12,FALSE)</f>
        <v>#REF!</v>
      </c>
      <c r="AS797" s="24" t="e">
        <f>VLOOKUP(C797,#REF!,13,FALSE)</f>
        <v>#REF!</v>
      </c>
      <c r="AT797" s="100"/>
      <c r="AU797" s="100"/>
      <c r="AV797" s="100">
        <v>779</v>
      </c>
      <c r="AW797" s="100"/>
      <c r="AY797" s="295">
        <v>25500</v>
      </c>
    </row>
    <row r="798" spans="1:51" s="2" customFormat="1" ht="12.75" customHeight="1" x14ac:dyDescent="0.2">
      <c r="A798" s="6" t="s">
        <v>1591</v>
      </c>
      <c r="B798" s="8">
        <v>9789500214100</v>
      </c>
      <c r="C798" s="8">
        <v>709129</v>
      </c>
      <c r="D798" s="41">
        <v>36</v>
      </c>
      <c r="E798" s="7" t="s">
        <v>448</v>
      </c>
      <c r="F798" s="7" t="s">
        <v>1953</v>
      </c>
      <c r="G798" s="107">
        <v>45170</v>
      </c>
      <c r="H798" s="107">
        <v>46266</v>
      </c>
      <c r="I798" s="239">
        <v>2075</v>
      </c>
      <c r="J798" s="6" t="s">
        <v>1333</v>
      </c>
      <c r="K798" s="148">
        <v>2471.4499999999998</v>
      </c>
      <c r="L798" s="295">
        <v>25500</v>
      </c>
      <c r="M798" s="9">
        <f>+L798*0.12</f>
        <v>3060</v>
      </c>
      <c r="N798" s="9">
        <f t="shared" si="666"/>
        <v>12750</v>
      </c>
      <c r="O798" s="9">
        <f t="shared" si="667"/>
        <v>7218.55</v>
      </c>
      <c r="P798" s="9">
        <f t="shared" si="668"/>
        <v>5531.45</v>
      </c>
      <c r="Q798" s="139">
        <f t="shared" si="669"/>
        <v>0.56616078431372552</v>
      </c>
      <c r="R798" s="387">
        <v>25500</v>
      </c>
      <c r="S798" s="359" t="s">
        <v>1948</v>
      </c>
      <c r="T798" s="305">
        <v>0.57982938775510207</v>
      </c>
      <c r="U798" s="115"/>
      <c r="V798" s="100"/>
      <c r="W798" s="110">
        <f t="shared" si="651"/>
        <v>25500</v>
      </c>
      <c r="X798" s="110">
        <f t="shared" si="652"/>
        <v>2471.4499999999998</v>
      </c>
      <c r="Y798" s="110">
        <f t="shared" si="653"/>
        <v>3060</v>
      </c>
      <c r="Z798" s="110">
        <f t="shared" si="654"/>
        <v>7218.5499999999993</v>
      </c>
      <c r="AA798" s="260">
        <f t="shared" si="655"/>
        <v>0.56616078431372541</v>
      </c>
      <c r="AB798" s="28">
        <f t="shared" si="656"/>
        <v>8.4</v>
      </c>
      <c r="AC798" s="261">
        <f t="shared" si="657"/>
        <v>0.56577253387342419</v>
      </c>
      <c r="AD798" s="111">
        <f t="shared" si="658"/>
        <v>3.8</v>
      </c>
      <c r="AE798" s="262">
        <f t="shared" si="659"/>
        <v>4.0128759088621652E-2</v>
      </c>
      <c r="AF798" s="100"/>
      <c r="AG798" s="111">
        <f t="shared" si="660"/>
        <v>6.1</v>
      </c>
      <c r="AH798" s="262">
        <f t="shared" si="661"/>
        <v>0.40204742369455121</v>
      </c>
      <c r="AI798" s="100"/>
      <c r="AJ798" s="111">
        <f t="shared" si="662"/>
        <v>5.6</v>
      </c>
      <c r="AK798" s="262">
        <f t="shared" si="663"/>
        <v>0.34865880081013612</v>
      </c>
      <c r="AL798" s="100"/>
      <c r="AM798" s="111">
        <f t="shared" si="664"/>
        <v>5.2</v>
      </c>
      <c r="AN798" s="262">
        <f t="shared" si="665"/>
        <v>0.29855563164168508</v>
      </c>
      <c r="AO798" s="100"/>
      <c r="AP798" s="24" t="e">
        <f>VLOOKUP(C798,#REF!,6,FALSE)</f>
        <v>#REF!</v>
      </c>
      <c r="AQ798" s="24" t="e">
        <f>VLOOKUP(C798,#REF!,7,FALSE)</f>
        <v>#REF!</v>
      </c>
      <c r="AR798" s="24" t="e">
        <f>VLOOKUP(C798,#REF!,12,FALSE)</f>
        <v>#REF!</v>
      </c>
      <c r="AS798" s="24" t="e">
        <f>VLOOKUP(C798,#REF!,13,FALSE)</f>
        <v>#REF!</v>
      </c>
      <c r="AT798" s="100"/>
      <c r="AU798" s="100"/>
      <c r="AV798" s="100">
        <v>780</v>
      </c>
      <c r="AW798" s="100"/>
      <c r="AY798" s="295">
        <v>25500</v>
      </c>
    </row>
    <row r="799" spans="1:51" s="2" customFormat="1" ht="12.75" customHeight="1" x14ac:dyDescent="0.2">
      <c r="A799" s="6" t="s">
        <v>1592</v>
      </c>
      <c r="B799" s="8">
        <v>9789500214117</v>
      </c>
      <c r="C799" s="8">
        <v>709130</v>
      </c>
      <c r="D799" s="41">
        <v>36</v>
      </c>
      <c r="E799" s="7" t="s">
        <v>448</v>
      </c>
      <c r="F799" s="7" t="s">
        <v>1954</v>
      </c>
      <c r="G799" s="107">
        <v>45170</v>
      </c>
      <c r="H799" s="107">
        <v>46266</v>
      </c>
      <c r="I799" s="239">
        <v>2070</v>
      </c>
      <c r="J799" s="6" t="s">
        <v>1333</v>
      </c>
      <c r="K799" s="148">
        <v>2620.5300000000002</v>
      </c>
      <c r="L799" s="295">
        <v>25500</v>
      </c>
      <c r="M799" s="9">
        <f>+L799*0.12</f>
        <v>3060</v>
      </c>
      <c r="N799" s="9">
        <f t="shared" si="666"/>
        <v>12750</v>
      </c>
      <c r="O799" s="9">
        <f t="shared" si="667"/>
        <v>7069.4699999999993</v>
      </c>
      <c r="P799" s="9">
        <f t="shared" si="668"/>
        <v>5680.5300000000007</v>
      </c>
      <c r="Q799" s="139">
        <f t="shared" si="669"/>
        <v>0.5544682352941176</v>
      </c>
      <c r="R799" s="387">
        <v>25500</v>
      </c>
      <c r="S799" s="359" t="s">
        <v>1948</v>
      </c>
      <c r="T799" s="305">
        <v>0.55188163265306123</v>
      </c>
      <c r="U799" s="115"/>
      <c r="V799" s="100"/>
      <c r="W799" s="110">
        <f t="shared" si="651"/>
        <v>25500</v>
      </c>
      <c r="X799" s="110">
        <f t="shared" si="652"/>
        <v>2620.5300000000002</v>
      </c>
      <c r="Y799" s="110">
        <f t="shared" si="653"/>
        <v>3060</v>
      </c>
      <c r="Z799" s="110">
        <f t="shared" si="654"/>
        <v>7069.4699999999993</v>
      </c>
      <c r="AA799" s="260">
        <f t="shared" si="655"/>
        <v>0.5544682352941176</v>
      </c>
      <c r="AB799" s="28">
        <f t="shared" si="656"/>
        <v>8.4</v>
      </c>
      <c r="AC799" s="261">
        <f t="shared" si="657"/>
        <v>0.55406952098346751</v>
      </c>
      <c r="AD799" s="111">
        <f t="shared" si="658"/>
        <v>3.9</v>
      </c>
      <c r="AE799" s="262">
        <f t="shared" si="659"/>
        <v>3.9534352887468489E-2</v>
      </c>
      <c r="AF799" s="100"/>
      <c r="AG799" s="111">
        <f t="shared" si="660"/>
        <v>6.2</v>
      </c>
      <c r="AH799" s="262">
        <f t="shared" si="661"/>
        <v>0.39583612520340766</v>
      </c>
      <c r="AI799" s="100"/>
      <c r="AJ799" s="111">
        <f t="shared" si="662"/>
        <v>5.8</v>
      </c>
      <c r="AK799" s="262">
        <f t="shared" si="663"/>
        <v>0.3541696510795046</v>
      </c>
      <c r="AL799" s="100"/>
      <c r="AM799" s="111">
        <f t="shared" si="664"/>
        <v>5.4</v>
      </c>
      <c r="AN799" s="262">
        <f t="shared" si="665"/>
        <v>0.30633036597428281</v>
      </c>
      <c r="AO799" s="100"/>
      <c r="AP799" s="24" t="e">
        <f>VLOOKUP(C799,#REF!,6,FALSE)</f>
        <v>#REF!</v>
      </c>
      <c r="AQ799" s="24" t="e">
        <f>VLOOKUP(C799,#REF!,7,FALSE)</f>
        <v>#REF!</v>
      </c>
      <c r="AR799" s="24" t="e">
        <f>VLOOKUP(C799,#REF!,12,FALSE)</f>
        <v>#REF!</v>
      </c>
      <c r="AS799" s="24" t="e">
        <f>VLOOKUP(C799,#REF!,13,FALSE)</f>
        <v>#REF!</v>
      </c>
      <c r="AT799" s="100"/>
      <c r="AU799" s="100"/>
      <c r="AV799" s="100">
        <v>781</v>
      </c>
      <c r="AW799" s="100"/>
      <c r="AY799" s="295">
        <v>25500</v>
      </c>
    </row>
    <row r="800" spans="1:51" s="2" customFormat="1" ht="12.75" customHeight="1" x14ac:dyDescent="0.2">
      <c r="A800" s="7" t="s">
        <v>1799</v>
      </c>
      <c r="B800" s="8">
        <v>9789500214995</v>
      </c>
      <c r="C800" s="8">
        <v>714679</v>
      </c>
      <c r="D800" s="25">
        <v>32</v>
      </c>
      <c r="E800" s="7" t="s">
        <v>448</v>
      </c>
      <c r="F800" s="116" t="s">
        <v>1955</v>
      </c>
      <c r="G800" s="107">
        <v>45383</v>
      </c>
      <c r="H800" s="108">
        <v>45931</v>
      </c>
      <c r="I800" s="7">
        <v>3055</v>
      </c>
      <c r="J800" s="6" t="s">
        <v>1333</v>
      </c>
      <c r="K800" s="148">
        <v>1850.75</v>
      </c>
      <c r="L800" s="295">
        <v>25500</v>
      </c>
      <c r="M800" s="112">
        <f>+L800*0.12</f>
        <v>3060</v>
      </c>
      <c r="N800" s="9">
        <f t="shared" si="666"/>
        <v>12750</v>
      </c>
      <c r="O800" s="9">
        <f t="shared" si="667"/>
        <v>7839.25</v>
      </c>
      <c r="P800" s="9">
        <f t="shared" si="668"/>
        <v>4910.75</v>
      </c>
      <c r="Q800" s="139">
        <f t="shared" si="669"/>
        <v>0.61484313725490192</v>
      </c>
      <c r="R800" s="387">
        <v>25500</v>
      </c>
      <c r="S800" s="359" t="s">
        <v>1948</v>
      </c>
      <c r="T800" s="305">
        <v>0.60891836734693883</v>
      </c>
      <c r="U800" s="6"/>
      <c r="V800" s="100"/>
      <c r="W800" s="110">
        <f t="shared" si="651"/>
        <v>25500</v>
      </c>
      <c r="X800" s="110">
        <f t="shared" si="652"/>
        <v>1850.75</v>
      </c>
      <c r="Y800" s="110">
        <f t="shared" si="653"/>
        <v>3060</v>
      </c>
      <c r="Z800" s="110">
        <f t="shared" si="654"/>
        <v>7839.25</v>
      </c>
      <c r="AA800" s="260">
        <f t="shared" si="655"/>
        <v>0.61484313725490192</v>
      </c>
      <c r="AB800" s="28">
        <f t="shared" si="656"/>
        <v>8.4</v>
      </c>
      <c r="AC800" s="261">
        <f t="shared" si="657"/>
        <v>0.61449845351922505</v>
      </c>
      <c r="AD800" s="111">
        <f t="shared" si="658"/>
        <v>3.4</v>
      </c>
      <c r="AE800" s="262">
        <f t="shared" si="659"/>
        <v>4.7584414576908804E-2</v>
      </c>
      <c r="AF800" s="100"/>
      <c r="AG800" s="111">
        <f t="shared" si="660"/>
        <v>5.4</v>
      </c>
      <c r="AH800" s="262">
        <f t="shared" si="661"/>
        <v>0.4003309276965723</v>
      </c>
      <c r="AI800" s="100"/>
      <c r="AJ800" s="111">
        <f t="shared" si="662"/>
        <v>5</v>
      </c>
      <c r="AK800" s="262">
        <f t="shared" si="663"/>
        <v>0.35235740191229803</v>
      </c>
      <c r="AL800" s="100"/>
      <c r="AM800" s="111">
        <f t="shared" si="664"/>
        <v>4.5999999999999996</v>
      </c>
      <c r="AN800" s="262">
        <f t="shared" si="665"/>
        <v>0.29604065425249787</v>
      </c>
      <c r="AO800" s="100"/>
      <c r="AP800" s="24" t="e">
        <f>VLOOKUP(C800,#REF!,6,FALSE)</f>
        <v>#REF!</v>
      </c>
      <c r="AQ800" s="24" t="e">
        <f>VLOOKUP(C800,#REF!,7,FALSE)</f>
        <v>#REF!</v>
      </c>
      <c r="AR800" s="24" t="e">
        <f>VLOOKUP(C800,#REF!,12,FALSE)</f>
        <v>#REF!</v>
      </c>
      <c r="AS800" s="24" t="e">
        <f>VLOOKUP(C800,#REF!,13,FALSE)</f>
        <v>#REF!</v>
      </c>
      <c r="AT800" s="100"/>
      <c r="AU800" s="100"/>
      <c r="AV800" s="100">
        <v>782</v>
      </c>
      <c r="AW800" s="100"/>
      <c r="AY800" s="295">
        <v>25500</v>
      </c>
    </row>
    <row r="801" spans="1:51" s="2" customFormat="1" ht="12.75" customHeight="1" x14ac:dyDescent="0.2">
      <c r="A801" s="6" t="s">
        <v>1979</v>
      </c>
      <c r="B801" s="8">
        <v>9789500215831</v>
      </c>
      <c r="C801" s="6">
        <v>725697</v>
      </c>
      <c r="D801" s="41">
        <v>32</v>
      </c>
      <c r="E801" s="288" t="s">
        <v>515</v>
      </c>
      <c r="F801" s="6" t="s">
        <v>1988</v>
      </c>
      <c r="G801" s="107">
        <v>45689</v>
      </c>
      <c r="H801" s="107">
        <v>46266</v>
      </c>
      <c r="I801" s="239" t="s">
        <v>2435</v>
      </c>
      <c r="J801" s="6" t="s">
        <v>1333</v>
      </c>
      <c r="K801" s="148">
        <v>3015.66</v>
      </c>
      <c r="L801" s="295">
        <v>25500</v>
      </c>
      <c r="M801" s="9">
        <f t="shared" ref="M801:M816" si="671">+L801*0.1</f>
        <v>2550</v>
      </c>
      <c r="N801" s="9">
        <f t="shared" si="666"/>
        <v>12750</v>
      </c>
      <c r="O801" s="9">
        <f t="shared" si="667"/>
        <v>7184.34</v>
      </c>
      <c r="P801" s="9">
        <f t="shared" si="668"/>
        <v>5565.66</v>
      </c>
      <c r="Q801" s="109">
        <f t="shared" si="669"/>
        <v>0.56347764705882353</v>
      </c>
      <c r="R801" s="387">
        <v>25500</v>
      </c>
      <c r="S801" s="359" t="s">
        <v>1948</v>
      </c>
      <c r="T801" s="305">
        <v>0.69291183673469392</v>
      </c>
      <c r="U801" s="12"/>
      <c r="V801" s="100"/>
      <c r="W801" s="110">
        <f t="shared" si="651"/>
        <v>25500</v>
      </c>
      <c r="X801" s="110">
        <f t="shared" si="652"/>
        <v>3015.66</v>
      </c>
      <c r="Y801" s="110">
        <f t="shared" si="653"/>
        <v>2550</v>
      </c>
      <c r="Z801" s="110">
        <f t="shared" si="654"/>
        <v>7184.34</v>
      </c>
      <c r="AA801" s="260">
        <f t="shared" si="655"/>
        <v>0.56347764705882353</v>
      </c>
      <c r="AB801" s="28">
        <f t="shared" si="656"/>
        <v>8.4</v>
      </c>
      <c r="AC801" s="261">
        <f t="shared" si="657"/>
        <v>0.5630869954312091</v>
      </c>
      <c r="AD801" s="111">
        <f t="shared" si="658"/>
        <v>3.9</v>
      </c>
      <c r="AE801" s="262">
        <f t="shared" si="659"/>
        <v>5.8956605544142573E-2</v>
      </c>
      <c r="AF801" s="100"/>
      <c r="AG801" s="111">
        <f t="shared" si="660"/>
        <v>6.1</v>
      </c>
      <c r="AH801" s="262">
        <f t="shared" si="661"/>
        <v>0.39834930518396006</v>
      </c>
      <c r="AI801" s="100"/>
      <c r="AJ801" s="111">
        <f t="shared" si="662"/>
        <v>5.6</v>
      </c>
      <c r="AK801" s="262">
        <f t="shared" si="663"/>
        <v>0.3446304931468136</v>
      </c>
      <c r="AL801" s="100"/>
      <c r="AM801" s="111">
        <f t="shared" si="664"/>
        <v>5.2</v>
      </c>
      <c r="AN801" s="262">
        <f t="shared" si="665"/>
        <v>0.29421745415810702</v>
      </c>
      <c r="AO801" s="100"/>
      <c r="AP801" s="24" t="e">
        <f>VLOOKUP(C801,#REF!,6,FALSE)</f>
        <v>#REF!</v>
      </c>
      <c r="AQ801" s="24" t="e">
        <f>VLOOKUP(C801,#REF!,7,FALSE)</f>
        <v>#REF!</v>
      </c>
      <c r="AR801" s="24" t="e">
        <f>VLOOKUP(C801,#REF!,12,FALSE)</f>
        <v>#REF!</v>
      </c>
      <c r="AS801" s="24" t="e">
        <f>VLOOKUP(C801,#REF!,13,FALSE)</f>
        <v>#REF!</v>
      </c>
      <c r="AT801" s="100"/>
      <c r="AU801" s="100"/>
      <c r="AV801" s="100">
        <v>783</v>
      </c>
      <c r="AW801" s="100"/>
      <c r="AY801" s="295">
        <v>25500</v>
      </c>
    </row>
    <row r="802" spans="1:51" s="2" customFormat="1" ht="12.75" customHeight="1" x14ac:dyDescent="0.2">
      <c r="A802" s="7" t="s">
        <v>1798</v>
      </c>
      <c r="B802" s="8">
        <v>9789500215008</v>
      </c>
      <c r="C802" s="8">
        <v>714678</v>
      </c>
      <c r="D802" s="25">
        <v>32</v>
      </c>
      <c r="E802" s="7" t="s">
        <v>515</v>
      </c>
      <c r="F802" s="116" t="s">
        <v>1956</v>
      </c>
      <c r="G802" s="107">
        <v>45383</v>
      </c>
      <c r="H802" s="108">
        <v>46204</v>
      </c>
      <c r="I802" s="7">
        <v>2125</v>
      </c>
      <c r="J802" s="116" t="s">
        <v>1333</v>
      </c>
      <c r="K802" s="9">
        <v>2341.59</v>
      </c>
      <c r="L802" s="295">
        <v>25500</v>
      </c>
      <c r="M802" s="112">
        <f t="shared" si="671"/>
        <v>2550</v>
      </c>
      <c r="N802" s="9">
        <f t="shared" si="666"/>
        <v>12750</v>
      </c>
      <c r="O802" s="9">
        <f t="shared" si="667"/>
        <v>7858.41</v>
      </c>
      <c r="P802" s="9">
        <f t="shared" si="668"/>
        <v>4891.59</v>
      </c>
      <c r="Q802" s="139">
        <f t="shared" si="669"/>
        <v>0.61634588235294119</v>
      </c>
      <c r="R802" s="387">
        <v>25500</v>
      </c>
      <c r="S802" s="359" t="s">
        <v>1948</v>
      </c>
      <c r="T802" s="305">
        <v>0.61204571428571419</v>
      </c>
      <c r="U802" s="6"/>
      <c r="V802" s="100"/>
      <c r="W802" s="110">
        <f t="shared" ref="W802:W817" si="672">+L802</f>
        <v>25500</v>
      </c>
      <c r="X802" s="110">
        <f t="shared" ref="X802:X817" si="673">+K802</f>
        <v>2341.59</v>
      </c>
      <c r="Y802" s="110">
        <f t="shared" ref="Y802:Y817" si="674">+M802</f>
        <v>2550</v>
      </c>
      <c r="Z802" s="110">
        <f t="shared" ref="Z802:Z817" si="675">+W802/2-X802-Y802</f>
        <v>7858.41</v>
      </c>
      <c r="AA802" s="260">
        <f t="shared" ref="AA802:AA817" si="676">+Z802/(W802/2)</f>
        <v>0.61634588235294119</v>
      </c>
      <c r="AB802" s="28">
        <f t="shared" ref="AB802:AB817" si="677">ROUND($W802/2/$X$1,1)</f>
        <v>8.4</v>
      </c>
      <c r="AC802" s="261">
        <f t="shared" ref="AC802:AC817" si="678">+(AB802*$X$1-$X802-$Y802)/(AB802*$X$1)</f>
        <v>0.61600254345061467</v>
      </c>
      <c r="AD802" s="111">
        <f t="shared" ref="AD802:AD817" si="679">+IFERROR(ROUND(($X802+$Y802)/(1-$X$2)/$X$1,1),0)</f>
        <v>3.4</v>
      </c>
      <c r="AE802" s="262">
        <f t="shared" ref="AE802:AE817" si="680">+(AD802*$X$1-$X802-$Y802)/(AD802*$X$1)</f>
        <v>5.1300401466224346E-2</v>
      </c>
      <c r="AF802" s="100"/>
      <c r="AG802" s="111">
        <f t="shared" ref="AG802:AG817" si="681">+IFERROR(ROUND(($X802+$Y802)/(1-$AG$2)/$X$1,1),0)</f>
        <v>5.4</v>
      </c>
      <c r="AH802" s="262">
        <f t="shared" ref="AH802:AH817" si="682">+(AG802*$X$1-$X802-$Y802)/(AG802*$X$1)</f>
        <v>0.40267062314540059</v>
      </c>
      <c r="AI802" s="100"/>
      <c r="AJ802" s="111">
        <f t="shared" ref="AJ802:AJ817" si="683">+IFERROR(ROUND(($X802+$Y802)/(1-$AJ$2)/$X$1,1),0)</f>
        <v>5</v>
      </c>
      <c r="AK802" s="262">
        <f t="shared" ref="AK802:AK817" si="684">+(AJ802*$X$1-$X802-$Y802)/(AJ802*$X$1)</f>
        <v>0.35488427299703262</v>
      </c>
      <c r="AL802" s="100"/>
      <c r="AM802" s="111">
        <f t="shared" ref="AM802:AM817" si="685">+IFERROR(ROUND(($X802+$Y802)/(1-$AM$2)/$X$1,1),0)</f>
        <v>4.5999999999999996</v>
      </c>
      <c r="AN802" s="262">
        <f t="shared" ref="AN802:AN817" si="686">+(AM802*$X$1-$X802-$Y802)/(AM802*$X$1)</f>
        <v>0.2987872532576441</v>
      </c>
      <c r="AO802" s="100"/>
      <c r="AP802" s="24" t="e">
        <f>VLOOKUP(C802,#REF!,6,FALSE)</f>
        <v>#REF!</v>
      </c>
      <c r="AQ802" s="24" t="e">
        <f>VLOOKUP(C802,#REF!,7,FALSE)</f>
        <v>#REF!</v>
      </c>
      <c r="AR802" s="24" t="e">
        <f>VLOOKUP(C802,#REF!,12,FALSE)</f>
        <v>#REF!</v>
      </c>
      <c r="AS802" s="24" t="e">
        <f>VLOOKUP(C802,#REF!,13,FALSE)</f>
        <v>#REF!</v>
      </c>
      <c r="AT802" s="100"/>
      <c r="AU802" s="100"/>
      <c r="AV802" s="100">
        <v>784</v>
      </c>
      <c r="AW802" s="100"/>
      <c r="AY802" s="295">
        <v>25500</v>
      </c>
    </row>
    <row r="803" spans="1:51" s="2" customFormat="1" ht="12.75" customHeight="1" x14ac:dyDescent="0.2">
      <c r="A803" s="7" t="s">
        <v>1593</v>
      </c>
      <c r="B803" s="8">
        <v>9789500214261</v>
      </c>
      <c r="C803" s="8">
        <v>710540</v>
      </c>
      <c r="D803" s="25">
        <v>32</v>
      </c>
      <c r="E803" s="7" t="s">
        <v>515</v>
      </c>
      <c r="F803" s="7" t="s">
        <v>1922</v>
      </c>
      <c r="G803" s="107">
        <v>45231</v>
      </c>
      <c r="H803" s="108">
        <v>45200</v>
      </c>
      <c r="I803" s="7">
        <v>5050</v>
      </c>
      <c r="J803" s="6" t="s">
        <v>1333</v>
      </c>
      <c r="K803" s="117">
        <v>803.63</v>
      </c>
      <c r="L803" s="295">
        <v>25500</v>
      </c>
      <c r="M803" s="112">
        <f t="shared" si="671"/>
        <v>2550</v>
      </c>
      <c r="N803" s="9">
        <f t="shared" si="666"/>
        <v>12750</v>
      </c>
      <c r="O803" s="9">
        <f t="shared" si="667"/>
        <v>9396.3700000000008</v>
      </c>
      <c r="P803" s="9">
        <f t="shared" si="668"/>
        <v>3353.63</v>
      </c>
      <c r="Q803" s="139">
        <f t="shared" si="669"/>
        <v>0.73697019607843139</v>
      </c>
      <c r="R803" s="387">
        <v>25500</v>
      </c>
      <c r="S803" s="359" t="s">
        <v>1948</v>
      </c>
      <c r="T803" s="305">
        <v>0.73439755102040827</v>
      </c>
      <c r="U803" s="144"/>
      <c r="V803" s="100"/>
      <c r="W803" s="110">
        <f t="shared" si="672"/>
        <v>25500</v>
      </c>
      <c r="X803" s="110">
        <f t="shared" si="673"/>
        <v>803.63</v>
      </c>
      <c r="Y803" s="110">
        <f t="shared" si="674"/>
        <v>2550</v>
      </c>
      <c r="Z803" s="110">
        <f t="shared" si="675"/>
        <v>9396.3700000000008</v>
      </c>
      <c r="AA803" s="260">
        <f t="shared" si="676"/>
        <v>0.73697019607843139</v>
      </c>
      <c r="AB803" s="28">
        <f t="shared" si="677"/>
        <v>8.4</v>
      </c>
      <c r="AC803" s="261">
        <f t="shared" si="678"/>
        <v>0.73673480602263997</v>
      </c>
      <c r="AD803" s="111">
        <f t="shared" si="679"/>
        <v>2.2999999999999998</v>
      </c>
      <c r="AE803" s="262">
        <f t="shared" si="680"/>
        <v>3.8509726343554158E-2</v>
      </c>
      <c r="AF803" s="100"/>
      <c r="AG803" s="111">
        <f t="shared" si="681"/>
        <v>3.7</v>
      </c>
      <c r="AH803" s="262">
        <f t="shared" si="682"/>
        <v>0.40231685691626345</v>
      </c>
      <c r="AI803" s="100"/>
      <c r="AJ803" s="111">
        <f t="shared" si="683"/>
        <v>3.4</v>
      </c>
      <c r="AK803" s="262">
        <f t="shared" si="684"/>
        <v>0.34958010899711012</v>
      </c>
      <c r="AL803" s="100"/>
      <c r="AM803" s="111">
        <f t="shared" si="685"/>
        <v>3.2</v>
      </c>
      <c r="AN803" s="262">
        <f t="shared" si="686"/>
        <v>0.30892886580942963</v>
      </c>
      <c r="AO803" s="100"/>
      <c r="AP803" s="24" t="e">
        <f>VLOOKUP(C803,#REF!,6,FALSE)</f>
        <v>#REF!</v>
      </c>
      <c r="AQ803" s="24" t="e">
        <f>VLOOKUP(C803,#REF!,7,FALSE)</f>
        <v>#REF!</v>
      </c>
      <c r="AR803" s="24" t="e">
        <f>VLOOKUP(C803,#REF!,12,FALSE)</f>
        <v>#REF!</v>
      </c>
      <c r="AS803" s="24" t="e">
        <f>VLOOKUP(C803,#REF!,13,FALSE)</f>
        <v>#REF!</v>
      </c>
      <c r="AT803" s="100"/>
      <c r="AU803" s="100"/>
      <c r="AV803" s="100">
        <v>785</v>
      </c>
      <c r="AW803" s="100"/>
      <c r="AY803" s="295">
        <v>25500</v>
      </c>
    </row>
    <row r="804" spans="1:51" s="2" customFormat="1" ht="12.75" customHeight="1" x14ac:dyDescent="0.2">
      <c r="A804" s="6" t="s">
        <v>1880</v>
      </c>
      <c r="B804" s="8">
        <v>9789500215343</v>
      </c>
      <c r="C804" s="8">
        <v>717942</v>
      </c>
      <c r="D804" s="41">
        <v>32</v>
      </c>
      <c r="E804" s="7" t="s">
        <v>515</v>
      </c>
      <c r="F804" s="25" t="s">
        <v>1923</v>
      </c>
      <c r="G804" s="107">
        <v>45474</v>
      </c>
      <c r="H804" s="108">
        <v>46204</v>
      </c>
      <c r="I804" s="7">
        <v>2162</v>
      </c>
      <c r="J804" s="25" t="s">
        <v>1333</v>
      </c>
      <c r="K804" s="367">
        <v>2332.17</v>
      </c>
      <c r="L804" s="295">
        <v>25500</v>
      </c>
      <c r="M804" s="9">
        <f t="shared" si="671"/>
        <v>2550</v>
      </c>
      <c r="N804" s="9">
        <f t="shared" si="666"/>
        <v>12750</v>
      </c>
      <c r="O804" s="9">
        <f t="shared" si="667"/>
        <v>7867.83</v>
      </c>
      <c r="P804" s="9">
        <f t="shared" si="668"/>
        <v>4882.17</v>
      </c>
      <c r="Q804" s="139">
        <f t="shared" si="669"/>
        <v>0.61708470588235298</v>
      </c>
      <c r="R804" s="387">
        <v>25500</v>
      </c>
      <c r="S804" s="359" t="s">
        <v>1948</v>
      </c>
      <c r="T804" s="305">
        <v>0.61233142857142853</v>
      </c>
      <c r="U804" s="115"/>
      <c r="V804" s="100"/>
      <c r="W804" s="110">
        <f t="shared" si="672"/>
        <v>25500</v>
      </c>
      <c r="X804" s="110">
        <f t="shared" si="673"/>
        <v>2332.17</v>
      </c>
      <c r="Y804" s="110">
        <f t="shared" si="674"/>
        <v>2550</v>
      </c>
      <c r="Z804" s="110">
        <f t="shared" si="675"/>
        <v>7867.83</v>
      </c>
      <c r="AA804" s="260">
        <f t="shared" si="676"/>
        <v>0.61708470588235298</v>
      </c>
      <c r="AB804" s="28">
        <f t="shared" si="677"/>
        <v>8.4</v>
      </c>
      <c r="AC804" s="261">
        <f t="shared" si="678"/>
        <v>0.61674202816636048</v>
      </c>
      <c r="AD804" s="111">
        <f t="shared" si="679"/>
        <v>3.4</v>
      </c>
      <c r="AE804" s="262">
        <f t="shared" si="680"/>
        <v>5.312736370512585E-2</v>
      </c>
      <c r="AF804" s="100"/>
      <c r="AG804" s="111">
        <f t="shared" si="681"/>
        <v>5.4</v>
      </c>
      <c r="AH804" s="262">
        <f t="shared" si="682"/>
        <v>0.4038209327032275</v>
      </c>
      <c r="AI804" s="100"/>
      <c r="AJ804" s="111">
        <f t="shared" si="683"/>
        <v>5</v>
      </c>
      <c r="AK804" s="262">
        <f t="shared" si="684"/>
        <v>0.35612660731948564</v>
      </c>
      <c r="AL804" s="100"/>
      <c r="AM804" s="111">
        <f t="shared" si="685"/>
        <v>4.5999999999999996</v>
      </c>
      <c r="AN804" s="262">
        <f t="shared" si="686"/>
        <v>0.30013761665161481</v>
      </c>
      <c r="AO804" s="100"/>
      <c r="AP804" s="24" t="e">
        <f>VLOOKUP(C804,#REF!,6,FALSE)</f>
        <v>#REF!</v>
      </c>
      <c r="AQ804" s="24" t="e">
        <f>VLOOKUP(C804,#REF!,7,FALSE)</f>
        <v>#REF!</v>
      </c>
      <c r="AR804" s="24" t="e">
        <f>VLOOKUP(C804,#REF!,12,FALSE)</f>
        <v>#REF!</v>
      </c>
      <c r="AS804" s="24" t="e">
        <f>VLOOKUP(C804,#REF!,13,FALSE)</f>
        <v>#REF!</v>
      </c>
      <c r="AT804" s="100"/>
      <c r="AU804" s="100"/>
      <c r="AV804" s="100">
        <v>786</v>
      </c>
      <c r="AW804" s="100"/>
      <c r="AY804" s="295">
        <v>25500</v>
      </c>
    </row>
    <row r="805" spans="1:51" s="2" customFormat="1" ht="12.75" customHeight="1" x14ac:dyDescent="0.2">
      <c r="A805" s="6" t="s">
        <v>1924</v>
      </c>
      <c r="B805" s="8">
        <v>9789500215664</v>
      </c>
      <c r="C805" s="8">
        <v>722237</v>
      </c>
      <c r="D805" s="41">
        <v>32</v>
      </c>
      <c r="E805" s="7" t="s">
        <v>515</v>
      </c>
      <c r="F805" s="6" t="s">
        <v>2307</v>
      </c>
      <c r="G805" s="107">
        <v>45566</v>
      </c>
      <c r="H805" s="108">
        <v>46082</v>
      </c>
      <c r="I805" s="264">
        <v>2077</v>
      </c>
      <c r="J805" s="6" t="s">
        <v>1333</v>
      </c>
      <c r="K805" s="148">
        <v>2152.19</v>
      </c>
      <c r="L805" s="295">
        <v>25500</v>
      </c>
      <c r="M805" s="9">
        <f t="shared" si="671"/>
        <v>2550</v>
      </c>
      <c r="N805" s="9">
        <f t="shared" si="666"/>
        <v>12750</v>
      </c>
      <c r="O805" s="9">
        <f t="shared" si="667"/>
        <v>8047.8099999999995</v>
      </c>
      <c r="P805" s="9">
        <f t="shared" si="668"/>
        <v>4702.1900000000005</v>
      </c>
      <c r="Q805" s="139">
        <f t="shared" si="669"/>
        <v>0.6312007843137255</v>
      </c>
      <c r="R805" s="387">
        <v>25500</v>
      </c>
      <c r="S805" s="359" t="s">
        <v>1948</v>
      </c>
      <c r="T805" s="305">
        <v>0.62431102040816322</v>
      </c>
      <c r="U805" s="115"/>
      <c r="V805" s="100"/>
      <c r="W805" s="110">
        <f t="shared" si="672"/>
        <v>25500</v>
      </c>
      <c r="X805" s="110">
        <f t="shared" si="673"/>
        <v>2152.19</v>
      </c>
      <c r="Y805" s="110">
        <f t="shared" si="674"/>
        <v>2550</v>
      </c>
      <c r="Z805" s="110">
        <f t="shared" si="675"/>
        <v>8047.8099999999995</v>
      </c>
      <c r="AA805" s="260">
        <f t="shared" si="676"/>
        <v>0.6312007843137255</v>
      </c>
      <c r="AB805" s="28">
        <f t="shared" si="677"/>
        <v>8.4</v>
      </c>
      <c r="AC805" s="261">
        <f t="shared" si="678"/>
        <v>0.63087073932771254</v>
      </c>
      <c r="AD805" s="111">
        <f t="shared" si="679"/>
        <v>3.3</v>
      </c>
      <c r="AE805" s="262">
        <f t="shared" si="680"/>
        <v>6.0398245561450264E-2</v>
      </c>
      <c r="AF805" s="100"/>
      <c r="AG805" s="111">
        <f t="shared" si="681"/>
        <v>5.2</v>
      </c>
      <c r="AH805" s="262">
        <f t="shared" si="682"/>
        <v>0.40371427122168968</v>
      </c>
      <c r="AI805" s="100"/>
      <c r="AJ805" s="111">
        <f t="shared" si="683"/>
        <v>4.8</v>
      </c>
      <c r="AK805" s="262">
        <f t="shared" si="684"/>
        <v>0.35402379382349713</v>
      </c>
      <c r="AL805" s="100"/>
      <c r="AM805" s="111">
        <f t="shared" si="685"/>
        <v>4.4000000000000004</v>
      </c>
      <c r="AN805" s="262">
        <f t="shared" si="686"/>
        <v>0.29529868417108768</v>
      </c>
      <c r="AO805" s="100"/>
      <c r="AP805" s="24" t="e">
        <f>VLOOKUP(C805,#REF!,6,FALSE)</f>
        <v>#REF!</v>
      </c>
      <c r="AQ805" s="24" t="e">
        <f>VLOOKUP(C805,#REF!,7,FALSE)</f>
        <v>#REF!</v>
      </c>
      <c r="AR805" s="24" t="e">
        <f>VLOOKUP(C805,#REF!,12,FALSE)</f>
        <v>#REF!</v>
      </c>
      <c r="AS805" s="24" t="e">
        <f>VLOOKUP(C805,#REF!,13,FALSE)</f>
        <v>#REF!</v>
      </c>
      <c r="AT805" s="100"/>
      <c r="AU805" s="100"/>
      <c r="AV805" s="100">
        <v>787</v>
      </c>
      <c r="AW805" s="100"/>
      <c r="AY805" s="295">
        <v>25500</v>
      </c>
    </row>
    <row r="806" spans="1:51" s="2" customFormat="1" ht="12.75" customHeight="1" x14ac:dyDescent="0.2">
      <c r="A806" s="7" t="s">
        <v>1950</v>
      </c>
      <c r="B806" s="8">
        <v>9789500215701</v>
      </c>
      <c r="C806" s="8">
        <v>723728</v>
      </c>
      <c r="D806" s="25">
        <v>36</v>
      </c>
      <c r="E806" s="9" t="s">
        <v>648</v>
      </c>
      <c r="F806" s="7" t="s">
        <v>1951</v>
      </c>
      <c r="G806" s="118">
        <v>45597</v>
      </c>
      <c r="H806" s="108">
        <v>45901</v>
      </c>
      <c r="I806" s="264">
        <v>2025</v>
      </c>
      <c r="J806" s="6" t="s">
        <v>1333</v>
      </c>
      <c r="K806" s="9">
        <v>1513.18</v>
      </c>
      <c r="L806" s="295">
        <v>25500</v>
      </c>
      <c r="M806" s="9">
        <f t="shared" si="671"/>
        <v>2550</v>
      </c>
      <c r="N806" s="9">
        <f t="shared" si="666"/>
        <v>12750</v>
      </c>
      <c r="O806" s="9">
        <f t="shared" si="667"/>
        <v>8686.82</v>
      </c>
      <c r="P806" s="9">
        <f t="shared" si="668"/>
        <v>4063.1800000000003</v>
      </c>
      <c r="Q806" s="139">
        <f t="shared" si="669"/>
        <v>0.68131921568627452</v>
      </c>
      <c r="R806" s="387">
        <v>25500</v>
      </c>
      <c r="S806" s="359" t="s">
        <v>1948</v>
      </c>
      <c r="T806" s="305">
        <v>0.67647510204081629</v>
      </c>
      <c r="U806" s="115"/>
      <c r="V806" s="100"/>
      <c r="W806" s="110">
        <f t="shared" si="672"/>
        <v>25500</v>
      </c>
      <c r="X806" s="110">
        <f t="shared" si="673"/>
        <v>1513.18</v>
      </c>
      <c r="Y806" s="110">
        <f t="shared" si="674"/>
        <v>2550</v>
      </c>
      <c r="Z806" s="110">
        <f t="shared" si="675"/>
        <v>8686.82</v>
      </c>
      <c r="AA806" s="260">
        <f t="shared" si="676"/>
        <v>0.68131921568627452</v>
      </c>
      <c r="AB806" s="28">
        <f t="shared" si="677"/>
        <v>8.4</v>
      </c>
      <c r="AC806" s="261">
        <f t="shared" si="678"/>
        <v>0.68103402257704926</v>
      </c>
      <c r="AD806" s="111">
        <f t="shared" si="679"/>
        <v>2.8</v>
      </c>
      <c r="AE806" s="262">
        <f t="shared" si="680"/>
        <v>4.310206773114774E-2</v>
      </c>
      <c r="AF806" s="100"/>
      <c r="AG806" s="111">
        <f t="shared" si="681"/>
        <v>4.5</v>
      </c>
      <c r="AH806" s="262">
        <f t="shared" si="682"/>
        <v>0.4045968421438253</v>
      </c>
      <c r="AI806" s="100"/>
      <c r="AJ806" s="111">
        <f t="shared" si="683"/>
        <v>4.0999999999999996</v>
      </c>
      <c r="AK806" s="262">
        <f t="shared" si="684"/>
        <v>0.34650872918224723</v>
      </c>
      <c r="AL806" s="100"/>
      <c r="AM806" s="111">
        <f t="shared" si="685"/>
        <v>3.8</v>
      </c>
      <c r="AN806" s="262">
        <f t="shared" si="686"/>
        <v>0.29491731306505625</v>
      </c>
      <c r="AO806" s="100"/>
      <c r="AP806" s="24" t="e">
        <f>VLOOKUP(C806,#REF!,6,FALSE)</f>
        <v>#REF!</v>
      </c>
      <c r="AQ806" s="24" t="e">
        <f>VLOOKUP(C806,#REF!,7,FALSE)</f>
        <v>#REF!</v>
      </c>
      <c r="AR806" s="24" t="e">
        <f>VLOOKUP(C806,#REF!,12,FALSE)</f>
        <v>#REF!</v>
      </c>
      <c r="AS806" s="24" t="e">
        <f>VLOOKUP(C806,#REF!,13,FALSE)</f>
        <v>#REF!</v>
      </c>
      <c r="AT806" s="100"/>
      <c r="AU806" s="100"/>
      <c r="AV806" s="100">
        <v>788</v>
      </c>
      <c r="AW806" s="100"/>
      <c r="AY806" s="295">
        <v>25500</v>
      </c>
    </row>
    <row r="807" spans="1:51" s="2" customFormat="1" ht="12.75" customHeight="1" x14ac:dyDescent="0.2">
      <c r="A807" s="7" t="s">
        <v>2053</v>
      </c>
      <c r="B807" s="8">
        <v>9789500216296</v>
      </c>
      <c r="C807" s="146">
        <v>729382</v>
      </c>
      <c r="D807" s="25">
        <v>32</v>
      </c>
      <c r="E807" s="6" t="s">
        <v>515</v>
      </c>
      <c r="F807" s="7" t="s">
        <v>2054</v>
      </c>
      <c r="G807" s="107">
        <v>45778</v>
      </c>
      <c r="H807" s="108">
        <v>46204</v>
      </c>
      <c r="I807" s="7">
        <v>2020</v>
      </c>
      <c r="J807" s="7" t="s">
        <v>1333</v>
      </c>
      <c r="K807" s="9">
        <v>2370.21</v>
      </c>
      <c r="L807" s="295">
        <v>25500</v>
      </c>
      <c r="M807" s="9">
        <f t="shared" si="671"/>
        <v>2550</v>
      </c>
      <c r="N807" s="9">
        <f t="shared" ref="N807:N817" si="687">+L807/2</f>
        <v>12750</v>
      </c>
      <c r="O807" s="9">
        <f t="shared" ref="O807:O817" si="688">+N807-M807-K807</f>
        <v>7829.79</v>
      </c>
      <c r="P807" s="9">
        <f t="shared" ref="P807:P817" si="689">+M807+K807</f>
        <v>4920.21</v>
      </c>
      <c r="Q807" s="139">
        <f t="shared" ref="Q807:Q817" si="690">+O807/N807</f>
        <v>0.61410117647058826</v>
      </c>
      <c r="R807" s="387">
        <v>25500</v>
      </c>
      <c r="S807" s="359" t="s">
        <v>1948</v>
      </c>
      <c r="T807" s="305">
        <v>0.64506040816326526</v>
      </c>
      <c r="U807" s="115"/>
      <c r="V807" s="100"/>
      <c r="W807" s="110">
        <f t="shared" si="672"/>
        <v>25500</v>
      </c>
      <c r="X807" s="110">
        <f t="shared" si="673"/>
        <v>2370.21</v>
      </c>
      <c r="Y807" s="110">
        <f t="shared" si="674"/>
        <v>2550</v>
      </c>
      <c r="Z807" s="110">
        <f t="shared" si="675"/>
        <v>7829.7900000000009</v>
      </c>
      <c r="AA807" s="260">
        <f t="shared" si="676"/>
        <v>0.61410117647058826</v>
      </c>
      <c r="AB807" s="28">
        <f t="shared" si="677"/>
        <v>8.4</v>
      </c>
      <c r="AC807" s="261">
        <f t="shared" si="678"/>
        <v>0.61375582874099188</v>
      </c>
      <c r="AD807" s="111">
        <f t="shared" si="679"/>
        <v>3.4</v>
      </c>
      <c r="AE807" s="262">
        <f t="shared" si="680"/>
        <v>4.5749694536568228E-2</v>
      </c>
      <c r="AF807" s="100"/>
      <c r="AG807" s="111">
        <f t="shared" si="681"/>
        <v>5.4</v>
      </c>
      <c r="AH807" s="262">
        <f t="shared" si="682"/>
        <v>0.39917573359709863</v>
      </c>
      <c r="AI807" s="100"/>
      <c r="AJ807" s="111">
        <f t="shared" si="683"/>
        <v>5</v>
      </c>
      <c r="AK807" s="262">
        <f t="shared" si="684"/>
        <v>0.35110979228486644</v>
      </c>
      <c r="AL807" s="100"/>
      <c r="AM807" s="111">
        <f t="shared" si="685"/>
        <v>4.5999999999999996</v>
      </c>
      <c r="AN807" s="262">
        <f t="shared" si="686"/>
        <v>0.29468455683137657</v>
      </c>
      <c r="AO807" s="100"/>
      <c r="AP807" s="24" t="e">
        <f>VLOOKUP(C807,#REF!,6,FALSE)</f>
        <v>#REF!</v>
      </c>
      <c r="AQ807" s="24" t="e">
        <f>VLOOKUP(C807,#REF!,7,FALSE)</f>
        <v>#REF!</v>
      </c>
      <c r="AR807" s="24" t="e">
        <f>VLOOKUP(C807,#REF!,12,FALSE)</f>
        <v>#REF!</v>
      </c>
      <c r="AS807" s="24" t="e">
        <f>VLOOKUP(C807,#REF!,13,FALSE)</f>
        <v>#REF!</v>
      </c>
      <c r="AT807" s="100"/>
      <c r="AU807" s="100"/>
      <c r="AV807" s="100">
        <v>789</v>
      </c>
      <c r="AW807" s="100"/>
      <c r="AY807" s="295">
        <v>25500</v>
      </c>
    </row>
    <row r="808" spans="1:51" s="2" customFormat="1" ht="12.75" customHeight="1" x14ac:dyDescent="0.2">
      <c r="A808" s="6" t="s">
        <v>1594</v>
      </c>
      <c r="B808" s="8">
        <v>9789500213028</v>
      </c>
      <c r="C808" s="6">
        <v>698770</v>
      </c>
      <c r="D808" s="41">
        <v>36</v>
      </c>
      <c r="E808" s="7" t="s">
        <v>515</v>
      </c>
      <c r="F808" s="265" t="s">
        <v>728</v>
      </c>
      <c r="G808" s="107">
        <v>44835</v>
      </c>
      <c r="H808" s="108">
        <v>44805</v>
      </c>
      <c r="I808" s="7">
        <v>5057</v>
      </c>
      <c r="J808" s="6" t="s">
        <v>1333</v>
      </c>
      <c r="K808" s="9">
        <v>728.85</v>
      </c>
      <c r="L808" s="9">
        <v>29900</v>
      </c>
      <c r="M808" s="112">
        <f t="shared" si="671"/>
        <v>2990</v>
      </c>
      <c r="N808" s="9">
        <f t="shared" si="687"/>
        <v>14950</v>
      </c>
      <c r="O808" s="9">
        <f t="shared" si="688"/>
        <v>11231.15</v>
      </c>
      <c r="P808" s="9">
        <f t="shared" si="689"/>
        <v>3718.85</v>
      </c>
      <c r="Q808" s="139">
        <f t="shared" si="690"/>
        <v>0.75124749163879601</v>
      </c>
      <c r="R808" s="387">
        <v>29900</v>
      </c>
      <c r="S808" s="359" t="s">
        <v>1948</v>
      </c>
      <c r="T808" s="305">
        <v>0.74956055363321794</v>
      </c>
      <c r="U808" s="144"/>
      <c r="V808" s="100"/>
      <c r="W808" s="110">
        <f t="shared" si="672"/>
        <v>29900</v>
      </c>
      <c r="X808" s="110">
        <f t="shared" si="673"/>
        <v>728.85</v>
      </c>
      <c r="Y808" s="110">
        <f t="shared" si="674"/>
        <v>2990</v>
      </c>
      <c r="Z808" s="110">
        <f t="shared" si="675"/>
        <v>11231.15</v>
      </c>
      <c r="AA808" s="260">
        <f t="shared" si="676"/>
        <v>0.75124749163879601</v>
      </c>
      <c r="AB808" s="28">
        <f t="shared" si="677"/>
        <v>9.9</v>
      </c>
      <c r="AC808" s="261">
        <f t="shared" si="678"/>
        <v>0.75229712222788381</v>
      </c>
      <c r="AD808" s="111">
        <f t="shared" si="679"/>
        <v>2.6</v>
      </c>
      <c r="AE808" s="262">
        <f t="shared" si="680"/>
        <v>5.6823657713865473E-2</v>
      </c>
      <c r="AF808" s="100"/>
      <c r="AG808" s="111">
        <f t="shared" si="681"/>
        <v>4.0999999999999996</v>
      </c>
      <c r="AH808" s="262">
        <f t="shared" si="682"/>
        <v>0.4018881731844024</v>
      </c>
      <c r="AI808" s="100"/>
      <c r="AJ808" s="111">
        <f t="shared" si="683"/>
        <v>3.8</v>
      </c>
      <c r="AK808" s="262">
        <f t="shared" si="684"/>
        <v>0.35466881843580256</v>
      </c>
      <c r="AL808" s="100"/>
      <c r="AM808" s="111">
        <f t="shared" si="685"/>
        <v>3.5</v>
      </c>
      <c r="AN808" s="262">
        <f t="shared" si="686"/>
        <v>0.29935471715887141</v>
      </c>
      <c r="AO808" s="100"/>
      <c r="AP808" s="24" t="e">
        <f>VLOOKUP(C808,#REF!,6,FALSE)</f>
        <v>#REF!</v>
      </c>
      <c r="AQ808" s="24" t="e">
        <f>VLOOKUP(C808,#REF!,7,FALSE)</f>
        <v>#REF!</v>
      </c>
      <c r="AR808" s="24" t="e">
        <f>VLOOKUP(C808,#REF!,12,FALSE)</f>
        <v>#REF!</v>
      </c>
      <c r="AS808" s="24" t="e">
        <f>VLOOKUP(C808,#REF!,13,FALSE)</f>
        <v>#REF!</v>
      </c>
      <c r="AT808" s="100"/>
      <c r="AU808" s="100"/>
      <c r="AV808" s="100">
        <v>790</v>
      </c>
      <c r="AW808" s="100"/>
      <c r="AY808" s="9">
        <v>29900</v>
      </c>
    </row>
    <row r="809" spans="1:51" s="2" customFormat="1" ht="12.75" customHeight="1" x14ac:dyDescent="0.2">
      <c r="A809" s="6" t="s">
        <v>1599</v>
      </c>
      <c r="B809" s="8">
        <v>9789500213578</v>
      </c>
      <c r="C809" s="8">
        <v>704437</v>
      </c>
      <c r="D809" s="41">
        <v>36</v>
      </c>
      <c r="E809" s="7" t="s">
        <v>515</v>
      </c>
      <c r="F809" s="294" t="s">
        <v>1600</v>
      </c>
      <c r="G809" s="107">
        <v>45047</v>
      </c>
      <c r="H809" s="108">
        <v>45017</v>
      </c>
      <c r="I809" s="7">
        <v>5195</v>
      </c>
      <c r="J809" s="6" t="s">
        <v>1333</v>
      </c>
      <c r="K809" s="117">
        <v>1088.99</v>
      </c>
      <c r="L809" s="9">
        <v>29900</v>
      </c>
      <c r="M809" s="9">
        <f t="shared" si="671"/>
        <v>2990</v>
      </c>
      <c r="N809" s="9">
        <f t="shared" si="687"/>
        <v>14950</v>
      </c>
      <c r="O809" s="9">
        <f t="shared" si="688"/>
        <v>10871.01</v>
      </c>
      <c r="P809" s="9">
        <f t="shared" si="689"/>
        <v>4078.99</v>
      </c>
      <c r="Q809" s="139">
        <f t="shared" si="690"/>
        <v>0.72715785953177259</v>
      </c>
      <c r="R809" s="387">
        <v>29900</v>
      </c>
      <c r="S809" s="359" t="s">
        <v>1948</v>
      </c>
      <c r="T809" s="305">
        <v>0.72463737024221453</v>
      </c>
      <c r="U809" s="115"/>
      <c r="V809" s="100"/>
      <c r="W809" s="110">
        <f t="shared" si="672"/>
        <v>29900</v>
      </c>
      <c r="X809" s="110">
        <f t="shared" si="673"/>
        <v>1088.99</v>
      </c>
      <c r="Y809" s="110">
        <f t="shared" si="674"/>
        <v>2990</v>
      </c>
      <c r="Z809" s="110">
        <f t="shared" si="675"/>
        <v>10871.01</v>
      </c>
      <c r="AA809" s="260">
        <f t="shared" si="676"/>
        <v>0.72715785953177259</v>
      </c>
      <c r="AB809" s="28">
        <f t="shared" si="677"/>
        <v>9.9</v>
      </c>
      <c r="AC809" s="261">
        <f t="shared" si="678"/>
        <v>0.72830913820033505</v>
      </c>
      <c r="AD809" s="111">
        <f t="shared" si="679"/>
        <v>2.8</v>
      </c>
      <c r="AE809" s="262">
        <f t="shared" si="680"/>
        <v>3.9378738636898884E-2</v>
      </c>
      <c r="AF809" s="100"/>
      <c r="AG809" s="111">
        <f t="shared" si="681"/>
        <v>4.5</v>
      </c>
      <c r="AH809" s="262">
        <f t="shared" si="682"/>
        <v>0.40228010404073711</v>
      </c>
      <c r="AI809" s="100"/>
      <c r="AJ809" s="111">
        <f t="shared" si="683"/>
        <v>4.0999999999999996</v>
      </c>
      <c r="AK809" s="262">
        <f t="shared" si="684"/>
        <v>0.34396596784958949</v>
      </c>
      <c r="AL809" s="100"/>
      <c r="AM809" s="111">
        <f t="shared" si="685"/>
        <v>3.8</v>
      </c>
      <c r="AN809" s="262">
        <f t="shared" si="686"/>
        <v>0.29217380741666232</v>
      </c>
      <c r="AO809" s="100"/>
      <c r="AP809" s="24" t="e">
        <f>VLOOKUP(C809,#REF!,6,FALSE)</f>
        <v>#REF!</v>
      </c>
      <c r="AQ809" s="24" t="e">
        <f>VLOOKUP(C809,#REF!,7,FALSE)</f>
        <v>#REF!</v>
      </c>
      <c r="AR809" s="24" t="e">
        <f>VLOOKUP(C809,#REF!,12,FALSE)</f>
        <v>#REF!</v>
      </c>
      <c r="AS809" s="24" t="e">
        <f>VLOOKUP(C809,#REF!,13,FALSE)</f>
        <v>#REF!</v>
      </c>
      <c r="AT809" s="100"/>
      <c r="AU809" s="100"/>
      <c r="AV809" s="100">
        <v>791</v>
      </c>
      <c r="AW809" s="100"/>
      <c r="AY809" s="9">
        <v>29900</v>
      </c>
    </row>
    <row r="810" spans="1:51" s="2" customFormat="1" ht="12.75" customHeight="1" x14ac:dyDescent="0.2">
      <c r="A810" s="6" t="s">
        <v>1595</v>
      </c>
      <c r="B810" s="8">
        <v>9789500212762</v>
      </c>
      <c r="C810" s="8">
        <v>695682</v>
      </c>
      <c r="D810" s="7">
        <v>36</v>
      </c>
      <c r="E810" s="7" t="s">
        <v>515</v>
      </c>
      <c r="F810" s="265" t="s">
        <v>700</v>
      </c>
      <c r="G810" s="107">
        <v>44743</v>
      </c>
      <c r="H810" s="108">
        <v>44713</v>
      </c>
      <c r="I810" s="7">
        <v>10000</v>
      </c>
      <c r="J810" s="6" t="s">
        <v>1333</v>
      </c>
      <c r="K810" s="9">
        <v>383.92</v>
      </c>
      <c r="L810" s="9">
        <v>29900</v>
      </c>
      <c r="M810" s="112">
        <f t="shared" si="671"/>
        <v>2990</v>
      </c>
      <c r="N810" s="9">
        <f t="shared" si="687"/>
        <v>14950</v>
      </c>
      <c r="O810" s="9">
        <f t="shared" si="688"/>
        <v>11576.08</v>
      </c>
      <c r="P810" s="9">
        <f t="shared" si="689"/>
        <v>3373.92</v>
      </c>
      <c r="Q810" s="139">
        <f t="shared" si="690"/>
        <v>0.77431973244147156</v>
      </c>
      <c r="R810" s="387">
        <v>29900</v>
      </c>
      <c r="S810" s="359" t="s">
        <v>1948</v>
      </c>
      <c r="T810" s="305">
        <v>0.77343114186851214</v>
      </c>
      <c r="U810" s="144"/>
      <c r="V810" s="100"/>
      <c r="W810" s="110">
        <f t="shared" si="672"/>
        <v>29900</v>
      </c>
      <c r="X810" s="110">
        <f t="shared" si="673"/>
        <v>383.92</v>
      </c>
      <c r="Y810" s="110">
        <f t="shared" si="674"/>
        <v>2990</v>
      </c>
      <c r="Z810" s="110">
        <f t="shared" si="675"/>
        <v>11576.08</v>
      </c>
      <c r="AA810" s="260">
        <f t="shared" si="676"/>
        <v>0.77431973244147156</v>
      </c>
      <c r="AB810" s="28">
        <f t="shared" si="677"/>
        <v>9.9</v>
      </c>
      <c r="AC810" s="261">
        <f t="shared" si="678"/>
        <v>0.77527200791295747</v>
      </c>
      <c r="AD810" s="111">
        <f t="shared" si="679"/>
        <v>2.2999999999999998</v>
      </c>
      <c r="AE810" s="262">
        <f t="shared" si="680"/>
        <v>3.2692555799251635E-2</v>
      </c>
      <c r="AF810" s="100"/>
      <c r="AG810" s="111">
        <f t="shared" si="681"/>
        <v>3.7</v>
      </c>
      <c r="AH810" s="262">
        <f t="shared" si="682"/>
        <v>0.39870077792926456</v>
      </c>
      <c r="AI810" s="100"/>
      <c r="AJ810" s="111">
        <f t="shared" si="683"/>
        <v>3.4</v>
      </c>
      <c r="AK810" s="262">
        <f t="shared" si="684"/>
        <v>0.3456449642171408</v>
      </c>
      <c r="AL810" s="100"/>
      <c r="AM810" s="111">
        <f t="shared" si="685"/>
        <v>3.2</v>
      </c>
      <c r="AN810" s="262">
        <f t="shared" si="686"/>
        <v>0.30474777448071216</v>
      </c>
      <c r="AO810" s="100"/>
      <c r="AP810" s="24" t="e">
        <f>VLOOKUP(C810,#REF!,6,FALSE)</f>
        <v>#REF!</v>
      </c>
      <c r="AQ810" s="24" t="e">
        <f>VLOOKUP(C810,#REF!,7,FALSE)</f>
        <v>#REF!</v>
      </c>
      <c r="AR810" s="24" t="e">
        <f>VLOOKUP(C810,#REF!,12,FALSE)</f>
        <v>#REF!</v>
      </c>
      <c r="AS810" s="24" t="e">
        <f>VLOOKUP(C810,#REF!,13,FALSE)</f>
        <v>#REF!</v>
      </c>
      <c r="AT810" s="100"/>
      <c r="AU810" s="100"/>
      <c r="AV810" s="100">
        <v>792</v>
      </c>
      <c r="AW810" s="100"/>
      <c r="AY810" s="9">
        <v>29900</v>
      </c>
    </row>
    <row r="811" spans="1:51" s="2" customFormat="1" ht="12.75" customHeight="1" x14ac:dyDescent="0.2">
      <c r="A811" s="7" t="s">
        <v>1585</v>
      </c>
      <c r="B811" s="8">
        <v>9789500211482</v>
      </c>
      <c r="C811" s="8">
        <v>682657</v>
      </c>
      <c r="D811" s="25">
        <v>36</v>
      </c>
      <c r="E811" s="7" t="s">
        <v>515</v>
      </c>
      <c r="F811" s="265" t="s">
        <v>540</v>
      </c>
      <c r="G811" s="107">
        <v>44287</v>
      </c>
      <c r="H811" s="108">
        <v>44562</v>
      </c>
      <c r="I811" s="7">
        <v>2950</v>
      </c>
      <c r="J811" s="6" t="s">
        <v>1333</v>
      </c>
      <c r="K811" s="117">
        <v>973.03</v>
      </c>
      <c r="L811" s="9">
        <v>29900</v>
      </c>
      <c r="M811" s="9">
        <f t="shared" si="671"/>
        <v>2990</v>
      </c>
      <c r="N811" s="9">
        <f t="shared" si="687"/>
        <v>14950</v>
      </c>
      <c r="O811" s="9">
        <f t="shared" si="688"/>
        <v>10986.97</v>
      </c>
      <c r="P811" s="9">
        <f t="shared" si="689"/>
        <v>3963.0299999999997</v>
      </c>
      <c r="Q811" s="139">
        <f t="shared" si="690"/>
        <v>0.73491438127090292</v>
      </c>
      <c r="R811" s="387">
        <v>29900</v>
      </c>
      <c r="S811" s="359" t="s">
        <v>1948</v>
      </c>
      <c r="T811" s="305">
        <v>0.73266228373702413</v>
      </c>
      <c r="U811" s="115"/>
      <c r="V811" s="100"/>
      <c r="W811" s="110">
        <f t="shared" si="672"/>
        <v>29900</v>
      </c>
      <c r="X811" s="110">
        <f t="shared" si="673"/>
        <v>973.03</v>
      </c>
      <c r="Y811" s="110">
        <f t="shared" si="674"/>
        <v>2990</v>
      </c>
      <c r="Z811" s="110">
        <f t="shared" si="675"/>
        <v>10986.97</v>
      </c>
      <c r="AA811" s="260">
        <f t="shared" si="676"/>
        <v>0.73491438127090292</v>
      </c>
      <c r="AB811" s="28">
        <f t="shared" si="677"/>
        <v>9.9</v>
      </c>
      <c r="AC811" s="261">
        <f t="shared" si="678"/>
        <v>0.73603293069168441</v>
      </c>
      <c r="AD811" s="111">
        <f t="shared" si="679"/>
        <v>2.8</v>
      </c>
      <c r="AE811" s="262">
        <f t="shared" si="680"/>
        <v>6.6687862088455577E-2</v>
      </c>
      <c r="AF811" s="100"/>
      <c r="AG811" s="111">
        <f t="shared" si="681"/>
        <v>4.4000000000000004</v>
      </c>
      <c r="AH811" s="262">
        <f t="shared" si="682"/>
        <v>0.40607409405628997</v>
      </c>
      <c r="AI811" s="100"/>
      <c r="AJ811" s="111">
        <f t="shared" si="683"/>
        <v>4</v>
      </c>
      <c r="AK811" s="262">
        <f t="shared" si="684"/>
        <v>0.34668150346191895</v>
      </c>
      <c r="AL811" s="100"/>
      <c r="AM811" s="111">
        <f t="shared" si="685"/>
        <v>3.7</v>
      </c>
      <c r="AN811" s="262">
        <f t="shared" si="686"/>
        <v>0.2937097334723448</v>
      </c>
      <c r="AO811" s="100"/>
      <c r="AP811" s="24" t="e">
        <f>VLOOKUP(C811,#REF!,6,FALSE)</f>
        <v>#REF!</v>
      </c>
      <c r="AQ811" s="24" t="e">
        <f>VLOOKUP(C811,#REF!,7,FALSE)</f>
        <v>#REF!</v>
      </c>
      <c r="AR811" s="24" t="e">
        <f>VLOOKUP(C811,#REF!,12,FALSE)</f>
        <v>#REF!</v>
      </c>
      <c r="AS811" s="24" t="e">
        <f>VLOOKUP(C811,#REF!,13,FALSE)</f>
        <v>#REF!</v>
      </c>
      <c r="AT811" s="100"/>
      <c r="AU811" s="100"/>
      <c r="AV811" s="100">
        <v>793</v>
      </c>
      <c r="AW811" s="100"/>
      <c r="AY811" s="9">
        <v>29900</v>
      </c>
    </row>
    <row r="812" spans="1:51" s="2" customFormat="1" ht="12.75" customHeight="1" x14ac:dyDescent="0.2">
      <c r="A812" s="7" t="s">
        <v>1596</v>
      </c>
      <c r="B812" s="8">
        <v>9789500212410</v>
      </c>
      <c r="C812" s="8">
        <v>690834</v>
      </c>
      <c r="D812" s="25">
        <v>36</v>
      </c>
      <c r="E812" s="9" t="s">
        <v>648</v>
      </c>
      <c r="F812" s="265" t="s">
        <v>649</v>
      </c>
      <c r="G812" s="107">
        <v>44593</v>
      </c>
      <c r="H812" s="107">
        <v>44652</v>
      </c>
      <c r="I812" s="7">
        <v>3080</v>
      </c>
      <c r="J812" s="6" t="s">
        <v>1333</v>
      </c>
      <c r="K812" s="117">
        <v>965.35</v>
      </c>
      <c r="L812" s="9">
        <v>29900</v>
      </c>
      <c r="M812" s="9">
        <f t="shared" si="671"/>
        <v>2990</v>
      </c>
      <c r="N812" s="9">
        <f t="shared" si="687"/>
        <v>14950</v>
      </c>
      <c r="O812" s="9">
        <f t="shared" si="688"/>
        <v>10994.65</v>
      </c>
      <c r="P812" s="9">
        <f t="shared" si="689"/>
        <v>3955.35</v>
      </c>
      <c r="Q812" s="139">
        <f t="shared" si="690"/>
        <v>0.73542809364548489</v>
      </c>
      <c r="R812" s="387">
        <v>29900</v>
      </c>
      <c r="S812" s="359" t="s">
        <v>1948</v>
      </c>
      <c r="T812" s="305">
        <v>0.73319377162629751</v>
      </c>
      <c r="U812" s="115"/>
      <c r="V812" s="100"/>
      <c r="W812" s="110">
        <f t="shared" si="672"/>
        <v>29900</v>
      </c>
      <c r="X812" s="110">
        <f t="shared" si="673"/>
        <v>965.35</v>
      </c>
      <c r="Y812" s="110">
        <f t="shared" si="674"/>
        <v>2990</v>
      </c>
      <c r="Z812" s="110">
        <f t="shared" si="675"/>
        <v>10994.65</v>
      </c>
      <c r="AA812" s="260">
        <f t="shared" si="676"/>
        <v>0.73542809364548489</v>
      </c>
      <c r="AB812" s="28">
        <f t="shared" si="677"/>
        <v>9.9</v>
      </c>
      <c r="AC812" s="261">
        <f t="shared" si="678"/>
        <v>0.73654447541687895</v>
      </c>
      <c r="AD812" s="111">
        <f t="shared" si="679"/>
        <v>2.7</v>
      </c>
      <c r="AE812" s="262">
        <f t="shared" si="680"/>
        <v>3.3996409861889648E-2</v>
      </c>
      <c r="AF812" s="100"/>
      <c r="AG812" s="111">
        <f t="shared" si="681"/>
        <v>4.3</v>
      </c>
      <c r="AH812" s="262">
        <f t="shared" si="682"/>
        <v>0.39343960619234919</v>
      </c>
      <c r="AI812" s="100"/>
      <c r="AJ812" s="111">
        <f t="shared" si="683"/>
        <v>4</v>
      </c>
      <c r="AK812" s="262">
        <f t="shared" si="684"/>
        <v>0.34794757665677539</v>
      </c>
      <c r="AL812" s="100"/>
      <c r="AM812" s="111">
        <f t="shared" si="685"/>
        <v>3.7</v>
      </c>
      <c r="AN812" s="262">
        <f t="shared" si="686"/>
        <v>0.29507846125056802</v>
      </c>
      <c r="AO812" s="100"/>
      <c r="AP812" s="24" t="e">
        <f>VLOOKUP(C812,#REF!,6,FALSE)</f>
        <v>#REF!</v>
      </c>
      <c r="AQ812" s="24" t="e">
        <f>VLOOKUP(C812,#REF!,7,FALSE)</f>
        <v>#REF!</v>
      </c>
      <c r="AR812" s="24" t="e">
        <f>VLOOKUP(C812,#REF!,12,FALSE)</f>
        <v>#REF!</v>
      </c>
      <c r="AS812" s="24" t="e">
        <f>VLOOKUP(C812,#REF!,13,FALSE)</f>
        <v>#REF!</v>
      </c>
      <c r="AT812" s="100"/>
      <c r="AU812" s="100"/>
      <c r="AV812" s="100">
        <v>794</v>
      </c>
      <c r="AW812" s="100"/>
      <c r="AY812" s="9">
        <v>29900</v>
      </c>
    </row>
    <row r="813" spans="1:51" s="2" customFormat="1" ht="12.75" customHeight="1" x14ac:dyDescent="0.2">
      <c r="A813" s="7" t="s">
        <v>1597</v>
      </c>
      <c r="B813" s="8">
        <v>9789500212137</v>
      </c>
      <c r="C813" s="8">
        <v>687426</v>
      </c>
      <c r="D813" s="25">
        <v>36</v>
      </c>
      <c r="E813" s="6" t="s">
        <v>515</v>
      </c>
      <c r="F813" s="265" t="s">
        <v>586</v>
      </c>
      <c r="G813" s="107">
        <v>44470</v>
      </c>
      <c r="H813" s="108">
        <v>44652</v>
      </c>
      <c r="I813" s="7">
        <v>3110</v>
      </c>
      <c r="J813" s="6" t="s">
        <v>1333</v>
      </c>
      <c r="K813" s="117">
        <v>963.67</v>
      </c>
      <c r="L813" s="9">
        <v>29900</v>
      </c>
      <c r="M813" s="9">
        <f t="shared" si="671"/>
        <v>2990</v>
      </c>
      <c r="N813" s="9">
        <f t="shared" si="687"/>
        <v>14950</v>
      </c>
      <c r="O813" s="9">
        <f t="shared" si="688"/>
        <v>10996.33</v>
      </c>
      <c r="P813" s="9">
        <f t="shared" si="689"/>
        <v>3953.67</v>
      </c>
      <c r="Q813" s="139">
        <f t="shared" si="690"/>
        <v>0.73554046822742469</v>
      </c>
      <c r="R813" s="387">
        <v>29900</v>
      </c>
      <c r="S813" s="359" t="s">
        <v>1948</v>
      </c>
      <c r="T813" s="305">
        <v>0.73331003460207611</v>
      </c>
      <c r="U813" s="115"/>
      <c r="V813" s="100"/>
      <c r="W813" s="110">
        <f t="shared" si="672"/>
        <v>29900</v>
      </c>
      <c r="X813" s="110">
        <f t="shared" si="673"/>
        <v>963.67</v>
      </c>
      <c r="Y813" s="110">
        <f t="shared" si="674"/>
        <v>2990</v>
      </c>
      <c r="Z813" s="110">
        <f t="shared" si="675"/>
        <v>10996.33</v>
      </c>
      <c r="AA813" s="260">
        <f t="shared" si="676"/>
        <v>0.73554046822742469</v>
      </c>
      <c r="AB813" s="28">
        <f t="shared" si="677"/>
        <v>9.9</v>
      </c>
      <c r="AC813" s="261">
        <f t="shared" si="678"/>
        <v>0.73665637582551524</v>
      </c>
      <c r="AD813" s="111">
        <f t="shared" si="679"/>
        <v>2.7</v>
      </c>
      <c r="AE813" s="262">
        <f t="shared" si="680"/>
        <v>3.4406711360222761E-2</v>
      </c>
      <c r="AF813" s="100"/>
      <c r="AG813" s="111">
        <f t="shared" si="681"/>
        <v>4.3</v>
      </c>
      <c r="AH813" s="262">
        <f t="shared" si="682"/>
        <v>0.39369723736572121</v>
      </c>
      <c r="AI813" s="100"/>
      <c r="AJ813" s="111">
        <f t="shared" si="683"/>
        <v>4</v>
      </c>
      <c r="AK813" s="262">
        <f t="shared" si="684"/>
        <v>0.34822453016815036</v>
      </c>
      <c r="AL813" s="100"/>
      <c r="AM813" s="111">
        <f t="shared" si="685"/>
        <v>3.7</v>
      </c>
      <c r="AN813" s="262">
        <f t="shared" si="686"/>
        <v>0.29537787045205444</v>
      </c>
      <c r="AO813" s="100"/>
      <c r="AP813" s="24" t="e">
        <f>VLOOKUP(C813,#REF!,6,FALSE)</f>
        <v>#REF!</v>
      </c>
      <c r="AQ813" s="24" t="e">
        <f>VLOOKUP(C813,#REF!,7,FALSE)</f>
        <v>#REF!</v>
      </c>
      <c r="AR813" s="24" t="e">
        <f>VLOOKUP(C813,#REF!,12,FALSE)</f>
        <v>#REF!</v>
      </c>
      <c r="AS813" s="24" t="e">
        <f>VLOOKUP(C813,#REF!,13,FALSE)</f>
        <v>#REF!</v>
      </c>
      <c r="AT813" s="100"/>
      <c r="AU813" s="100"/>
      <c r="AV813" s="100">
        <v>795</v>
      </c>
      <c r="AW813" s="100"/>
      <c r="AY813" s="9">
        <v>29900</v>
      </c>
    </row>
    <row r="814" spans="1:51" s="2" customFormat="1" ht="12.75" customHeight="1" x14ac:dyDescent="0.2">
      <c r="A814" s="7" t="s">
        <v>1598</v>
      </c>
      <c r="B814" s="8">
        <v>9789500211246</v>
      </c>
      <c r="C814" s="8">
        <v>679309</v>
      </c>
      <c r="D814" s="25">
        <v>36</v>
      </c>
      <c r="E814" s="7" t="s">
        <v>515</v>
      </c>
      <c r="F814" s="265" t="s">
        <v>516</v>
      </c>
      <c r="G814" s="107">
        <v>44166</v>
      </c>
      <c r="H814" s="108">
        <v>44652</v>
      </c>
      <c r="I814" s="7">
        <v>5000</v>
      </c>
      <c r="J814" s="6" t="s">
        <v>1333</v>
      </c>
      <c r="K814" s="117">
        <v>347.56</v>
      </c>
      <c r="L814" s="9">
        <v>29900</v>
      </c>
      <c r="M814" s="9">
        <f t="shared" si="671"/>
        <v>2990</v>
      </c>
      <c r="N814" s="9">
        <f t="shared" si="687"/>
        <v>14950</v>
      </c>
      <c r="O814" s="9">
        <f t="shared" si="688"/>
        <v>11612.44</v>
      </c>
      <c r="P814" s="9">
        <f t="shared" si="689"/>
        <v>3337.56</v>
      </c>
      <c r="Q814" s="139">
        <f t="shared" si="690"/>
        <v>0.77675183946488302</v>
      </c>
      <c r="R814" s="387">
        <v>29900</v>
      </c>
      <c r="S814" s="359" t="s">
        <v>1948</v>
      </c>
      <c r="T814" s="305">
        <v>0.7759474048442907</v>
      </c>
      <c r="U814" s="115"/>
      <c r="V814" s="100"/>
      <c r="W814" s="110">
        <f t="shared" si="672"/>
        <v>29900</v>
      </c>
      <c r="X814" s="110">
        <f t="shared" si="673"/>
        <v>347.56</v>
      </c>
      <c r="Y814" s="110">
        <f t="shared" si="674"/>
        <v>2990</v>
      </c>
      <c r="Z814" s="110">
        <f t="shared" si="675"/>
        <v>11612.44</v>
      </c>
      <c r="AA814" s="260">
        <f t="shared" si="676"/>
        <v>0.77675183946488302</v>
      </c>
      <c r="AB814" s="28">
        <f t="shared" si="677"/>
        <v>9.9</v>
      </c>
      <c r="AC814" s="261">
        <f t="shared" si="678"/>
        <v>0.77769385247130063</v>
      </c>
      <c r="AD814" s="111">
        <f t="shared" si="679"/>
        <v>2.2999999999999998</v>
      </c>
      <c r="AE814" s="262">
        <f t="shared" si="680"/>
        <v>4.3117017159076211E-2</v>
      </c>
      <c r="AF814" s="100"/>
      <c r="AG814" s="111">
        <f t="shared" si="681"/>
        <v>3.7</v>
      </c>
      <c r="AH814" s="262">
        <f t="shared" si="682"/>
        <v>0.40518084850429059</v>
      </c>
      <c r="AI814" s="100"/>
      <c r="AJ814" s="111">
        <f t="shared" si="683"/>
        <v>3.4</v>
      </c>
      <c r="AK814" s="262">
        <f t="shared" si="684"/>
        <v>0.3526968057252573</v>
      </c>
      <c r="AL814" s="100"/>
      <c r="AM814" s="111">
        <f t="shared" si="685"/>
        <v>3.1</v>
      </c>
      <c r="AN814" s="262">
        <f t="shared" si="686"/>
        <v>0.2900545611180243</v>
      </c>
      <c r="AO814" s="100"/>
      <c r="AP814" s="24" t="e">
        <f>VLOOKUP(C814,#REF!,6,FALSE)</f>
        <v>#REF!</v>
      </c>
      <c r="AQ814" s="24" t="e">
        <f>VLOOKUP(C814,#REF!,7,FALSE)</f>
        <v>#REF!</v>
      </c>
      <c r="AR814" s="24" t="e">
        <f>VLOOKUP(C814,#REF!,12,FALSE)</f>
        <v>#REF!</v>
      </c>
      <c r="AS814" s="24" t="e">
        <f>VLOOKUP(C814,#REF!,13,FALSE)</f>
        <v>#REF!</v>
      </c>
      <c r="AT814" s="100"/>
      <c r="AU814" s="100"/>
      <c r="AV814" s="100">
        <v>796</v>
      </c>
      <c r="AW814" s="100"/>
      <c r="AY814" s="9">
        <v>29900</v>
      </c>
    </row>
    <row r="815" spans="1:51" s="2" customFormat="1" ht="12.75" customHeight="1" x14ac:dyDescent="0.2">
      <c r="A815" s="6" t="s">
        <v>2232</v>
      </c>
      <c r="B815" s="153">
        <v>9789500217231</v>
      </c>
      <c r="C815" s="4">
        <v>740760</v>
      </c>
      <c r="D815" s="41">
        <v>36</v>
      </c>
      <c r="E815" s="6" t="s">
        <v>515</v>
      </c>
      <c r="F815" s="294" t="s">
        <v>2233</v>
      </c>
      <c r="G815" s="107">
        <v>46054</v>
      </c>
      <c r="H815" s="108">
        <v>46023</v>
      </c>
      <c r="I815" s="267">
        <v>6000</v>
      </c>
      <c r="J815" s="7" t="s">
        <v>1333</v>
      </c>
      <c r="K815" s="148">
        <v>2837.85</v>
      </c>
      <c r="L815" s="9">
        <v>29900</v>
      </c>
      <c r="M815" s="9">
        <f t="shared" si="671"/>
        <v>2990</v>
      </c>
      <c r="N815" s="9">
        <f t="shared" si="687"/>
        <v>14950</v>
      </c>
      <c r="O815" s="9">
        <f t="shared" si="688"/>
        <v>9122.15</v>
      </c>
      <c r="P815" s="9">
        <f t="shared" si="689"/>
        <v>5827.85</v>
      </c>
      <c r="Q815" s="139">
        <f t="shared" si="690"/>
        <v>0.61017725752508356</v>
      </c>
      <c r="R815" s="387">
        <v>29900</v>
      </c>
      <c r="S815" s="359" t="s">
        <v>1948</v>
      </c>
      <c r="T815" s="305">
        <v>0.60360899653979239</v>
      </c>
      <c r="U815" s="115"/>
      <c r="V815" s="100"/>
      <c r="W815" s="110">
        <f t="shared" si="672"/>
        <v>29900</v>
      </c>
      <c r="X815" s="110">
        <f t="shared" si="673"/>
        <v>2837.85</v>
      </c>
      <c r="Y815" s="110">
        <f t="shared" si="674"/>
        <v>2990</v>
      </c>
      <c r="Z815" s="110">
        <f t="shared" si="675"/>
        <v>9122.15</v>
      </c>
      <c r="AA815" s="260">
        <f t="shared" si="676"/>
        <v>0.61017725752508356</v>
      </c>
      <c r="AB815" s="28">
        <f t="shared" si="677"/>
        <v>9.9</v>
      </c>
      <c r="AC815" s="261">
        <f t="shared" si="678"/>
        <v>0.6118221449576543</v>
      </c>
      <c r="AD815" s="111">
        <f t="shared" si="679"/>
        <v>4</v>
      </c>
      <c r="AE815" s="262">
        <f t="shared" si="680"/>
        <v>3.925980877019454E-2</v>
      </c>
      <c r="AF815" s="100"/>
      <c r="AG815" s="111">
        <f t="shared" si="681"/>
        <v>6.4</v>
      </c>
      <c r="AH815" s="262">
        <f t="shared" si="682"/>
        <v>0.39953738048137155</v>
      </c>
      <c r="AI815" s="100"/>
      <c r="AJ815" s="111">
        <f t="shared" si="683"/>
        <v>5.9</v>
      </c>
      <c r="AK815" s="262">
        <f t="shared" si="684"/>
        <v>0.34865071781030138</v>
      </c>
      <c r="AL815" s="100"/>
      <c r="AM815" s="111">
        <f t="shared" si="685"/>
        <v>5.5</v>
      </c>
      <c r="AN815" s="262">
        <f t="shared" si="686"/>
        <v>0.30127986092377779</v>
      </c>
      <c r="AO815" s="100"/>
      <c r="AP815" s="24" t="e">
        <f>VLOOKUP(C815,#REF!,6,FALSE)</f>
        <v>#REF!</v>
      </c>
      <c r="AQ815" s="24" t="e">
        <f>VLOOKUP(C815,#REF!,7,FALSE)</f>
        <v>#REF!</v>
      </c>
      <c r="AR815" s="24" t="e">
        <f>VLOOKUP(C815,#REF!,12,FALSE)</f>
        <v>#REF!</v>
      </c>
      <c r="AS815" s="24" t="e">
        <f>VLOOKUP(C815,#REF!,13,FALSE)</f>
        <v>#REF!</v>
      </c>
      <c r="AT815" s="100"/>
      <c r="AU815" s="100"/>
      <c r="AV815" s="100">
        <v>797</v>
      </c>
      <c r="AW815" s="100"/>
      <c r="AY815" s="9">
        <v>29900</v>
      </c>
    </row>
    <row r="816" spans="1:51" s="2" customFormat="1" ht="12.75" customHeight="1" x14ac:dyDescent="0.2">
      <c r="A816" s="7" t="s">
        <v>1601</v>
      </c>
      <c r="B816" s="8">
        <v>9789500212403</v>
      </c>
      <c r="C816" s="8">
        <v>690836</v>
      </c>
      <c r="D816" s="25">
        <v>36</v>
      </c>
      <c r="E816" s="9" t="s">
        <v>650</v>
      </c>
      <c r="F816" s="7" t="s">
        <v>653</v>
      </c>
      <c r="G816" s="107">
        <v>44593</v>
      </c>
      <c r="H816" s="107">
        <v>44593</v>
      </c>
      <c r="I816" s="7">
        <v>3000</v>
      </c>
      <c r="J816" s="28" t="s">
        <v>1762</v>
      </c>
      <c r="K816" s="9">
        <v>379.65</v>
      </c>
      <c r="L816" s="9">
        <v>19900</v>
      </c>
      <c r="M816" s="9">
        <f t="shared" si="671"/>
        <v>1990</v>
      </c>
      <c r="N816" s="9">
        <f t="shared" si="687"/>
        <v>9950</v>
      </c>
      <c r="O816" s="9">
        <f t="shared" si="688"/>
        <v>7580.35</v>
      </c>
      <c r="P816" s="9">
        <f t="shared" si="689"/>
        <v>2369.65</v>
      </c>
      <c r="Q816" s="139">
        <f t="shared" si="690"/>
        <v>0.76184422110552763</v>
      </c>
      <c r="R816" s="387">
        <v>19900</v>
      </c>
      <c r="S816" s="359" t="s">
        <v>1948</v>
      </c>
      <c r="T816" s="305">
        <v>0.76184422110552763</v>
      </c>
      <c r="U816" s="115"/>
      <c r="V816" s="100"/>
      <c r="W816" s="110">
        <f t="shared" si="672"/>
        <v>19900</v>
      </c>
      <c r="X816" s="110">
        <f t="shared" si="673"/>
        <v>379.65</v>
      </c>
      <c r="Y816" s="110">
        <f t="shared" si="674"/>
        <v>1990</v>
      </c>
      <c r="Z816" s="110">
        <f t="shared" si="675"/>
        <v>7580.35</v>
      </c>
      <c r="AA816" s="260">
        <f t="shared" si="676"/>
        <v>0.76184422110552763</v>
      </c>
      <c r="AB816" s="28">
        <f t="shared" si="677"/>
        <v>6.6</v>
      </c>
      <c r="AC816" s="261">
        <f t="shared" si="678"/>
        <v>0.76324571131692798</v>
      </c>
      <c r="AD816" s="111">
        <f t="shared" si="679"/>
        <v>1.6</v>
      </c>
      <c r="AE816" s="262">
        <f t="shared" si="680"/>
        <v>2.3388559182327729E-2</v>
      </c>
      <c r="AF816" s="100"/>
      <c r="AG816" s="111">
        <f t="shared" si="681"/>
        <v>2.6</v>
      </c>
      <c r="AH816" s="262">
        <f t="shared" si="682"/>
        <v>0.39900834411220165</v>
      </c>
      <c r="AI816" s="100"/>
      <c r="AJ816" s="111">
        <f t="shared" si="683"/>
        <v>2.4</v>
      </c>
      <c r="AK816" s="262">
        <f t="shared" si="684"/>
        <v>0.34892570612155177</v>
      </c>
      <c r="AL816" s="100"/>
      <c r="AM816" s="111">
        <f t="shared" si="685"/>
        <v>2.2000000000000002</v>
      </c>
      <c r="AN816" s="262">
        <f t="shared" si="686"/>
        <v>0.28973713395078382</v>
      </c>
      <c r="AO816" s="100"/>
      <c r="AP816" s="24" t="e">
        <f>VLOOKUP(C816,#REF!,6,FALSE)</f>
        <v>#REF!</v>
      </c>
      <c r="AQ816" s="24" t="e">
        <f>VLOOKUP(C816,#REF!,7,FALSE)</f>
        <v>#REF!</v>
      </c>
      <c r="AR816" s="24" t="e">
        <f>VLOOKUP(C816,#REF!,12,FALSE)</f>
        <v>#REF!</v>
      </c>
      <c r="AS816" s="24" t="e">
        <f>VLOOKUP(C816,#REF!,13,FALSE)</f>
        <v>#REF!</v>
      </c>
      <c r="AT816" s="100"/>
      <c r="AU816" s="100"/>
      <c r="AV816" s="100">
        <v>798</v>
      </c>
      <c r="AW816" s="100"/>
      <c r="AY816" s="9">
        <v>19900</v>
      </c>
    </row>
    <row r="817" spans="1:51" s="2" customFormat="1" ht="12.75" customHeight="1" x14ac:dyDescent="0.2">
      <c r="A817" s="11" t="s">
        <v>1602</v>
      </c>
      <c r="B817" s="13">
        <v>9789500299756</v>
      </c>
      <c r="C817" s="6">
        <v>635045</v>
      </c>
      <c r="D817" s="7">
        <v>40</v>
      </c>
      <c r="E817" s="7" t="s">
        <v>234</v>
      </c>
      <c r="F817" s="11" t="s">
        <v>235</v>
      </c>
      <c r="G817" s="107">
        <v>43009</v>
      </c>
      <c r="H817" s="108">
        <v>42948</v>
      </c>
      <c r="I817" s="24">
        <v>3140</v>
      </c>
      <c r="J817" s="28" t="s">
        <v>1894</v>
      </c>
      <c r="K817" s="28">
        <v>66.3</v>
      </c>
      <c r="L817" s="128">
        <v>16000</v>
      </c>
      <c r="M817" s="9"/>
      <c r="N817" s="9">
        <f t="shared" si="687"/>
        <v>8000</v>
      </c>
      <c r="O817" s="9">
        <f t="shared" si="688"/>
        <v>7933.7</v>
      </c>
      <c r="P817" s="9">
        <f t="shared" si="689"/>
        <v>66.3</v>
      </c>
      <c r="Q817" s="139">
        <f t="shared" si="690"/>
        <v>0.9917125</v>
      </c>
      <c r="R817" s="345">
        <v>16000</v>
      </c>
      <c r="S817" s="359" t="s">
        <v>1948</v>
      </c>
      <c r="T817" s="305">
        <v>0.9917125</v>
      </c>
      <c r="U817" s="144"/>
      <c r="V817" s="100"/>
      <c r="W817" s="110">
        <f t="shared" si="672"/>
        <v>16000</v>
      </c>
      <c r="X817" s="110">
        <f t="shared" si="673"/>
        <v>66.3</v>
      </c>
      <c r="Y817" s="110">
        <f t="shared" si="674"/>
        <v>0</v>
      </c>
      <c r="Z817" s="110">
        <f t="shared" si="675"/>
        <v>7933.7</v>
      </c>
      <c r="AA817" s="260">
        <f t="shared" si="676"/>
        <v>0.9917125</v>
      </c>
      <c r="AB817" s="28">
        <f t="shared" si="677"/>
        <v>5.3</v>
      </c>
      <c r="AC817" s="261">
        <f t="shared" si="678"/>
        <v>0.99175111509247338</v>
      </c>
      <c r="AD817" s="111">
        <f t="shared" si="679"/>
        <v>0</v>
      </c>
      <c r="AE817" s="262" t="e">
        <f t="shared" si="680"/>
        <v>#DIV/0!</v>
      </c>
      <c r="AF817" s="100"/>
      <c r="AG817" s="111">
        <f t="shared" si="681"/>
        <v>0.1</v>
      </c>
      <c r="AH817" s="262">
        <f t="shared" si="682"/>
        <v>0.56280909990108807</v>
      </c>
      <c r="AI817" s="100"/>
      <c r="AJ817" s="111">
        <f t="shared" si="683"/>
        <v>0.1</v>
      </c>
      <c r="AK817" s="262">
        <f t="shared" si="684"/>
        <v>0.56280909990108807</v>
      </c>
      <c r="AL817" s="100"/>
      <c r="AM817" s="111">
        <f t="shared" si="685"/>
        <v>0.1</v>
      </c>
      <c r="AN817" s="262">
        <f t="shared" si="686"/>
        <v>0.56280909990108807</v>
      </c>
      <c r="AO817" s="100"/>
      <c r="AP817" s="24" t="e">
        <f>VLOOKUP(C817,#REF!,6,FALSE)</f>
        <v>#REF!</v>
      </c>
      <c r="AQ817" s="24" t="e">
        <f>VLOOKUP(C817,#REF!,7,FALSE)</f>
        <v>#REF!</v>
      </c>
      <c r="AR817" s="24" t="e">
        <f>VLOOKUP(C817,#REF!,12,FALSE)</f>
        <v>#REF!</v>
      </c>
      <c r="AS817" s="24" t="e">
        <f>VLOOKUP(C817,#REF!,13,FALSE)</f>
        <v>#REF!</v>
      </c>
      <c r="AT817" s="100"/>
      <c r="AU817" s="100"/>
      <c r="AV817" s="100">
        <v>799</v>
      </c>
      <c r="AW817" s="100"/>
      <c r="AY817" s="128">
        <v>16000</v>
      </c>
    </row>
    <row r="818" spans="1:51" s="2" customFormat="1" ht="12.75" customHeight="1" x14ac:dyDescent="0.25">
      <c r="A818" s="1"/>
      <c r="B818" s="3"/>
      <c r="C818" s="3"/>
      <c r="E818" s="274"/>
      <c r="F818" s="275"/>
      <c r="H818" s="132"/>
      <c r="I818" s="132"/>
      <c r="J818" s="134"/>
      <c r="K818" s="132"/>
      <c r="L818" s="134"/>
      <c r="M818" s="132"/>
      <c r="N818" s="132"/>
      <c r="O818" s="132"/>
      <c r="P818" s="132"/>
      <c r="Q818" s="147"/>
      <c r="R818" s="371"/>
      <c r="S818" s="360"/>
      <c r="T818" s="307"/>
      <c r="U818" s="135"/>
      <c r="V818" s="100"/>
      <c r="W818"/>
      <c r="X818"/>
      <c r="Y818"/>
      <c r="Z818"/>
      <c r="AA818"/>
      <c r="AB818"/>
      <c r="AC818"/>
      <c r="AD818" s="263"/>
      <c r="AE818"/>
      <c r="AF818" s="100"/>
      <c r="AG818" s="263"/>
      <c r="AH818"/>
      <c r="AI818" s="100"/>
      <c r="AJ818" s="263"/>
      <c r="AK818"/>
      <c r="AL818" s="100"/>
      <c r="AM818" s="263"/>
      <c r="AN818"/>
      <c r="AO818" s="100"/>
      <c r="AP818" s="100"/>
      <c r="AQ818" s="100"/>
      <c r="AR818" s="100"/>
      <c r="AS818" s="100"/>
      <c r="AT818" s="100"/>
      <c r="AU818" s="100"/>
      <c r="AV818" s="100">
        <v>800</v>
      </c>
      <c r="AW818" s="100"/>
      <c r="AY818" s="134"/>
    </row>
    <row r="819" spans="1:51" s="2" customFormat="1" ht="12.75" customHeight="1" x14ac:dyDescent="0.2">
      <c r="A819" s="6" t="s">
        <v>1603</v>
      </c>
      <c r="B819" s="8">
        <v>9789500207959</v>
      </c>
      <c r="C819" s="8">
        <v>583656</v>
      </c>
      <c r="D819" s="25">
        <v>112</v>
      </c>
      <c r="E819" s="22" t="s">
        <v>265</v>
      </c>
      <c r="F819" s="6" t="s">
        <v>0</v>
      </c>
      <c r="G819" s="107">
        <v>41913</v>
      </c>
      <c r="H819" s="108">
        <v>41883</v>
      </c>
      <c r="I819" s="24">
        <v>4000</v>
      </c>
      <c r="J819" s="28" t="s">
        <v>1946</v>
      </c>
      <c r="K819" s="28">
        <v>40</v>
      </c>
      <c r="L819" s="128">
        <v>20900</v>
      </c>
      <c r="M819" s="9">
        <f>+L819*0.07</f>
        <v>1463.0000000000002</v>
      </c>
      <c r="N819" s="9">
        <f>+L819/2</f>
        <v>10450</v>
      </c>
      <c r="O819" s="9">
        <f>+N819-M819-K819</f>
        <v>8947</v>
      </c>
      <c r="P819" s="9">
        <f>+M819+K819</f>
        <v>1503.0000000000002</v>
      </c>
      <c r="Q819" s="139">
        <f>+O819/N819</f>
        <v>0.8561722488038277</v>
      </c>
      <c r="R819" s="345">
        <v>20900</v>
      </c>
      <c r="S819" s="359" t="s">
        <v>1948</v>
      </c>
      <c r="T819" s="305">
        <v>0.8561722488038277</v>
      </c>
      <c r="U819" s="144"/>
      <c r="V819" s="100"/>
      <c r="W819" s="110">
        <f>+L819</f>
        <v>20900</v>
      </c>
      <c r="X819" s="110">
        <f>+K819</f>
        <v>40</v>
      </c>
      <c r="Y819" s="110">
        <f>+M819</f>
        <v>1463.0000000000002</v>
      </c>
      <c r="Z819" s="110">
        <f>+W819/2-X819-Y819</f>
        <v>8947</v>
      </c>
      <c r="AA819" s="260">
        <f>+Z819/(W819/2)</f>
        <v>0.8561722488038277</v>
      </c>
      <c r="AB819" s="28">
        <f>ROUND($W819/2/$X$1,1)</f>
        <v>6.9</v>
      </c>
      <c r="AC819" s="261">
        <f>+(AB819*$X$1-$X819-$Y819)/(AB819*$X$1)</f>
        <v>0.85636261987700513</v>
      </c>
      <c r="AD819" s="111">
        <f>+IFERROR(ROUND(($X819+$Y819)/(1-$X$2)/$X$1,1),0)</f>
        <v>1</v>
      </c>
      <c r="AE819" s="262">
        <f>+(AD819*$X$1-$X819-$Y819)/(AD819*$X$1)</f>
        <v>8.902077151335161E-3</v>
      </c>
      <c r="AF819" s="100"/>
      <c r="AG819" s="111">
        <f>+IFERROR(ROUND(($X819+$Y819)/(1-$AG$2)/$X$1,1),0)</f>
        <v>1.7</v>
      </c>
      <c r="AH819" s="262">
        <f>+(AG819*$X$1-$X819-$Y819)/(AG819*$X$1)</f>
        <v>0.41700122185372651</v>
      </c>
      <c r="AI819" s="100"/>
      <c r="AJ819" s="111">
        <f>+IFERROR(ROUND(($X819+$Y819)/(1-$AJ$2)/$X$1,1),0)</f>
        <v>1.5</v>
      </c>
      <c r="AK819" s="262">
        <f>+(AJ819*$X$1-$X819-$Y819)/(AJ819*$X$1)</f>
        <v>0.33926805143422345</v>
      </c>
      <c r="AL819" s="100"/>
      <c r="AM819" s="111">
        <f>+IFERROR(ROUND(($X819+$Y819)/(1-$AM$2)/$X$1,1),0)</f>
        <v>1.4</v>
      </c>
      <c r="AN819" s="262">
        <f>+(AM819*$X$1-$X819-$Y819)/(AM819*$X$1)</f>
        <v>0.29207291225095366</v>
      </c>
      <c r="AO819" s="100"/>
      <c r="AP819" s="24" t="e">
        <f>VLOOKUP(C819,#REF!,6,FALSE)</f>
        <v>#REF!</v>
      </c>
      <c r="AQ819" s="24" t="e">
        <f>VLOOKUP(C819,#REF!,7,FALSE)</f>
        <v>#REF!</v>
      </c>
      <c r="AR819" s="24" t="e">
        <f>VLOOKUP(C819,#REF!,12,FALSE)</f>
        <v>#REF!</v>
      </c>
      <c r="AS819" s="24" t="e">
        <f>VLOOKUP(C819,#REF!,13,FALSE)</f>
        <v>#REF!</v>
      </c>
      <c r="AT819" s="100">
        <v>29</v>
      </c>
      <c r="AU819" s="100"/>
      <c r="AV819" s="100">
        <v>801</v>
      </c>
      <c r="AW819" s="100"/>
      <c r="AY819" s="128">
        <v>20900</v>
      </c>
    </row>
    <row r="820" spans="1:51" s="2" customFormat="1" ht="12.75" customHeight="1" x14ac:dyDescent="0.2">
      <c r="A820" s="6" t="s">
        <v>1604</v>
      </c>
      <c r="B820" s="8">
        <v>9789500207935</v>
      </c>
      <c r="C820" s="8">
        <v>586578</v>
      </c>
      <c r="D820" s="25">
        <v>112</v>
      </c>
      <c r="E820" s="22" t="s">
        <v>267</v>
      </c>
      <c r="F820" s="6" t="s">
        <v>3</v>
      </c>
      <c r="G820" s="107">
        <v>41974</v>
      </c>
      <c r="H820" s="108">
        <v>41944</v>
      </c>
      <c r="I820" s="24">
        <v>4170</v>
      </c>
      <c r="J820" s="28" t="s">
        <v>1946</v>
      </c>
      <c r="K820" s="28">
        <v>42.87</v>
      </c>
      <c r="L820" s="128">
        <v>20900</v>
      </c>
      <c r="M820" s="9">
        <f>+L820*0.08</f>
        <v>1672</v>
      </c>
      <c r="N820" s="9">
        <f>+L820/2</f>
        <v>10450</v>
      </c>
      <c r="O820" s="9">
        <f>+N820-M820-K820</f>
        <v>8735.1299999999992</v>
      </c>
      <c r="P820" s="9">
        <f>+M820+K820</f>
        <v>1714.87</v>
      </c>
      <c r="Q820" s="139">
        <f>+O820/N820</f>
        <v>0.83589760765550236</v>
      </c>
      <c r="R820" s="345">
        <v>20900</v>
      </c>
      <c r="S820" s="359" t="s">
        <v>1948</v>
      </c>
      <c r="T820" s="305">
        <v>0.83589760765550236</v>
      </c>
      <c r="U820" s="144"/>
      <c r="V820" s="100"/>
      <c r="W820" s="110">
        <f>+L820</f>
        <v>20900</v>
      </c>
      <c r="X820" s="110">
        <f>+K820</f>
        <v>42.87</v>
      </c>
      <c r="Y820" s="110">
        <f>+M820</f>
        <v>1672</v>
      </c>
      <c r="Z820" s="110">
        <f>+W820/2-X820-Y820</f>
        <v>8735.1299999999992</v>
      </c>
      <c r="AA820" s="260">
        <f>+Z820/(W820/2)</f>
        <v>0.83589760765550236</v>
      </c>
      <c r="AB820" s="28">
        <f>ROUND($W820/2/$X$1,1)</f>
        <v>6.9</v>
      </c>
      <c r="AC820" s="261">
        <f>+(AB820*$X$1-$X820-$Y820)/(AB820*$X$1)</f>
        <v>0.8361148143369791</v>
      </c>
      <c r="AD820" s="111">
        <f>+IFERROR(ROUND(($X820+$Y820)/(1-$X$2)/$X$1,1),0)</f>
        <v>1.2</v>
      </c>
      <c r="AE820" s="262">
        <f>+(AD820*$X$1-$X820-$Y820)/(AD820*$X$1)</f>
        <v>5.7660182437630547E-2</v>
      </c>
      <c r="AF820" s="100"/>
      <c r="AG820" s="111">
        <f>+IFERROR(ROUND(($X820+$Y820)/(1-$AG$2)/$X$1,1),0)</f>
        <v>1.9</v>
      </c>
      <c r="AH820" s="262">
        <f>+(AG820*$X$1-$X820-$Y820)/(AG820*$X$1)</f>
        <v>0.40483800996060876</v>
      </c>
      <c r="AI820" s="100"/>
      <c r="AJ820" s="111">
        <f>+IFERROR(ROUND(($X820+$Y820)/(1-$AJ$2)/$X$1,1),0)</f>
        <v>1.7</v>
      </c>
      <c r="AK820" s="262">
        <f>+(AJ820*$X$1-$X820-$Y820)/(AJ820*$X$1)</f>
        <v>0.33481895230891562</v>
      </c>
      <c r="AL820" s="100"/>
      <c r="AM820" s="111">
        <f>+IFERROR(ROUND(($X820+$Y820)/(1-$AM$2)/$X$1,1),0)</f>
        <v>1.6</v>
      </c>
      <c r="AN820" s="262">
        <f>+(AM820*$X$1-$X820-$Y820)/(AM820*$X$1)</f>
        <v>0.29324513682822295</v>
      </c>
      <c r="AO820" s="100"/>
      <c r="AP820" s="24" t="e">
        <f>VLOOKUP(C820,#REF!,6,FALSE)</f>
        <v>#REF!</v>
      </c>
      <c r="AQ820" s="24" t="e">
        <f>VLOOKUP(C820,#REF!,7,FALSE)</f>
        <v>#REF!</v>
      </c>
      <c r="AR820" s="24" t="e">
        <f>VLOOKUP(C820,#REF!,12,FALSE)</f>
        <v>#REF!</v>
      </c>
      <c r="AS820" s="24" t="e">
        <f>VLOOKUP(C820,#REF!,13,FALSE)</f>
        <v>#REF!</v>
      </c>
      <c r="AT820" s="100"/>
      <c r="AU820" s="100"/>
      <c r="AV820" s="100">
        <v>802</v>
      </c>
      <c r="AW820" s="100"/>
      <c r="AY820" s="128">
        <v>20900</v>
      </c>
    </row>
    <row r="821" spans="1:51" s="2" customFormat="1" ht="12.75" customHeight="1" x14ac:dyDescent="0.2">
      <c r="A821" s="6" t="s">
        <v>1605</v>
      </c>
      <c r="B821" s="8">
        <v>9789500207942</v>
      </c>
      <c r="C821" s="21">
        <v>593819</v>
      </c>
      <c r="D821" s="25">
        <v>112</v>
      </c>
      <c r="E821" s="22" t="s">
        <v>1606</v>
      </c>
      <c r="F821" s="6" t="s">
        <v>266</v>
      </c>
      <c r="G821" s="107">
        <v>42186</v>
      </c>
      <c r="H821" s="108">
        <v>42156</v>
      </c>
      <c r="I821" s="24">
        <v>3108</v>
      </c>
      <c r="J821" s="28" t="s">
        <v>1946</v>
      </c>
      <c r="K821" s="28">
        <v>59.74</v>
      </c>
      <c r="L821" s="128">
        <v>20900</v>
      </c>
      <c r="M821" s="9">
        <f>+L821*0.07</f>
        <v>1463.0000000000002</v>
      </c>
      <c r="N821" s="9">
        <f>+L821/2</f>
        <v>10450</v>
      </c>
      <c r="O821" s="9">
        <f>+N821-M821-K821</f>
        <v>8927.26</v>
      </c>
      <c r="P821" s="9">
        <f>+M821+K821</f>
        <v>1522.7400000000002</v>
      </c>
      <c r="Q821" s="139">
        <f>+O821/N821</f>
        <v>0.85428325358851676</v>
      </c>
      <c r="R821" s="345">
        <v>20900</v>
      </c>
      <c r="S821" s="359" t="s">
        <v>1948</v>
      </c>
      <c r="T821" s="305">
        <v>0.85428325358851676</v>
      </c>
      <c r="U821" s="144"/>
      <c r="V821" s="100"/>
      <c r="W821" s="110">
        <f>+L821</f>
        <v>20900</v>
      </c>
      <c r="X821" s="110">
        <f>+K821</f>
        <v>59.74</v>
      </c>
      <c r="Y821" s="110">
        <f>+M821</f>
        <v>1463.0000000000002</v>
      </c>
      <c r="Z821" s="110">
        <f>+W821/2-X821-Y821</f>
        <v>8927.26</v>
      </c>
      <c r="AA821" s="260">
        <f>+Z821/(W821/2)</f>
        <v>0.85428325358851676</v>
      </c>
      <c r="AB821" s="28">
        <f>ROUND($W821/2/$X$1,1)</f>
        <v>6.9</v>
      </c>
      <c r="AC821" s="261">
        <f>+(AB821*$X$1-$X821-$Y821)/(AB821*$X$1)</f>
        <v>0.85447612494445169</v>
      </c>
      <c r="AD821" s="111">
        <f>+IFERROR(ROUND(($X821+$Y821)/(1-$X$2)/$X$1,1),0)</f>
        <v>1.1000000000000001</v>
      </c>
      <c r="AE821" s="262">
        <f>+(AD821*$X$1-$X821-$Y821)/(AD821*$X$1)</f>
        <v>8.7168420106105468E-2</v>
      </c>
      <c r="AF821" s="100"/>
      <c r="AG821" s="111">
        <f>+IFERROR(ROUND(($X821+$Y821)/(1-$AG$2)/$X$1,1),0)</f>
        <v>1.7</v>
      </c>
      <c r="AH821" s="262">
        <f>+(AG821*$X$1-$X821-$Y821)/(AG821*$X$1)</f>
        <v>0.40934427183336236</v>
      </c>
      <c r="AI821" s="100"/>
      <c r="AJ821" s="111">
        <f>+IFERROR(ROUND(($X821+$Y821)/(1-$AJ$2)/$X$1,1),0)</f>
        <v>1.5</v>
      </c>
      <c r="AK821" s="262">
        <f>+(AJ821*$X$1-$X821-$Y821)/(AJ821*$X$1)</f>
        <v>0.33059017474447744</v>
      </c>
      <c r="AL821" s="100"/>
      <c r="AM821" s="111">
        <f>+IFERROR(ROUND(($X821+$Y821)/(1-$AM$2)/$X$1,1),0)</f>
        <v>1.4</v>
      </c>
      <c r="AN821" s="262">
        <f>+(AM821*$X$1-$X821-$Y821)/(AM821*$X$1)</f>
        <v>0.28277518722622574</v>
      </c>
      <c r="AO821" s="100"/>
      <c r="AP821" s="24" t="e">
        <f>VLOOKUP(C821,#REF!,6,FALSE)</f>
        <v>#REF!</v>
      </c>
      <c r="AQ821" s="24" t="e">
        <f>VLOOKUP(C821,#REF!,7,FALSE)</f>
        <v>#REF!</v>
      </c>
      <c r="AR821" s="24" t="e">
        <f>VLOOKUP(C821,#REF!,12,FALSE)</f>
        <v>#REF!</v>
      </c>
      <c r="AS821" s="24" t="e">
        <f>VLOOKUP(C821,#REF!,13,FALSE)</f>
        <v>#REF!</v>
      </c>
      <c r="AT821" s="100"/>
      <c r="AU821" s="100"/>
      <c r="AV821" s="100">
        <v>803</v>
      </c>
      <c r="AW821" s="100"/>
      <c r="AY821" s="128">
        <v>20900</v>
      </c>
    </row>
    <row r="822" spans="1:51" s="2" customFormat="1" ht="12.75" customHeight="1" x14ac:dyDescent="0.25">
      <c r="A822" s="1"/>
      <c r="B822" s="3"/>
      <c r="C822" s="3"/>
      <c r="E822" s="274"/>
      <c r="F822" s="275"/>
      <c r="H822" s="132"/>
      <c r="I822" s="132"/>
      <c r="J822" s="134"/>
      <c r="K822" s="132"/>
      <c r="L822" s="134"/>
      <c r="M822" s="132"/>
      <c r="N822" s="132"/>
      <c r="O822" s="132"/>
      <c r="P822" s="132"/>
      <c r="Q822" s="147"/>
      <c r="R822" s="371"/>
      <c r="S822" s="360"/>
      <c r="T822" s="307"/>
      <c r="U822" s="135"/>
      <c r="V822" s="100"/>
      <c r="W822"/>
      <c r="X822"/>
      <c r="Y822"/>
      <c r="Z822"/>
      <c r="AA822"/>
      <c r="AB822"/>
      <c r="AC822"/>
      <c r="AD822" s="263"/>
      <c r="AE822"/>
      <c r="AF822" s="100"/>
      <c r="AG822" s="263"/>
      <c r="AH822"/>
      <c r="AI822" s="100"/>
      <c r="AJ822" s="263"/>
      <c r="AK822"/>
      <c r="AL822" s="100"/>
      <c r="AM822" s="263"/>
      <c r="AN822"/>
      <c r="AO822" s="100"/>
      <c r="AP822" s="100"/>
      <c r="AQ822" s="100"/>
      <c r="AR822" s="100"/>
      <c r="AS822" s="100"/>
      <c r="AT822" s="100"/>
      <c r="AU822" s="100"/>
      <c r="AV822" s="100">
        <v>804</v>
      </c>
      <c r="AW822" s="100"/>
      <c r="AY822" s="134"/>
    </row>
    <row r="823" spans="1:51" s="2" customFormat="1" ht="12.75" customHeight="1" x14ac:dyDescent="0.2">
      <c r="A823" s="6" t="s">
        <v>1607</v>
      </c>
      <c r="B823" s="8">
        <v>9789500299022</v>
      </c>
      <c r="C823" s="6">
        <v>622595</v>
      </c>
      <c r="D823" s="7">
        <v>120</v>
      </c>
      <c r="E823" s="7" t="s">
        <v>290</v>
      </c>
      <c r="F823" s="7" t="s">
        <v>291</v>
      </c>
      <c r="G823" s="107">
        <v>42705</v>
      </c>
      <c r="H823" s="108">
        <v>42614</v>
      </c>
      <c r="I823" s="24">
        <v>3090</v>
      </c>
      <c r="J823" s="28" t="s">
        <v>1946</v>
      </c>
      <c r="K823" s="28">
        <v>78.44</v>
      </c>
      <c r="L823" s="128">
        <v>17600</v>
      </c>
      <c r="M823" s="112"/>
      <c r="N823" s="9">
        <f>+L823/2</f>
        <v>8800</v>
      </c>
      <c r="O823" s="9">
        <f>+N823-M823-K823</f>
        <v>8721.56</v>
      </c>
      <c r="P823" s="9">
        <f>+M823+K823</f>
        <v>78.44</v>
      </c>
      <c r="Q823" s="139">
        <f>+O823/N823</f>
        <v>0.9910863636363636</v>
      </c>
      <c r="R823" s="345">
        <v>17600</v>
      </c>
      <c r="S823" s="359" t="s">
        <v>1948</v>
      </c>
      <c r="T823" s="305">
        <v>0.9910863636363636</v>
      </c>
      <c r="U823" s="144"/>
      <c r="V823" s="100"/>
      <c r="W823" s="110">
        <f>+L823</f>
        <v>17600</v>
      </c>
      <c r="X823" s="110">
        <f>+K823</f>
        <v>78.44</v>
      </c>
      <c r="Y823" s="110">
        <f>+M823</f>
        <v>0</v>
      </c>
      <c r="Z823" s="110">
        <f>+W823/2-X823-Y823</f>
        <v>8721.56</v>
      </c>
      <c r="AA823" s="260">
        <f>+Z823/(W823/2)</f>
        <v>0.9910863636363636</v>
      </c>
      <c r="AB823" s="28">
        <f>ROUND($W823/2/$X$1,1)</f>
        <v>5.8</v>
      </c>
      <c r="AC823" s="261">
        <f>+(AB823*$X$1-$X823-$Y823)/(AB823*$X$1)</f>
        <v>0.9910820059801948</v>
      </c>
      <c r="AD823" s="111">
        <f>+IFERROR(ROUND(($X823+$Y823)/(1-$X$2)/$X$1,1),0)</f>
        <v>0.1</v>
      </c>
      <c r="AE823" s="262">
        <f>+(AD823*$X$1-$X823-$Y823)/(AD823*$X$1)</f>
        <v>0.48275634685130236</v>
      </c>
      <c r="AF823" s="100"/>
      <c r="AG823" s="111">
        <f>+IFERROR(ROUND(($X823+$Y823)/(1-$AG$2)/$X$1,1),0)</f>
        <v>0.1</v>
      </c>
      <c r="AH823" s="262">
        <f>+(AG823*$X$1-$X823-$Y823)/(AG823*$X$1)</f>
        <v>0.48275634685130236</v>
      </c>
      <c r="AI823" s="100"/>
      <c r="AJ823" s="111">
        <f>+IFERROR(ROUND(($X823+$Y823)/(1-$AJ$2)/$X$1,1),0)</f>
        <v>0.1</v>
      </c>
      <c r="AK823" s="262">
        <f>+(AJ823*$X$1-$X823-$Y823)/(AJ823*$X$1)</f>
        <v>0.48275634685130236</v>
      </c>
      <c r="AL823" s="100"/>
      <c r="AM823" s="111">
        <f>+IFERROR(ROUND(($X823+$Y823)/(1-$AM$2)/$X$1,1),0)</f>
        <v>0.1</v>
      </c>
      <c r="AN823" s="262">
        <f>+(AM823*$X$1-$X823-$Y823)/(AM823*$X$1)</f>
        <v>0.48275634685130236</v>
      </c>
      <c r="AO823" s="100"/>
      <c r="AP823" s="24" t="e">
        <f>VLOOKUP(C823,#REF!,6,FALSE)</f>
        <v>#REF!</v>
      </c>
      <c r="AQ823" s="24" t="e">
        <f>VLOOKUP(C823,#REF!,7,FALSE)</f>
        <v>#REF!</v>
      </c>
      <c r="AR823" s="24" t="e">
        <f>VLOOKUP(C823,#REF!,12,FALSE)</f>
        <v>#REF!</v>
      </c>
      <c r="AS823" s="24" t="e">
        <f>VLOOKUP(C823,#REF!,13,FALSE)</f>
        <v>#REF!</v>
      </c>
      <c r="AT823" s="100"/>
      <c r="AU823" s="100"/>
      <c r="AV823" s="100">
        <v>805</v>
      </c>
      <c r="AW823" s="100"/>
      <c r="AY823" s="128">
        <v>17600</v>
      </c>
    </row>
    <row r="824" spans="1:51" s="2" customFormat="1" ht="12.75" customHeight="1" x14ac:dyDescent="0.25">
      <c r="A824" s="68"/>
      <c r="B824" s="333"/>
      <c r="C824" s="333"/>
      <c r="D824" s="346"/>
      <c r="E824" s="68"/>
      <c r="F824" s="68"/>
      <c r="G824" s="68"/>
      <c r="H824" s="68"/>
      <c r="I824" s="68"/>
      <c r="J824" s="134"/>
      <c r="K824" s="132"/>
      <c r="L824" s="134"/>
      <c r="M824" s="132"/>
      <c r="N824" s="132"/>
      <c r="O824" s="132"/>
      <c r="P824" s="132"/>
      <c r="Q824" s="147"/>
      <c r="R824" s="371"/>
      <c r="S824" s="360"/>
      <c r="T824" s="307"/>
      <c r="U824" s="135"/>
      <c r="V824" s="100"/>
      <c r="W824"/>
      <c r="X824"/>
      <c r="Y824"/>
      <c r="Z824"/>
      <c r="AA824"/>
      <c r="AB824"/>
      <c r="AC824"/>
      <c r="AD824" s="263"/>
      <c r="AE824"/>
      <c r="AF824" s="100"/>
      <c r="AG824" s="263"/>
      <c r="AH824"/>
      <c r="AI824" s="100"/>
      <c r="AJ824" s="263"/>
      <c r="AK824"/>
      <c r="AL824" s="100"/>
      <c r="AM824" s="263"/>
      <c r="AN824"/>
      <c r="AO824" s="100"/>
      <c r="AP824" s="100"/>
      <c r="AQ824" s="100"/>
      <c r="AR824" s="100"/>
      <c r="AS824" s="100"/>
      <c r="AT824" s="100"/>
      <c r="AU824" s="100"/>
      <c r="AV824" s="100">
        <v>806</v>
      </c>
      <c r="AW824" s="100"/>
      <c r="AY824" s="134"/>
    </row>
    <row r="825" spans="1:51" s="2" customFormat="1" ht="12.75" customHeight="1" x14ac:dyDescent="0.3">
      <c r="A825" s="276" t="s">
        <v>670</v>
      </c>
      <c r="B825" s="133"/>
      <c r="C825" s="133"/>
      <c r="D825" s="154"/>
      <c r="E825" s="197"/>
      <c r="F825" s="132"/>
      <c r="G825" s="132"/>
      <c r="H825" s="132"/>
      <c r="I825" s="132"/>
      <c r="J825" s="134"/>
      <c r="K825" s="132"/>
      <c r="L825" s="134"/>
      <c r="M825" s="132"/>
      <c r="N825" s="132"/>
      <c r="O825" s="132"/>
      <c r="P825" s="132"/>
      <c r="Q825" s="147"/>
      <c r="R825" s="371"/>
      <c r="S825" s="360"/>
      <c r="T825" s="307"/>
      <c r="U825" s="135"/>
      <c r="V825" s="100"/>
      <c r="W825"/>
      <c r="X825"/>
      <c r="Y825"/>
      <c r="Z825"/>
      <c r="AA825"/>
      <c r="AB825"/>
      <c r="AC825"/>
      <c r="AD825" s="263"/>
      <c r="AE825"/>
      <c r="AF825" s="100"/>
      <c r="AG825" s="263"/>
      <c r="AH825"/>
      <c r="AI825" s="100"/>
      <c r="AJ825" s="263"/>
      <c r="AK825"/>
      <c r="AL825" s="100"/>
      <c r="AM825" s="263"/>
      <c r="AN825"/>
      <c r="AO825" s="100"/>
      <c r="AP825" s="100"/>
      <c r="AQ825" s="100"/>
      <c r="AR825" s="100"/>
      <c r="AS825" s="100"/>
      <c r="AT825" s="100"/>
      <c r="AU825" s="100"/>
      <c r="AV825" s="100">
        <v>807</v>
      </c>
      <c r="AW825" s="100"/>
      <c r="AY825" s="134"/>
    </row>
    <row r="826" spans="1:51" s="2" customFormat="1" ht="12.75" customHeight="1" x14ac:dyDescent="0.2">
      <c r="A826" s="6" t="s">
        <v>1997</v>
      </c>
      <c r="B826" s="279">
        <v>9789500216029</v>
      </c>
      <c r="C826" s="6">
        <v>727017</v>
      </c>
      <c r="D826" s="41">
        <v>192</v>
      </c>
      <c r="E826" s="8" t="s">
        <v>1998</v>
      </c>
      <c r="F826" s="6" t="s">
        <v>1999</v>
      </c>
      <c r="G826" s="107">
        <v>45717</v>
      </c>
      <c r="H826" s="108">
        <v>45901</v>
      </c>
      <c r="I826" s="264">
        <v>3006</v>
      </c>
      <c r="J826" s="7" t="s">
        <v>1762</v>
      </c>
      <c r="K826" s="292">
        <v>3320.93</v>
      </c>
      <c r="L826" s="9">
        <v>27500</v>
      </c>
      <c r="M826" s="112">
        <f>+L826*0.1</f>
        <v>2750</v>
      </c>
      <c r="N826" s="9">
        <f>+L826/2</f>
        <v>13750</v>
      </c>
      <c r="O826" s="9">
        <f>+N826-M826-K826</f>
        <v>7679.07</v>
      </c>
      <c r="P826" s="9">
        <f>+M826+K826</f>
        <v>6070.93</v>
      </c>
      <c r="Q826" s="139">
        <f>+O826/N826</f>
        <v>0.55847781818181819</v>
      </c>
      <c r="R826" s="345">
        <v>27500</v>
      </c>
      <c r="S826" s="359" t="s">
        <v>1948</v>
      </c>
      <c r="T826" s="305">
        <v>0.55847781818181819</v>
      </c>
      <c r="U826" s="144"/>
      <c r="V826" s="100"/>
      <c r="W826" s="110">
        <f>+L826</f>
        <v>27500</v>
      </c>
      <c r="X826" s="110">
        <f>+K826</f>
        <v>3320.93</v>
      </c>
      <c r="Y826" s="110">
        <f>+M826</f>
        <v>2750</v>
      </c>
      <c r="Z826" s="110">
        <f>+W826/2-X826-Y826</f>
        <v>7679.07</v>
      </c>
      <c r="AA826" s="260">
        <f>+Z826/(W826/2)</f>
        <v>0.55847781818181819</v>
      </c>
      <c r="AB826" s="28">
        <f>ROUND($W826/2/$X$1,1)</f>
        <v>9.1</v>
      </c>
      <c r="AC826" s="261">
        <f>+(AB826*$X$1-$X826-$Y826)/(AB826*$X$1)</f>
        <v>0.56008231794581942</v>
      </c>
      <c r="AD826" s="111">
        <f>+IFERROR(ROUND(($X826+$Y826)/(1-$X$2)/$X$1,1),0)</f>
        <v>4.2</v>
      </c>
      <c r="AE826" s="262">
        <f>+(AD826*$X$1-$X826-$Y826)/(AD826*$X$1)</f>
        <v>4.6845022215942153E-2</v>
      </c>
      <c r="AF826" s="100"/>
      <c r="AG826" s="111">
        <f>+IFERROR(ROUND(($X826+$Y826)/(1-$AG$2)/$X$1,1),0)</f>
        <v>6.7</v>
      </c>
      <c r="AH826" s="262">
        <f>+(AG826*$X$1-$X826-$Y826)/(AG826*$X$1)</f>
        <v>0.40249986467268017</v>
      </c>
      <c r="AI826" s="100"/>
      <c r="AJ826" s="111">
        <f>+IFERROR(ROUND(($X826+$Y826)/(1-$AJ$2)/$X$1,1),0)</f>
        <v>6.2</v>
      </c>
      <c r="AK826" s="262">
        <f>+(AJ826*$X$1-$X826-$Y826)/(AJ826*$X$1)</f>
        <v>0.35431436988821891</v>
      </c>
      <c r="AL826" s="100"/>
      <c r="AM826" s="111">
        <f>+IFERROR(ROUND(($X826+$Y826)/(1-$AM$2)/$X$1,1),0)</f>
        <v>5.7</v>
      </c>
      <c r="AN826" s="262">
        <f>+(AM826*$X$1-$X826-$Y826)/(AM826*$X$1)</f>
        <v>0.29767527952753636</v>
      </c>
      <c r="AO826" s="100"/>
      <c r="AP826" s="24" t="e">
        <f>VLOOKUP(C826,#REF!,6,FALSE)</f>
        <v>#REF!</v>
      </c>
      <c r="AQ826" s="24" t="e">
        <f>VLOOKUP(C826,#REF!,7,FALSE)</f>
        <v>#REF!</v>
      </c>
      <c r="AR826" s="24" t="e">
        <f>VLOOKUP(C826,#REF!,12,FALSE)</f>
        <v>#REF!</v>
      </c>
      <c r="AS826" s="24" t="e">
        <f>VLOOKUP(C826,#REF!,13,FALSE)</f>
        <v>#REF!</v>
      </c>
      <c r="AT826" s="100"/>
      <c r="AU826" s="100"/>
      <c r="AV826" s="100">
        <v>808</v>
      </c>
      <c r="AW826" s="100"/>
      <c r="AY826" s="9">
        <v>27500</v>
      </c>
    </row>
    <row r="827" spans="1:51" s="2" customFormat="1" ht="12.75" customHeight="1" x14ac:dyDescent="0.25">
      <c r="A827" s="68"/>
      <c r="B827" s="333"/>
      <c r="C827" s="333"/>
      <c r="D827" s="346"/>
      <c r="E827" s="68"/>
      <c r="F827" s="68"/>
      <c r="G827" s="68"/>
      <c r="H827" s="68"/>
      <c r="I827" s="68"/>
      <c r="J827" s="134"/>
      <c r="K827" s="132"/>
      <c r="L827" s="134"/>
      <c r="M827" s="132"/>
      <c r="N827" s="132"/>
      <c r="O827" s="132"/>
      <c r="P827" s="132"/>
      <c r="Q827" s="147"/>
      <c r="R827" s="371"/>
      <c r="S827" s="360"/>
      <c r="T827" s="307"/>
      <c r="U827" s="135"/>
      <c r="V827" s="100"/>
      <c r="W827"/>
      <c r="X827"/>
      <c r="Y827"/>
      <c r="Z827"/>
      <c r="AA827"/>
      <c r="AB827"/>
      <c r="AC827"/>
      <c r="AD827" s="263"/>
      <c r="AE827"/>
      <c r="AF827" s="100"/>
      <c r="AG827" s="263"/>
      <c r="AH827"/>
      <c r="AI827" s="100"/>
      <c r="AJ827" s="263"/>
      <c r="AK827"/>
      <c r="AL827" s="100"/>
      <c r="AM827" s="263"/>
      <c r="AN827"/>
      <c r="AO827" s="100"/>
      <c r="AP827" s="100"/>
      <c r="AQ827" s="100"/>
      <c r="AR827" s="100"/>
      <c r="AS827" s="100"/>
      <c r="AT827" s="100"/>
      <c r="AU827" s="100"/>
      <c r="AV827" s="100">
        <v>809</v>
      </c>
      <c r="AW827" s="100"/>
      <c r="AY827" s="134"/>
    </row>
    <row r="828" spans="1:51" s="68" customFormat="1" ht="12.75" customHeight="1" x14ac:dyDescent="0.25">
      <c r="A828" s="160" t="s">
        <v>1493</v>
      </c>
      <c r="B828" s="161"/>
      <c r="C828" s="375"/>
      <c r="D828" s="376"/>
      <c r="E828" s="162"/>
      <c r="F828" s="162"/>
      <c r="G828" s="162"/>
      <c r="H828" s="132"/>
      <c r="I828" s="132"/>
      <c r="J828" s="134"/>
      <c r="K828" s="132"/>
      <c r="L828" s="134"/>
      <c r="M828" s="132"/>
      <c r="N828" s="132"/>
      <c r="O828" s="132"/>
      <c r="P828" s="132"/>
      <c r="Q828" s="147"/>
      <c r="R828" s="371"/>
      <c r="S828" s="360"/>
      <c r="T828" s="307"/>
      <c r="U828" s="135"/>
      <c r="V828" s="100"/>
      <c r="W828"/>
      <c r="X828"/>
      <c r="Y828"/>
      <c r="Z828"/>
      <c r="AA828"/>
      <c r="AB828"/>
      <c r="AC828"/>
      <c r="AD828" s="263"/>
      <c r="AE828"/>
      <c r="AF828" s="100"/>
      <c r="AG828" s="263"/>
      <c r="AH828"/>
      <c r="AI828" s="100"/>
      <c r="AJ828" s="263"/>
      <c r="AK828"/>
      <c r="AL828" s="100"/>
      <c r="AM828" s="263"/>
      <c r="AN828"/>
      <c r="AO828" s="100"/>
      <c r="AP828" s="100"/>
      <c r="AQ828" s="100"/>
      <c r="AR828" s="100"/>
      <c r="AS828" s="100"/>
      <c r="AT828" s="100"/>
      <c r="AU828" s="100"/>
      <c r="AV828" s="100">
        <v>810</v>
      </c>
      <c r="AW828" s="100"/>
      <c r="AY828" s="134"/>
    </row>
    <row r="829" spans="1:51" s="132" customFormat="1" ht="12.75" customHeight="1" x14ac:dyDescent="0.2">
      <c r="A829" s="7" t="s">
        <v>1609</v>
      </c>
      <c r="B829" s="13">
        <v>9789500210126</v>
      </c>
      <c r="C829" s="13">
        <v>671083</v>
      </c>
      <c r="D829" s="25">
        <v>18</v>
      </c>
      <c r="E829" s="7" t="s">
        <v>476</v>
      </c>
      <c r="F829" s="7" t="s">
        <v>1610</v>
      </c>
      <c r="G829" s="107">
        <v>43800</v>
      </c>
      <c r="H829" s="107">
        <v>43800</v>
      </c>
      <c r="I829" s="7">
        <v>2100</v>
      </c>
      <c r="J829" s="28" t="s">
        <v>1946</v>
      </c>
      <c r="K829" s="9">
        <v>225.16</v>
      </c>
      <c r="L829" s="128">
        <v>24400</v>
      </c>
      <c r="M829" s="112"/>
      <c r="N829" s="9">
        <f>+L829/2</f>
        <v>12200</v>
      </c>
      <c r="O829" s="9">
        <f>+N829-M829-K829</f>
        <v>11974.84</v>
      </c>
      <c r="P829" s="9">
        <f>+M829+K829</f>
        <v>225.16</v>
      </c>
      <c r="Q829" s="139">
        <f>+O829/N829</f>
        <v>0.98154426229508196</v>
      </c>
      <c r="R829" s="345">
        <v>24400</v>
      </c>
      <c r="S829" s="359" t="s">
        <v>1948</v>
      </c>
      <c r="T829" s="305">
        <v>0.98154426229508196</v>
      </c>
      <c r="U829" s="144"/>
      <c r="V829" s="100"/>
      <c r="W829" s="110">
        <f>+L829</f>
        <v>24400</v>
      </c>
      <c r="X829" s="110">
        <f>+K829</f>
        <v>225.16</v>
      </c>
      <c r="Y829" s="110">
        <f>+M829</f>
        <v>0</v>
      </c>
      <c r="Z829" s="110">
        <f>+W829/2-X829-Y829</f>
        <v>11974.84</v>
      </c>
      <c r="AA829" s="260">
        <f>+Z829/(W829/2)</f>
        <v>0.98154426229508196</v>
      </c>
      <c r="AB829" s="28">
        <f>ROUND($W829/2/$X$1,1)</f>
        <v>8</v>
      </c>
      <c r="AC829" s="261">
        <f>+(AB829*$X$1-$X829-$Y829)/(AB829*$X$1)</f>
        <v>0.98144081767227165</v>
      </c>
      <c r="AD829" s="111">
        <f>+IFERROR(ROUND(($X829+$Y829)/(1-$X$2)/$X$1,1),0)</f>
        <v>0.2</v>
      </c>
      <c r="AE829" s="262">
        <f>+(AD829*$X$1-$X829-$Y829)/(AD829*$X$1)</f>
        <v>0.25763270689086715</v>
      </c>
      <c r="AF829" s="100"/>
      <c r="AG829" s="111">
        <f>+IFERROR(ROUND(($X829+$Y829)/(1-$AG$2)/$X$1,1),0)</f>
        <v>0.2</v>
      </c>
      <c r="AH829" s="262">
        <f>+(AG829*$X$1-$X829-$Y829)/(AG829*$X$1)</f>
        <v>0.25763270689086715</v>
      </c>
      <c r="AI829" s="100"/>
      <c r="AJ829" s="111">
        <f>+IFERROR(ROUND(($X829+$Y829)/(1-$AJ$2)/$X$1,1),0)</f>
        <v>0.2</v>
      </c>
      <c r="AK829" s="262">
        <f>+(AJ829*$X$1-$X829-$Y829)/(AJ829*$X$1)</f>
        <v>0.25763270689086715</v>
      </c>
      <c r="AL829" s="100"/>
      <c r="AM829" s="111">
        <f>+IFERROR(ROUND(($X829+$Y829)/(1-$AM$2)/$X$1,1),0)</f>
        <v>0.2</v>
      </c>
      <c r="AN829" s="262">
        <f>+(AM829*$X$1-$X829-$Y829)/(AM829*$X$1)</f>
        <v>0.25763270689086715</v>
      </c>
      <c r="AO829" s="100"/>
      <c r="AP829" s="24" t="e">
        <f>VLOOKUP(C829,#REF!,6,FALSE)</f>
        <v>#REF!</v>
      </c>
      <c r="AQ829" s="24" t="e">
        <f>VLOOKUP(C829,#REF!,7,FALSE)</f>
        <v>#REF!</v>
      </c>
      <c r="AR829" s="24" t="e">
        <f>VLOOKUP(C829,#REF!,12,FALSE)</f>
        <v>#REF!</v>
      </c>
      <c r="AS829" s="24" t="e">
        <f>VLOOKUP(C829,#REF!,13,FALSE)</f>
        <v>#REF!</v>
      </c>
      <c r="AT829" s="100"/>
      <c r="AU829" s="100"/>
      <c r="AV829" s="100">
        <v>811</v>
      </c>
      <c r="AW829" s="100"/>
      <c r="AY829" s="128">
        <v>24400</v>
      </c>
    </row>
    <row r="830" spans="1:51" s="2" customFormat="1" ht="12.75" customHeight="1" x14ac:dyDescent="0.2">
      <c r="A830" s="6" t="s">
        <v>1611</v>
      </c>
      <c r="B830" s="8">
        <v>9789500299398</v>
      </c>
      <c r="C830" s="6">
        <v>627254</v>
      </c>
      <c r="D830" s="7">
        <v>14</v>
      </c>
      <c r="E830" s="7" t="s">
        <v>311</v>
      </c>
      <c r="F830" s="11" t="s">
        <v>1612</v>
      </c>
      <c r="G830" s="107">
        <v>42826</v>
      </c>
      <c r="H830" s="108">
        <v>42767</v>
      </c>
      <c r="I830" s="24">
        <v>4000</v>
      </c>
      <c r="J830" s="28" t="s">
        <v>1946</v>
      </c>
      <c r="K830" s="28">
        <v>83.37</v>
      </c>
      <c r="L830" s="128">
        <v>24400</v>
      </c>
      <c r="M830" s="112"/>
      <c r="N830" s="9">
        <f>+L830/2</f>
        <v>12200</v>
      </c>
      <c r="O830" s="9">
        <f>+N830-M830-K830</f>
        <v>12116.63</v>
      </c>
      <c r="P830" s="9">
        <f>+M830+K830</f>
        <v>83.37</v>
      </c>
      <c r="Q830" s="139">
        <f>+O830/N830</f>
        <v>0.99316639344262292</v>
      </c>
      <c r="R830" s="345">
        <v>24400</v>
      </c>
      <c r="S830" s="359" t="s">
        <v>1948</v>
      </c>
      <c r="T830" s="305">
        <v>0.99316639344262292</v>
      </c>
      <c r="U830" s="144"/>
      <c r="V830" s="100"/>
      <c r="W830" s="110">
        <f>+L830</f>
        <v>24400</v>
      </c>
      <c r="X830" s="110">
        <f>+K830</f>
        <v>83.37</v>
      </c>
      <c r="Y830" s="110">
        <f>+M830</f>
        <v>0</v>
      </c>
      <c r="Z830" s="110">
        <f>+W830/2-X830-Y830</f>
        <v>12116.63</v>
      </c>
      <c r="AA830" s="260">
        <f>+Z830/(W830/2)</f>
        <v>0.99316639344262292</v>
      </c>
      <c r="AB830" s="28">
        <f>ROUND($W830/2/$X$1,1)</f>
        <v>8</v>
      </c>
      <c r="AC830" s="261">
        <f>+(AB830*$X$1-$X830-$Y830)/(AB830*$X$1)</f>
        <v>0.99312809099901078</v>
      </c>
      <c r="AD830" s="111">
        <f>+IFERROR(ROUND(($X830+$Y830)/(1-$X$2)/$X$1,1),0)</f>
        <v>0.1</v>
      </c>
      <c r="AE830" s="262">
        <f>+(AD830*$X$1-$X830-$Y830)/(AD830*$X$1)</f>
        <v>0.45024727992087044</v>
      </c>
      <c r="AF830" s="100"/>
      <c r="AG830" s="111">
        <f>+IFERROR(ROUND(($X830+$Y830)/(1-$AG$2)/$X$1,1),0)</f>
        <v>0.1</v>
      </c>
      <c r="AH830" s="262">
        <f>+(AG830*$X$1-$X830-$Y830)/(AG830*$X$1)</f>
        <v>0.45024727992087044</v>
      </c>
      <c r="AI830" s="100"/>
      <c r="AJ830" s="111">
        <f>+IFERROR(ROUND(($X830+$Y830)/(1-$AJ$2)/$X$1,1),0)</f>
        <v>0.1</v>
      </c>
      <c r="AK830" s="262">
        <f>+(AJ830*$X$1-$X830-$Y830)/(AJ830*$X$1)</f>
        <v>0.45024727992087044</v>
      </c>
      <c r="AL830" s="100"/>
      <c r="AM830" s="111">
        <f>+IFERROR(ROUND(($X830+$Y830)/(1-$AM$2)/$X$1,1),0)</f>
        <v>0.1</v>
      </c>
      <c r="AN830" s="262">
        <f>+(AM830*$X$1-$X830-$Y830)/(AM830*$X$1)</f>
        <v>0.45024727992087044</v>
      </c>
      <c r="AO830" s="100"/>
      <c r="AP830" s="24" t="e">
        <f>VLOOKUP(C830,#REF!,6,FALSE)</f>
        <v>#REF!</v>
      </c>
      <c r="AQ830" s="24" t="e">
        <f>VLOOKUP(C830,#REF!,7,FALSE)</f>
        <v>#REF!</v>
      </c>
      <c r="AR830" s="24" t="e">
        <f>VLOOKUP(C830,#REF!,12,FALSE)</f>
        <v>#REF!</v>
      </c>
      <c r="AS830" s="24" t="e">
        <f>VLOOKUP(C830,#REF!,13,FALSE)</f>
        <v>#REF!</v>
      </c>
      <c r="AT830" s="100"/>
      <c r="AU830" s="100"/>
      <c r="AV830" s="100">
        <v>812</v>
      </c>
      <c r="AW830" s="100"/>
      <c r="AY830" s="128">
        <v>24400</v>
      </c>
    </row>
    <row r="831" spans="1:51" s="2" customFormat="1" ht="12.75" customHeight="1" x14ac:dyDescent="0.25">
      <c r="A831" s="68"/>
      <c r="B831" s="333"/>
      <c r="C831" s="333"/>
      <c r="D831" s="346"/>
      <c r="E831" s="68"/>
      <c r="F831" s="68"/>
      <c r="G831" s="68"/>
      <c r="H831" s="68"/>
      <c r="I831" s="68"/>
      <c r="J831" s="134"/>
      <c r="K831" s="132"/>
      <c r="L831" s="134"/>
      <c r="M831" s="132"/>
      <c r="N831" s="132"/>
      <c r="O831" s="132"/>
      <c r="P831" s="132"/>
      <c r="Q831" s="147"/>
      <c r="R831" s="371"/>
      <c r="S831" s="360"/>
      <c r="T831" s="307"/>
      <c r="U831" s="135"/>
      <c r="V831" s="100"/>
      <c r="W831"/>
      <c r="X831"/>
      <c r="Y831"/>
      <c r="Z831"/>
      <c r="AA831"/>
      <c r="AB831"/>
      <c r="AC831"/>
      <c r="AD831" s="263"/>
      <c r="AE831"/>
      <c r="AF831" s="100"/>
      <c r="AG831" s="263"/>
      <c r="AH831"/>
      <c r="AI831" s="100"/>
      <c r="AJ831" s="263"/>
      <c r="AK831"/>
      <c r="AL831" s="100"/>
      <c r="AM831" s="263"/>
      <c r="AN831"/>
      <c r="AO831" s="100"/>
      <c r="AP831" s="100"/>
      <c r="AQ831" s="100"/>
      <c r="AR831" s="100"/>
      <c r="AS831" s="100"/>
      <c r="AT831" s="100"/>
      <c r="AU831" s="100"/>
      <c r="AV831" s="100">
        <v>813</v>
      </c>
      <c r="AW831" s="100"/>
      <c r="AY831" s="134"/>
    </row>
    <row r="832" spans="1:51" s="2" customFormat="1" ht="12.75" customHeight="1" x14ac:dyDescent="0.25">
      <c r="A832" s="160" t="s">
        <v>1495</v>
      </c>
      <c r="B832" s="168"/>
      <c r="C832" s="168"/>
      <c r="D832" s="206"/>
      <c r="E832" s="174"/>
      <c r="F832" s="162"/>
      <c r="G832" s="162"/>
      <c r="H832" s="132"/>
      <c r="I832" s="132"/>
      <c r="J832" s="134"/>
      <c r="K832" s="132"/>
      <c r="L832" s="134"/>
      <c r="M832" s="132"/>
      <c r="N832" s="132"/>
      <c r="O832" s="132"/>
      <c r="P832" s="132"/>
      <c r="Q832" s="147"/>
      <c r="R832" s="371"/>
      <c r="S832" s="360"/>
      <c r="T832" s="307"/>
      <c r="U832" s="135"/>
      <c r="V832" s="100"/>
      <c r="W832"/>
      <c r="X832"/>
      <c r="Y832"/>
      <c r="Z832"/>
      <c r="AA832"/>
      <c r="AB832"/>
      <c r="AC832"/>
      <c r="AD832" s="263"/>
      <c r="AE832"/>
      <c r="AF832" s="100"/>
      <c r="AG832" s="263"/>
      <c r="AH832"/>
      <c r="AI832" s="100"/>
      <c r="AJ832" s="263"/>
      <c r="AK832"/>
      <c r="AL832" s="100"/>
      <c r="AM832" s="263"/>
      <c r="AN832"/>
      <c r="AO832" s="100"/>
      <c r="AP832" s="100"/>
      <c r="AQ832" s="100"/>
      <c r="AR832" s="100"/>
      <c r="AS832" s="100"/>
      <c r="AT832" s="100"/>
      <c r="AU832" s="100"/>
      <c r="AV832" s="100">
        <v>814</v>
      </c>
      <c r="AW832" s="100"/>
      <c r="AY832" s="134"/>
    </row>
    <row r="833" spans="1:51" s="68" customFormat="1" ht="12.75" customHeight="1" x14ac:dyDescent="0.2">
      <c r="A833" s="6" t="s">
        <v>2319</v>
      </c>
      <c r="B833" s="153">
        <v>9789500217613</v>
      </c>
      <c r="C833" s="6">
        <v>744138</v>
      </c>
      <c r="D833" s="41">
        <v>12</v>
      </c>
      <c r="E833" s="6" t="s">
        <v>2320</v>
      </c>
      <c r="F833" s="6" t="s">
        <v>2321</v>
      </c>
      <c r="G833" s="107">
        <v>46143</v>
      </c>
      <c r="H833" s="108">
        <v>46113</v>
      </c>
      <c r="I833" s="351">
        <v>4000</v>
      </c>
      <c r="J833" s="7" t="s">
        <v>2329</v>
      </c>
      <c r="K833" s="350">
        <v>6309.55</v>
      </c>
      <c r="L833" s="352">
        <v>24900</v>
      </c>
      <c r="M833" s="112"/>
      <c r="N833" s="9">
        <f t="shared" ref="N833:N847" si="691">+L833/2</f>
        <v>12450</v>
      </c>
      <c r="O833" s="9">
        <f t="shared" ref="O833:O847" si="692">+N833-M833-K833</f>
        <v>6140.45</v>
      </c>
      <c r="P833" s="9">
        <f t="shared" ref="P833:P847" si="693">+M833+K833</f>
        <v>6309.55</v>
      </c>
      <c r="Q833" s="139">
        <f t="shared" ref="Q833:Q847" si="694">+O833/N833</f>
        <v>0.49320883534136545</v>
      </c>
      <c r="R833" s="345">
        <v>24900</v>
      </c>
      <c r="S833" s="359" t="s">
        <v>1948</v>
      </c>
      <c r="T833" s="305">
        <v>0.49320883534136545</v>
      </c>
      <c r="U833" s="28"/>
      <c r="V833" s="100"/>
      <c r="W833" s="110">
        <f t="shared" ref="W833:W847" si="695">+L833</f>
        <v>24900</v>
      </c>
      <c r="X833" s="110">
        <f t="shared" ref="X833:X847" si="696">+K833</f>
        <v>6309.55</v>
      </c>
      <c r="Y833" s="110">
        <f t="shared" ref="Y833:Y847" si="697">+M833</f>
        <v>0</v>
      </c>
      <c r="Z833" s="110">
        <f t="shared" ref="Z833:Z847" si="698">+W833/2-X833-Y833</f>
        <v>6140.45</v>
      </c>
      <c r="AA833" s="260">
        <f t="shared" ref="AA833:AA847" si="699">+Z833/(W833/2)</f>
        <v>0.49320883534136545</v>
      </c>
      <c r="AB833" s="28">
        <f t="shared" ref="AB833:AB847" si="700">ROUND($W833/2/$X$1,1)</f>
        <v>8.1999999999999993</v>
      </c>
      <c r="AC833" s="261">
        <f t="shared" ref="AC833:AC847" si="701">+(AB833*$X$1-$X833-$Y833)/(AB833*$X$1)</f>
        <v>0.49260974805593749</v>
      </c>
      <c r="AD833" s="111">
        <f t="shared" ref="AD833:AD847" si="702">+IFERROR(ROUND(($X833+$Y833)/(1-$X$2)/$X$1,1),0)</f>
        <v>4.4000000000000004</v>
      </c>
      <c r="AE833" s="262">
        <f t="shared" ref="AE833:AE847" si="703">+(AD833*$X$1-$X833-$Y833)/(AD833*$X$1)</f>
        <v>5.4409075922429065E-2</v>
      </c>
      <c r="AF833" s="100"/>
      <c r="AG833" s="111">
        <f t="shared" ref="AG833:AG847" si="704">+IFERROR(ROUND(($X833+$Y833)/(1-$AG$2)/$X$1,1),0)</f>
        <v>6.9</v>
      </c>
      <c r="AH833" s="262">
        <f t="shared" ref="AH833:AH847" si="705">+(AG833*$X$1-$X833-$Y833)/(AG833*$X$1)</f>
        <v>0.39701448319691129</v>
      </c>
      <c r="AI833" s="100"/>
      <c r="AJ833" s="111">
        <f t="shared" ref="AJ833:AJ847" si="706">+IFERROR(ROUND(($X833+$Y833)/(1-$AJ$2)/$X$1,1),0)</f>
        <v>6.4</v>
      </c>
      <c r="AK833" s="262">
        <f t="shared" ref="AK833:AK847" si="707">+(AJ833*$X$1-$X833-$Y833)/(AJ833*$X$1)</f>
        <v>0.34990623969666995</v>
      </c>
      <c r="AL833" s="100"/>
      <c r="AM833" s="111">
        <f t="shared" ref="AM833:AM847" si="708">+IFERROR(ROUND(($X833+$Y833)/(1-$AM$2)/$X$1,1),0)</f>
        <v>5.9</v>
      </c>
      <c r="AN833" s="262">
        <f t="shared" ref="AN833:AN847" si="709">+(AM833*$X$1-$X833-$Y833)/(AM833*$X$1)</f>
        <v>0.29481354814554028</v>
      </c>
      <c r="AO833" s="100"/>
      <c r="AP833" s="24" t="e">
        <f>VLOOKUP(C833,#REF!,6,FALSE)</f>
        <v>#REF!</v>
      </c>
      <c r="AQ833" s="24" t="e">
        <f>VLOOKUP(C833,#REF!,7,FALSE)</f>
        <v>#REF!</v>
      </c>
      <c r="AR833" s="24" t="e">
        <f>VLOOKUP(C833,#REF!,12,FALSE)</f>
        <v>#REF!</v>
      </c>
      <c r="AS833" s="24" t="e">
        <f>VLOOKUP(C833,#REF!,13,FALSE)</f>
        <v>#REF!</v>
      </c>
      <c r="AT833" s="100"/>
      <c r="AU833" s="100"/>
      <c r="AV833" s="100">
        <v>815</v>
      </c>
      <c r="AW833" s="100"/>
      <c r="AY833" s="352">
        <v>24900</v>
      </c>
    </row>
    <row r="834" spans="1:51" s="68" customFormat="1" ht="12.75" customHeight="1" x14ac:dyDescent="0.2">
      <c r="A834" s="6" t="s">
        <v>2113</v>
      </c>
      <c r="B834" s="153">
        <v>9789500216678</v>
      </c>
      <c r="C834" s="6">
        <v>734152</v>
      </c>
      <c r="D834" s="41">
        <v>216</v>
      </c>
      <c r="E834" s="6" t="s">
        <v>2127</v>
      </c>
      <c r="F834" s="6" t="s">
        <v>2128</v>
      </c>
      <c r="G834" s="107">
        <v>45901</v>
      </c>
      <c r="H834" s="108">
        <v>46023</v>
      </c>
      <c r="I834" s="7">
        <v>2995</v>
      </c>
      <c r="J834" s="28" t="s">
        <v>1333</v>
      </c>
      <c r="K834" s="148">
        <v>4372.67</v>
      </c>
      <c r="L834" s="9">
        <v>26900</v>
      </c>
      <c r="M834" s="112"/>
      <c r="N834" s="9">
        <f t="shared" si="691"/>
        <v>13450</v>
      </c>
      <c r="O834" s="9">
        <f t="shared" si="692"/>
        <v>9077.33</v>
      </c>
      <c r="P834" s="9">
        <f t="shared" si="693"/>
        <v>4372.67</v>
      </c>
      <c r="Q834" s="139">
        <f t="shared" si="694"/>
        <v>0.67489442379182152</v>
      </c>
      <c r="R834" s="345">
        <v>26900</v>
      </c>
      <c r="S834" s="359" t="s">
        <v>1948</v>
      </c>
      <c r="T834" s="305">
        <v>0.67489442379182152</v>
      </c>
      <c r="U834" s="28"/>
      <c r="V834" s="100"/>
      <c r="W834" s="110">
        <f t="shared" si="695"/>
        <v>26900</v>
      </c>
      <c r="X834" s="110">
        <f t="shared" si="696"/>
        <v>4372.67</v>
      </c>
      <c r="Y834" s="110">
        <f t="shared" si="697"/>
        <v>0</v>
      </c>
      <c r="Z834" s="110">
        <f t="shared" si="698"/>
        <v>9077.33</v>
      </c>
      <c r="AA834" s="260">
        <f t="shared" si="699"/>
        <v>0.67489442379182152</v>
      </c>
      <c r="AB834" s="28">
        <f t="shared" si="700"/>
        <v>8.9</v>
      </c>
      <c r="AC834" s="261">
        <f t="shared" si="701"/>
        <v>0.67602292386742091</v>
      </c>
      <c r="AD834" s="111">
        <f t="shared" si="702"/>
        <v>3</v>
      </c>
      <c r="AE834" s="262">
        <f t="shared" si="703"/>
        <v>3.8868007473348704E-2</v>
      </c>
      <c r="AF834" s="100"/>
      <c r="AG834" s="111">
        <f t="shared" si="704"/>
        <v>4.8</v>
      </c>
      <c r="AH834" s="262">
        <f t="shared" si="705"/>
        <v>0.39929250467084293</v>
      </c>
      <c r="AI834" s="100"/>
      <c r="AJ834" s="111">
        <f t="shared" si="706"/>
        <v>4.4000000000000004</v>
      </c>
      <c r="AK834" s="262">
        <f t="shared" si="707"/>
        <v>0.34468273236819236</v>
      </c>
      <c r="AL834" s="100"/>
      <c r="AM834" s="111">
        <f t="shared" si="708"/>
        <v>4.0999999999999996</v>
      </c>
      <c r="AN834" s="262">
        <f t="shared" si="709"/>
        <v>0.29673268839513317</v>
      </c>
      <c r="AO834" s="100"/>
      <c r="AP834" s="24" t="e">
        <f>VLOOKUP(C834,#REF!,6,FALSE)</f>
        <v>#REF!</v>
      </c>
      <c r="AQ834" s="24" t="e">
        <f>VLOOKUP(C834,#REF!,7,FALSE)</f>
        <v>#REF!</v>
      </c>
      <c r="AR834" s="24" t="e">
        <f>VLOOKUP(C834,#REF!,12,FALSE)</f>
        <v>#REF!</v>
      </c>
      <c r="AS834" s="24" t="e">
        <f>VLOOKUP(C834,#REF!,13,FALSE)</f>
        <v>#REF!</v>
      </c>
      <c r="AT834" s="100"/>
      <c r="AU834" s="100"/>
      <c r="AV834" s="100">
        <v>816</v>
      </c>
      <c r="AW834" s="100"/>
      <c r="AY834" s="9">
        <v>26900</v>
      </c>
    </row>
    <row r="835" spans="1:51" s="68" customFormat="1" ht="12.75" customHeight="1" x14ac:dyDescent="0.2">
      <c r="A835" s="6" t="s">
        <v>1613</v>
      </c>
      <c r="B835" s="8">
        <v>9789500213592</v>
      </c>
      <c r="C835" s="6">
        <v>704436</v>
      </c>
      <c r="D835" s="41">
        <v>144</v>
      </c>
      <c r="E835" s="7" t="s">
        <v>772</v>
      </c>
      <c r="F835" s="7" t="s">
        <v>773</v>
      </c>
      <c r="G835" s="107">
        <v>45017</v>
      </c>
      <c r="H835" s="108">
        <v>45019</v>
      </c>
      <c r="I835" s="7">
        <v>4068</v>
      </c>
      <c r="J835" s="28" t="s">
        <v>1946</v>
      </c>
      <c r="K835" s="117">
        <v>822.79</v>
      </c>
      <c r="L835" s="9">
        <v>24000</v>
      </c>
      <c r="M835" s="112"/>
      <c r="N835" s="9">
        <f t="shared" si="691"/>
        <v>12000</v>
      </c>
      <c r="O835" s="9">
        <f t="shared" si="692"/>
        <v>11177.21</v>
      </c>
      <c r="P835" s="9">
        <f t="shared" si="693"/>
        <v>822.79</v>
      </c>
      <c r="Q835" s="139">
        <f t="shared" si="694"/>
        <v>0.93143416666666656</v>
      </c>
      <c r="R835" s="345">
        <v>24000</v>
      </c>
      <c r="S835" s="359" t="s">
        <v>1948</v>
      </c>
      <c r="T835" s="305">
        <v>0.93143416666666656</v>
      </c>
      <c r="U835" s="28"/>
      <c r="V835" s="100"/>
      <c r="W835" s="110">
        <f t="shared" si="695"/>
        <v>24000</v>
      </c>
      <c r="X835" s="110">
        <f t="shared" si="696"/>
        <v>822.79</v>
      </c>
      <c r="Y835" s="110">
        <f t="shared" si="697"/>
        <v>0</v>
      </c>
      <c r="Z835" s="110">
        <f t="shared" si="698"/>
        <v>11177.21</v>
      </c>
      <c r="AA835" s="260">
        <f t="shared" si="699"/>
        <v>0.93143416666666656</v>
      </c>
      <c r="AB835" s="28">
        <f t="shared" si="700"/>
        <v>7.9</v>
      </c>
      <c r="AC835" s="261">
        <f t="shared" si="701"/>
        <v>0.93132170596017649</v>
      </c>
      <c r="AD835" s="111">
        <f t="shared" si="702"/>
        <v>0.6</v>
      </c>
      <c r="AE835" s="262">
        <f t="shared" si="703"/>
        <v>9.5735795142323346E-2</v>
      </c>
      <c r="AF835" s="100"/>
      <c r="AG835" s="111">
        <f t="shared" si="704"/>
        <v>0.9</v>
      </c>
      <c r="AH835" s="262">
        <f t="shared" si="705"/>
        <v>0.39715719676154898</v>
      </c>
      <c r="AI835" s="100"/>
      <c r="AJ835" s="111">
        <f t="shared" si="706"/>
        <v>0.8</v>
      </c>
      <c r="AK835" s="262">
        <f t="shared" si="707"/>
        <v>0.32180184635674253</v>
      </c>
      <c r="AL835" s="100"/>
      <c r="AM835" s="111">
        <f t="shared" si="708"/>
        <v>0.8</v>
      </c>
      <c r="AN835" s="262">
        <f t="shared" si="709"/>
        <v>0.32180184635674253</v>
      </c>
      <c r="AO835" s="100"/>
      <c r="AP835" s="24" t="e">
        <f>VLOOKUP(C835,#REF!,6,FALSE)</f>
        <v>#REF!</v>
      </c>
      <c r="AQ835" s="24" t="e">
        <f>VLOOKUP(C835,#REF!,7,FALSE)</f>
        <v>#REF!</v>
      </c>
      <c r="AR835" s="24" t="e">
        <f>VLOOKUP(C835,#REF!,12,FALSE)</f>
        <v>#REF!</v>
      </c>
      <c r="AS835" s="24" t="e">
        <f>VLOOKUP(C835,#REF!,13,FALSE)</f>
        <v>#REF!</v>
      </c>
      <c r="AT835" s="100"/>
      <c r="AU835" s="100"/>
      <c r="AV835" s="100">
        <v>817</v>
      </c>
      <c r="AW835" s="100"/>
      <c r="AY835" s="9">
        <v>24000</v>
      </c>
    </row>
    <row r="836" spans="1:51" s="162" customFormat="1" ht="12.75" customHeight="1" x14ac:dyDescent="0.2">
      <c r="A836" s="6" t="s">
        <v>1614</v>
      </c>
      <c r="B836" s="8">
        <v>9789500212854</v>
      </c>
      <c r="C836" s="6">
        <v>696626</v>
      </c>
      <c r="D836" s="41">
        <v>136</v>
      </c>
      <c r="E836" s="7" t="s">
        <v>707</v>
      </c>
      <c r="F836" s="7" t="s">
        <v>832</v>
      </c>
      <c r="G836" s="107">
        <v>44774</v>
      </c>
      <c r="H836" s="108">
        <v>44743</v>
      </c>
      <c r="I836" s="7">
        <v>5026</v>
      </c>
      <c r="J836" s="28" t="s">
        <v>1946</v>
      </c>
      <c r="K836" s="117">
        <v>357.81</v>
      </c>
      <c r="L836" s="9">
        <v>24000</v>
      </c>
      <c r="M836" s="112"/>
      <c r="N836" s="9">
        <f t="shared" si="691"/>
        <v>12000</v>
      </c>
      <c r="O836" s="9">
        <f t="shared" si="692"/>
        <v>11642.19</v>
      </c>
      <c r="P836" s="9">
        <f t="shared" si="693"/>
        <v>357.81</v>
      </c>
      <c r="Q836" s="139">
        <f t="shared" si="694"/>
        <v>0.97018250000000006</v>
      </c>
      <c r="R836" s="345">
        <v>24000</v>
      </c>
      <c r="S836" s="359" t="s">
        <v>1948</v>
      </c>
      <c r="T836" s="305">
        <v>0.97018250000000006</v>
      </c>
      <c r="U836" s="28"/>
      <c r="V836" s="100"/>
      <c r="W836" s="110">
        <f t="shared" si="695"/>
        <v>24000</v>
      </c>
      <c r="X836" s="110">
        <f t="shared" si="696"/>
        <v>357.81</v>
      </c>
      <c r="Y836" s="110">
        <f t="shared" si="697"/>
        <v>0</v>
      </c>
      <c r="Z836" s="110">
        <f t="shared" si="698"/>
        <v>11642.19</v>
      </c>
      <c r="AA836" s="260">
        <f t="shared" si="699"/>
        <v>0.97018250000000006</v>
      </c>
      <c r="AB836" s="28">
        <f t="shared" si="700"/>
        <v>7.9</v>
      </c>
      <c r="AC836" s="261">
        <f t="shared" si="701"/>
        <v>0.9701335937597817</v>
      </c>
      <c r="AD836" s="111">
        <f t="shared" si="702"/>
        <v>0.2</v>
      </c>
      <c r="AE836" s="262">
        <f t="shared" si="703"/>
        <v>-0.17972304648862508</v>
      </c>
      <c r="AF836" s="100"/>
      <c r="AG836" s="111">
        <f t="shared" si="704"/>
        <v>0.4</v>
      </c>
      <c r="AH836" s="262">
        <f t="shared" si="705"/>
        <v>0.41013847675568743</v>
      </c>
      <c r="AI836" s="100"/>
      <c r="AJ836" s="111">
        <f t="shared" si="706"/>
        <v>0.4</v>
      </c>
      <c r="AK836" s="262">
        <f t="shared" si="707"/>
        <v>0.41013847675568743</v>
      </c>
      <c r="AL836" s="100"/>
      <c r="AM836" s="111">
        <f t="shared" si="708"/>
        <v>0.3</v>
      </c>
      <c r="AN836" s="262">
        <f t="shared" si="709"/>
        <v>0.21351796900758321</v>
      </c>
      <c r="AO836" s="100"/>
      <c r="AP836" s="24" t="e">
        <f>VLOOKUP(C836,#REF!,6,FALSE)</f>
        <v>#REF!</v>
      </c>
      <c r="AQ836" s="24" t="e">
        <f>VLOOKUP(C836,#REF!,7,FALSE)</f>
        <v>#REF!</v>
      </c>
      <c r="AR836" s="24" t="e">
        <f>VLOOKUP(C836,#REF!,12,FALSE)</f>
        <v>#REF!</v>
      </c>
      <c r="AS836" s="24" t="e">
        <f>VLOOKUP(C836,#REF!,13,FALSE)</f>
        <v>#REF!</v>
      </c>
      <c r="AT836" s="100"/>
      <c r="AU836" s="100"/>
      <c r="AV836" s="100">
        <v>818</v>
      </c>
      <c r="AW836" s="100"/>
      <c r="AY836" s="9">
        <v>24000</v>
      </c>
    </row>
    <row r="837" spans="1:51" s="2" customFormat="1" ht="12.75" customHeight="1" x14ac:dyDescent="0.2">
      <c r="A837" s="7" t="s">
        <v>1881</v>
      </c>
      <c r="B837" s="8">
        <v>9789500215237</v>
      </c>
      <c r="C837" s="8">
        <v>717945</v>
      </c>
      <c r="D837" s="25">
        <v>64</v>
      </c>
      <c r="E837" s="7" t="s">
        <v>1869</v>
      </c>
      <c r="F837" s="25" t="s">
        <v>1864</v>
      </c>
      <c r="G837" s="107">
        <v>45474</v>
      </c>
      <c r="H837" s="108">
        <v>45962</v>
      </c>
      <c r="I837" s="264">
        <v>3104</v>
      </c>
      <c r="J837" s="28" t="s">
        <v>2136</v>
      </c>
      <c r="K837" s="148">
        <v>1844.95</v>
      </c>
      <c r="L837" s="9">
        <v>19900</v>
      </c>
      <c r="M837" s="112">
        <f t="shared" ref="M837:M844" si="710">+L837*0.1</f>
        <v>1990</v>
      </c>
      <c r="N837" s="9">
        <f t="shared" si="691"/>
        <v>9950</v>
      </c>
      <c r="O837" s="9">
        <f t="shared" si="692"/>
        <v>6115.05</v>
      </c>
      <c r="P837" s="9">
        <f t="shared" si="693"/>
        <v>3834.95</v>
      </c>
      <c r="Q837" s="139">
        <f t="shared" si="694"/>
        <v>0.61457788944723624</v>
      </c>
      <c r="R837" s="345">
        <v>19900</v>
      </c>
      <c r="S837" s="359" t="s">
        <v>1948</v>
      </c>
      <c r="T837" s="305">
        <v>0.61457788944723624</v>
      </c>
      <c r="U837" s="6"/>
      <c r="V837" s="100"/>
      <c r="W837" s="110">
        <f t="shared" si="695"/>
        <v>19900</v>
      </c>
      <c r="X837" s="110">
        <f t="shared" si="696"/>
        <v>1844.95</v>
      </c>
      <c r="Y837" s="110">
        <f t="shared" si="697"/>
        <v>1990</v>
      </c>
      <c r="Z837" s="110">
        <f t="shared" si="698"/>
        <v>6115.05</v>
      </c>
      <c r="AA837" s="260">
        <f t="shared" si="699"/>
        <v>0.61457788944723624</v>
      </c>
      <c r="AB837" s="28">
        <f t="shared" si="700"/>
        <v>6.6</v>
      </c>
      <c r="AC837" s="261">
        <f t="shared" si="701"/>
        <v>0.61684600705372217</v>
      </c>
      <c r="AD837" s="111">
        <f t="shared" si="702"/>
        <v>2.7</v>
      </c>
      <c r="AE837" s="262">
        <f t="shared" si="703"/>
        <v>6.3401350575765431E-2</v>
      </c>
      <c r="AF837" s="100"/>
      <c r="AG837" s="111">
        <f t="shared" si="704"/>
        <v>4.2</v>
      </c>
      <c r="AH837" s="262">
        <f t="shared" si="705"/>
        <v>0.39790086822727777</v>
      </c>
      <c r="AI837" s="100"/>
      <c r="AJ837" s="111">
        <f t="shared" si="706"/>
        <v>3.9</v>
      </c>
      <c r="AK837" s="262">
        <f t="shared" si="707"/>
        <v>0.35158555039860673</v>
      </c>
      <c r="AL837" s="100"/>
      <c r="AM837" s="111">
        <f t="shared" si="708"/>
        <v>3.6</v>
      </c>
      <c r="AN837" s="262">
        <f t="shared" si="709"/>
        <v>0.29755101293182412</v>
      </c>
      <c r="AO837" s="100"/>
      <c r="AP837" s="24" t="e">
        <f>VLOOKUP(C837,#REF!,6,FALSE)</f>
        <v>#REF!</v>
      </c>
      <c r="AQ837" s="24" t="e">
        <f>VLOOKUP(C837,#REF!,7,FALSE)</f>
        <v>#REF!</v>
      </c>
      <c r="AR837" s="24" t="e">
        <f>VLOOKUP(C837,#REF!,12,FALSE)</f>
        <v>#REF!</v>
      </c>
      <c r="AS837" s="24" t="e">
        <f>VLOOKUP(C837,#REF!,13,FALSE)</f>
        <v>#REF!</v>
      </c>
      <c r="AT837" s="100"/>
      <c r="AU837" s="100"/>
      <c r="AV837" s="100">
        <v>819</v>
      </c>
      <c r="AW837" s="100"/>
      <c r="AY837" s="9">
        <v>19900</v>
      </c>
    </row>
    <row r="838" spans="1:51" s="2" customFormat="1" ht="12.75" customHeight="1" x14ac:dyDescent="0.2">
      <c r="A838" s="6" t="s">
        <v>2029</v>
      </c>
      <c r="B838" s="279">
        <v>9789500216142</v>
      </c>
      <c r="C838" s="8">
        <v>728159</v>
      </c>
      <c r="D838" s="41">
        <v>160</v>
      </c>
      <c r="E838" s="8" t="s">
        <v>2030</v>
      </c>
      <c r="F838" s="6" t="s">
        <v>2031</v>
      </c>
      <c r="G838" s="107">
        <v>45748</v>
      </c>
      <c r="H838" s="108">
        <v>45717</v>
      </c>
      <c r="I838" s="264">
        <v>4115</v>
      </c>
      <c r="J838" s="28" t="s">
        <v>2136</v>
      </c>
      <c r="K838" s="292">
        <v>2891.94</v>
      </c>
      <c r="L838" s="9">
        <v>34900</v>
      </c>
      <c r="M838" s="9">
        <f t="shared" si="710"/>
        <v>3490</v>
      </c>
      <c r="N838" s="9">
        <f t="shared" si="691"/>
        <v>17450</v>
      </c>
      <c r="O838" s="9">
        <f t="shared" si="692"/>
        <v>11068.06</v>
      </c>
      <c r="P838" s="9">
        <f t="shared" si="693"/>
        <v>6381.9400000000005</v>
      </c>
      <c r="Q838" s="109">
        <f t="shared" si="694"/>
        <v>0.63427277936962745</v>
      </c>
      <c r="R838" s="345">
        <v>34900</v>
      </c>
      <c r="S838" s="359" t="s">
        <v>1948</v>
      </c>
      <c r="T838" s="305">
        <v>0.63427277936962745</v>
      </c>
      <c r="U838" s="12"/>
      <c r="V838" s="100"/>
      <c r="W838" s="110">
        <f t="shared" si="695"/>
        <v>34900</v>
      </c>
      <c r="X838" s="110">
        <f t="shared" si="696"/>
        <v>2891.94</v>
      </c>
      <c r="Y838" s="110">
        <f t="shared" si="697"/>
        <v>3490</v>
      </c>
      <c r="Z838" s="110">
        <f t="shared" si="698"/>
        <v>11068.06</v>
      </c>
      <c r="AA838" s="260">
        <f t="shared" si="699"/>
        <v>0.63427277936962745</v>
      </c>
      <c r="AB838" s="28">
        <f t="shared" si="700"/>
        <v>11.5</v>
      </c>
      <c r="AC838" s="261">
        <f t="shared" si="701"/>
        <v>0.63405782766381391</v>
      </c>
      <c r="AD838" s="111">
        <f t="shared" si="702"/>
        <v>4.4000000000000004</v>
      </c>
      <c r="AE838" s="262">
        <f t="shared" si="703"/>
        <v>4.3560231394059332E-2</v>
      </c>
      <c r="AF838" s="100"/>
      <c r="AG838" s="111">
        <f t="shared" si="704"/>
        <v>7</v>
      </c>
      <c r="AH838" s="262">
        <f t="shared" si="705"/>
        <v>0.3988092883048372</v>
      </c>
      <c r="AI838" s="100"/>
      <c r="AJ838" s="111">
        <f t="shared" si="706"/>
        <v>6.5</v>
      </c>
      <c r="AK838" s="262">
        <f t="shared" si="707"/>
        <v>0.35256384894367088</v>
      </c>
      <c r="AL838" s="100"/>
      <c r="AM838" s="111">
        <f t="shared" si="708"/>
        <v>6</v>
      </c>
      <c r="AN838" s="262">
        <f t="shared" si="709"/>
        <v>0.29861083635564339</v>
      </c>
      <c r="AO838" s="100"/>
      <c r="AP838" s="24" t="e">
        <f>VLOOKUP(C838,#REF!,6,FALSE)</f>
        <v>#REF!</v>
      </c>
      <c r="AQ838" s="24" t="e">
        <f>VLOOKUP(C838,#REF!,7,FALSE)</f>
        <v>#REF!</v>
      </c>
      <c r="AR838" s="24" t="e">
        <f>VLOOKUP(C838,#REF!,12,FALSE)</f>
        <v>#REF!</v>
      </c>
      <c r="AS838" s="24" t="e">
        <f>VLOOKUP(C838,#REF!,13,FALSE)</f>
        <v>#REF!</v>
      </c>
      <c r="AT838" s="100"/>
      <c r="AU838" s="100"/>
      <c r="AV838" s="100">
        <v>820</v>
      </c>
      <c r="AW838" s="100"/>
      <c r="AY838" s="9">
        <v>34900</v>
      </c>
    </row>
    <row r="839" spans="1:51" s="2" customFormat="1" ht="12.75" customHeight="1" x14ac:dyDescent="0.2">
      <c r="A839" s="6" t="s">
        <v>1615</v>
      </c>
      <c r="B839" s="8">
        <v>9789500213806</v>
      </c>
      <c r="C839" s="8">
        <v>706238</v>
      </c>
      <c r="D839" s="41">
        <v>144</v>
      </c>
      <c r="E839" s="7" t="s">
        <v>491</v>
      </c>
      <c r="F839" s="6" t="s">
        <v>780</v>
      </c>
      <c r="G839" s="107">
        <v>45078</v>
      </c>
      <c r="H839" s="108">
        <v>45474</v>
      </c>
      <c r="I839" s="267">
        <v>2095</v>
      </c>
      <c r="J839" s="28" t="s">
        <v>2136</v>
      </c>
      <c r="K839" s="148">
        <v>3399.76</v>
      </c>
      <c r="L839" s="9">
        <v>34900</v>
      </c>
      <c r="M839" s="112">
        <f t="shared" si="710"/>
        <v>3490</v>
      </c>
      <c r="N839" s="9">
        <f t="shared" si="691"/>
        <v>17450</v>
      </c>
      <c r="O839" s="9">
        <f t="shared" si="692"/>
        <v>10560.24</v>
      </c>
      <c r="P839" s="9">
        <f t="shared" si="693"/>
        <v>6889.76</v>
      </c>
      <c r="Q839" s="139">
        <f t="shared" si="694"/>
        <v>0.60517134670487105</v>
      </c>
      <c r="R839" s="345">
        <v>34900</v>
      </c>
      <c r="S839" s="359" t="s">
        <v>1948</v>
      </c>
      <c r="T839" s="305">
        <v>0.60517134670487105</v>
      </c>
      <c r="U839" s="6"/>
      <c r="V839" s="100"/>
      <c r="W839" s="110">
        <f t="shared" si="695"/>
        <v>34900</v>
      </c>
      <c r="X839" s="110">
        <f t="shared" si="696"/>
        <v>3399.76</v>
      </c>
      <c r="Y839" s="110">
        <f t="shared" si="697"/>
        <v>3490</v>
      </c>
      <c r="Z839" s="110">
        <f t="shared" si="698"/>
        <v>10560.24</v>
      </c>
      <c r="AA839" s="260">
        <f t="shared" si="699"/>
        <v>0.60517134670487105</v>
      </c>
      <c r="AB839" s="28">
        <f t="shared" si="700"/>
        <v>11.5</v>
      </c>
      <c r="AC839" s="261">
        <f t="shared" si="701"/>
        <v>0.60493929098754284</v>
      </c>
      <c r="AD839" s="111">
        <f t="shared" si="702"/>
        <v>4.8</v>
      </c>
      <c r="AE839" s="262">
        <f t="shared" si="703"/>
        <v>5.3500384657654637E-2</v>
      </c>
      <c r="AF839" s="100"/>
      <c r="AG839" s="111">
        <f t="shared" si="704"/>
        <v>7.6</v>
      </c>
      <c r="AH839" s="262">
        <f t="shared" si="705"/>
        <v>0.40221076925746607</v>
      </c>
      <c r="AI839" s="100"/>
      <c r="AJ839" s="111">
        <f t="shared" si="706"/>
        <v>7</v>
      </c>
      <c r="AK839" s="262">
        <f t="shared" si="707"/>
        <v>0.35097169233667747</v>
      </c>
      <c r="AL839" s="100"/>
      <c r="AM839" s="111">
        <f t="shared" si="708"/>
        <v>6.5</v>
      </c>
      <c r="AN839" s="262">
        <f t="shared" si="709"/>
        <v>0.3010464379010373</v>
      </c>
      <c r="AO839" s="100"/>
      <c r="AP839" s="24" t="e">
        <f>VLOOKUP(C839,#REF!,6,FALSE)</f>
        <v>#REF!</v>
      </c>
      <c r="AQ839" s="24" t="e">
        <f>VLOOKUP(C839,#REF!,7,FALSE)</f>
        <v>#REF!</v>
      </c>
      <c r="AR839" s="24" t="e">
        <f>VLOOKUP(C839,#REF!,12,FALSE)</f>
        <v>#REF!</v>
      </c>
      <c r="AS839" s="24" t="e">
        <f>VLOOKUP(C839,#REF!,13,FALSE)</f>
        <v>#REF!</v>
      </c>
      <c r="AT839" s="100"/>
      <c r="AU839" s="100"/>
      <c r="AV839" s="100">
        <v>821</v>
      </c>
      <c r="AW839" s="100"/>
      <c r="AY839" s="9">
        <v>34900</v>
      </c>
    </row>
    <row r="840" spans="1:51" s="2" customFormat="1" ht="12.75" customHeight="1" x14ac:dyDescent="0.2">
      <c r="A840" s="7" t="s">
        <v>1477</v>
      </c>
      <c r="B840" s="8">
        <v>9789500213165</v>
      </c>
      <c r="C840" s="8">
        <v>699698</v>
      </c>
      <c r="D840" s="25">
        <v>160</v>
      </c>
      <c r="E840" s="9" t="s">
        <v>491</v>
      </c>
      <c r="F840" s="7" t="s">
        <v>735</v>
      </c>
      <c r="G840" s="107">
        <v>44866</v>
      </c>
      <c r="H840" s="108">
        <v>44835</v>
      </c>
      <c r="I840" s="7">
        <v>4140</v>
      </c>
      <c r="J840" s="28" t="s">
        <v>2136</v>
      </c>
      <c r="K840" s="9">
        <v>767.8</v>
      </c>
      <c r="L840" s="9">
        <v>34900</v>
      </c>
      <c r="M840" s="112">
        <f t="shared" si="710"/>
        <v>3490</v>
      </c>
      <c r="N840" s="9">
        <f t="shared" si="691"/>
        <v>17450</v>
      </c>
      <c r="O840" s="9">
        <f t="shared" si="692"/>
        <v>13192.2</v>
      </c>
      <c r="P840" s="9">
        <f t="shared" si="693"/>
        <v>4257.8</v>
      </c>
      <c r="Q840" s="139">
        <f t="shared" si="694"/>
        <v>0.75600000000000001</v>
      </c>
      <c r="R840" s="345">
        <v>34900</v>
      </c>
      <c r="S840" s="359" t="s">
        <v>1948</v>
      </c>
      <c r="T840" s="305">
        <v>0.75600000000000001</v>
      </c>
      <c r="U840" s="144"/>
      <c r="V840" s="100"/>
      <c r="W840" s="110">
        <f t="shared" si="695"/>
        <v>34900</v>
      </c>
      <c r="X840" s="110">
        <f t="shared" si="696"/>
        <v>767.8</v>
      </c>
      <c r="Y840" s="110">
        <f t="shared" si="697"/>
        <v>3490</v>
      </c>
      <c r="Z840" s="110">
        <f t="shared" si="698"/>
        <v>13192.2</v>
      </c>
      <c r="AA840" s="260">
        <f t="shared" si="699"/>
        <v>0.75600000000000001</v>
      </c>
      <c r="AB840" s="28">
        <f t="shared" si="700"/>
        <v>11.5</v>
      </c>
      <c r="AC840" s="261">
        <f t="shared" si="701"/>
        <v>0.75585659198096311</v>
      </c>
      <c r="AD840" s="111">
        <f t="shared" si="702"/>
        <v>3</v>
      </c>
      <c r="AE840" s="262">
        <f t="shared" si="703"/>
        <v>6.4116935927024901E-2</v>
      </c>
      <c r="AF840" s="100"/>
      <c r="AG840" s="111">
        <f t="shared" si="704"/>
        <v>4.7</v>
      </c>
      <c r="AH840" s="262">
        <f t="shared" si="705"/>
        <v>0.40262783144278186</v>
      </c>
      <c r="AI840" s="100"/>
      <c r="AJ840" s="111">
        <f t="shared" si="706"/>
        <v>4.3</v>
      </c>
      <c r="AK840" s="262">
        <f t="shared" si="707"/>
        <v>0.34705832739094761</v>
      </c>
      <c r="AL840" s="100"/>
      <c r="AM840" s="111">
        <f t="shared" si="708"/>
        <v>4</v>
      </c>
      <c r="AN840" s="262">
        <f t="shared" si="709"/>
        <v>0.29808770194526868</v>
      </c>
      <c r="AO840" s="100"/>
      <c r="AP840" s="24" t="e">
        <f>VLOOKUP(C840,#REF!,6,FALSE)</f>
        <v>#REF!</v>
      </c>
      <c r="AQ840" s="24" t="e">
        <f>VLOOKUP(C840,#REF!,7,FALSE)</f>
        <v>#REF!</v>
      </c>
      <c r="AR840" s="24" t="e">
        <f>VLOOKUP(C840,#REF!,12,FALSE)</f>
        <v>#REF!</v>
      </c>
      <c r="AS840" s="24" t="e">
        <f>VLOOKUP(C840,#REF!,13,FALSE)</f>
        <v>#REF!</v>
      </c>
      <c r="AT840" s="100"/>
      <c r="AU840" s="100"/>
      <c r="AV840" s="100">
        <v>822</v>
      </c>
      <c r="AW840" s="100"/>
      <c r="AY840" s="9">
        <v>34900</v>
      </c>
    </row>
    <row r="841" spans="1:51" s="2" customFormat="1" ht="12.75" customHeight="1" x14ac:dyDescent="0.2">
      <c r="A841" s="6" t="s">
        <v>2250</v>
      </c>
      <c r="B841" s="153">
        <v>9789500217392</v>
      </c>
      <c r="C841" s="6">
        <v>741701</v>
      </c>
      <c r="D841" s="41">
        <v>160</v>
      </c>
      <c r="E841" s="6" t="s">
        <v>491</v>
      </c>
      <c r="F841" s="6" t="s">
        <v>2251</v>
      </c>
      <c r="G841" s="107">
        <v>46082</v>
      </c>
      <c r="H841" s="108">
        <v>46054</v>
      </c>
      <c r="I841" s="7">
        <v>4140</v>
      </c>
      <c r="J841" s="8" t="s">
        <v>2258</v>
      </c>
      <c r="K841" s="148">
        <v>4237.5200000000004</v>
      </c>
      <c r="L841" s="9">
        <v>34900</v>
      </c>
      <c r="M841" s="112">
        <f t="shared" si="710"/>
        <v>3490</v>
      </c>
      <c r="N841" s="9">
        <f t="shared" si="691"/>
        <v>17450</v>
      </c>
      <c r="O841" s="9">
        <f t="shared" si="692"/>
        <v>9722.48</v>
      </c>
      <c r="P841" s="9">
        <f t="shared" si="693"/>
        <v>7727.52</v>
      </c>
      <c r="Q841" s="139">
        <f t="shared" si="694"/>
        <v>0.55716217765042975</v>
      </c>
      <c r="R841" s="345">
        <v>34900</v>
      </c>
      <c r="S841" s="359" t="s">
        <v>1948</v>
      </c>
      <c r="T841" s="305">
        <v>0.55716217765042975</v>
      </c>
      <c r="U841" s="144"/>
      <c r="V841" s="100"/>
      <c r="W841" s="110">
        <f t="shared" si="695"/>
        <v>34900</v>
      </c>
      <c r="X841" s="110">
        <f t="shared" si="696"/>
        <v>4237.5200000000004</v>
      </c>
      <c r="Y841" s="110">
        <f t="shared" si="697"/>
        <v>3490</v>
      </c>
      <c r="Z841" s="110">
        <f t="shared" si="698"/>
        <v>9722.48</v>
      </c>
      <c r="AA841" s="260">
        <f t="shared" si="699"/>
        <v>0.55716217765042975</v>
      </c>
      <c r="AB841" s="28">
        <f t="shared" si="700"/>
        <v>11.5</v>
      </c>
      <c r="AC841" s="261">
        <f t="shared" si="701"/>
        <v>0.55690190513052074</v>
      </c>
      <c r="AD841" s="111">
        <f t="shared" si="702"/>
        <v>5.4</v>
      </c>
      <c r="AE841" s="262">
        <f t="shared" si="703"/>
        <v>5.6365168333516492E-2</v>
      </c>
      <c r="AF841" s="100"/>
      <c r="AG841" s="111">
        <f t="shared" si="704"/>
        <v>8.5</v>
      </c>
      <c r="AH841" s="262">
        <f t="shared" si="705"/>
        <v>0.40051434223541044</v>
      </c>
      <c r="AI841" s="100"/>
      <c r="AJ841" s="111">
        <f t="shared" si="706"/>
        <v>7.8</v>
      </c>
      <c r="AK841" s="262">
        <f t="shared" si="707"/>
        <v>0.34671434730781903</v>
      </c>
      <c r="AL841" s="100"/>
      <c r="AM841" s="111">
        <f t="shared" si="708"/>
        <v>7.3</v>
      </c>
      <c r="AN841" s="262">
        <f t="shared" si="709"/>
        <v>0.30196875465766965</v>
      </c>
      <c r="AO841" s="100"/>
      <c r="AP841" s="24" t="e">
        <f>VLOOKUP(C841,#REF!,6,FALSE)</f>
        <v>#REF!</v>
      </c>
      <c r="AQ841" s="24" t="e">
        <f>VLOOKUP(C841,#REF!,7,FALSE)</f>
        <v>#REF!</v>
      </c>
      <c r="AR841" s="24" t="e">
        <f>VLOOKUP(C841,#REF!,12,FALSE)</f>
        <v>#REF!</v>
      </c>
      <c r="AS841" s="24" t="e">
        <f>VLOOKUP(C841,#REF!,13,FALSE)</f>
        <v>#REF!</v>
      </c>
      <c r="AT841" s="100"/>
      <c r="AU841" s="100"/>
      <c r="AV841" s="100">
        <v>823</v>
      </c>
      <c r="AW841" s="100"/>
      <c r="AY841" s="9">
        <v>34900</v>
      </c>
    </row>
    <row r="842" spans="1:51" s="2" customFormat="1" ht="12.75" customHeight="1" x14ac:dyDescent="0.2">
      <c r="A842" s="7" t="s">
        <v>1616</v>
      </c>
      <c r="B842" s="8">
        <v>9789500212670</v>
      </c>
      <c r="C842" s="8">
        <v>693799</v>
      </c>
      <c r="D842" s="25">
        <v>136</v>
      </c>
      <c r="E842" s="9" t="s">
        <v>491</v>
      </c>
      <c r="F842" s="7" t="s">
        <v>690</v>
      </c>
      <c r="G842" s="107">
        <v>44682</v>
      </c>
      <c r="H842" s="108">
        <v>44652</v>
      </c>
      <c r="I842" s="7">
        <v>9915</v>
      </c>
      <c r="J842" s="28" t="s">
        <v>2136</v>
      </c>
      <c r="K842" s="9">
        <v>239.8</v>
      </c>
      <c r="L842" s="9">
        <v>34900</v>
      </c>
      <c r="M842" s="112">
        <f t="shared" si="710"/>
        <v>3490</v>
      </c>
      <c r="N842" s="9">
        <f t="shared" si="691"/>
        <v>17450</v>
      </c>
      <c r="O842" s="9">
        <f t="shared" si="692"/>
        <v>13720.2</v>
      </c>
      <c r="P842" s="9">
        <f t="shared" si="693"/>
        <v>3729.8</v>
      </c>
      <c r="Q842" s="139">
        <f t="shared" si="694"/>
        <v>0.78625787965616045</v>
      </c>
      <c r="R842" s="345">
        <v>34900</v>
      </c>
      <c r="S842" s="359" t="s">
        <v>1948</v>
      </c>
      <c r="T842" s="305">
        <v>0.78625787965616045</v>
      </c>
      <c r="U842" s="144"/>
      <c r="V842" s="100"/>
      <c r="W842" s="110">
        <f t="shared" si="695"/>
        <v>34900</v>
      </c>
      <c r="X842" s="110">
        <f t="shared" si="696"/>
        <v>239.8</v>
      </c>
      <c r="Y842" s="110">
        <f t="shared" si="697"/>
        <v>3490</v>
      </c>
      <c r="Z842" s="110">
        <f t="shared" si="698"/>
        <v>13720.2</v>
      </c>
      <c r="AA842" s="260">
        <f t="shared" si="699"/>
        <v>0.78625787965616045</v>
      </c>
      <c r="AB842" s="28">
        <f t="shared" si="700"/>
        <v>11.5</v>
      </c>
      <c r="AC842" s="261">
        <f t="shared" si="701"/>
        <v>0.7861322553362291</v>
      </c>
      <c r="AD842" s="111">
        <f t="shared" si="702"/>
        <v>2.6</v>
      </c>
      <c r="AE842" s="262">
        <f t="shared" si="703"/>
        <v>5.4046513987166783E-2</v>
      </c>
      <c r="AF842" s="100"/>
      <c r="AG842" s="111">
        <f t="shared" si="704"/>
        <v>4.0999999999999996</v>
      </c>
      <c r="AH842" s="262">
        <f t="shared" si="705"/>
        <v>0.40012705765039841</v>
      </c>
      <c r="AI842" s="100"/>
      <c r="AJ842" s="111">
        <f t="shared" si="706"/>
        <v>3.8</v>
      </c>
      <c r="AK842" s="262">
        <f t="shared" si="707"/>
        <v>0.35276866746490354</v>
      </c>
      <c r="AL842" s="100"/>
      <c r="AM842" s="111">
        <f t="shared" si="708"/>
        <v>3.5</v>
      </c>
      <c r="AN842" s="262">
        <f t="shared" si="709"/>
        <v>0.29729169610475242</v>
      </c>
      <c r="AO842" s="100"/>
      <c r="AP842" s="24" t="e">
        <f>VLOOKUP(C842,#REF!,6,FALSE)</f>
        <v>#REF!</v>
      </c>
      <c r="AQ842" s="24" t="e">
        <f>VLOOKUP(C842,#REF!,7,FALSE)</f>
        <v>#REF!</v>
      </c>
      <c r="AR842" s="24" t="e">
        <f>VLOOKUP(C842,#REF!,12,FALSE)</f>
        <v>#REF!</v>
      </c>
      <c r="AS842" s="24" t="e">
        <f>VLOOKUP(C842,#REF!,13,FALSE)</f>
        <v>#REF!</v>
      </c>
      <c r="AT842" s="100"/>
      <c r="AU842" s="100"/>
      <c r="AV842" s="100">
        <v>824</v>
      </c>
      <c r="AW842" s="100"/>
      <c r="AY842" s="9">
        <v>34900</v>
      </c>
    </row>
    <row r="843" spans="1:51" s="2" customFormat="1" ht="12.75" customHeight="1" x14ac:dyDescent="0.2">
      <c r="A843" s="7" t="s">
        <v>1617</v>
      </c>
      <c r="B843" s="8">
        <v>9789500209472</v>
      </c>
      <c r="C843" s="8">
        <v>686345</v>
      </c>
      <c r="D843" s="25">
        <v>136</v>
      </c>
      <c r="E843" s="6" t="s">
        <v>491</v>
      </c>
      <c r="F843" s="7" t="s">
        <v>575</v>
      </c>
      <c r="G843" s="107">
        <v>44440</v>
      </c>
      <c r="H843" s="108">
        <v>45474</v>
      </c>
      <c r="I843" s="267">
        <v>2115</v>
      </c>
      <c r="J843" s="28" t="s">
        <v>2136</v>
      </c>
      <c r="K843" s="9">
        <v>3024.15</v>
      </c>
      <c r="L843" s="9">
        <v>34900</v>
      </c>
      <c r="M843" s="112">
        <f t="shared" si="710"/>
        <v>3490</v>
      </c>
      <c r="N843" s="9">
        <f t="shared" si="691"/>
        <v>17450</v>
      </c>
      <c r="O843" s="9">
        <f t="shared" si="692"/>
        <v>10935.85</v>
      </c>
      <c r="P843" s="9">
        <f t="shared" si="693"/>
        <v>6514.15</v>
      </c>
      <c r="Q843" s="139">
        <f t="shared" si="694"/>
        <v>0.62669627507163328</v>
      </c>
      <c r="R843" s="345">
        <v>34900</v>
      </c>
      <c r="S843" s="359" t="s">
        <v>1948</v>
      </c>
      <c r="T843" s="305">
        <v>0.62669627507163328</v>
      </c>
      <c r="U843" s="12"/>
      <c r="V843" s="100"/>
      <c r="W843" s="110">
        <f t="shared" si="695"/>
        <v>34900</v>
      </c>
      <c r="X843" s="110">
        <f t="shared" si="696"/>
        <v>3024.15</v>
      </c>
      <c r="Y843" s="110">
        <f t="shared" si="697"/>
        <v>3490</v>
      </c>
      <c r="Z843" s="110">
        <f t="shared" si="698"/>
        <v>10935.85</v>
      </c>
      <c r="AA843" s="260">
        <f t="shared" si="699"/>
        <v>0.62669627507163328</v>
      </c>
      <c r="AB843" s="28">
        <f t="shared" si="700"/>
        <v>11.5</v>
      </c>
      <c r="AC843" s="261">
        <f t="shared" si="701"/>
        <v>0.62647687036798116</v>
      </c>
      <c r="AD843" s="111">
        <f t="shared" si="702"/>
        <v>4.5</v>
      </c>
      <c r="AE843" s="262">
        <f t="shared" si="703"/>
        <v>4.544089094039637E-2</v>
      </c>
      <c r="AF843" s="100"/>
      <c r="AG843" s="111">
        <f t="shared" si="704"/>
        <v>7.2</v>
      </c>
      <c r="AH843" s="262">
        <f t="shared" si="705"/>
        <v>0.40340055683774784</v>
      </c>
      <c r="AI843" s="100"/>
      <c r="AJ843" s="111">
        <f t="shared" si="706"/>
        <v>6.6</v>
      </c>
      <c r="AK843" s="262">
        <f t="shared" si="707"/>
        <v>0.34916424382299754</v>
      </c>
      <c r="AL843" s="100"/>
      <c r="AM843" s="111">
        <f t="shared" si="708"/>
        <v>6.1</v>
      </c>
      <c r="AN843" s="262">
        <f t="shared" si="709"/>
        <v>0.29581705069373504</v>
      </c>
      <c r="AO843" s="100"/>
      <c r="AP843" s="24" t="e">
        <f>VLOOKUP(C843,#REF!,6,FALSE)</f>
        <v>#REF!</v>
      </c>
      <c r="AQ843" s="24" t="e">
        <f>VLOOKUP(C843,#REF!,7,FALSE)</f>
        <v>#REF!</v>
      </c>
      <c r="AR843" s="24" t="e">
        <f>VLOOKUP(C843,#REF!,12,FALSE)</f>
        <v>#REF!</v>
      </c>
      <c r="AS843" s="24" t="e">
        <f>VLOOKUP(C843,#REF!,13,FALSE)</f>
        <v>#REF!</v>
      </c>
      <c r="AT843" s="100"/>
      <c r="AU843" s="100"/>
      <c r="AV843" s="100">
        <v>825</v>
      </c>
      <c r="AW843" s="100"/>
      <c r="AY843" s="9">
        <v>34900</v>
      </c>
    </row>
    <row r="844" spans="1:51" s="2" customFormat="1" ht="12.75" customHeight="1" x14ac:dyDescent="0.2">
      <c r="A844" s="6" t="s">
        <v>1618</v>
      </c>
      <c r="B844" s="8">
        <v>9789500210874</v>
      </c>
      <c r="C844" s="8">
        <v>676701</v>
      </c>
      <c r="D844" s="25">
        <v>176</v>
      </c>
      <c r="E844" s="7" t="s">
        <v>491</v>
      </c>
      <c r="F844" s="7" t="s">
        <v>492</v>
      </c>
      <c r="G844" s="107">
        <v>44044</v>
      </c>
      <c r="H844" s="108">
        <v>46082</v>
      </c>
      <c r="I844" s="7">
        <v>2145</v>
      </c>
      <c r="J844" s="28" t="s">
        <v>2136</v>
      </c>
      <c r="K844" s="9">
        <v>5621.42</v>
      </c>
      <c r="L844" s="9">
        <v>34900</v>
      </c>
      <c r="M844" s="112">
        <f t="shared" si="710"/>
        <v>3490</v>
      </c>
      <c r="N844" s="9">
        <f t="shared" si="691"/>
        <v>17450</v>
      </c>
      <c r="O844" s="9">
        <f t="shared" si="692"/>
        <v>8338.58</v>
      </c>
      <c r="P844" s="9">
        <f t="shared" si="693"/>
        <v>9111.42</v>
      </c>
      <c r="Q844" s="139">
        <f t="shared" si="694"/>
        <v>0.47785558739255013</v>
      </c>
      <c r="R844" s="345">
        <v>34900</v>
      </c>
      <c r="S844" s="359" t="s">
        <v>1948</v>
      </c>
      <c r="T844" s="305">
        <v>0.47785558739255013</v>
      </c>
      <c r="U844" s="115"/>
      <c r="V844" s="100"/>
      <c r="W844" s="110">
        <f t="shared" si="695"/>
        <v>34900</v>
      </c>
      <c r="X844" s="110">
        <f t="shared" si="696"/>
        <v>5621.42</v>
      </c>
      <c r="Y844" s="110">
        <f t="shared" si="697"/>
        <v>3490</v>
      </c>
      <c r="Z844" s="110">
        <f t="shared" si="698"/>
        <v>8338.58</v>
      </c>
      <c r="AA844" s="260">
        <f t="shared" si="699"/>
        <v>0.47785558739255013</v>
      </c>
      <c r="AB844" s="28">
        <f t="shared" si="700"/>
        <v>11.5</v>
      </c>
      <c r="AC844" s="261">
        <f t="shared" si="701"/>
        <v>0.47754870339311056</v>
      </c>
      <c r="AD844" s="111">
        <f t="shared" si="702"/>
        <v>6.3</v>
      </c>
      <c r="AE844" s="262">
        <f t="shared" si="703"/>
        <v>4.6319061749328698E-2</v>
      </c>
      <c r="AF844" s="100"/>
      <c r="AG844" s="111">
        <f t="shared" si="704"/>
        <v>10</v>
      </c>
      <c r="AH844" s="262">
        <f t="shared" si="705"/>
        <v>0.39918100890207714</v>
      </c>
      <c r="AI844" s="100"/>
      <c r="AJ844" s="111">
        <f t="shared" si="706"/>
        <v>9.1999999999999993</v>
      </c>
      <c r="AK844" s="262">
        <f t="shared" si="707"/>
        <v>0.34693587924138819</v>
      </c>
      <c r="AL844" s="100"/>
      <c r="AM844" s="111">
        <f t="shared" si="708"/>
        <v>8.6</v>
      </c>
      <c r="AN844" s="262">
        <f t="shared" si="709"/>
        <v>0.30137326616520599</v>
      </c>
      <c r="AO844" s="100"/>
      <c r="AP844" s="24" t="e">
        <f>VLOOKUP(C844,#REF!,6,FALSE)</f>
        <v>#REF!</v>
      </c>
      <c r="AQ844" s="24" t="e">
        <f>VLOOKUP(C844,#REF!,7,FALSE)</f>
        <v>#REF!</v>
      </c>
      <c r="AR844" s="24" t="e">
        <f>VLOOKUP(C844,#REF!,12,FALSE)</f>
        <v>#REF!</v>
      </c>
      <c r="AS844" s="24" t="e">
        <f>VLOOKUP(C844,#REF!,13,FALSE)</f>
        <v>#REF!</v>
      </c>
      <c r="AT844" s="100"/>
      <c r="AU844" s="100"/>
      <c r="AV844" s="100">
        <v>826</v>
      </c>
      <c r="AW844" s="100"/>
      <c r="AY844" s="9">
        <v>34900</v>
      </c>
    </row>
    <row r="845" spans="1:51" s="2" customFormat="1" ht="12.75" customHeight="1" x14ac:dyDescent="0.2">
      <c r="A845" s="7" t="s">
        <v>1621</v>
      </c>
      <c r="B845" s="8">
        <v>9789500210089</v>
      </c>
      <c r="C845" s="11">
        <v>667000</v>
      </c>
      <c r="D845" s="25">
        <v>176</v>
      </c>
      <c r="E845" s="22" t="s">
        <v>454</v>
      </c>
      <c r="F845" s="7" t="s">
        <v>605</v>
      </c>
      <c r="G845" s="107">
        <v>43678</v>
      </c>
      <c r="H845" s="108">
        <v>44562</v>
      </c>
      <c r="I845" s="7">
        <v>5075</v>
      </c>
      <c r="J845" s="28" t="s">
        <v>2136</v>
      </c>
      <c r="K845" s="117">
        <v>300.01</v>
      </c>
      <c r="L845" s="9">
        <v>30900</v>
      </c>
      <c r="M845" s="112">
        <f>+L845*0.07</f>
        <v>2163</v>
      </c>
      <c r="N845" s="9">
        <f t="shared" si="691"/>
        <v>15450</v>
      </c>
      <c r="O845" s="9">
        <f t="shared" si="692"/>
        <v>12986.99</v>
      </c>
      <c r="P845" s="9">
        <f t="shared" si="693"/>
        <v>2463.0100000000002</v>
      </c>
      <c r="Q845" s="139">
        <f t="shared" si="694"/>
        <v>0.84058187702265375</v>
      </c>
      <c r="R845" s="345">
        <v>30900</v>
      </c>
      <c r="S845" s="359" t="s">
        <v>1948</v>
      </c>
      <c r="T845" s="305">
        <v>0.84058187702265375</v>
      </c>
      <c r="U845" s="144"/>
      <c r="V845" s="100"/>
      <c r="W845" s="110">
        <f t="shared" si="695"/>
        <v>30900</v>
      </c>
      <c r="X845" s="110">
        <f t="shared" si="696"/>
        <v>300.01</v>
      </c>
      <c r="Y845" s="110">
        <f t="shared" si="697"/>
        <v>2163</v>
      </c>
      <c r="Z845" s="110">
        <f t="shared" si="698"/>
        <v>12986.99</v>
      </c>
      <c r="AA845" s="260">
        <f t="shared" si="699"/>
        <v>0.84058187702265375</v>
      </c>
      <c r="AB845" s="28">
        <f t="shared" si="700"/>
        <v>10.199999999999999</v>
      </c>
      <c r="AC845" s="261">
        <f t="shared" si="701"/>
        <v>0.84077047897959045</v>
      </c>
      <c r="AD845" s="111">
        <f t="shared" si="702"/>
        <v>1.7</v>
      </c>
      <c r="AE845" s="262">
        <f t="shared" si="703"/>
        <v>4.4622873877543094E-2</v>
      </c>
      <c r="AF845" s="100"/>
      <c r="AG845" s="111">
        <f t="shared" si="704"/>
        <v>2.7</v>
      </c>
      <c r="AH845" s="262">
        <f t="shared" si="705"/>
        <v>0.39846625392289747</v>
      </c>
      <c r="AI845" s="100"/>
      <c r="AJ845" s="111">
        <f t="shared" si="706"/>
        <v>2.5</v>
      </c>
      <c r="AK845" s="262">
        <f t="shared" si="707"/>
        <v>0.35034355423672925</v>
      </c>
      <c r="AL845" s="100"/>
      <c r="AM845" s="111">
        <f t="shared" si="708"/>
        <v>2.2999999999999998</v>
      </c>
      <c r="AN845" s="262">
        <f t="shared" si="709"/>
        <v>0.29385168938774914</v>
      </c>
      <c r="AO845" s="100"/>
      <c r="AP845" s="24" t="e">
        <f>VLOOKUP(C845,#REF!,6,FALSE)</f>
        <v>#REF!</v>
      </c>
      <c r="AQ845" s="24" t="e">
        <f>VLOOKUP(C845,#REF!,7,FALSE)</f>
        <v>#REF!</v>
      </c>
      <c r="AR845" s="24" t="e">
        <f>VLOOKUP(C845,#REF!,12,FALSE)</f>
        <v>#REF!</v>
      </c>
      <c r="AS845" s="24" t="e">
        <f>VLOOKUP(C845,#REF!,13,FALSE)</f>
        <v>#REF!</v>
      </c>
      <c r="AT845" s="100"/>
      <c r="AU845" s="100"/>
      <c r="AV845" s="100">
        <v>827</v>
      </c>
      <c r="AW845" s="100"/>
      <c r="AY845" s="9">
        <v>30900</v>
      </c>
    </row>
    <row r="846" spans="1:51" s="2" customFormat="1" ht="12.75" customHeight="1" x14ac:dyDescent="0.2">
      <c r="A846" s="6" t="s">
        <v>1619</v>
      </c>
      <c r="B846" s="8">
        <v>9789500208857</v>
      </c>
      <c r="C846" s="8">
        <v>613397</v>
      </c>
      <c r="D846" s="7">
        <v>96</v>
      </c>
      <c r="E846" s="31" t="s">
        <v>308</v>
      </c>
      <c r="F846" s="6" t="s">
        <v>1620</v>
      </c>
      <c r="G846" s="107">
        <v>42491</v>
      </c>
      <c r="H846" s="108">
        <v>42461</v>
      </c>
      <c r="I846" s="24">
        <v>3010</v>
      </c>
      <c r="J846" s="28" t="s">
        <v>1946</v>
      </c>
      <c r="K846" s="28">
        <v>47.84</v>
      </c>
      <c r="L846" s="128">
        <v>13200</v>
      </c>
      <c r="M846" s="112">
        <f>+L846*0.07</f>
        <v>924.00000000000011</v>
      </c>
      <c r="N846" s="9">
        <f t="shared" si="691"/>
        <v>6600</v>
      </c>
      <c r="O846" s="9">
        <f t="shared" si="692"/>
        <v>5628.16</v>
      </c>
      <c r="P846" s="9">
        <f t="shared" si="693"/>
        <v>971.84000000000015</v>
      </c>
      <c r="Q846" s="139">
        <f t="shared" si="694"/>
        <v>0.85275151515151515</v>
      </c>
      <c r="R846" s="345">
        <v>13200</v>
      </c>
      <c r="S846" s="359" t="s">
        <v>1948</v>
      </c>
      <c r="T846" s="305">
        <v>0.85275151515151515</v>
      </c>
      <c r="U846" s="144"/>
      <c r="V846" s="100"/>
      <c r="W846" s="110">
        <f t="shared" si="695"/>
        <v>13200</v>
      </c>
      <c r="X846" s="110">
        <f t="shared" si="696"/>
        <v>47.84</v>
      </c>
      <c r="Y846" s="110">
        <f t="shared" si="697"/>
        <v>924.00000000000011</v>
      </c>
      <c r="Z846" s="110">
        <f t="shared" si="698"/>
        <v>5628.16</v>
      </c>
      <c r="AA846" s="260">
        <f t="shared" si="699"/>
        <v>0.85275151515151515</v>
      </c>
      <c r="AB846" s="28">
        <f t="shared" si="700"/>
        <v>4.4000000000000004</v>
      </c>
      <c r="AC846" s="261">
        <f t="shared" si="701"/>
        <v>0.85435362527350656</v>
      </c>
      <c r="AD846" s="111">
        <f t="shared" si="702"/>
        <v>0.7</v>
      </c>
      <c r="AE846" s="262">
        <f t="shared" si="703"/>
        <v>8.4508501719184032E-2</v>
      </c>
      <c r="AF846" s="100"/>
      <c r="AG846" s="111">
        <f t="shared" si="704"/>
        <v>1.1000000000000001</v>
      </c>
      <c r="AH846" s="262">
        <f t="shared" si="705"/>
        <v>0.41741450109402634</v>
      </c>
      <c r="AI846" s="100"/>
      <c r="AJ846" s="111">
        <f t="shared" si="706"/>
        <v>1</v>
      </c>
      <c r="AK846" s="262">
        <f t="shared" si="707"/>
        <v>0.35915595120342891</v>
      </c>
      <c r="AL846" s="100"/>
      <c r="AM846" s="111">
        <f t="shared" si="708"/>
        <v>0.9</v>
      </c>
      <c r="AN846" s="262">
        <f t="shared" si="709"/>
        <v>0.2879510568926989</v>
      </c>
      <c r="AO846" s="100"/>
      <c r="AP846" s="24" t="e">
        <f>VLOOKUP(C846,#REF!,6,FALSE)</f>
        <v>#REF!</v>
      </c>
      <c r="AQ846" s="24" t="e">
        <f>VLOOKUP(C846,#REF!,7,FALSE)</f>
        <v>#REF!</v>
      </c>
      <c r="AR846" s="24" t="e">
        <f>VLOOKUP(C846,#REF!,12,FALSE)</f>
        <v>#REF!</v>
      </c>
      <c r="AS846" s="24" t="e">
        <f>VLOOKUP(C846,#REF!,13,FALSE)</f>
        <v>#REF!</v>
      </c>
      <c r="AT846" s="100"/>
      <c r="AU846" s="100"/>
      <c r="AV846" s="100">
        <v>828</v>
      </c>
      <c r="AW846" s="100"/>
      <c r="AY846" s="128">
        <v>13200</v>
      </c>
    </row>
    <row r="847" spans="1:51" s="2" customFormat="1" ht="12.75" customHeight="1" x14ac:dyDescent="0.2">
      <c r="A847" s="7" t="s">
        <v>1622</v>
      </c>
      <c r="B847" s="8">
        <v>9789500205955</v>
      </c>
      <c r="C847" s="8">
        <v>542516</v>
      </c>
      <c r="D847" s="7">
        <v>96</v>
      </c>
      <c r="E847" s="7" t="s">
        <v>309</v>
      </c>
      <c r="F847" s="7" t="s">
        <v>310</v>
      </c>
      <c r="G847" s="107">
        <v>41214</v>
      </c>
      <c r="H847" s="108">
        <v>42186</v>
      </c>
      <c r="I847" s="24">
        <v>2000</v>
      </c>
      <c r="J847" s="28" t="s">
        <v>1946</v>
      </c>
      <c r="K847" s="28">
        <v>30.05</v>
      </c>
      <c r="L847" s="128">
        <v>13200</v>
      </c>
      <c r="M847" s="112">
        <f>+L847*0.07</f>
        <v>924.00000000000011</v>
      </c>
      <c r="N847" s="9">
        <f t="shared" si="691"/>
        <v>6600</v>
      </c>
      <c r="O847" s="9">
        <f t="shared" si="692"/>
        <v>5645.95</v>
      </c>
      <c r="P847" s="9">
        <f t="shared" si="693"/>
        <v>954.05000000000007</v>
      </c>
      <c r="Q847" s="139">
        <f t="shared" si="694"/>
        <v>0.85544696969696965</v>
      </c>
      <c r="R847" s="345">
        <v>13200</v>
      </c>
      <c r="S847" s="359" t="s">
        <v>1948</v>
      </c>
      <c r="T847" s="305">
        <v>0.85544696969696965</v>
      </c>
      <c r="U847" s="144"/>
      <c r="V847" s="100"/>
      <c r="W847" s="110">
        <f t="shared" si="695"/>
        <v>13200</v>
      </c>
      <c r="X847" s="110">
        <f t="shared" si="696"/>
        <v>30.05</v>
      </c>
      <c r="Y847" s="110">
        <f t="shared" si="697"/>
        <v>924.00000000000011</v>
      </c>
      <c r="Z847" s="110">
        <f t="shared" si="698"/>
        <v>5645.95</v>
      </c>
      <c r="AA847" s="260">
        <f t="shared" si="699"/>
        <v>0.85544696969696965</v>
      </c>
      <c r="AB847" s="28">
        <f t="shared" si="700"/>
        <v>4.4000000000000004</v>
      </c>
      <c r="AC847" s="261">
        <f t="shared" si="701"/>
        <v>0.85701975242034589</v>
      </c>
      <c r="AD847" s="111">
        <f t="shared" si="702"/>
        <v>0.7</v>
      </c>
      <c r="AE847" s="262">
        <f t="shared" si="703"/>
        <v>0.10126701521360265</v>
      </c>
      <c r="AF847" s="100"/>
      <c r="AG847" s="111">
        <f t="shared" si="704"/>
        <v>1</v>
      </c>
      <c r="AH847" s="262">
        <f t="shared" si="705"/>
        <v>0.37088691064952189</v>
      </c>
      <c r="AI847" s="100"/>
      <c r="AJ847" s="111">
        <f t="shared" si="706"/>
        <v>1</v>
      </c>
      <c r="AK847" s="262">
        <f t="shared" si="707"/>
        <v>0.37088691064952189</v>
      </c>
      <c r="AL847" s="100"/>
      <c r="AM847" s="111">
        <f t="shared" si="708"/>
        <v>0.9</v>
      </c>
      <c r="AN847" s="262">
        <f t="shared" si="709"/>
        <v>0.3009854562772466</v>
      </c>
      <c r="AO847" s="100"/>
      <c r="AP847" s="24" t="e">
        <f>VLOOKUP(C847,#REF!,6,FALSE)</f>
        <v>#REF!</v>
      </c>
      <c r="AQ847" s="24" t="e">
        <f>VLOOKUP(C847,#REF!,7,FALSE)</f>
        <v>#REF!</v>
      </c>
      <c r="AR847" s="24" t="e">
        <f>VLOOKUP(C847,#REF!,12,FALSE)</f>
        <v>#REF!</v>
      </c>
      <c r="AS847" s="24" t="e">
        <f>VLOOKUP(C847,#REF!,13,FALSE)</f>
        <v>#REF!</v>
      </c>
      <c r="AT847" s="100"/>
      <c r="AU847" s="100"/>
      <c r="AV847" s="100">
        <v>829</v>
      </c>
      <c r="AW847" s="100"/>
      <c r="AY847" s="128">
        <v>13200</v>
      </c>
    </row>
    <row r="848" spans="1:51" s="2" customFormat="1" ht="12.75" customHeight="1" x14ac:dyDescent="0.25">
      <c r="A848" s="68"/>
      <c r="B848" s="333"/>
      <c r="C848" s="333"/>
      <c r="D848" s="346"/>
      <c r="E848" s="68"/>
      <c r="F848" s="68"/>
      <c r="G848" s="68"/>
      <c r="H848" s="68"/>
      <c r="I848" s="68"/>
      <c r="J848" s="68"/>
      <c r="K848" s="132"/>
      <c r="L848" s="134"/>
      <c r="M848" s="132"/>
      <c r="N848" s="132"/>
      <c r="O848" s="132"/>
      <c r="P848" s="132"/>
      <c r="Q848" s="147"/>
      <c r="R848" s="371"/>
      <c r="S848" s="360"/>
      <c r="T848" s="307"/>
      <c r="U848" s="135"/>
      <c r="V848" s="100"/>
      <c r="W848"/>
      <c r="X848"/>
      <c r="Y848"/>
      <c r="Z848"/>
      <c r="AA848"/>
      <c r="AB848"/>
      <c r="AC848"/>
      <c r="AD848" s="263"/>
      <c r="AE848"/>
      <c r="AF848" s="100"/>
      <c r="AG848" s="263"/>
      <c r="AH848"/>
      <c r="AI848" s="100"/>
      <c r="AJ848" s="263"/>
      <c r="AK848"/>
      <c r="AL848" s="100"/>
      <c r="AM848" s="263"/>
      <c r="AN848"/>
      <c r="AO848" s="100"/>
      <c r="AP848" s="100"/>
      <c r="AQ848" s="100"/>
      <c r="AR848" s="100"/>
      <c r="AS848" s="100"/>
      <c r="AT848" s="100"/>
      <c r="AU848" s="100"/>
      <c r="AV848" s="100">
        <v>830</v>
      </c>
      <c r="AW848" s="100"/>
      <c r="AY848" s="134"/>
    </row>
    <row r="849" spans="1:51" s="68" customFormat="1" ht="12.75" customHeight="1" x14ac:dyDescent="0.25">
      <c r="A849" s="160" t="s">
        <v>1623</v>
      </c>
      <c r="B849" s="168"/>
      <c r="C849" s="168"/>
      <c r="D849" s="206"/>
      <c r="E849" s="174"/>
      <c r="F849" s="162"/>
      <c r="G849" s="162"/>
      <c r="H849" s="132"/>
      <c r="I849" s="132"/>
      <c r="J849" s="132"/>
      <c r="K849" s="132"/>
      <c r="L849" s="134"/>
      <c r="M849" s="132"/>
      <c r="N849" s="132"/>
      <c r="O849" s="132"/>
      <c r="P849" s="132"/>
      <c r="Q849" s="147"/>
      <c r="R849" s="371"/>
      <c r="S849" s="360"/>
      <c r="T849" s="307"/>
      <c r="U849" s="135"/>
      <c r="V849" s="100"/>
      <c r="W849"/>
      <c r="X849"/>
      <c r="Y849"/>
      <c r="Z849"/>
      <c r="AA849"/>
      <c r="AB849"/>
      <c r="AC849"/>
      <c r="AD849" s="263"/>
      <c r="AE849"/>
      <c r="AF849" s="100"/>
      <c r="AG849" s="263"/>
      <c r="AH849"/>
      <c r="AI849" s="100"/>
      <c r="AJ849" s="263"/>
      <c r="AK849"/>
      <c r="AL849" s="100"/>
      <c r="AM849" s="263"/>
      <c r="AN849"/>
      <c r="AO849" s="100"/>
      <c r="AP849" s="100"/>
      <c r="AQ849" s="100"/>
      <c r="AR849" s="100"/>
      <c r="AS849" s="100"/>
      <c r="AT849" s="100"/>
      <c r="AU849" s="100"/>
      <c r="AV849" s="100">
        <v>831</v>
      </c>
      <c r="AW849" s="100"/>
      <c r="AY849" s="134"/>
    </row>
    <row r="850" spans="1:51" s="2" customFormat="1" ht="12" customHeight="1" x14ac:dyDescent="0.2">
      <c r="A850" s="6" t="s">
        <v>2458</v>
      </c>
      <c r="B850" s="153">
        <v>9789500217682</v>
      </c>
      <c r="C850" s="8">
        <v>751243</v>
      </c>
      <c r="D850" s="41">
        <v>10</v>
      </c>
      <c r="E850" s="6" t="s">
        <v>2405</v>
      </c>
      <c r="F850" s="6" t="s">
        <v>840</v>
      </c>
      <c r="G850" s="107">
        <v>46296</v>
      </c>
      <c r="H850" s="108">
        <v>46266</v>
      </c>
      <c r="I850" s="267">
        <v>4000</v>
      </c>
      <c r="J850" s="6" t="s">
        <v>2160</v>
      </c>
      <c r="K850" s="148">
        <v>6603.3</v>
      </c>
      <c r="L850" s="352">
        <v>27900</v>
      </c>
      <c r="M850" s="9"/>
      <c r="N850" s="9">
        <f t="shared" ref="N850" si="711">+L850/2</f>
        <v>13950</v>
      </c>
      <c r="O850" s="9">
        <f t="shared" ref="O850" si="712">+N850-M850-K850</f>
        <v>7346.7</v>
      </c>
      <c r="P850" s="9">
        <f t="shared" ref="P850" si="713">+M850+K850</f>
        <v>6603.3</v>
      </c>
      <c r="Q850" s="109">
        <f t="shared" ref="Q850" si="714">+O850/N850</f>
        <v>0.52664516129032257</v>
      </c>
      <c r="R850" s="365">
        <v>27900</v>
      </c>
      <c r="S850" s="359" t="s">
        <v>2140</v>
      </c>
      <c r="T850" s="305">
        <v>0.64050681003584231</v>
      </c>
      <c r="U850" s="12"/>
      <c r="V850" s="100"/>
      <c r="W850" s="110">
        <f t="shared" ref="W850" si="715">+L850</f>
        <v>27900</v>
      </c>
      <c r="X850" s="110">
        <f t="shared" ref="X850" si="716">+K850</f>
        <v>6603.3</v>
      </c>
      <c r="Y850" s="110">
        <f t="shared" ref="Y850" si="717">+M850</f>
        <v>0</v>
      </c>
      <c r="Z850" s="110">
        <f t="shared" ref="Z850" si="718">+W850/2-X850-Y850</f>
        <v>7346.7</v>
      </c>
      <c r="AA850" s="260">
        <f t="shared" ref="AA850" si="719">+Z850/(W850/2)</f>
        <v>0.52664516129032257</v>
      </c>
      <c r="AB850" s="28">
        <f t="shared" ref="AB850:AB860" si="720">ROUND($W850/2/$X$1,1)</f>
        <v>9.1999999999999993</v>
      </c>
      <c r="AC850" s="261">
        <f t="shared" ref="AC850" si="721">+(AB850*$X$1-$X850-$Y850)/(AB850*$X$1)</f>
        <v>0.52670623145400586</v>
      </c>
      <c r="AD850" s="111">
        <f t="shared" ref="AD850:AD860" si="722">+IFERROR(ROUND(($X850+$Y850)/(1-$X$2)/$X$1,1),0)</f>
        <v>4.5999999999999996</v>
      </c>
      <c r="AE850" s="262">
        <f t="shared" ref="AE850" si="723">+(AD850*$X$1-$X850-$Y850)/(AD850*$X$1)</f>
        <v>5.3412462908011792E-2</v>
      </c>
      <c r="AF850" s="100"/>
      <c r="AG850" s="111">
        <f t="shared" ref="AG850:AG860" si="724">+IFERROR(ROUND(($X850+$Y850)/(1-$AG$2)/$X$1,1),0)</f>
        <v>7.3</v>
      </c>
      <c r="AH850" s="262">
        <f t="shared" ref="AH850" si="725">+(AG850*$X$1-$X850-$Y850)/(AG850*$X$1)</f>
        <v>0.40352018210641838</v>
      </c>
      <c r="AI850" s="100"/>
      <c r="AJ850" s="111">
        <f t="shared" ref="AJ850:AJ860" si="726">+IFERROR(ROUND(($X850+$Y850)/(1-$AJ$2)/$X$1,1),0)</f>
        <v>6.7</v>
      </c>
      <c r="AK850" s="262">
        <f t="shared" ref="AK850" si="727">+(AJ850*$X$1-$X850-$Y850)/(AJ850*$X$1)</f>
        <v>0.35010407901147089</v>
      </c>
      <c r="AL850" s="100"/>
      <c r="AM850" s="111">
        <f t="shared" ref="AM850:AM860" si="728">+IFERROR(ROUND(($X850+$Y850)/(1-$AM$2)/$X$1,1),0)</f>
        <v>6.2</v>
      </c>
      <c r="AN850" s="262">
        <f t="shared" ref="AN850" si="729">+(AM850*$X$1-$X850-$Y850)/(AM850*$X$1)</f>
        <v>0.29769311764142825</v>
      </c>
      <c r="AO850" s="100"/>
      <c r="AP850" s="24" t="e">
        <f>VLOOKUP(C850,#REF!,6,FALSE)</f>
        <v>#REF!</v>
      </c>
      <c r="AQ850" s="24" t="e">
        <f>VLOOKUP(C850,#REF!,7,FALSE)</f>
        <v>#REF!</v>
      </c>
      <c r="AR850" s="24" t="e">
        <f>VLOOKUP(C850,#REF!,12,FALSE)</f>
        <v>#REF!</v>
      </c>
      <c r="AS850" s="24" t="e">
        <f>VLOOKUP(C850,#REF!,13,FALSE)</f>
        <v>#REF!</v>
      </c>
      <c r="AT850" s="100"/>
      <c r="AU850" s="100"/>
      <c r="AV850" s="100">
        <v>832</v>
      </c>
      <c r="AW850" s="100"/>
      <c r="AY850" s="9">
        <v>27900</v>
      </c>
    </row>
    <row r="851" spans="1:51" s="2" customFormat="1" ht="12" customHeight="1" x14ac:dyDescent="0.2">
      <c r="A851" s="6" t="s">
        <v>2212</v>
      </c>
      <c r="B851" s="8">
        <v>9789500216456</v>
      </c>
      <c r="C851" s="6">
        <v>737882</v>
      </c>
      <c r="D851" s="239">
        <v>80</v>
      </c>
      <c r="E851" s="8" t="s">
        <v>2213</v>
      </c>
      <c r="F851" s="6" t="s">
        <v>2214</v>
      </c>
      <c r="G851" s="107">
        <v>46023</v>
      </c>
      <c r="H851" s="108">
        <v>45962</v>
      </c>
      <c r="I851" s="264">
        <v>3000</v>
      </c>
      <c r="J851" s="6" t="s">
        <v>2219</v>
      </c>
      <c r="K851" s="292">
        <v>5014.93</v>
      </c>
      <c r="L851" s="9">
        <v>27900</v>
      </c>
      <c r="M851" s="9"/>
      <c r="N851" s="9">
        <f t="shared" ref="N851:N860" si="730">+L851/2</f>
        <v>13950</v>
      </c>
      <c r="O851" s="9">
        <f t="shared" ref="O851:O860" si="731">+N851-M851-K851</f>
        <v>8935.07</v>
      </c>
      <c r="P851" s="9">
        <f t="shared" ref="P851:P860" si="732">+M851+K851</f>
        <v>5014.93</v>
      </c>
      <c r="Q851" s="109">
        <f t="shared" ref="Q851:Q860" si="733">+O851/N851</f>
        <v>0.64050681003584231</v>
      </c>
      <c r="R851" s="345">
        <v>27900</v>
      </c>
      <c r="S851" s="359" t="s">
        <v>1948</v>
      </c>
      <c r="T851" s="305">
        <v>0.64050681003584231</v>
      </c>
      <c r="U851" s="12"/>
      <c r="V851" s="100"/>
      <c r="W851" s="110">
        <f t="shared" ref="W851:W860" si="734">+L851</f>
        <v>27900</v>
      </c>
      <c r="X851" s="110">
        <f t="shared" ref="X851:X860" si="735">+K851</f>
        <v>5014.93</v>
      </c>
      <c r="Y851" s="110">
        <f t="shared" ref="Y851:Y860" si="736">+M851</f>
        <v>0</v>
      </c>
      <c r="Z851" s="110">
        <f t="shared" ref="Z851:Z860" si="737">+W851/2-X851-Y851</f>
        <v>8935.07</v>
      </c>
      <c r="AA851" s="260">
        <f t="shared" ref="AA851:AA860" si="738">+Z851/(W851/2)</f>
        <v>0.64050681003584231</v>
      </c>
      <c r="AB851" s="28">
        <f t="shared" si="720"/>
        <v>9.1999999999999993</v>
      </c>
      <c r="AC851" s="261">
        <f t="shared" ref="AC851:AC860" si="739">+(AB851*$X$1-$X851-$Y851)/(AB851*$X$1)</f>
        <v>0.64055319026935587</v>
      </c>
      <c r="AD851" s="111">
        <f t="shared" si="722"/>
        <v>3.5</v>
      </c>
      <c r="AE851" s="262">
        <f t="shared" ref="AE851:AE860" si="740">+(AD851*$X$1-$X851-$Y851)/(AD851*$X$1)</f>
        <v>5.5168385850878375E-2</v>
      </c>
      <c r="AF851" s="100"/>
      <c r="AG851" s="111">
        <f t="shared" si="724"/>
        <v>5.5</v>
      </c>
      <c r="AH851" s="262">
        <f t="shared" ref="AH851:AH860" si="741">+(AG851*$X$1-$X851-$Y851)/(AG851*$X$1)</f>
        <v>0.39874351826874077</v>
      </c>
      <c r="AI851" s="100"/>
      <c r="AJ851" s="111">
        <f t="shared" si="726"/>
        <v>5.0999999999999996</v>
      </c>
      <c r="AK851" s="262">
        <f t="shared" ref="AK851:AK860" si="742">+(AJ851*$X$1-$X851-$Y851)/(AJ851*$X$1)</f>
        <v>0.35158614715256359</v>
      </c>
      <c r="AL851" s="100"/>
      <c r="AM851" s="111">
        <f t="shared" si="728"/>
        <v>4.7</v>
      </c>
      <c r="AN851" s="262">
        <f t="shared" ref="AN851:AN860" si="743">+(AM851*$X$1-$X851-$Y851)/(AM851*$X$1)</f>
        <v>0.29640198946342011</v>
      </c>
      <c r="AO851" s="100"/>
      <c r="AP851" s="24" t="e">
        <f>VLOOKUP(C851,#REF!,6,FALSE)</f>
        <v>#REF!</v>
      </c>
      <c r="AQ851" s="24" t="e">
        <f>VLOOKUP(C851,#REF!,7,FALSE)</f>
        <v>#REF!</v>
      </c>
      <c r="AR851" s="24" t="e">
        <f>VLOOKUP(C851,#REF!,12,FALSE)</f>
        <v>#REF!</v>
      </c>
      <c r="AS851" s="24" t="e">
        <f>VLOOKUP(C851,#REF!,13,FALSE)</f>
        <v>#REF!</v>
      </c>
      <c r="AT851" s="100"/>
      <c r="AU851" s="100"/>
      <c r="AV851" s="100">
        <v>832</v>
      </c>
      <c r="AW851" s="100"/>
      <c r="AY851" s="9">
        <v>27900</v>
      </c>
    </row>
    <row r="852" spans="1:51" s="2" customFormat="1" ht="12" customHeight="1" x14ac:dyDescent="0.2">
      <c r="A852" s="6" t="s">
        <v>2113</v>
      </c>
      <c r="B852" s="153">
        <v>9789500216685</v>
      </c>
      <c r="C852" s="6">
        <v>734151</v>
      </c>
      <c r="D852" s="41">
        <v>128</v>
      </c>
      <c r="E852" s="6" t="s">
        <v>2125</v>
      </c>
      <c r="F852" s="6" t="s">
        <v>2126</v>
      </c>
      <c r="G852" s="107">
        <v>45901</v>
      </c>
      <c r="H852" s="108">
        <v>46054</v>
      </c>
      <c r="I852" s="7">
        <v>4035</v>
      </c>
      <c r="J852" s="28" t="s">
        <v>2258</v>
      </c>
      <c r="K852" s="148">
        <v>2780.79</v>
      </c>
      <c r="L852" s="9">
        <v>22900</v>
      </c>
      <c r="M852" s="9"/>
      <c r="N852" s="9">
        <f t="shared" si="730"/>
        <v>11450</v>
      </c>
      <c r="O852" s="9">
        <f t="shared" si="731"/>
        <v>8669.2099999999991</v>
      </c>
      <c r="P852" s="9">
        <f t="shared" si="732"/>
        <v>2780.79</v>
      </c>
      <c r="Q852" s="109">
        <f t="shared" si="733"/>
        <v>0.75713624454148465</v>
      </c>
      <c r="R852" s="345">
        <v>22900</v>
      </c>
      <c r="S852" s="359" t="s">
        <v>1948</v>
      </c>
      <c r="T852" s="305">
        <v>0.75713624454148465</v>
      </c>
      <c r="U852" s="12"/>
      <c r="V852" s="100"/>
      <c r="W852" s="110">
        <f t="shared" si="734"/>
        <v>22900</v>
      </c>
      <c r="X852" s="110">
        <f t="shared" si="735"/>
        <v>2780.79</v>
      </c>
      <c r="Y852" s="110">
        <f t="shared" si="736"/>
        <v>0</v>
      </c>
      <c r="Z852" s="110">
        <f t="shared" si="737"/>
        <v>8669.2099999999991</v>
      </c>
      <c r="AA852" s="260">
        <f t="shared" si="738"/>
        <v>0.75713624454148465</v>
      </c>
      <c r="AB852" s="28">
        <f t="shared" si="720"/>
        <v>7.6</v>
      </c>
      <c r="AC852" s="261">
        <f t="shared" si="739"/>
        <v>0.75872507678692291</v>
      </c>
      <c r="AD852" s="111">
        <f t="shared" si="722"/>
        <v>1.9</v>
      </c>
      <c r="AE852" s="262">
        <f t="shared" si="740"/>
        <v>3.490030714769117E-2</v>
      </c>
      <c r="AF852" s="100"/>
      <c r="AG852" s="111">
        <f t="shared" si="724"/>
        <v>3.1</v>
      </c>
      <c r="AH852" s="262">
        <f t="shared" si="741"/>
        <v>0.40848728502600434</v>
      </c>
      <c r="AI852" s="100"/>
      <c r="AJ852" s="111">
        <f t="shared" si="726"/>
        <v>2.8</v>
      </c>
      <c r="AK852" s="262">
        <f t="shared" si="742"/>
        <v>0.34511092270736188</v>
      </c>
      <c r="AL852" s="100"/>
      <c r="AM852" s="111">
        <f t="shared" si="728"/>
        <v>2.6</v>
      </c>
      <c r="AN852" s="262">
        <f t="shared" si="743"/>
        <v>0.29473483983869742</v>
      </c>
      <c r="AO852" s="100"/>
      <c r="AP852" s="24" t="e">
        <f>VLOOKUP(C852,#REF!,6,FALSE)</f>
        <v>#REF!</v>
      </c>
      <c r="AQ852" s="24" t="e">
        <f>VLOOKUP(C852,#REF!,7,FALSE)</f>
        <v>#REF!</v>
      </c>
      <c r="AR852" s="24" t="e">
        <f>VLOOKUP(C852,#REF!,12,FALSE)</f>
        <v>#REF!</v>
      </c>
      <c r="AS852" s="24" t="e">
        <f>VLOOKUP(C852,#REF!,13,FALSE)</f>
        <v>#REF!</v>
      </c>
      <c r="AT852" s="100"/>
      <c r="AU852" s="100"/>
      <c r="AV852" s="100">
        <v>833</v>
      </c>
      <c r="AW852" s="100"/>
      <c r="AY852" s="9">
        <v>22900</v>
      </c>
    </row>
    <row r="853" spans="1:51" s="2" customFormat="1" ht="12" customHeight="1" x14ac:dyDescent="0.2">
      <c r="A853" s="6" t="s">
        <v>2083</v>
      </c>
      <c r="B853" s="279">
        <v>9789500216036</v>
      </c>
      <c r="C853" s="3">
        <v>731835</v>
      </c>
      <c r="D853" s="41">
        <v>64</v>
      </c>
      <c r="E853" s="7" t="s">
        <v>2084</v>
      </c>
      <c r="F853" s="6" t="s">
        <v>2085</v>
      </c>
      <c r="G853" s="107">
        <v>45839</v>
      </c>
      <c r="H853" s="108">
        <v>45809</v>
      </c>
      <c r="I853" s="7">
        <v>3006</v>
      </c>
      <c r="J853" s="28" t="s">
        <v>2258</v>
      </c>
      <c r="K853" s="292">
        <v>2321.54</v>
      </c>
      <c r="L853" s="9">
        <v>25900</v>
      </c>
      <c r="M853" s="9"/>
      <c r="N853" s="9">
        <f t="shared" si="730"/>
        <v>12950</v>
      </c>
      <c r="O853" s="9">
        <f t="shared" si="731"/>
        <v>10628.46</v>
      </c>
      <c r="P853" s="9">
        <f t="shared" si="732"/>
        <v>2321.54</v>
      </c>
      <c r="Q853" s="109">
        <f t="shared" si="733"/>
        <v>0.8207305019305019</v>
      </c>
      <c r="R853" s="345">
        <v>25900</v>
      </c>
      <c r="S853" s="359" t="s">
        <v>1948</v>
      </c>
      <c r="T853" s="305">
        <v>0.8207305019305019</v>
      </c>
      <c r="U853" s="12"/>
      <c r="V853" s="100"/>
      <c r="W853" s="110">
        <f t="shared" si="734"/>
        <v>25900</v>
      </c>
      <c r="X853" s="110">
        <f t="shared" si="735"/>
        <v>2321.54</v>
      </c>
      <c r="Y853" s="110">
        <f t="shared" si="736"/>
        <v>0</v>
      </c>
      <c r="Z853" s="110">
        <f t="shared" si="737"/>
        <v>10628.46</v>
      </c>
      <c r="AA853" s="260">
        <f t="shared" si="738"/>
        <v>0.8207305019305019</v>
      </c>
      <c r="AB853" s="28">
        <f t="shared" si="720"/>
        <v>8.5</v>
      </c>
      <c r="AC853" s="261">
        <f t="shared" si="739"/>
        <v>0.81989953647136393</v>
      </c>
      <c r="AD853" s="111">
        <f t="shared" si="722"/>
        <v>1.6</v>
      </c>
      <c r="AE853" s="262">
        <f t="shared" si="740"/>
        <v>4.3216287504121383E-2</v>
      </c>
      <c r="AF853" s="100"/>
      <c r="AG853" s="111">
        <f t="shared" si="724"/>
        <v>2.6</v>
      </c>
      <c r="AH853" s="262">
        <f t="shared" si="741"/>
        <v>0.41121002307945931</v>
      </c>
      <c r="AI853" s="100"/>
      <c r="AJ853" s="111">
        <f t="shared" si="726"/>
        <v>2.4</v>
      </c>
      <c r="AK853" s="262">
        <f t="shared" si="742"/>
        <v>0.36214419166941419</v>
      </c>
      <c r="AL853" s="100"/>
      <c r="AM853" s="111">
        <f t="shared" si="728"/>
        <v>2.2000000000000002</v>
      </c>
      <c r="AN853" s="262">
        <f t="shared" si="743"/>
        <v>0.3041573000029974</v>
      </c>
      <c r="AO853" s="100"/>
      <c r="AP853" s="24" t="e">
        <f>VLOOKUP(C853,#REF!,6,FALSE)</f>
        <v>#REF!</v>
      </c>
      <c r="AQ853" s="24" t="e">
        <f>VLOOKUP(C853,#REF!,7,FALSE)</f>
        <v>#REF!</v>
      </c>
      <c r="AR853" s="24" t="e">
        <f>VLOOKUP(C853,#REF!,12,FALSE)</f>
        <v>#REF!</v>
      </c>
      <c r="AS853" s="24" t="e">
        <f>VLOOKUP(C853,#REF!,13,FALSE)</f>
        <v>#REF!</v>
      </c>
      <c r="AT853" s="100"/>
      <c r="AU853" s="100"/>
      <c r="AV853" s="100">
        <v>834</v>
      </c>
      <c r="AW853" s="100"/>
      <c r="AY853" s="9">
        <v>25900</v>
      </c>
    </row>
    <row r="854" spans="1:51" s="2" customFormat="1" ht="12" customHeight="1" x14ac:dyDescent="0.2">
      <c r="A854" s="6" t="s">
        <v>1983</v>
      </c>
      <c r="B854" s="8">
        <v>9789500215329</v>
      </c>
      <c r="C854" s="6">
        <v>725693</v>
      </c>
      <c r="D854" s="41">
        <v>80</v>
      </c>
      <c r="E854" s="288" t="s">
        <v>1984</v>
      </c>
      <c r="F854" s="6" t="s">
        <v>1985</v>
      </c>
      <c r="G854" s="107">
        <v>45689</v>
      </c>
      <c r="H854" s="108">
        <v>45658</v>
      </c>
      <c r="I854" s="264">
        <v>3000</v>
      </c>
      <c r="J854" s="6" t="s">
        <v>2136</v>
      </c>
      <c r="K854" s="292">
        <v>2691.23</v>
      </c>
      <c r="L854" s="9">
        <v>27500</v>
      </c>
      <c r="M854" s="9"/>
      <c r="N854" s="9">
        <f t="shared" si="730"/>
        <v>13750</v>
      </c>
      <c r="O854" s="9">
        <f t="shared" si="731"/>
        <v>11058.77</v>
      </c>
      <c r="P854" s="9">
        <f t="shared" si="732"/>
        <v>2691.23</v>
      </c>
      <c r="Q854" s="109">
        <f t="shared" si="733"/>
        <v>0.80427418181818189</v>
      </c>
      <c r="R854" s="345">
        <v>27500</v>
      </c>
      <c r="S854" s="359" t="s">
        <v>1948</v>
      </c>
      <c r="T854" s="305">
        <v>0.80427418181818189</v>
      </c>
      <c r="U854" s="12"/>
      <c r="V854" s="100"/>
      <c r="W854" s="110">
        <f t="shared" si="734"/>
        <v>27500</v>
      </c>
      <c r="X854" s="110">
        <f t="shared" si="735"/>
        <v>2691.23</v>
      </c>
      <c r="Y854" s="110">
        <f t="shared" si="736"/>
        <v>0</v>
      </c>
      <c r="Z854" s="110">
        <f t="shared" si="737"/>
        <v>11058.77</v>
      </c>
      <c r="AA854" s="260">
        <f t="shared" si="738"/>
        <v>0.80427418181818189</v>
      </c>
      <c r="AB854" s="28">
        <f t="shared" si="720"/>
        <v>9.1</v>
      </c>
      <c r="AC854" s="261">
        <f t="shared" si="739"/>
        <v>0.80498545305666969</v>
      </c>
      <c r="AD854" s="111">
        <f t="shared" si="722"/>
        <v>1.9</v>
      </c>
      <c r="AE854" s="262">
        <f t="shared" si="740"/>
        <v>6.5982959376681027E-2</v>
      </c>
      <c r="AF854" s="100"/>
      <c r="AG854" s="111">
        <f t="shared" si="724"/>
        <v>3</v>
      </c>
      <c r="AH854" s="262">
        <f t="shared" si="741"/>
        <v>0.408455874271898</v>
      </c>
      <c r="AI854" s="100"/>
      <c r="AJ854" s="111">
        <f t="shared" si="726"/>
        <v>2.7</v>
      </c>
      <c r="AK854" s="262">
        <f t="shared" si="742"/>
        <v>0.34272874919099783</v>
      </c>
      <c r="AL854" s="100"/>
      <c r="AM854" s="111">
        <f t="shared" si="728"/>
        <v>2.5</v>
      </c>
      <c r="AN854" s="262">
        <f t="shared" si="743"/>
        <v>0.29014704912627759</v>
      </c>
      <c r="AO854" s="100"/>
      <c r="AP854" s="24" t="e">
        <f>VLOOKUP(C854,#REF!,6,FALSE)</f>
        <v>#REF!</v>
      </c>
      <c r="AQ854" s="24" t="e">
        <f>VLOOKUP(C854,#REF!,7,FALSE)</f>
        <v>#REF!</v>
      </c>
      <c r="AR854" s="24" t="e">
        <f>VLOOKUP(C854,#REF!,12,FALSE)</f>
        <v>#REF!</v>
      </c>
      <c r="AS854" s="24" t="e">
        <f>VLOOKUP(C854,#REF!,13,FALSE)</f>
        <v>#REF!</v>
      </c>
      <c r="AT854" s="100"/>
      <c r="AU854" s="100"/>
      <c r="AV854" s="100">
        <v>835</v>
      </c>
      <c r="AW854" s="100"/>
      <c r="AY854" s="9">
        <v>27500</v>
      </c>
    </row>
    <row r="855" spans="1:51" s="2" customFormat="1" ht="12.75" customHeight="1" x14ac:dyDescent="0.2">
      <c r="A855" s="6" t="s">
        <v>1986</v>
      </c>
      <c r="B855" s="8">
        <v>9789500215312</v>
      </c>
      <c r="C855" s="6">
        <v>725694</v>
      </c>
      <c r="D855" s="41">
        <v>80</v>
      </c>
      <c r="E855" s="288" t="s">
        <v>1984</v>
      </c>
      <c r="F855" s="6" t="s">
        <v>1987</v>
      </c>
      <c r="G855" s="107">
        <v>45689</v>
      </c>
      <c r="H855" s="108">
        <v>45658</v>
      </c>
      <c r="I855" s="264">
        <v>3000</v>
      </c>
      <c r="J855" s="6" t="s">
        <v>2136</v>
      </c>
      <c r="K855" s="292">
        <v>2724.56</v>
      </c>
      <c r="L855" s="9">
        <v>27500</v>
      </c>
      <c r="M855" s="9"/>
      <c r="N855" s="9">
        <f t="shared" si="730"/>
        <v>13750</v>
      </c>
      <c r="O855" s="9">
        <f t="shared" si="731"/>
        <v>11025.44</v>
      </c>
      <c r="P855" s="9">
        <f t="shared" si="732"/>
        <v>2724.56</v>
      </c>
      <c r="Q855" s="109">
        <f t="shared" si="733"/>
        <v>0.80185018181818191</v>
      </c>
      <c r="R855" s="345">
        <v>27500</v>
      </c>
      <c r="S855" s="359" t="s">
        <v>1948</v>
      </c>
      <c r="T855" s="305">
        <v>0.80185018181818191</v>
      </c>
      <c r="U855" s="12"/>
      <c r="V855" s="100"/>
      <c r="W855" s="110">
        <f t="shared" si="734"/>
        <v>27500</v>
      </c>
      <c r="X855" s="110">
        <f t="shared" si="735"/>
        <v>2724.56</v>
      </c>
      <c r="Y855" s="110">
        <f t="shared" si="736"/>
        <v>0</v>
      </c>
      <c r="Z855" s="110">
        <f t="shared" si="737"/>
        <v>11025.44</v>
      </c>
      <c r="AA855" s="260">
        <f t="shared" si="738"/>
        <v>0.80185018181818191</v>
      </c>
      <c r="AB855" s="28">
        <f t="shared" si="720"/>
        <v>9.1</v>
      </c>
      <c r="AC855" s="261">
        <f t="shared" si="739"/>
        <v>0.80257026191744296</v>
      </c>
      <c r="AD855" s="111">
        <f t="shared" si="722"/>
        <v>1.9</v>
      </c>
      <c r="AE855" s="262">
        <f t="shared" si="740"/>
        <v>5.4415464973016109E-2</v>
      </c>
      <c r="AF855" s="100"/>
      <c r="AG855" s="111">
        <f t="shared" si="724"/>
        <v>3</v>
      </c>
      <c r="AH855" s="262">
        <f t="shared" si="741"/>
        <v>0.4011297944829102</v>
      </c>
      <c r="AI855" s="100"/>
      <c r="AJ855" s="111">
        <f t="shared" si="726"/>
        <v>2.8</v>
      </c>
      <c r="AK855" s="262">
        <f t="shared" si="742"/>
        <v>0.35835335123168949</v>
      </c>
      <c r="AL855" s="100"/>
      <c r="AM855" s="111">
        <f t="shared" si="728"/>
        <v>2.6</v>
      </c>
      <c r="AN855" s="262">
        <f t="shared" si="743"/>
        <v>0.30899591671105026</v>
      </c>
      <c r="AO855" s="100"/>
      <c r="AP855" s="24" t="e">
        <f>VLOOKUP(C855,#REF!,6,FALSE)</f>
        <v>#REF!</v>
      </c>
      <c r="AQ855" s="24" t="e">
        <f>VLOOKUP(C855,#REF!,7,FALSE)</f>
        <v>#REF!</v>
      </c>
      <c r="AR855" s="24" t="e">
        <f>VLOOKUP(C855,#REF!,12,FALSE)</f>
        <v>#REF!</v>
      </c>
      <c r="AS855" s="24" t="e">
        <f>VLOOKUP(C855,#REF!,13,FALSE)</f>
        <v>#REF!</v>
      </c>
      <c r="AT855" s="100"/>
      <c r="AU855" s="100"/>
      <c r="AV855" s="100">
        <v>836</v>
      </c>
      <c r="AW855" s="100"/>
      <c r="AY855" s="9">
        <v>27500</v>
      </c>
    </row>
    <row r="856" spans="1:51" s="162" customFormat="1" ht="12.75" customHeight="1" x14ac:dyDescent="0.2">
      <c r="A856" s="7" t="s">
        <v>1624</v>
      </c>
      <c r="B856" s="8">
        <v>9789500209755</v>
      </c>
      <c r="C856" s="6">
        <v>660730</v>
      </c>
      <c r="D856" s="7">
        <v>180</v>
      </c>
      <c r="E856" s="22" t="s">
        <v>434</v>
      </c>
      <c r="F856" s="15" t="s">
        <v>435</v>
      </c>
      <c r="G856" s="107">
        <v>43556</v>
      </c>
      <c r="H856" s="108">
        <v>43525</v>
      </c>
      <c r="I856" s="7">
        <v>4008</v>
      </c>
      <c r="J856" s="28" t="s">
        <v>1946</v>
      </c>
      <c r="K856" s="9">
        <v>217.96</v>
      </c>
      <c r="L856" s="128">
        <v>26900</v>
      </c>
      <c r="M856" s="9"/>
      <c r="N856" s="9">
        <f t="shared" si="730"/>
        <v>13450</v>
      </c>
      <c r="O856" s="9">
        <f t="shared" si="731"/>
        <v>13232.04</v>
      </c>
      <c r="P856" s="9">
        <f t="shared" si="732"/>
        <v>217.96</v>
      </c>
      <c r="Q856" s="139">
        <f t="shared" si="733"/>
        <v>0.98379479553903348</v>
      </c>
      <c r="R856" s="345">
        <v>26900</v>
      </c>
      <c r="S856" s="359" t="s">
        <v>1948</v>
      </c>
      <c r="T856" s="305">
        <v>0.98379479553903348</v>
      </c>
      <c r="U856" s="144"/>
      <c r="V856" s="100"/>
      <c r="W856" s="110">
        <f t="shared" si="734"/>
        <v>26900</v>
      </c>
      <c r="X856" s="110">
        <f t="shared" si="735"/>
        <v>217.96</v>
      </c>
      <c r="Y856" s="110">
        <f t="shared" si="736"/>
        <v>0</v>
      </c>
      <c r="Z856" s="110">
        <f t="shared" si="737"/>
        <v>13232.04</v>
      </c>
      <c r="AA856" s="260">
        <f t="shared" si="738"/>
        <v>0.98379479553903348</v>
      </c>
      <c r="AB856" s="28">
        <f t="shared" si="720"/>
        <v>8.9</v>
      </c>
      <c r="AC856" s="261">
        <f t="shared" si="739"/>
        <v>0.98385104672571755</v>
      </c>
      <c r="AD856" s="111">
        <f t="shared" si="722"/>
        <v>0.2</v>
      </c>
      <c r="AE856" s="262">
        <f t="shared" si="740"/>
        <v>0.28137157929442796</v>
      </c>
      <c r="AF856" s="100"/>
      <c r="AG856" s="111">
        <f t="shared" si="724"/>
        <v>0.2</v>
      </c>
      <c r="AH856" s="262">
        <f t="shared" si="741"/>
        <v>0.28137157929442796</v>
      </c>
      <c r="AI856" s="100"/>
      <c r="AJ856" s="111">
        <f t="shared" si="726"/>
        <v>0.2</v>
      </c>
      <c r="AK856" s="262">
        <f t="shared" si="742"/>
        <v>0.28137157929442796</v>
      </c>
      <c r="AL856" s="100"/>
      <c r="AM856" s="111">
        <f t="shared" si="728"/>
        <v>0.2</v>
      </c>
      <c r="AN856" s="262">
        <f t="shared" si="743"/>
        <v>0.28137157929442796</v>
      </c>
      <c r="AO856" s="100"/>
      <c r="AP856" s="24" t="e">
        <f>VLOOKUP(C856,#REF!,6,FALSE)</f>
        <v>#REF!</v>
      </c>
      <c r="AQ856" s="24" t="e">
        <f>VLOOKUP(C856,#REF!,7,FALSE)</f>
        <v>#REF!</v>
      </c>
      <c r="AR856" s="24" t="e">
        <f>VLOOKUP(C856,#REF!,12,FALSE)</f>
        <v>#REF!</v>
      </c>
      <c r="AS856" s="24" t="e">
        <f>VLOOKUP(C856,#REF!,13,FALSE)</f>
        <v>#REF!</v>
      </c>
      <c r="AT856" s="100"/>
      <c r="AU856" s="100"/>
      <c r="AV856" s="100">
        <v>837</v>
      </c>
      <c r="AW856" s="100"/>
      <c r="AY856" s="128">
        <v>26900</v>
      </c>
    </row>
    <row r="857" spans="1:51" s="2" customFormat="1" ht="12.75" customHeight="1" x14ac:dyDescent="0.2">
      <c r="A857" s="6" t="s">
        <v>1625</v>
      </c>
      <c r="B857" s="8">
        <v>9789500209212</v>
      </c>
      <c r="C857" s="6">
        <v>648599</v>
      </c>
      <c r="D857" s="7">
        <v>80</v>
      </c>
      <c r="E857" s="7" t="s">
        <v>385</v>
      </c>
      <c r="F857" s="7" t="s">
        <v>1626</v>
      </c>
      <c r="G857" s="107">
        <v>43252</v>
      </c>
      <c r="H857" s="108">
        <v>43221</v>
      </c>
      <c r="I857" s="24">
        <v>3096</v>
      </c>
      <c r="J857" s="28" t="s">
        <v>1946</v>
      </c>
      <c r="K857" s="28">
        <v>85.36</v>
      </c>
      <c r="L857" s="128">
        <v>22000</v>
      </c>
      <c r="M857" s="9"/>
      <c r="N857" s="9">
        <f t="shared" si="730"/>
        <v>11000</v>
      </c>
      <c r="O857" s="9">
        <f t="shared" si="731"/>
        <v>10914.64</v>
      </c>
      <c r="P857" s="9">
        <f t="shared" si="732"/>
        <v>85.36</v>
      </c>
      <c r="Q857" s="139">
        <f t="shared" si="733"/>
        <v>0.9922399999999999</v>
      </c>
      <c r="R857" s="345">
        <v>22000</v>
      </c>
      <c r="S857" s="359" t="s">
        <v>1948</v>
      </c>
      <c r="T857" s="305">
        <v>0.9922399999999999</v>
      </c>
      <c r="U857" s="144"/>
      <c r="V857" s="100"/>
      <c r="W857" s="110">
        <f t="shared" si="734"/>
        <v>22000</v>
      </c>
      <c r="X857" s="110">
        <f t="shared" si="735"/>
        <v>85.36</v>
      </c>
      <c r="Y857" s="110">
        <f t="shared" si="736"/>
        <v>0</v>
      </c>
      <c r="Z857" s="110">
        <f t="shared" si="737"/>
        <v>10914.64</v>
      </c>
      <c r="AA857" s="260">
        <f t="shared" si="738"/>
        <v>0.9922399999999999</v>
      </c>
      <c r="AB857" s="28">
        <f t="shared" si="720"/>
        <v>7.3</v>
      </c>
      <c r="AC857" s="261">
        <f t="shared" si="739"/>
        <v>0.99228938299707781</v>
      </c>
      <c r="AD857" s="111">
        <f t="shared" si="722"/>
        <v>0.1</v>
      </c>
      <c r="AE857" s="262">
        <f t="shared" si="740"/>
        <v>0.4371249587866799</v>
      </c>
      <c r="AF857" s="100"/>
      <c r="AG857" s="111">
        <f t="shared" si="724"/>
        <v>0.1</v>
      </c>
      <c r="AH857" s="262">
        <f t="shared" si="741"/>
        <v>0.4371249587866799</v>
      </c>
      <c r="AI857" s="100"/>
      <c r="AJ857" s="111">
        <f t="shared" si="726"/>
        <v>0.1</v>
      </c>
      <c r="AK857" s="262">
        <f t="shared" si="742"/>
        <v>0.4371249587866799</v>
      </c>
      <c r="AL857" s="100"/>
      <c r="AM857" s="111">
        <f t="shared" si="728"/>
        <v>0.1</v>
      </c>
      <c r="AN857" s="262">
        <f t="shared" si="743"/>
        <v>0.4371249587866799</v>
      </c>
      <c r="AO857" s="100"/>
      <c r="AP857" s="24" t="e">
        <f>VLOOKUP(C857,#REF!,6,FALSE)</f>
        <v>#REF!</v>
      </c>
      <c r="AQ857" s="24" t="e">
        <f>VLOOKUP(C857,#REF!,7,FALSE)</f>
        <v>#REF!</v>
      </c>
      <c r="AR857" s="24" t="e">
        <f>VLOOKUP(C857,#REF!,12,FALSE)</f>
        <v>#REF!</v>
      </c>
      <c r="AS857" s="24" t="e">
        <f>VLOOKUP(C857,#REF!,13,FALSE)</f>
        <v>#REF!</v>
      </c>
      <c r="AT857" s="100"/>
      <c r="AU857" s="100"/>
      <c r="AV857" s="100">
        <v>838</v>
      </c>
      <c r="AW857" s="100"/>
      <c r="AY857" s="128">
        <v>22000</v>
      </c>
    </row>
    <row r="858" spans="1:51" s="2" customFormat="1" ht="12.75" customHeight="1" x14ac:dyDescent="0.2">
      <c r="A858" s="7" t="s">
        <v>1627</v>
      </c>
      <c r="B858" s="208">
        <v>9789500209090</v>
      </c>
      <c r="C858" s="6">
        <v>645295</v>
      </c>
      <c r="D858" s="7">
        <v>128</v>
      </c>
      <c r="E858" s="7" t="s">
        <v>355</v>
      </c>
      <c r="F858" s="15" t="s">
        <v>356</v>
      </c>
      <c r="G858" s="107">
        <v>43221</v>
      </c>
      <c r="H858" s="108">
        <v>43132</v>
      </c>
      <c r="I858" s="24">
        <v>3120</v>
      </c>
      <c r="J858" s="28" t="s">
        <v>1946</v>
      </c>
      <c r="K858" s="28">
        <v>103.89</v>
      </c>
      <c r="L858" s="128">
        <v>26400</v>
      </c>
      <c r="M858" s="9"/>
      <c r="N858" s="9">
        <f t="shared" si="730"/>
        <v>13200</v>
      </c>
      <c r="O858" s="9">
        <f t="shared" si="731"/>
        <v>13096.11</v>
      </c>
      <c r="P858" s="9">
        <f t="shared" si="732"/>
        <v>103.89</v>
      </c>
      <c r="Q858" s="139">
        <f t="shared" si="733"/>
        <v>0.99212954545454546</v>
      </c>
      <c r="R858" s="345">
        <v>26400</v>
      </c>
      <c r="S858" s="359" t="s">
        <v>1948</v>
      </c>
      <c r="T858" s="305">
        <v>0.99212954545454546</v>
      </c>
      <c r="U858" s="144"/>
      <c r="V858" s="100"/>
      <c r="W858" s="110">
        <f t="shared" si="734"/>
        <v>26400</v>
      </c>
      <c r="X858" s="110">
        <f t="shared" si="735"/>
        <v>103.89</v>
      </c>
      <c r="Y858" s="110">
        <f t="shared" si="736"/>
        <v>0</v>
      </c>
      <c r="Z858" s="110">
        <f t="shared" si="737"/>
        <v>13096.11</v>
      </c>
      <c r="AA858" s="260">
        <f t="shared" si="738"/>
        <v>0.99212954545454546</v>
      </c>
      <c r="AB858" s="28">
        <f t="shared" si="720"/>
        <v>8.6999999999999993</v>
      </c>
      <c r="AC858" s="261">
        <f t="shared" si="739"/>
        <v>0.99212569778414461</v>
      </c>
      <c r="AD858" s="111">
        <f t="shared" si="722"/>
        <v>0.1</v>
      </c>
      <c r="AE858" s="262">
        <f t="shared" si="740"/>
        <v>0.31493570722057374</v>
      </c>
      <c r="AF858" s="100"/>
      <c r="AG858" s="111">
        <f t="shared" si="724"/>
        <v>0.1</v>
      </c>
      <c r="AH858" s="262">
        <f t="shared" si="741"/>
        <v>0.31493570722057374</v>
      </c>
      <c r="AI858" s="100"/>
      <c r="AJ858" s="111">
        <f t="shared" si="726"/>
        <v>0.1</v>
      </c>
      <c r="AK858" s="262">
        <f t="shared" si="742"/>
        <v>0.31493570722057374</v>
      </c>
      <c r="AL858" s="100"/>
      <c r="AM858" s="111">
        <f t="shared" si="728"/>
        <v>0.1</v>
      </c>
      <c r="AN858" s="262">
        <f t="shared" si="743"/>
        <v>0.31493570722057374</v>
      </c>
      <c r="AO858" s="100"/>
      <c r="AP858" s="24" t="e">
        <f>VLOOKUP(C858,#REF!,6,FALSE)</f>
        <v>#REF!</v>
      </c>
      <c r="AQ858" s="24" t="e">
        <f>VLOOKUP(C858,#REF!,7,FALSE)</f>
        <v>#REF!</v>
      </c>
      <c r="AR858" s="24" t="e">
        <f>VLOOKUP(C858,#REF!,12,FALSE)</f>
        <v>#REF!</v>
      </c>
      <c r="AS858" s="24" t="e">
        <f>VLOOKUP(C858,#REF!,13,FALSE)</f>
        <v>#REF!</v>
      </c>
      <c r="AT858" s="100"/>
      <c r="AU858" s="100"/>
      <c r="AV858" s="100">
        <v>839</v>
      </c>
      <c r="AW858" s="100"/>
      <c r="AY858" s="128">
        <v>26400</v>
      </c>
    </row>
    <row r="859" spans="1:51" s="2" customFormat="1" ht="12.75" customHeight="1" x14ac:dyDescent="0.2">
      <c r="A859" s="6" t="s">
        <v>1628</v>
      </c>
      <c r="B859" s="207">
        <v>9789500299596</v>
      </c>
      <c r="C859" s="6">
        <v>633018</v>
      </c>
      <c r="D859" s="7">
        <v>128</v>
      </c>
      <c r="E859" s="7" t="s">
        <v>237</v>
      </c>
      <c r="F859" s="11" t="s">
        <v>1</v>
      </c>
      <c r="G859" s="107">
        <v>42948</v>
      </c>
      <c r="H859" s="108">
        <v>42917</v>
      </c>
      <c r="I859" s="24">
        <v>4016</v>
      </c>
      <c r="J859" s="28" t="s">
        <v>1946</v>
      </c>
      <c r="K859" s="28">
        <v>80.97</v>
      </c>
      <c r="L859" s="128">
        <v>21200</v>
      </c>
      <c r="M859" s="25"/>
      <c r="N859" s="9">
        <f t="shared" si="730"/>
        <v>10600</v>
      </c>
      <c r="O859" s="9">
        <f t="shared" si="731"/>
        <v>10519.03</v>
      </c>
      <c r="P859" s="9">
        <f t="shared" si="732"/>
        <v>80.97</v>
      </c>
      <c r="Q859" s="139">
        <f t="shared" si="733"/>
        <v>0.99236132075471706</v>
      </c>
      <c r="R859" s="345">
        <v>21200</v>
      </c>
      <c r="S859" s="359" t="s">
        <v>1948</v>
      </c>
      <c r="T859" s="305">
        <v>0.99236132075471706</v>
      </c>
      <c r="U859" s="144"/>
      <c r="V859" s="100"/>
      <c r="W859" s="110">
        <f t="shared" si="734"/>
        <v>21200</v>
      </c>
      <c r="X859" s="110">
        <f t="shared" si="735"/>
        <v>80.97</v>
      </c>
      <c r="Y859" s="110">
        <f t="shared" si="736"/>
        <v>0</v>
      </c>
      <c r="Z859" s="110">
        <f t="shared" si="737"/>
        <v>10519.03</v>
      </c>
      <c r="AA859" s="260">
        <f t="shared" si="738"/>
        <v>0.99236132075471706</v>
      </c>
      <c r="AB859" s="28">
        <f t="shared" si="720"/>
        <v>7</v>
      </c>
      <c r="AC859" s="261">
        <f t="shared" si="739"/>
        <v>0.99237247421223684</v>
      </c>
      <c r="AD859" s="111">
        <f t="shared" si="722"/>
        <v>0.1</v>
      </c>
      <c r="AE859" s="262">
        <f t="shared" si="740"/>
        <v>0.46607319485657767</v>
      </c>
      <c r="AF859" s="100"/>
      <c r="AG859" s="111">
        <f t="shared" si="724"/>
        <v>0.1</v>
      </c>
      <c r="AH859" s="262">
        <f t="shared" si="741"/>
        <v>0.46607319485657767</v>
      </c>
      <c r="AI859" s="100"/>
      <c r="AJ859" s="111">
        <f t="shared" si="726"/>
        <v>0.1</v>
      </c>
      <c r="AK859" s="262">
        <f t="shared" si="742"/>
        <v>0.46607319485657767</v>
      </c>
      <c r="AL859" s="100"/>
      <c r="AM859" s="111">
        <f t="shared" si="728"/>
        <v>0.1</v>
      </c>
      <c r="AN859" s="262">
        <f t="shared" si="743"/>
        <v>0.46607319485657767</v>
      </c>
      <c r="AO859" s="100"/>
      <c r="AP859" s="24" t="e">
        <f>VLOOKUP(C859,#REF!,6,FALSE)</f>
        <v>#REF!</v>
      </c>
      <c r="AQ859" s="24" t="e">
        <f>VLOOKUP(C859,#REF!,7,FALSE)</f>
        <v>#REF!</v>
      </c>
      <c r="AR859" s="24" t="e">
        <f>VLOOKUP(C859,#REF!,12,FALSE)</f>
        <v>#REF!</v>
      </c>
      <c r="AS859" s="24" t="e">
        <f>VLOOKUP(C859,#REF!,13,FALSE)</f>
        <v>#REF!</v>
      </c>
      <c r="AT859" s="100"/>
      <c r="AU859" s="100"/>
      <c r="AV859" s="100">
        <v>840</v>
      </c>
      <c r="AW859" s="100"/>
      <c r="AY859" s="128">
        <v>21200</v>
      </c>
    </row>
    <row r="860" spans="1:51" s="2" customFormat="1" ht="12.75" customHeight="1" x14ac:dyDescent="0.2">
      <c r="A860" s="11" t="s">
        <v>1629</v>
      </c>
      <c r="B860" s="13">
        <v>9789500209519</v>
      </c>
      <c r="C860" s="6">
        <v>656127</v>
      </c>
      <c r="D860" s="7">
        <v>304</v>
      </c>
      <c r="E860" s="6" t="s">
        <v>424</v>
      </c>
      <c r="F860" s="11" t="s">
        <v>598</v>
      </c>
      <c r="G860" s="107">
        <v>43435</v>
      </c>
      <c r="H860" s="108">
        <v>43374</v>
      </c>
      <c r="I860" s="24">
        <v>3150</v>
      </c>
      <c r="J860" s="28" t="s">
        <v>1946</v>
      </c>
      <c r="K860" s="28">
        <v>340.57</v>
      </c>
      <c r="L860" s="128">
        <v>35000</v>
      </c>
      <c r="M860" s="9"/>
      <c r="N860" s="9">
        <f t="shared" si="730"/>
        <v>17500</v>
      </c>
      <c r="O860" s="9">
        <f t="shared" si="731"/>
        <v>17159.43</v>
      </c>
      <c r="P860" s="9">
        <f t="shared" si="732"/>
        <v>340.57</v>
      </c>
      <c r="Q860" s="139">
        <f t="shared" si="733"/>
        <v>0.98053885714285716</v>
      </c>
      <c r="R860" s="345">
        <v>35000</v>
      </c>
      <c r="S860" s="359" t="s">
        <v>1948</v>
      </c>
      <c r="T860" s="305">
        <v>0.98053885714285716</v>
      </c>
      <c r="U860" s="144"/>
      <c r="V860" s="100"/>
      <c r="W860" s="110">
        <f t="shared" si="734"/>
        <v>35000</v>
      </c>
      <c r="X860" s="110">
        <f t="shared" si="735"/>
        <v>340.57</v>
      </c>
      <c r="Y860" s="110">
        <f t="shared" si="736"/>
        <v>0</v>
      </c>
      <c r="Z860" s="110">
        <f t="shared" si="737"/>
        <v>17159.43</v>
      </c>
      <c r="AA860" s="260">
        <f t="shared" si="738"/>
        <v>0.98053885714285716</v>
      </c>
      <c r="AB860" s="28">
        <f t="shared" si="720"/>
        <v>11.5</v>
      </c>
      <c r="AC860" s="261">
        <f t="shared" si="739"/>
        <v>0.98047162373313834</v>
      </c>
      <c r="AD860" s="111">
        <f t="shared" si="722"/>
        <v>0.2</v>
      </c>
      <c r="AE860" s="262">
        <f t="shared" si="740"/>
        <v>-0.12288163534454329</v>
      </c>
      <c r="AF860" s="100"/>
      <c r="AG860" s="111">
        <f t="shared" si="724"/>
        <v>0.4</v>
      </c>
      <c r="AH860" s="262">
        <f t="shared" si="741"/>
        <v>0.43855918232772834</v>
      </c>
      <c r="AI860" s="100"/>
      <c r="AJ860" s="111">
        <f t="shared" si="726"/>
        <v>0.3</v>
      </c>
      <c r="AK860" s="262">
        <f t="shared" si="742"/>
        <v>0.25141224310363774</v>
      </c>
      <c r="AL860" s="100"/>
      <c r="AM860" s="111">
        <f t="shared" si="728"/>
        <v>0.3</v>
      </c>
      <c r="AN860" s="262">
        <f t="shared" si="743"/>
        <v>0.25141224310363774</v>
      </c>
      <c r="AO860" s="100"/>
      <c r="AP860" s="24" t="e">
        <f>VLOOKUP(C860,#REF!,6,FALSE)</f>
        <v>#REF!</v>
      </c>
      <c r="AQ860" s="24" t="e">
        <f>VLOOKUP(C860,#REF!,7,FALSE)</f>
        <v>#REF!</v>
      </c>
      <c r="AR860" s="24" t="e">
        <f>VLOOKUP(C860,#REF!,12,FALSE)</f>
        <v>#REF!</v>
      </c>
      <c r="AS860" s="24" t="e">
        <f>VLOOKUP(C860,#REF!,13,FALSE)</f>
        <v>#REF!</v>
      </c>
      <c r="AT860" s="100">
        <v>30</v>
      </c>
      <c r="AU860" s="100"/>
      <c r="AV860" s="100">
        <v>841</v>
      </c>
      <c r="AW860" s="100"/>
      <c r="AY860" s="128">
        <v>35000</v>
      </c>
    </row>
    <row r="861" spans="1:51" s="2" customFormat="1" ht="12.75" customHeight="1" x14ac:dyDescent="0.25">
      <c r="A861" s="1"/>
      <c r="B861" s="3"/>
      <c r="C861" s="3"/>
      <c r="E861" s="274"/>
      <c r="F861" s="132"/>
      <c r="H861" s="132"/>
      <c r="I861" s="132"/>
      <c r="J861" s="132"/>
      <c r="K861" s="132"/>
      <c r="L861" s="134"/>
      <c r="M861" s="132"/>
      <c r="N861" s="132"/>
      <c r="O861" s="132"/>
      <c r="P861" s="132"/>
      <c r="Q861" s="147"/>
      <c r="R861" s="371"/>
      <c r="S861" s="360"/>
      <c r="T861" s="307"/>
      <c r="U861" s="135"/>
      <c r="V861" s="100"/>
      <c r="W861"/>
      <c r="X861"/>
      <c r="Y861"/>
      <c r="Z861"/>
      <c r="AA861"/>
      <c r="AB861"/>
      <c r="AC861"/>
      <c r="AD861" s="263"/>
      <c r="AE861"/>
      <c r="AF861" s="100"/>
      <c r="AG861" s="263"/>
      <c r="AH861"/>
      <c r="AI861" s="100"/>
      <c r="AJ861" s="263"/>
      <c r="AK861"/>
      <c r="AL861" s="100"/>
      <c r="AM861" s="263"/>
      <c r="AN861"/>
      <c r="AO861" s="100"/>
      <c r="AP861" s="100"/>
      <c r="AQ861" s="100"/>
      <c r="AR861" s="100"/>
      <c r="AS861" s="100"/>
      <c r="AT861" s="100"/>
      <c r="AU861" s="100"/>
      <c r="AV861" s="100">
        <v>842</v>
      </c>
      <c r="AW861" s="100"/>
      <c r="AY861" s="134"/>
    </row>
    <row r="862" spans="1:51" s="2" customFormat="1" ht="12.75" customHeight="1" x14ac:dyDescent="0.25">
      <c r="A862" s="202" t="s">
        <v>1630</v>
      </c>
      <c r="B862" s="203"/>
      <c r="C862" s="203"/>
      <c r="D862" s="204"/>
      <c r="E862" s="205"/>
      <c r="F862" s="162"/>
      <c r="G862" s="162"/>
      <c r="H862" s="132"/>
      <c r="I862" s="132"/>
      <c r="J862" s="132"/>
      <c r="K862" s="132"/>
      <c r="L862" s="134"/>
      <c r="M862" s="132"/>
      <c r="N862" s="132"/>
      <c r="O862" s="132"/>
      <c r="P862" s="132"/>
      <c r="Q862" s="147"/>
      <c r="R862" s="371"/>
      <c r="S862" s="360"/>
      <c r="T862" s="307"/>
      <c r="U862" s="135"/>
      <c r="V862" s="100"/>
      <c r="W862"/>
      <c r="X862"/>
      <c r="Y862"/>
      <c r="Z862"/>
      <c r="AA862"/>
      <c r="AB862"/>
      <c r="AC862"/>
      <c r="AD862" s="263"/>
      <c r="AE862"/>
      <c r="AF862" s="100"/>
      <c r="AG862" s="263"/>
      <c r="AH862"/>
      <c r="AI862" s="100"/>
      <c r="AJ862" s="263"/>
      <c r="AK862"/>
      <c r="AL862" s="100"/>
      <c r="AM862" s="263"/>
      <c r="AN862"/>
      <c r="AO862" s="100"/>
      <c r="AP862" s="100"/>
      <c r="AQ862" s="100"/>
      <c r="AR862" s="100"/>
      <c r="AS862" s="100"/>
      <c r="AT862" s="100"/>
      <c r="AU862" s="100"/>
      <c r="AV862" s="100">
        <v>843</v>
      </c>
      <c r="AW862" s="100"/>
      <c r="AY862" s="134"/>
    </row>
    <row r="863" spans="1:51" s="2" customFormat="1" ht="12.75" customHeight="1" x14ac:dyDescent="0.2">
      <c r="A863" s="7" t="s">
        <v>1050</v>
      </c>
      <c r="B863" s="210">
        <v>9789500299961</v>
      </c>
      <c r="C863" s="6">
        <v>643878</v>
      </c>
      <c r="D863" s="7">
        <v>80</v>
      </c>
      <c r="E863" s="7" t="s">
        <v>349</v>
      </c>
      <c r="F863" s="15" t="s">
        <v>1631</v>
      </c>
      <c r="G863" s="107">
        <v>43160</v>
      </c>
      <c r="H863" s="108">
        <v>43070</v>
      </c>
      <c r="I863" s="24">
        <v>3150</v>
      </c>
      <c r="J863" s="28" t="s">
        <v>1946</v>
      </c>
      <c r="K863" s="28">
        <v>65.540000000000006</v>
      </c>
      <c r="L863" s="28">
        <v>19600</v>
      </c>
      <c r="M863" s="112"/>
      <c r="N863" s="9">
        <f>+L863/2</f>
        <v>9800</v>
      </c>
      <c r="O863" s="9">
        <f>+N863-M863-K863</f>
        <v>9734.4599999999991</v>
      </c>
      <c r="P863" s="9">
        <f>+M863+K863</f>
        <v>65.540000000000006</v>
      </c>
      <c r="Q863" s="139">
        <f>+O863/N863</f>
        <v>0.99331224489795911</v>
      </c>
      <c r="R863" s="345">
        <v>19600</v>
      </c>
      <c r="S863" s="359" t="s">
        <v>1948</v>
      </c>
      <c r="T863" s="305">
        <v>0.99331224489795911</v>
      </c>
      <c r="U863" s="144"/>
      <c r="V863" s="100"/>
      <c r="W863" s="110">
        <f>+L863</f>
        <v>19600</v>
      </c>
      <c r="X863" s="110">
        <f>+K863</f>
        <v>65.540000000000006</v>
      </c>
      <c r="Y863" s="110">
        <f>+M863</f>
        <v>0</v>
      </c>
      <c r="Z863" s="110">
        <f>+W863/2-X863-Y863</f>
        <v>9734.4599999999991</v>
      </c>
      <c r="AA863" s="260">
        <f>+Z863/(W863/2)</f>
        <v>0.99331224489795911</v>
      </c>
      <c r="AB863" s="28">
        <f>ROUND($W863/2/$X$1,1)</f>
        <v>6.5</v>
      </c>
      <c r="AC863" s="261">
        <f>+(AB863*$X$1-$X863-$Y863)/(AB863*$X$1)</f>
        <v>0.99335108676354955</v>
      </c>
      <c r="AD863" s="111">
        <f>+IFERROR(ROUND(($X863+$Y863)/(1-$X$2)/$X$1,1),0)</f>
        <v>0</v>
      </c>
      <c r="AE863" s="262" t="e">
        <f>+(AD863*$X$1-$X863-$Y863)/(AD863*$X$1)</f>
        <v>#DIV/0!</v>
      </c>
      <c r="AF863" s="100"/>
      <c r="AG863" s="111">
        <f>+IFERROR(ROUND(($X863+$Y863)/(1-$AG$2)/$X$1,1),0)</f>
        <v>0.1</v>
      </c>
      <c r="AH863" s="262">
        <f>+(AG863*$X$1-$X863-$Y863)/(AG863*$X$1)</f>
        <v>0.5678206396307286</v>
      </c>
      <c r="AI863" s="100"/>
      <c r="AJ863" s="111">
        <f>+IFERROR(ROUND(($X863+$Y863)/(1-$AJ$2)/$X$1,1),0)</f>
        <v>0.1</v>
      </c>
      <c r="AK863" s="262">
        <f>+(AJ863*$X$1-$X863-$Y863)/(AJ863*$X$1)</f>
        <v>0.5678206396307286</v>
      </c>
      <c r="AL863" s="100"/>
      <c r="AM863" s="111">
        <f>+IFERROR(ROUND(($X863+$Y863)/(1-$AM$2)/$X$1,1),0)</f>
        <v>0.1</v>
      </c>
      <c r="AN863" s="262">
        <f>+(AM863*$X$1-$X863-$Y863)/(AM863*$X$1)</f>
        <v>0.5678206396307286</v>
      </c>
      <c r="AO863" s="100"/>
      <c r="AP863" s="24" t="e">
        <f>VLOOKUP(C863,#REF!,6,FALSE)</f>
        <v>#REF!</v>
      </c>
      <c r="AQ863" s="24" t="e">
        <f>VLOOKUP(C863,#REF!,7,FALSE)</f>
        <v>#REF!</v>
      </c>
      <c r="AR863" s="24" t="e">
        <f>VLOOKUP(C863,#REF!,12,FALSE)</f>
        <v>#REF!</v>
      </c>
      <c r="AS863" s="24" t="e">
        <f>VLOOKUP(C863,#REF!,13,FALSE)</f>
        <v>#REF!</v>
      </c>
      <c r="AT863" s="100">
        <v>31</v>
      </c>
      <c r="AU863" s="100"/>
      <c r="AV863" s="100">
        <v>844</v>
      </c>
      <c r="AW863" s="100"/>
      <c r="AY863" s="28">
        <v>19600</v>
      </c>
    </row>
    <row r="864" spans="1:51" s="2" customFormat="1" ht="12.75" customHeight="1" x14ac:dyDescent="0.25">
      <c r="A864" s="68"/>
      <c r="B864" s="333"/>
      <c r="C864" s="333"/>
      <c r="D864" s="346"/>
      <c r="E864" s="68"/>
      <c r="F864" s="68"/>
      <c r="G864" s="68"/>
      <c r="H864" s="68"/>
      <c r="I864" s="68"/>
      <c r="J864" s="68"/>
      <c r="K864" s="132"/>
      <c r="L864" s="134"/>
      <c r="M864" s="132"/>
      <c r="N864" s="132"/>
      <c r="O864" s="132"/>
      <c r="P864" s="132"/>
      <c r="Q864" s="147"/>
      <c r="R864" s="371"/>
      <c r="S864" s="360"/>
      <c r="T864" s="307"/>
      <c r="U864" s="135"/>
      <c r="V864" s="100"/>
      <c r="W864"/>
      <c r="X864"/>
      <c r="Y864"/>
      <c r="Z864"/>
      <c r="AA864"/>
      <c r="AB864"/>
      <c r="AC864"/>
      <c r="AD864" s="263"/>
      <c r="AE864"/>
      <c r="AF864" s="100"/>
      <c r="AG864" s="263"/>
      <c r="AH864"/>
      <c r="AI864" s="100"/>
      <c r="AJ864" s="263"/>
      <c r="AK864"/>
      <c r="AL864" s="100"/>
      <c r="AM864" s="263"/>
      <c r="AN864"/>
      <c r="AO864" s="100"/>
      <c r="AP864" s="100"/>
      <c r="AQ864" s="100"/>
      <c r="AR864" s="100"/>
      <c r="AS864" s="100"/>
      <c r="AT864" s="100"/>
      <c r="AU864" s="100"/>
      <c r="AV864" s="100">
        <v>845</v>
      </c>
      <c r="AW864" s="100"/>
      <c r="AY864" s="134"/>
    </row>
    <row r="865" spans="1:51" s="68" customFormat="1" ht="12.75" customHeight="1" x14ac:dyDescent="0.25">
      <c r="A865" s="202" t="s">
        <v>1632</v>
      </c>
      <c r="B865" s="203"/>
      <c r="C865" s="203"/>
      <c r="D865" s="204"/>
      <c r="E865" s="205"/>
      <c r="F865" s="162"/>
      <c r="G865" s="162"/>
      <c r="H865" s="132"/>
      <c r="I865" s="132"/>
      <c r="J865" s="132"/>
      <c r="K865" s="132"/>
      <c r="L865" s="134"/>
      <c r="M865" s="132"/>
      <c r="N865" s="132"/>
      <c r="O865" s="132"/>
      <c r="P865" s="132"/>
      <c r="Q865" s="147"/>
      <c r="R865" s="371"/>
      <c r="S865" s="360"/>
      <c r="T865" s="307"/>
      <c r="U865" s="135"/>
      <c r="V865" s="100"/>
      <c r="W865"/>
      <c r="X865"/>
      <c r="Y865"/>
      <c r="Z865"/>
      <c r="AA865"/>
      <c r="AB865"/>
      <c r="AC865"/>
      <c r="AD865" s="263"/>
      <c r="AE865"/>
      <c r="AF865" s="100"/>
      <c r="AG865" s="263"/>
      <c r="AH865"/>
      <c r="AI865" s="100"/>
      <c r="AJ865" s="263"/>
      <c r="AK865"/>
      <c r="AL865" s="100"/>
      <c r="AM865" s="263"/>
      <c r="AN865"/>
      <c r="AO865" s="100"/>
      <c r="AP865" s="100"/>
      <c r="AQ865" s="100"/>
      <c r="AR865" s="100"/>
      <c r="AS865" s="100"/>
      <c r="AT865" s="100"/>
      <c r="AU865" s="100"/>
      <c r="AV865" s="100">
        <v>846</v>
      </c>
      <c r="AW865" s="100"/>
      <c r="AY865" s="134"/>
    </row>
    <row r="866" spans="1:51" s="162" customFormat="1" ht="12.75" customHeight="1" x14ac:dyDescent="0.2">
      <c r="A866" s="6" t="s">
        <v>1633</v>
      </c>
      <c r="B866" s="8">
        <v>9789500209380</v>
      </c>
      <c r="C866" s="6">
        <v>653547</v>
      </c>
      <c r="D866" s="7">
        <v>12</v>
      </c>
      <c r="E866" s="9" t="s">
        <v>401</v>
      </c>
      <c r="F866" s="19" t="s">
        <v>1634</v>
      </c>
      <c r="G866" s="107">
        <v>43344</v>
      </c>
      <c r="H866" s="108">
        <v>45261</v>
      </c>
      <c r="I866" s="24">
        <v>4000</v>
      </c>
      <c r="J866" s="28" t="s">
        <v>2136</v>
      </c>
      <c r="K866" s="148">
        <v>1052.98</v>
      </c>
      <c r="L866" s="128">
        <v>28900</v>
      </c>
      <c r="M866" s="112"/>
      <c r="N866" s="9">
        <f>+L866/2</f>
        <v>14450</v>
      </c>
      <c r="O866" s="9">
        <f>+N866-M866-K866</f>
        <v>13397.02</v>
      </c>
      <c r="P866" s="9">
        <f>+M866+K866</f>
        <v>1052.98</v>
      </c>
      <c r="Q866" s="139">
        <f>+O866/N866</f>
        <v>0.92712941176470587</v>
      </c>
      <c r="R866" s="345">
        <v>28900</v>
      </c>
      <c r="S866" s="359" t="s">
        <v>1948</v>
      </c>
      <c r="T866" s="305">
        <v>0.92712941176470587</v>
      </c>
      <c r="U866" s="144"/>
      <c r="V866" s="100"/>
      <c r="W866" s="110">
        <f>+L866</f>
        <v>28900</v>
      </c>
      <c r="X866" s="110">
        <f>+K866</f>
        <v>1052.98</v>
      </c>
      <c r="Y866" s="110">
        <f>+M866</f>
        <v>0</v>
      </c>
      <c r="Z866" s="110">
        <f>+W866/2-X866-Y866</f>
        <v>13397.02</v>
      </c>
      <c r="AA866" s="260">
        <f>+Z866/(W866/2)</f>
        <v>0.92712941176470587</v>
      </c>
      <c r="AB866" s="28">
        <f>ROUND($W866/2/$X$1,1)</f>
        <v>9.5</v>
      </c>
      <c r="AC866" s="261">
        <f>+(AB866*$X$1-$X866-$Y866)/(AB866*$X$1)</f>
        <v>0.92691064952192548</v>
      </c>
      <c r="AD866" s="111">
        <f>+IFERROR(ROUND(($X866+$Y866)/(1-$X$2)/$X$1,1),0)</f>
        <v>0.7</v>
      </c>
      <c r="AE866" s="262">
        <f>+(AD866*$X$1-$X866-$Y866)/(AD866*$X$1)</f>
        <v>8.0731006547029686E-3</v>
      </c>
      <c r="AF866" s="100"/>
      <c r="AG866" s="111">
        <f>+IFERROR(ROUND(($X866+$Y866)/(1-$AG$2)/$X$1,1),0)</f>
        <v>1.2</v>
      </c>
      <c r="AH866" s="262">
        <f>+(AG866*$X$1-$X866-$Y866)/(AG866*$X$1)</f>
        <v>0.42137597538191007</v>
      </c>
      <c r="AI866" s="100"/>
      <c r="AJ866" s="111">
        <f>+IFERROR(ROUND(($X866+$Y866)/(1-$AJ$2)/$X$1,1),0)</f>
        <v>1.1000000000000001</v>
      </c>
      <c r="AK866" s="262">
        <f>+(AJ866*$X$1-$X866-$Y866)/(AJ866*$X$1)</f>
        <v>0.36877379132572013</v>
      </c>
      <c r="AL866" s="100"/>
      <c r="AM866" s="111">
        <f>+IFERROR(ROUND(($X866+$Y866)/(1-$AM$2)/$X$1,1),0)</f>
        <v>1</v>
      </c>
      <c r="AN866" s="262">
        <f>+(AM866*$X$1-$X866-$Y866)/(AM866*$X$1)</f>
        <v>0.3056511704582921</v>
      </c>
      <c r="AO866" s="100"/>
      <c r="AP866" s="24" t="e">
        <f>VLOOKUP(C866,#REF!,6,FALSE)</f>
        <v>#REF!</v>
      </c>
      <c r="AQ866" s="24" t="e">
        <f>VLOOKUP(C866,#REF!,7,FALSE)</f>
        <v>#REF!</v>
      </c>
      <c r="AR866" s="24" t="e">
        <f>VLOOKUP(C866,#REF!,12,FALSE)</f>
        <v>#REF!</v>
      </c>
      <c r="AS866" s="24" t="e">
        <f>VLOOKUP(C866,#REF!,13,FALSE)</f>
        <v>#REF!</v>
      </c>
      <c r="AT866" s="100"/>
      <c r="AU866" s="100"/>
      <c r="AV866" s="100">
        <v>847</v>
      </c>
      <c r="AW866" s="100"/>
      <c r="AY866" s="128">
        <v>28900</v>
      </c>
    </row>
    <row r="867" spans="1:51" s="2" customFormat="1" ht="12.75" customHeight="1" x14ac:dyDescent="0.2">
      <c r="A867" s="7" t="s">
        <v>1635</v>
      </c>
      <c r="B867" s="8">
        <v>9789500209540</v>
      </c>
      <c r="C867" s="6">
        <v>653546</v>
      </c>
      <c r="D867" s="7">
        <v>12</v>
      </c>
      <c r="E867" s="9" t="s">
        <v>401</v>
      </c>
      <c r="F867" s="19" t="s">
        <v>1636</v>
      </c>
      <c r="G867" s="107">
        <v>43344</v>
      </c>
      <c r="H867" s="108">
        <v>43313</v>
      </c>
      <c r="I867" s="24">
        <v>4000</v>
      </c>
      <c r="J867" s="28" t="s">
        <v>2136</v>
      </c>
      <c r="K867" s="148">
        <v>1052.98</v>
      </c>
      <c r="L867" s="128">
        <v>28900</v>
      </c>
      <c r="M867" s="112"/>
      <c r="N867" s="9">
        <f>+L867/2</f>
        <v>14450</v>
      </c>
      <c r="O867" s="9">
        <f>+N867-M867-K867</f>
        <v>13397.02</v>
      </c>
      <c r="P867" s="9">
        <f>+M867+K867</f>
        <v>1052.98</v>
      </c>
      <c r="Q867" s="139">
        <f>+O867/N867</f>
        <v>0.92712941176470587</v>
      </c>
      <c r="R867" s="345">
        <v>28900</v>
      </c>
      <c r="S867" s="359" t="s">
        <v>1948</v>
      </c>
      <c r="T867" s="305">
        <v>0.92712941176470587</v>
      </c>
      <c r="U867" s="144"/>
      <c r="V867" s="100"/>
      <c r="W867" s="110">
        <f>+L867</f>
        <v>28900</v>
      </c>
      <c r="X867" s="110">
        <f>+K867</f>
        <v>1052.98</v>
      </c>
      <c r="Y867" s="110">
        <f>+M867</f>
        <v>0</v>
      </c>
      <c r="Z867" s="110">
        <f>+W867/2-X867-Y867</f>
        <v>13397.02</v>
      </c>
      <c r="AA867" s="260">
        <f>+Z867/(W867/2)</f>
        <v>0.92712941176470587</v>
      </c>
      <c r="AB867" s="28">
        <f>ROUND($W867/2/$X$1,1)</f>
        <v>9.5</v>
      </c>
      <c r="AC867" s="261">
        <f>+(AB867*$X$1-$X867-$Y867)/(AB867*$X$1)</f>
        <v>0.92691064952192548</v>
      </c>
      <c r="AD867" s="111">
        <f>+IFERROR(ROUND(($X867+$Y867)/(1-$X$2)/$X$1,1),0)</f>
        <v>0.7</v>
      </c>
      <c r="AE867" s="262">
        <f>+(AD867*$X$1-$X867-$Y867)/(AD867*$X$1)</f>
        <v>8.0731006547029686E-3</v>
      </c>
      <c r="AF867" s="100"/>
      <c r="AG867" s="111">
        <f>+IFERROR(ROUND(($X867+$Y867)/(1-$AG$2)/$X$1,1),0)</f>
        <v>1.2</v>
      </c>
      <c r="AH867" s="262">
        <f>+(AG867*$X$1-$X867-$Y867)/(AG867*$X$1)</f>
        <v>0.42137597538191007</v>
      </c>
      <c r="AI867" s="100"/>
      <c r="AJ867" s="111">
        <f>+IFERROR(ROUND(($X867+$Y867)/(1-$AJ$2)/$X$1,1),0)</f>
        <v>1.1000000000000001</v>
      </c>
      <c r="AK867" s="262">
        <f>+(AJ867*$X$1-$X867-$Y867)/(AJ867*$X$1)</f>
        <v>0.36877379132572013</v>
      </c>
      <c r="AL867" s="100"/>
      <c r="AM867" s="111">
        <f>+IFERROR(ROUND(($X867+$Y867)/(1-$AM$2)/$X$1,1),0)</f>
        <v>1</v>
      </c>
      <c r="AN867" s="262">
        <f>+(AM867*$X$1-$X867-$Y867)/(AM867*$X$1)</f>
        <v>0.3056511704582921</v>
      </c>
      <c r="AO867" s="100"/>
      <c r="AP867" s="24" t="e">
        <f>VLOOKUP(C867,#REF!,6,FALSE)</f>
        <v>#REF!</v>
      </c>
      <c r="AQ867" s="24" t="e">
        <f>VLOOKUP(C867,#REF!,7,FALSE)</f>
        <v>#REF!</v>
      </c>
      <c r="AR867" s="24" t="e">
        <f>VLOOKUP(C867,#REF!,12,FALSE)</f>
        <v>#REF!</v>
      </c>
      <c r="AS867" s="24" t="e">
        <f>VLOOKUP(C867,#REF!,13,FALSE)</f>
        <v>#REF!</v>
      </c>
      <c r="AT867" s="100"/>
      <c r="AU867" s="100"/>
      <c r="AV867" s="100">
        <v>848</v>
      </c>
      <c r="AW867" s="100"/>
      <c r="AY867" s="128">
        <v>28900</v>
      </c>
    </row>
    <row r="868" spans="1:51" s="2" customFormat="1" ht="12.75" customHeight="1" x14ac:dyDescent="0.2">
      <c r="A868" s="6" t="s">
        <v>1637</v>
      </c>
      <c r="B868" s="8">
        <v>9789500299299</v>
      </c>
      <c r="C868" s="211">
        <v>625422</v>
      </c>
      <c r="D868" s="25">
        <v>12</v>
      </c>
      <c r="E868" s="7" t="s">
        <v>297</v>
      </c>
      <c r="F868" s="19" t="s">
        <v>1638</v>
      </c>
      <c r="G868" s="107">
        <v>42795</v>
      </c>
      <c r="H868" s="108">
        <v>43831</v>
      </c>
      <c r="I868" s="24">
        <v>4000</v>
      </c>
      <c r="J868" s="28" t="s">
        <v>2136</v>
      </c>
      <c r="K868" s="148">
        <v>1052.98</v>
      </c>
      <c r="L868" s="128">
        <v>28900</v>
      </c>
      <c r="M868" s="112"/>
      <c r="N868" s="9">
        <f>+L868/2</f>
        <v>14450</v>
      </c>
      <c r="O868" s="9">
        <f>+N868-M868-K868</f>
        <v>13397.02</v>
      </c>
      <c r="P868" s="9">
        <f>+M868+K868</f>
        <v>1052.98</v>
      </c>
      <c r="Q868" s="139">
        <f>+O868/N868</f>
        <v>0.92712941176470587</v>
      </c>
      <c r="R868" s="345">
        <v>28900</v>
      </c>
      <c r="S868" s="359" t="s">
        <v>1948</v>
      </c>
      <c r="T868" s="305">
        <v>0.92712941176470587</v>
      </c>
      <c r="U868" s="144"/>
      <c r="V868" s="100"/>
      <c r="W868" s="110">
        <f>+L868</f>
        <v>28900</v>
      </c>
      <c r="X868" s="110">
        <f>+K868</f>
        <v>1052.98</v>
      </c>
      <c r="Y868" s="110">
        <f>+M868</f>
        <v>0</v>
      </c>
      <c r="Z868" s="110">
        <f>+W868/2-X868-Y868</f>
        <v>13397.02</v>
      </c>
      <c r="AA868" s="260">
        <f>+Z868/(W868/2)</f>
        <v>0.92712941176470587</v>
      </c>
      <c r="AB868" s="28">
        <f>ROUND($W868/2/$X$1,1)</f>
        <v>9.5</v>
      </c>
      <c r="AC868" s="261">
        <f>+(AB868*$X$1-$X868-$Y868)/(AB868*$X$1)</f>
        <v>0.92691064952192548</v>
      </c>
      <c r="AD868" s="111">
        <f>+IFERROR(ROUND(($X868+$Y868)/(1-$X$2)/$X$1,1),0)</f>
        <v>0.7</v>
      </c>
      <c r="AE868" s="262">
        <f>+(AD868*$X$1-$X868-$Y868)/(AD868*$X$1)</f>
        <v>8.0731006547029686E-3</v>
      </c>
      <c r="AF868" s="100"/>
      <c r="AG868" s="111">
        <f>+IFERROR(ROUND(($X868+$Y868)/(1-$AG$2)/$X$1,1),0)</f>
        <v>1.2</v>
      </c>
      <c r="AH868" s="262">
        <f>+(AG868*$X$1-$X868-$Y868)/(AG868*$X$1)</f>
        <v>0.42137597538191007</v>
      </c>
      <c r="AI868" s="100"/>
      <c r="AJ868" s="111">
        <f>+IFERROR(ROUND(($X868+$Y868)/(1-$AJ$2)/$X$1,1),0)</f>
        <v>1.1000000000000001</v>
      </c>
      <c r="AK868" s="262">
        <f>+(AJ868*$X$1-$X868-$Y868)/(AJ868*$X$1)</f>
        <v>0.36877379132572013</v>
      </c>
      <c r="AL868" s="100"/>
      <c r="AM868" s="111">
        <f>+IFERROR(ROUND(($X868+$Y868)/(1-$AM$2)/$X$1,1),0)</f>
        <v>1</v>
      </c>
      <c r="AN868" s="262">
        <f>+(AM868*$X$1-$X868-$Y868)/(AM868*$X$1)</f>
        <v>0.3056511704582921</v>
      </c>
      <c r="AO868" s="100"/>
      <c r="AP868" s="24" t="e">
        <f>VLOOKUP(C868,#REF!,6,FALSE)</f>
        <v>#REF!</v>
      </c>
      <c r="AQ868" s="24" t="e">
        <f>VLOOKUP(C868,#REF!,7,FALSE)</f>
        <v>#REF!</v>
      </c>
      <c r="AR868" s="24" t="e">
        <f>VLOOKUP(C868,#REF!,12,FALSE)</f>
        <v>#REF!</v>
      </c>
      <c r="AS868" s="24" t="e">
        <f>VLOOKUP(C868,#REF!,13,FALSE)</f>
        <v>#REF!</v>
      </c>
      <c r="AT868" s="100"/>
      <c r="AU868" s="100"/>
      <c r="AV868" s="100">
        <v>849</v>
      </c>
      <c r="AW868" s="100"/>
      <c r="AY868" s="128">
        <v>28900</v>
      </c>
    </row>
    <row r="869" spans="1:51" s="2" customFormat="1" ht="12.75" customHeight="1" x14ac:dyDescent="0.2">
      <c r="A869" s="6" t="s">
        <v>1639</v>
      </c>
      <c r="B869" s="8">
        <v>9789500299305</v>
      </c>
      <c r="C869" s="6">
        <v>625423</v>
      </c>
      <c r="D869" s="25">
        <v>12</v>
      </c>
      <c r="E869" s="7" t="s">
        <v>297</v>
      </c>
      <c r="F869" s="7" t="s">
        <v>1640</v>
      </c>
      <c r="G869" s="107">
        <v>42795</v>
      </c>
      <c r="H869" s="108">
        <v>43831</v>
      </c>
      <c r="I869" s="24">
        <v>4000</v>
      </c>
      <c r="J869" s="28" t="s">
        <v>2136</v>
      </c>
      <c r="K869" s="148">
        <v>1052.98</v>
      </c>
      <c r="L869" s="128">
        <v>28900</v>
      </c>
      <c r="M869" s="112"/>
      <c r="N869" s="9">
        <f>+L869/2</f>
        <v>14450</v>
      </c>
      <c r="O869" s="9">
        <f>+N869-M869-K869</f>
        <v>13397.02</v>
      </c>
      <c r="P869" s="9">
        <f>+M869+K869</f>
        <v>1052.98</v>
      </c>
      <c r="Q869" s="139">
        <f>+O869/N869</f>
        <v>0.92712941176470587</v>
      </c>
      <c r="R869" s="345">
        <v>28900</v>
      </c>
      <c r="S869" s="359" t="s">
        <v>1948</v>
      </c>
      <c r="T869" s="305">
        <v>0.92712941176470587</v>
      </c>
      <c r="U869" s="144"/>
      <c r="V869" s="100"/>
      <c r="W869" s="110">
        <f>+L869</f>
        <v>28900</v>
      </c>
      <c r="X869" s="110">
        <f>+K869</f>
        <v>1052.98</v>
      </c>
      <c r="Y869" s="110">
        <f>+M869</f>
        <v>0</v>
      </c>
      <c r="Z869" s="110">
        <f>+W869/2-X869-Y869</f>
        <v>13397.02</v>
      </c>
      <c r="AA869" s="260">
        <f>+Z869/(W869/2)</f>
        <v>0.92712941176470587</v>
      </c>
      <c r="AB869" s="28">
        <f>ROUND($W869/2/$X$1,1)</f>
        <v>9.5</v>
      </c>
      <c r="AC869" s="261">
        <f>+(AB869*$X$1-$X869-$Y869)/(AB869*$X$1)</f>
        <v>0.92691064952192548</v>
      </c>
      <c r="AD869" s="111">
        <f>+IFERROR(ROUND(($X869+$Y869)/(1-$X$2)/$X$1,1),0)</f>
        <v>0.7</v>
      </c>
      <c r="AE869" s="262">
        <f>+(AD869*$X$1-$X869-$Y869)/(AD869*$X$1)</f>
        <v>8.0731006547029686E-3</v>
      </c>
      <c r="AF869" s="100"/>
      <c r="AG869" s="111">
        <f>+IFERROR(ROUND(($X869+$Y869)/(1-$AG$2)/$X$1,1),0)</f>
        <v>1.2</v>
      </c>
      <c r="AH869" s="262">
        <f>+(AG869*$X$1-$X869-$Y869)/(AG869*$X$1)</f>
        <v>0.42137597538191007</v>
      </c>
      <c r="AI869" s="100"/>
      <c r="AJ869" s="111">
        <f>+IFERROR(ROUND(($X869+$Y869)/(1-$AJ$2)/$X$1,1),0)</f>
        <v>1.1000000000000001</v>
      </c>
      <c r="AK869" s="262">
        <f>+(AJ869*$X$1-$X869-$Y869)/(AJ869*$X$1)</f>
        <v>0.36877379132572013</v>
      </c>
      <c r="AL869" s="100"/>
      <c r="AM869" s="111">
        <f>+IFERROR(ROUND(($X869+$Y869)/(1-$AM$2)/$X$1,1),0)</f>
        <v>1</v>
      </c>
      <c r="AN869" s="262">
        <f>+(AM869*$X$1-$X869-$Y869)/(AM869*$X$1)</f>
        <v>0.3056511704582921</v>
      </c>
      <c r="AO869" s="100"/>
      <c r="AP869" s="24" t="e">
        <f>VLOOKUP(C869,#REF!,6,FALSE)</f>
        <v>#REF!</v>
      </c>
      <c r="AQ869" s="24" t="e">
        <f>VLOOKUP(C869,#REF!,7,FALSE)</f>
        <v>#REF!</v>
      </c>
      <c r="AR869" s="24" t="e">
        <f>VLOOKUP(C869,#REF!,12,FALSE)</f>
        <v>#REF!</v>
      </c>
      <c r="AS869" s="24" t="e">
        <f>VLOOKUP(C869,#REF!,13,FALSE)</f>
        <v>#REF!</v>
      </c>
      <c r="AT869" s="100"/>
      <c r="AU869" s="100"/>
      <c r="AV869" s="100">
        <v>850</v>
      </c>
      <c r="AW869" s="100"/>
      <c r="AY869" s="128">
        <v>28900</v>
      </c>
    </row>
    <row r="870" spans="1:51" s="2" customFormat="1" ht="12.75" customHeight="1" x14ac:dyDescent="0.25">
      <c r="A870" s="1"/>
      <c r="B870" s="3"/>
      <c r="C870" s="3"/>
      <c r="E870" s="274"/>
      <c r="F870" s="275"/>
      <c r="H870" s="132"/>
      <c r="I870" s="132"/>
      <c r="J870" s="132"/>
      <c r="K870" s="132"/>
      <c r="L870" s="134"/>
      <c r="M870" s="132"/>
      <c r="N870" s="132"/>
      <c r="O870" s="132"/>
      <c r="P870" s="132"/>
      <c r="Q870" s="147"/>
      <c r="R870" s="371"/>
      <c r="S870" s="360"/>
      <c r="T870" s="307"/>
      <c r="U870" s="135"/>
      <c r="V870" s="100"/>
      <c r="W870"/>
      <c r="X870"/>
      <c r="Y870"/>
      <c r="Z870"/>
      <c r="AA870"/>
      <c r="AB870"/>
      <c r="AC870"/>
      <c r="AD870" s="263"/>
      <c r="AE870"/>
      <c r="AF870" s="100"/>
      <c r="AG870" s="263"/>
      <c r="AH870"/>
      <c r="AI870" s="100"/>
      <c r="AJ870" s="263"/>
      <c r="AK870"/>
      <c r="AL870" s="100"/>
      <c r="AM870" s="263"/>
      <c r="AN870"/>
      <c r="AO870" s="100"/>
      <c r="AP870" s="100"/>
      <c r="AQ870" s="100"/>
      <c r="AR870" s="100"/>
      <c r="AS870" s="100"/>
      <c r="AT870" s="100"/>
      <c r="AU870" s="100"/>
      <c r="AV870" s="100">
        <v>851</v>
      </c>
      <c r="AW870" s="100"/>
      <c r="AY870" s="134"/>
    </row>
    <row r="871" spans="1:51" s="2" customFormat="1" ht="12.75" customHeight="1" x14ac:dyDescent="0.25">
      <c r="A871" s="202" t="s">
        <v>1641</v>
      </c>
      <c r="B871" s="203"/>
      <c r="C871" s="203"/>
      <c r="D871" s="204"/>
      <c r="E871" s="205"/>
      <c r="F871" s="162"/>
      <c r="G871" s="162"/>
      <c r="H871" s="132"/>
      <c r="I871" s="132"/>
      <c r="J871" s="132"/>
      <c r="K871" s="132"/>
      <c r="L871" s="134"/>
      <c r="M871" s="132"/>
      <c r="N871" s="132"/>
      <c r="O871" s="132"/>
      <c r="P871" s="132"/>
      <c r="Q871" s="147"/>
      <c r="R871" s="371"/>
      <c r="S871" s="360"/>
      <c r="T871" s="307"/>
      <c r="U871" s="135"/>
      <c r="V871" s="100"/>
      <c r="W871"/>
      <c r="X871"/>
      <c r="Y871"/>
      <c r="Z871"/>
      <c r="AA871"/>
      <c r="AB871"/>
      <c r="AC871"/>
      <c r="AD871" s="263"/>
      <c r="AE871"/>
      <c r="AF871" s="100"/>
      <c r="AG871" s="263"/>
      <c r="AH871"/>
      <c r="AI871" s="100"/>
      <c r="AJ871" s="263"/>
      <c r="AK871"/>
      <c r="AL871" s="100"/>
      <c r="AM871" s="263"/>
      <c r="AN871"/>
      <c r="AO871" s="100"/>
      <c r="AP871" s="100"/>
      <c r="AQ871" s="100"/>
      <c r="AR871" s="100"/>
      <c r="AS871" s="100"/>
      <c r="AT871" s="100"/>
      <c r="AU871" s="100"/>
      <c r="AV871" s="100">
        <v>852</v>
      </c>
      <c r="AW871" s="100"/>
      <c r="AY871" s="134"/>
    </row>
    <row r="872" spans="1:51" s="162" customFormat="1" ht="12.75" customHeight="1" x14ac:dyDescent="0.2">
      <c r="A872" s="11" t="s">
        <v>1642</v>
      </c>
      <c r="B872" s="13">
        <v>9789500209700</v>
      </c>
      <c r="C872" s="6">
        <v>656691</v>
      </c>
      <c r="D872" s="7">
        <v>24</v>
      </c>
      <c r="E872" s="6" t="s">
        <v>417</v>
      </c>
      <c r="F872" s="11" t="s">
        <v>418</v>
      </c>
      <c r="G872" s="107">
        <v>43405</v>
      </c>
      <c r="H872" s="108">
        <v>43405</v>
      </c>
      <c r="I872" s="24">
        <v>3136</v>
      </c>
      <c r="J872" s="28" t="s">
        <v>1946</v>
      </c>
      <c r="K872" s="28">
        <v>213.15</v>
      </c>
      <c r="L872" s="128">
        <v>38000</v>
      </c>
      <c r="M872" s="112"/>
      <c r="N872" s="9">
        <f>+L872/2</f>
        <v>19000</v>
      </c>
      <c r="O872" s="9">
        <f>+N872-M872-K872</f>
        <v>18786.849999999999</v>
      </c>
      <c r="P872" s="9">
        <f>+M872+K872</f>
        <v>213.15</v>
      </c>
      <c r="Q872" s="139">
        <f>+O872/N872</f>
        <v>0.98878157894736829</v>
      </c>
      <c r="R872" s="345">
        <v>38000</v>
      </c>
      <c r="S872" s="359" t="s">
        <v>1948</v>
      </c>
      <c r="T872" s="305">
        <v>0.98878157894736829</v>
      </c>
      <c r="U872" s="144"/>
      <c r="V872" s="100"/>
      <c r="W872" s="110">
        <f>+L872</f>
        <v>38000</v>
      </c>
      <c r="X872" s="110">
        <f>+K872</f>
        <v>213.15</v>
      </c>
      <c r="Y872" s="110">
        <f>+M872</f>
        <v>0</v>
      </c>
      <c r="Z872" s="110">
        <f>+W872/2-X872-Y872</f>
        <v>18786.849999999999</v>
      </c>
      <c r="AA872" s="260">
        <f>+Z872/(W872/2)</f>
        <v>0.98878157894736829</v>
      </c>
      <c r="AB872" s="28">
        <f>ROUND($W872/2/$X$1,1)</f>
        <v>12.5</v>
      </c>
      <c r="AC872" s="261">
        <f>+(AB872*$X$1-$X872-$Y872)/(AB872*$X$1)</f>
        <v>0.98875568743817999</v>
      </c>
      <c r="AD872" s="111">
        <f>+IFERROR(ROUND(($X872+$Y872)/(1-$X$2)/$X$1,1),0)</f>
        <v>0.1</v>
      </c>
      <c r="AE872" s="262">
        <f>+(AD872*$X$1-$X872-$Y872)/(AD872*$X$1)</f>
        <v>-0.40553907022749752</v>
      </c>
      <c r="AF872" s="100"/>
      <c r="AG872" s="111">
        <f>+IFERROR(ROUND(($X872+$Y872)/(1-$AG$2)/$X$1,1),0)</f>
        <v>0.2</v>
      </c>
      <c r="AH872" s="262">
        <f>+(AG872*$X$1-$X872-$Y872)/(AG872*$X$1)</f>
        <v>0.29723046488625127</v>
      </c>
      <c r="AI872" s="100"/>
      <c r="AJ872" s="111">
        <f>+IFERROR(ROUND(($X872+$Y872)/(1-$AJ$2)/$X$1,1),0)</f>
        <v>0.2</v>
      </c>
      <c r="AK872" s="262">
        <f>+(AJ872*$X$1-$X872-$Y872)/(AJ872*$X$1)</f>
        <v>0.29723046488625127</v>
      </c>
      <c r="AL872" s="100"/>
      <c r="AM872" s="111">
        <f>+IFERROR(ROUND(($X872+$Y872)/(1-$AM$2)/$X$1,1),0)</f>
        <v>0.2</v>
      </c>
      <c r="AN872" s="262">
        <f>+(AM872*$X$1-$X872-$Y872)/(AM872*$X$1)</f>
        <v>0.29723046488625127</v>
      </c>
      <c r="AO872" s="100"/>
      <c r="AP872" s="24" t="e">
        <f>VLOOKUP(C872,#REF!,6,FALSE)</f>
        <v>#REF!</v>
      </c>
      <c r="AQ872" s="24" t="e">
        <f>VLOOKUP(C872,#REF!,7,FALSE)</f>
        <v>#REF!</v>
      </c>
      <c r="AR872" s="24" t="e">
        <f>VLOOKUP(C872,#REF!,12,FALSE)</f>
        <v>#REF!</v>
      </c>
      <c r="AS872" s="24" t="e">
        <f>VLOOKUP(C872,#REF!,13,FALSE)</f>
        <v>#REF!</v>
      </c>
      <c r="AT872" s="100"/>
      <c r="AU872" s="100"/>
      <c r="AV872" s="100">
        <v>853</v>
      </c>
      <c r="AW872" s="100"/>
      <c r="AY872" s="128">
        <v>38000</v>
      </c>
    </row>
    <row r="873" spans="1:51" s="2" customFormat="1" ht="12.75" customHeight="1" x14ac:dyDescent="0.2">
      <c r="A873" s="6" t="s">
        <v>1643</v>
      </c>
      <c r="B873" s="8">
        <v>9789500299435</v>
      </c>
      <c r="C873" s="6">
        <v>625981</v>
      </c>
      <c r="D873" s="7">
        <v>24</v>
      </c>
      <c r="E873" s="7" t="s">
        <v>298</v>
      </c>
      <c r="F873" s="7" t="s">
        <v>1644</v>
      </c>
      <c r="G873" s="107">
        <v>42826</v>
      </c>
      <c r="H873" s="108">
        <v>45597</v>
      </c>
      <c r="I873" s="24">
        <v>3024</v>
      </c>
      <c r="J873" s="6" t="s">
        <v>2136</v>
      </c>
      <c r="K873" s="9">
        <v>6857.89</v>
      </c>
      <c r="L873" s="128">
        <v>44500</v>
      </c>
      <c r="M873" s="112"/>
      <c r="N873" s="9">
        <f>+L873/2</f>
        <v>22250</v>
      </c>
      <c r="O873" s="9">
        <f>+N873-M873-K873</f>
        <v>15392.11</v>
      </c>
      <c r="P873" s="9">
        <f>+M873+K873</f>
        <v>6857.89</v>
      </c>
      <c r="Q873" s="139">
        <f>+O873/N873</f>
        <v>0.69178022471910117</v>
      </c>
      <c r="R873" s="345">
        <v>44500</v>
      </c>
      <c r="S873" s="359" t="s">
        <v>1948</v>
      </c>
      <c r="T873" s="305">
        <v>0.69178022471910117</v>
      </c>
      <c r="U873" s="212"/>
      <c r="V873" s="100"/>
      <c r="W873" s="110">
        <f>+L873</f>
        <v>44500</v>
      </c>
      <c r="X873" s="110">
        <f>+K873</f>
        <v>6857.89</v>
      </c>
      <c r="Y873" s="110">
        <f>+M873</f>
        <v>0</v>
      </c>
      <c r="Z873" s="110">
        <f>+W873/2-X873-Y873</f>
        <v>15392.11</v>
      </c>
      <c r="AA873" s="260">
        <f>+Z873/(W873/2)</f>
        <v>0.69178022471910117</v>
      </c>
      <c r="AB873" s="28">
        <f>ROUND($W873/2/$X$1,1)</f>
        <v>14.7</v>
      </c>
      <c r="AC873" s="261">
        <f>+(AB873*$X$1-$X873-$Y873)/(AB873*$X$1)</f>
        <v>0.69236852670511007</v>
      </c>
      <c r="AD873" s="111">
        <f>+IFERROR(ROUND(($X873+$Y873)/(1-$X$2)/$X$1,1),0)</f>
        <v>4.8</v>
      </c>
      <c r="AE873" s="262">
        <f>+(AD873*$X$1-$X873-$Y873)/(AD873*$X$1)</f>
        <v>5.7878613034399319E-2</v>
      </c>
      <c r="AF873" s="100"/>
      <c r="AG873" s="111">
        <f>+IFERROR(ROUND(($X873+$Y873)/(1-$AG$2)/$X$1,1),0)</f>
        <v>7.5</v>
      </c>
      <c r="AH873" s="262">
        <f>+(AG873*$X$1-$X873-$Y873)/(AG873*$X$1)</f>
        <v>0.39704231234201559</v>
      </c>
      <c r="AI873" s="100"/>
      <c r="AJ873" s="111">
        <f>+IFERROR(ROUND(($X873+$Y873)/(1-$AJ$2)/$X$1,1),0)</f>
        <v>7</v>
      </c>
      <c r="AK873" s="262">
        <f>+(AJ873*$X$1-$X873-$Y873)/(AJ873*$X$1)</f>
        <v>0.35397390608073098</v>
      </c>
      <c r="AL873" s="100"/>
      <c r="AM873" s="111">
        <f>+IFERROR(ROUND(($X873+$Y873)/(1-$AM$2)/$X$1,1),0)</f>
        <v>6.5</v>
      </c>
      <c r="AN873" s="262">
        <f>+(AM873*$X$1-$X873-$Y873)/(AM873*$X$1)</f>
        <v>0.3042795911638641</v>
      </c>
      <c r="AO873" s="100"/>
      <c r="AP873" s="24" t="e">
        <f>VLOOKUP(C873,#REF!,6,FALSE)</f>
        <v>#REF!</v>
      </c>
      <c r="AQ873" s="24" t="e">
        <f>VLOOKUP(C873,#REF!,7,FALSE)</f>
        <v>#REF!</v>
      </c>
      <c r="AR873" s="24" t="e">
        <f>VLOOKUP(C873,#REF!,12,FALSE)</f>
        <v>#REF!</v>
      </c>
      <c r="AS873" s="24" t="e">
        <f>VLOOKUP(C873,#REF!,13,FALSE)</f>
        <v>#REF!</v>
      </c>
      <c r="AT873" s="100"/>
      <c r="AU873" s="100"/>
      <c r="AV873" s="100">
        <v>854</v>
      </c>
      <c r="AW873" s="100"/>
      <c r="AY873" s="128">
        <v>44500</v>
      </c>
    </row>
    <row r="874" spans="1:51" s="2" customFormat="1" ht="12.75" customHeight="1" x14ac:dyDescent="0.25">
      <c r="A874" s="1"/>
      <c r="B874" s="3"/>
      <c r="C874" s="3"/>
      <c r="E874" s="274"/>
      <c r="F874" s="275"/>
      <c r="H874" s="132"/>
      <c r="I874" s="132"/>
      <c r="J874" s="132"/>
      <c r="K874" s="132"/>
      <c r="L874" s="134"/>
      <c r="M874" s="132"/>
      <c r="N874" s="132"/>
      <c r="O874" s="132"/>
      <c r="P874" s="132"/>
      <c r="Q874" s="147"/>
      <c r="R874" s="371"/>
      <c r="S874" s="360"/>
      <c r="T874" s="307"/>
      <c r="U874" s="135"/>
      <c r="V874" s="100"/>
      <c r="W874"/>
      <c r="X874"/>
      <c r="Y874"/>
      <c r="Z874"/>
      <c r="AA874"/>
      <c r="AB874"/>
      <c r="AC874"/>
      <c r="AD874" s="263"/>
      <c r="AE874"/>
      <c r="AF874" s="100"/>
      <c r="AG874" s="263"/>
      <c r="AH874"/>
      <c r="AI874" s="100"/>
      <c r="AJ874" s="263"/>
      <c r="AK874"/>
      <c r="AL874" s="100"/>
      <c r="AM874" s="263"/>
      <c r="AN874"/>
      <c r="AO874" s="100"/>
      <c r="AP874" s="100"/>
      <c r="AQ874" s="100"/>
      <c r="AR874" s="100"/>
      <c r="AS874" s="100"/>
      <c r="AT874" s="100"/>
      <c r="AU874" s="100"/>
      <c r="AV874" s="100">
        <v>855</v>
      </c>
      <c r="AW874" s="100"/>
      <c r="AY874" s="134"/>
    </row>
    <row r="875" spans="1:51" s="2" customFormat="1" ht="12.75" customHeight="1" x14ac:dyDescent="0.25">
      <c r="A875" s="202" t="s">
        <v>1645</v>
      </c>
      <c r="B875" s="203"/>
      <c r="C875" s="203"/>
      <c r="D875" s="204"/>
      <c r="E875" s="205"/>
      <c r="F875" s="162"/>
      <c r="G875" s="162"/>
      <c r="H875" s="132"/>
      <c r="I875" s="132"/>
      <c r="J875" s="132"/>
      <c r="K875" s="132"/>
      <c r="L875" s="134"/>
      <c r="M875" s="132"/>
      <c r="N875" s="132"/>
      <c r="O875" s="132"/>
      <c r="P875" s="132"/>
      <c r="Q875" s="147"/>
      <c r="R875" s="371"/>
      <c r="S875" s="360"/>
      <c r="T875" s="307"/>
      <c r="U875" s="135"/>
      <c r="V875" s="100"/>
      <c r="W875"/>
      <c r="X875"/>
      <c r="Y875"/>
      <c r="Z875"/>
      <c r="AA875"/>
      <c r="AB875"/>
      <c r="AC875"/>
      <c r="AD875" s="263"/>
      <c r="AE875"/>
      <c r="AF875" s="100"/>
      <c r="AG875" s="263"/>
      <c r="AH875"/>
      <c r="AI875" s="100"/>
      <c r="AJ875" s="263"/>
      <c r="AK875"/>
      <c r="AL875" s="100"/>
      <c r="AM875" s="263"/>
      <c r="AN875"/>
      <c r="AO875" s="100"/>
      <c r="AP875" s="100"/>
      <c r="AQ875" s="100"/>
      <c r="AR875" s="100"/>
      <c r="AS875" s="100"/>
      <c r="AT875" s="100"/>
      <c r="AU875" s="100"/>
      <c r="AV875" s="100">
        <v>856</v>
      </c>
      <c r="AW875" s="100"/>
      <c r="AY875" s="134"/>
    </row>
    <row r="876" spans="1:51" s="162" customFormat="1" ht="12.75" customHeight="1" x14ac:dyDescent="0.2">
      <c r="A876" s="6" t="s">
        <v>1646</v>
      </c>
      <c r="B876" s="8">
        <v>9789500299374</v>
      </c>
      <c r="C876" s="6">
        <v>628251</v>
      </c>
      <c r="D876" s="7">
        <v>16</v>
      </c>
      <c r="E876" s="7" t="s">
        <v>312</v>
      </c>
      <c r="F876" s="11" t="s">
        <v>313</v>
      </c>
      <c r="G876" s="107">
        <v>42856</v>
      </c>
      <c r="H876" s="108">
        <v>42795</v>
      </c>
      <c r="I876" s="24">
        <v>4200</v>
      </c>
      <c r="J876" s="28" t="s">
        <v>1946</v>
      </c>
      <c r="K876" s="28">
        <v>77.540000000000006</v>
      </c>
      <c r="L876" s="28">
        <v>17600</v>
      </c>
      <c r="M876" s="112"/>
      <c r="N876" s="9">
        <f>+L876/2</f>
        <v>8800</v>
      </c>
      <c r="O876" s="9">
        <f>+N876-M876-K876</f>
        <v>8722.4599999999991</v>
      </c>
      <c r="P876" s="9">
        <f>+M876+K876</f>
        <v>77.540000000000006</v>
      </c>
      <c r="Q876" s="139">
        <f>+O876/N876</f>
        <v>0.9911886363636363</v>
      </c>
      <c r="R876" s="345">
        <v>17600</v>
      </c>
      <c r="S876" s="359" t="s">
        <v>1948</v>
      </c>
      <c r="T876" s="305">
        <v>0.9911886363636363</v>
      </c>
      <c r="U876" s="144"/>
      <c r="V876" s="100"/>
      <c r="W876" s="110">
        <f>+L876</f>
        <v>17600</v>
      </c>
      <c r="X876" s="110">
        <f>+K876</f>
        <v>77.540000000000006</v>
      </c>
      <c r="Y876" s="110">
        <f>+M876</f>
        <v>0</v>
      </c>
      <c r="Z876" s="110">
        <f>+W876/2-X876-Y876</f>
        <v>8722.4599999999991</v>
      </c>
      <c r="AA876" s="260">
        <f>+Z876/(W876/2)</f>
        <v>0.9911886363636363</v>
      </c>
      <c r="AB876" s="28">
        <f>ROUND($W876/2/$X$1,1)</f>
        <v>5.8</v>
      </c>
      <c r="AC876" s="261">
        <f>+(AB876*$X$1-$X876-$Y876)/(AB876*$X$1)</f>
        <v>0.9911843287060722</v>
      </c>
      <c r="AD876" s="111">
        <f>+IFERROR(ROUND(($X876+$Y876)/(1-$X$2)/$X$1,1),0)</f>
        <v>0.1</v>
      </c>
      <c r="AE876" s="262">
        <f>+(AD876*$X$1-$X876-$Y876)/(AD876*$X$1)</f>
        <v>0.4886910649521925</v>
      </c>
      <c r="AF876" s="100"/>
      <c r="AG876" s="111">
        <f>+IFERROR(ROUND(($X876+$Y876)/(1-$AG$2)/$X$1,1),0)</f>
        <v>0.1</v>
      </c>
      <c r="AH876" s="262">
        <f>+(AG876*$X$1-$X876-$Y876)/(AG876*$X$1)</f>
        <v>0.4886910649521925</v>
      </c>
      <c r="AI876" s="100"/>
      <c r="AJ876" s="111">
        <f>+IFERROR(ROUND(($X876+$Y876)/(1-$AJ$2)/$X$1,1),0)</f>
        <v>0.1</v>
      </c>
      <c r="AK876" s="262">
        <f>+(AJ876*$X$1-$X876-$Y876)/(AJ876*$X$1)</f>
        <v>0.4886910649521925</v>
      </c>
      <c r="AL876" s="100"/>
      <c r="AM876" s="111">
        <f>+IFERROR(ROUND(($X876+$Y876)/(1-$AM$2)/$X$1,1),0)</f>
        <v>0.1</v>
      </c>
      <c r="AN876" s="262">
        <f>+(AM876*$X$1-$X876-$Y876)/(AM876*$X$1)</f>
        <v>0.4886910649521925</v>
      </c>
      <c r="AO876" s="100"/>
      <c r="AP876" s="24" t="e">
        <f>VLOOKUP(C876,#REF!,6,FALSE)</f>
        <v>#REF!</v>
      </c>
      <c r="AQ876" s="24" t="e">
        <f>VLOOKUP(C876,#REF!,7,FALSE)</f>
        <v>#REF!</v>
      </c>
      <c r="AR876" s="24" t="e">
        <f>VLOOKUP(C876,#REF!,12,FALSE)</f>
        <v>#REF!</v>
      </c>
      <c r="AS876" s="24" t="e">
        <f>VLOOKUP(C876,#REF!,13,FALSE)</f>
        <v>#REF!</v>
      </c>
      <c r="AT876" s="100"/>
      <c r="AU876" s="100"/>
      <c r="AV876" s="100">
        <v>857</v>
      </c>
      <c r="AW876" s="100"/>
      <c r="AY876" s="28">
        <v>17600</v>
      </c>
    </row>
    <row r="877" spans="1:51" s="2" customFormat="1" ht="12.75" customHeight="1" x14ac:dyDescent="0.2">
      <c r="A877" s="6" t="s">
        <v>1647</v>
      </c>
      <c r="B877" s="8">
        <v>9789500299381</v>
      </c>
      <c r="C877" s="6">
        <v>628252</v>
      </c>
      <c r="D877" s="7">
        <v>16</v>
      </c>
      <c r="E877" s="7" t="s">
        <v>312</v>
      </c>
      <c r="F877" s="11" t="s">
        <v>314</v>
      </c>
      <c r="G877" s="107">
        <v>42856</v>
      </c>
      <c r="H877" s="108">
        <v>42795</v>
      </c>
      <c r="I877" s="24">
        <v>4200</v>
      </c>
      <c r="J877" s="28" t="s">
        <v>1946</v>
      </c>
      <c r="K877" s="28">
        <v>77.540000000000006</v>
      </c>
      <c r="L877" s="28">
        <v>17600</v>
      </c>
      <c r="M877" s="112"/>
      <c r="N877" s="9">
        <f>+L877/2</f>
        <v>8800</v>
      </c>
      <c r="O877" s="9">
        <f>+N877-M877-K877</f>
        <v>8722.4599999999991</v>
      </c>
      <c r="P877" s="9">
        <f>+M877+K877</f>
        <v>77.540000000000006</v>
      </c>
      <c r="Q877" s="139">
        <f>+O877/N877</f>
        <v>0.9911886363636363</v>
      </c>
      <c r="R877" s="345">
        <v>17600</v>
      </c>
      <c r="S877" s="359" t="s">
        <v>1948</v>
      </c>
      <c r="T877" s="305">
        <v>0.9911886363636363</v>
      </c>
      <c r="U877" s="144"/>
      <c r="V877" s="100"/>
      <c r="W877" s="110">
        <f>+L877</f>
        <v>17600</v>
      </c>
      <c r="X877" s="110">
        <f>+K877</f>
        <v>77.540000000000006</v>
      </c>
      <c r="Y877" s="110">
        <f>+M877</f>
        <v>0</v>
      </c>
      <c r="Z877" s="110">
        <f>+W877/2-X877-Y877</f>
        <v>8722.4599999999991</v>
      </c>
      <c r="AA877" s="260">
        <f>+Z877/(W877/2)</f>
        <v>0.9911886363636363</v>
      </c>
      <c r="AB877" s="28">
        <f>ROUND($W877/2/$X$1,1)</f>
        <v>5.8</v>
      </c>
      <c r="AC877" s="261">
        <f>+(AB877*$X$1-$X877-$Y877)/(AB877*$X$1)</f>
        <v>0.9911843287060722</v>
      </c>
      <c r="AD877" s="111">
        <f>+IFERROR(ROUND(($X877+$Y877)/(1-$X$2)/$X$1,1),0)</f>
        <v>0.1</v>
      </c>
      <c r="AE877" s="262">
        <f>+(AD877*$X$1-$X877-$Y877)/(AD877*$X$1)</f>
        <v>0.4886910649521925</v>
      </c>
      <c r="AF877" s="100"/>
      <c r="AG877" s="111">
        <f>+IFERROR(ROUND(($X877+$Y877)/(1-$AG$2)/$X$1,1),0)</f>
        <v>0.1</v>
      </c>
      <c r="AH877" s="262">
        <f>+(AG877*$X$1-$X877-$Y877)/(AG877*$X$1)</f>
        <v>0.4886910649521925</v>
      </c>
      <c r="AI877" s="100"/>
      <c r="AJ877" s="111">
        <f>+IFERROR(ROUND(($X877+$Y877)/(1-$AJ$2)/$X$1,1),0)</f>
        <v>0.1</v>
      </c>
      <c r="AK877" s="262">
        <f>+(AJ877*$X$1-$X877-$Y877)/(AJ877*$X$1)</f>
        <v>0.4886910649521925</v>
      </c>
      <c r="AL877" s="100"/>
      <c r="AM877" s="111">
        <f>+IFERROR(ROUND(($X877+$Y877)/(1-$AM$2)/$X$1,1),0)</f>
        <v>0.1</v>
      </c>
      <c r="AN877" s="262">
        <f>+(AM877*$X$1-$X877-$Y877)/(AM877*$X$1)</f>
        <v>0.4886910649521925</v>
      </c>
      <c r="AO877" s="100"/>
      <c r="AP877" s="24" t="e">
        <f>VLOOKUP(C877,#REF!,6,FALSE)</f>
        <v>#REF!</v>
      </c>
      <c r="AQ877" s="24" t="e">
        <f>VLOOKUP(C877,#REF!,7,FALSE)</f>
        <v>#REF!</v>
      </c>
      <c r="AR877" s="24" t="e">
        <f>VLOOKUP(C877,#REF!,12,FALSE)</f>
        <v>#REF!</v>
      </c>
      <c r="AS877" s="24" t="e">
        <f>VLOOKUP(C877,#REF!,13,FALSE)</f>
        <v>#REF!</v>
      </c>
      <c r="AT877" s="100"/>
      <c r="AU877" s="100"/>
      <c r="AV877" s="100">
        <v>858</v>
      </c>
      <c r="AW877" s="100"/>
      <c r="AY877" s="28">
        <v>17600</v>
      </c>
    </row>
    <row r="878" spans="1:51" s="2" customFormat="1" ht="12.75" customHeight="1" x14ac:dyDescent="0.25">
      <c r="A878" s="68"/>
      <c r="B878" s="333"/>
      <c r="C878" s="333"/>
      <c r="D878" s="346"/>
      <c r="E878" s="68"/>
      <c r="F878" s="68"/>
      <c r="G878" s="68"/>
      <c r="H878" s="68"/>
      <c r="I878" s="68"/>
      <c r="J878" s="68"/>
      <c r="K878" s="132"/>
      <c r="L878" s="134"/>
      <c r="M878" s="132"/>
      <c r="N878" s="132"/>
      <c r="O878" s="132"/>
      <c r="P878" s="132"/>
      <c r="Q878" s="147"/>
      <c r="R878" s="371"/>
      <c r="S878" s="360"/>
      <c r="T878" s="307"/>
      <c r="U878" s="135"/>
      <c r="V878" s="100"/>
      <c r="W878"/>
      <c r="X878"/>
      <c r="Y878"/>
      <c r="Z878"/>
      <c r="AA878"/>
      <c r="AB878"/>
      <c r="AC878"/>
      <c r="AD878" s="263"/>
      <c r="AE878"/>
      <c r="AF878" s="100"/>
      <c r="AG878" s="263"/>
      <c r="AH878"/>
      <c r="AI878" s="100"/>
      <c r="AJ878" s="263"/>
      <c r="AK878"/>
      <c r="AL878" s="100"/>
      <c r="AM878" s="263"/>
      <c r="AN878"/>
      <c r="AO878" s="100"/>
      <c r="AP878" s="100"/>
      <c r="AQ878" s="100"/>
      <c r="AR878" s="100"/>
      <c r="AS878" s="100"/>
      <c r="AT878" s="100"/>
      <c r="AU878" s="100"/>
      <c r="AV878" s="100">
        <v>859</v>
      </c>
      <c r="AW878" s="100"/>
      <c r="AY878" s="134"/>
    </row>
    <row r="879" spans="1:51" s="68" customFormat="1" ht="12.75" customHeight="1" x14ac:dyDescent="0.3">
      <c r="A879" s="276" t="s">
        <v>671</v>
      </c>
      <c r="B879" s="133"/>
      <c r="C879" s="133"/>
      <c r="D879" s="154"/>
      <c r="E879" s="197"/>
      <c r="F879" s="132"/>
      <c r="G879" s="132"/>
      <c r="H879" s="132"/>
      <c r="I879" s="132"/>
      <c r="J879" s="132"/>
      <c r="K879" s="132"/>
      <c r="L879" s="134"/>
      <c r="M879" s="132"/>
      <c r="N879" s="132"/>
      <c r="O879" s="132"/>
      <c r="P879" s="132"/>
      <c r="Q879" s="147"/>
      <c r="R879" s="371"/>
      <c r="S879" s="360"/>
      <c r="T879" s="307"/>
      <c r="U879" s="135"/>
      <c r="V879" s="100"/>
      <c r="W879"/>
      <c r="X879"/>
      <c r="Y879"/>
      <c r="Z879"/>
      <c r="AA879"/>
      <c r="AB879"/>
      <c r="AC879"/>
      <c r="AD879" s="263"/>
      <c r="AE879"/>
      <c r="AF879" s="100"/>
      <c r="AG879" s="263"/>
      <c r="AH879"/>
      <c r="AI879" s="100"/>
      <c r="AJ879" s="263"/>
      <c r="AK879"/>
      <c r="AL879" s="100"/>
      <c r="AM879" s="263"/>
      <c r="AN879"/>
      <c r="AO879" s="100"/>
      <c r="AP879" s="100"/>
      <c r="AQ879" s="100"/>
      <c r="AR879" s="100"/>
      <c r="AS879" s="100"/>
      <c r="AT879" s="100"/>
      <c r="AU879" s="100"/>
      <c r="AV879" s="100">
        <v>860</v>
      </c>
      <c r="AW879" s="100"/>
      <c r="AY879" s="134"/>
    </row>
    <row r="880" spans="1:51" s="2" customFormat="1" ht="12.75" customHeight="1" x14ac:dyDescent="0.2">
      <c r="A880" s="6" t="s">
        <v>2404</v>
      </c>
      <c r="B880" s="153">
        <v>9789500217309</v>
      </c>
      <c r="C880" s="8">
        <v>748590</v>
      </c>
      <c r="D880" s="41">
        <v>10</v>
      </c>
      <c r="E880" s="6" t="s">
        <v>2405</v>
      </c>
      <c r="F880" s="6" t="s">
        <v>2406</v>
      </c>
      <c r="G880" s="107">
        <v>46235</v>
      </c>
      <c r="H880" s="108">
        <v>46204</v>
      </c>
      <c r="I880" s="267">
        <v>4000</v>
      </c>
      <c r="J880" s="7" t="s">
        <v>1894</v>
      </c>
      <c r="K880" s="148">
        <v>5163.38</v>
      </c>
      <c r="L880" s="9">
        <v>23900</v>
      </c>
      <c r="M880" s="112"/>
      <c r="N880" s="9">
        <f t="shared" ref="N880:N894" si="744">+L880/2</f>
        <v>11950</v>
      </c>
      <c r="O880" s="9">
        <f t="shared" ref="O880:O894" si="745">+N880-M880-K880</f>
        <v>6786.62</v>
      </c>
      <c r="P880" s="9">
        <f t="shared" ref="P880:P894" si="746">+M880+K880</f>
        <v>5163.38</v>
      </c>
      <c r="Q880" s="139">
        <f t="shared" ref="Q880:Q894" si="747">+O880/N880</f>
        <v>0.56791799163179912</v>
      </c>
      <c r="R880" s="389">
        <v>23900</v>
      </c>
      <c r="S880" s="359" t="s">
        <v>1948</v>
      </c>
      <c r="T880" s="305">
        <v>0.62902122905027935</v>
      </c>
      <c r="U880" s="144"/>
      <c r="V880" s="100"/>
      <c r="W880" s="110">
        <f t="shared" ref="W880:W894" si="748">+L880</f>
        <v>23900</v>
      </c>
      <c r="X880" s="110">
        <f t="shared" ref="X880:X894" si="749">+K880</f>
        <v>5163.38</v>
      </c>
      <c r="Y880" s="110">
        <f t="shared" ref="Y880:Y894" si="750">+M880</f>
        <v>0</v>
      </c>
      <c r="Z880" s="110">
        <f t="shared" ref="Z880:Z894" si="751">+W880/2-X880-Y880</f>
        <v>6786.62</v>
      </c>
      <c r="AA880" s="260">
        <f t="shared" ref="AA880:AA894" si="752">+Z880/(W880/2)</f>
        <v>0.56791799163179912</v>
      </c>
      <c r="AB880" s="28">
        <f t="shared" ref="AB880:AB894" si="753">ROUND($W880/2/$X$1,1)</f>
        <v>7.9</v>
      </c>
      <c r="AC880" s="261">
        <f t="shared" ref="AC880:AC894" si="754">+(AB880*$X$1-$X880-$Y880)/(AB880*$X$1)</f>
        <v>0.56901259145183569</v>
      </c>
      <c r="AD880" s="111">
        <f t="shared" ref="AD880:AD894" si="755">+IFERROR(ROUND(($X880+$Y880)/(1-$X$2)/$X$1,1),0)</f>
        <v>3.6</v>
      </c>
      <c r="AE880" s="262">
        <f t="shared" ref="AE880:AE894" si="756">+(AD880*$X$1-$X880-$Y880)/(AD880*$X$1)</f>
        <v>5.4222075685972891E-2</v>
      </c>
      <c r="AF880" s="100"/>
      <c r="AG880" s="111">
        <f t="shared" ref="AG880:AG894" si="757">+IFERROR(ROUND(($X880+$Y880)/(1-$AG$2)/$X$1,1),0)</f>
        <v>5.7</v>
      </c>
      <c r="AH880" s="262">
        <f t="shared" ref="AH880:AH894" si="758">+(AG880*$X$1-$X880-$Y880)/(AG880*$X$1)</f>
        <v>0.4026665741174566</v>
      </c>
      <c r="AI880" s="100"/>
      <c r="AJ880" s="111">
        <f t="shared" ref="AJ880:AJ894" si="759">+IFERROR(ROUND(($X880+$Y880)/(1-$AJ$2)/$X$1,1),0)</f>
        <v>5.2</v>
      </c>
      <c r="AK880" s="262">
        <f t="shared" ref="AK880:AK894" si="760">+(AJ880*$X$1-$X880-$Y880)/(AJ880*$X$1)</f>
        <v>0.34523066778259659</v>
      </c>
      <c r="AL880" s="100"/>
      <c r="AM880" s="111">
        <f t="shared" ref="AM880:AM894" si="761">+IFERROR(ROUND(($X880+$Y880)/(1-$AM$2)/$X$1,1),0)</f>
        <v>4.9000000000000004</v>
      </c>
      <c r="AN880" s="262">
        <f t="shared" ref="AN880:AN894" si="762">+(AM880*$X$1-$X880-$Y880)/(AM880*$X$1)</f>
        <v>0.3051427494835719</v>
      </c>
      <c r="AO880" s="100"/>
      <c r="AP880" s="24" t="e">
        <f>VLOOKUP(C880,#REF!,6,FALSE)</f>
        <v>#REF!</v>
      </c>
      <c r="AQ880" s="24" t="e">
        <f>VLOOKUP(C880,#REF!,7,FALSE)</f>
        <v>#REF!</v>
      </c>
      <c r="AR880" s="24" t="e">
        <f>VLOOKUP(C880,#REF!,12,FALSE)</f>
        <v>#REF!</v>
      </c>
      <c r="AS880" s="24" t="e">
        <f>VLOOKUP(C880,#REF!,13,FALSE)</f>
        <v>#REF!</v>
      </c>
      <c r="AT880" s="100"/>
      <c r="AU880" s="100"/>
      <c r="AV880" s="100">
        <v>861</v>
      </c>
      <c r="AW880" s="100"/>
      <c r="AY880" s="9">
        <v>23900</v>
      </c>
    </row>
    <row r="881" spans="1:51" s="2" customFormat="1" ht="12.75" customHeight="1" x14ac:dyDescent="0.2">
      <c r="A881" s="6" t="s">
        <v>2186</v>
      </c>
      <c r="B881" s="153">
        <v>9789500216357</v>
      </c>
      <c r="C881" s="6">
        <v>737041</v>
      </c>
      <c r="D881" s="41">
        <v>10</v>
      </c>
      <c r="E881" s="6" t="s">
        <v>2158</v>
      </c>
      <c r="F881" s="6" t="s">
        <v>2187</v>
      </c>
      <c r="G881" s="107">
        <v>46023</v>
      </c>
      <c r="H881" s="108">
        <v>45931</v>
      </c>
      <c r="I881" s="7">
        <v>3000</v>
      </c>
      <c r="J881" s="6" t="s">
        <v>1333</v>
      </c>
      <c r="K881" s="148">
        <v>3320.26</v>
      </c>
      <c r="L881" s="9">
        <v>18900</v>
      </c>
      <c r="M881" s="112"/>
      <c r="N881" s="9">
        <f t="shared" si="744"/>
        <v>9450</v>
      </c>
      <c r="O881" s="9">
        <f t="shared" si="745"/>
        <v>6129.74</v>
      </c>
      <c r="P881" s="9">
        <f t="shared" si="746"/>
        <v>3320.26</v>
      </c>
      <c r="Q881" s="139">
        <f t="shared" si="747"/>
        <v>0.64864973544973548</v>
      </c>
      <c r="R881" s="387">
        <v>18900</v>
      </c>
      <c r="S881" s="359" t="s">
        <v>1948</v>
      </c>
      <c r="T881" s="305">
        <v>0.62902122905027935</v>
      </c>
      <c r="U881" s="144"/>
      <c r="V881" s="100"/>
      <c r="W881" s="110">
        <f t="shared" si="748"/>
        <v>18900</v>
      </c>
      <c r="X881" s="110">
        <f t="shared" si="749"/>
        <v>3320.26</v>
      </c>
      <c r="Y881" s="110">
        <f t="shared" si="750"/>
        <v>0</v>
      </c>
      <c r="Z881" s="110">
        <f t="shared" si="751"/>
        <v>6129.74</v>
      </c>
      <c r="AA881" s="260">
        <f t="shared" si="752"/>
        <v>0.64864973544973548</v>
      </c>
      <c r="AB881" s="28">
        <f t="shared" si="753"/>
        <v>6.2</v>
      </c>
      <c r="AC881" s="261">
        <f t="shared" si="754"/>
        <v>0.64686725588419858</v>
      </c>
      <c r="AD881" s="111">
        <f t="shared" si="755"/>
        <v>2.2999999999999998</v>
      </c>
      <c r="AE881" s="262">
        <f t="shared" si="756"/>
        <v>4.807695064436119E-2</v>
      </c>
      <c r="AF881" s="100"/>
      <c r="AG881" s="111">
        <f t="shared" si="757"/>
        <v>3.6</v>
      </c>
      <c r="AH881" s="262">
        <f t="shared" si="758"/>
        <v>0.39182694068945306</v>
      </c>
      <c r="AI881" s="100"/>
      <c r="AJ881" s="111">
        <f t="shared" si="759"/>
        <v>3.4</v>
      </c>
      <c r="AK881" s="262">
        <f t="shared" si="760"/>
        <v>0.35605205484765606</v>
      </c>
      <c r="AL881" s="100"/>
      <c r="AM881" s="111">
        <f t="shared" si="761"/>
        <v>3.1</v>
      </c>
      <c r="AN881" s="262">
        <f t="shared" si="762"/>
        <v>0.29373451176839716</v>
      </c>
      <c r="AO881" s="100"/>
      <c r="AP881" s="24" t="e">
        <f>VLOOKUP(C881,#REF!,6,FALSE)</f>
        <v>#REF!</v>
      </c>
      <c r="AQ881" s="24" t="e">
        <f>VLOOKUP(C881,#REF!,7,FALSE)</f>
        <v>#REF!</v>
      </c>
      <c r="AR881" s="24" t="e">
        <f>VLOOKUP(C881,#REF!,12,FALSE)</f>
        <v>#REF!</v>
      </c>
      <c r="AS881" s="24" t="e">
        <f>VLOOKUP(C881,#REF!,13,FALSE)</f>
        <v>#REF!</v>
      </c>
      <c r="AT881" s="100"/>
      <c r="AU881" s="100"/>
      <c r="AV881" s="100">
        <v>862</v>
      </c>
      <c r="AW881" s="100"/>
      <c r="AY881" s="9">
        <v>18900</v>
      </c>
    </row>
    <row r="882" spans="1:51" s="2" customFormat="1" ht="12.75" customHeight="1" x14ac:dyDescent="0.2">
      <c r="A882" s="6" t="s">
        <v>2107</v>
      </c>
      <c r="B882" s="279">
        <v>9789500215886</v>
      </c>
      <c r="C882" s="6">
        <v>732485</v>
      </c>
      <c r="D882" s="41">
        <v>10</v>
      </c>
      <c r="E882" s="6" t="s">
        <v>2108</v>
      </c>
      <c r="F882" s="6" t="s">
        <v>2109</v>
      </c>
      <c r="G882" s="107">
        <v>45870</v>
      </c>
      <c r="H882" s="108">
        <v>46054</v>
      </c>
      <c r="I882" s="239">
        <v>4000</v>
      </c>
      <c r="J882" s="116" t="s">
        <v>1762</v>
      </c>
      <c r="K882" s="148">
        <v>4446.3</v>
      </c>
      <c r="L882" s="295">
        <v>23900</v>
      </c>
      <c r="M882" s="112"/>
      <c r="N882" s="9">
        <f t="shared" si="744"/>
        <v>11950</v>
      </c>
      <c r="O882" s="9">
        <f t="shared" si="745"/>
        <v>7503.7</v>
      </c>
      <c r="P882" s="9">
        <f t="shared" si="746"/>
        <v>4446.3</v>
      </c>
      <c r="Q882" s="139">
        <f t="shared" si="747"/>
        <v>0.62792468619246855</v>
      </c>
      <c r="R882" s="387">
        <v>23900</v>
      </c>
      <c r="S882" s="359" t="s">
        <v>1948</v>
      </c>
      <c r="T882" s="305">
        <v>0.61167685589519649</v>
      </c>
      <c r="U882" s="144"/>
      <c r="V882" s="100"/>
      <c r="W882" s="110">
        <f t="shared" si="748"/>
        <v>23900</v>
      </c>
      <c r="X882" s="110">
        <f t="shared" si="749"/>
        <v>4446.3</v>
      </c>
      <c r="Y882" s="110">
        <f t="shared" si="750"/>
        <v>0</v>
      </c>
      <c r="Z882" s="110">
        <f t="shared" si="751"/>
        <v>7503.7</v>
      </c>
      <c r="AA882" s="260">
        <f t="shared" si="752"/>
        <v>0.62792468619246855</v>
      </c>
      <c r="AB882" s="28">
        <f t="shared" si="753"/>
        <v>7.9</v>
      </c>
      <c r="AC882" s="261">
        <f t="shared" si="754"/>
        <v>0.62886727015487864</v>
      </c>
      <c r="AD882" s="111">
        <f t="shared" si="755"/>
        <v>3.1</v>
      </c>
      <c r="AE882" s="262">
        <f t="shared" si="756"/>
        <v>5.4210140072110086E-2</v>
      </c>
      <c r="AF882" s="100"/>
      <c r="AG882" s="111">
        <f t="shared" si="757"/>
        <v>4.9000000000000004</v>
      </c>
      <c r="AH882" s="262">
        <f t="shared" si="758"/>
        <v>0.40164314984153898</v>
      </c>
      <c r="AI882" s="100"/>
      <c r="AJ882" s="111">
        <f t="shared" si="759"/>
        <v>4.5</v>
      </c>
      <c r="AK882" s="262">
        <f t="shared" si="760"/>
        <v>0.348455874271898</v>
      </c>
      <c r="AL882" s="100"/>
      <c r="AM882" s="111">
        <f t="shared" si="761"/>
        <v>4.2</v>
      </c>
      <c r="AN882" s="262">
        <f t="shared" si="762"/>
        <v>0.30191700814846212</v>
      </c>
      <c r="AO882" s="100"/>
      <c r="AP882" s="24" t="e">
        <f>VLOOKUP(C882,#REF!,6,FALSE)</f>
        <v>#REF!</v>
      </c>
      <c r="AQ882" s="24" t="e">
        <f>VLOOKUP(C882,#REF!,7,FALSE)</f>
        <v>#REF!</v>
      </c>
      <c r="AR882" s="24" t="e">
        <f>VLOOKUP(C882,#REF!,12,FALSE)</f>
        <v>#REF!</v>
      </c>
      <c r="AS882" s="24" t="e">
        <f>VLOOKUP(C882,#REF!,13,FALSE)</f>
        <v>#REF!</v>
      </c>
      <c r="AT882" s="100"/>
      <c r="AU882" s="100"/>
      <c r="AV882" s="100">
        <v>863</v>
      </c>
      <c r="AW882" s="100"/>
      <c r="AY882" s="295">
        <v>23900</v>
      </c>
    </row>
    <row r="883" spans="1:51" s="2" customFormat="1" ht="12.75" customHeight="1" x14ac:dyDescent="0.2">
      <c r="A883" s="6" t="s">
        <v>2110</v>
      </c>
      <c r="B883" s="279">
        <v>9789500215893</v>
      </c>
      <c r="C883" s="6">
        <v>732486</v>
      </c>
      <c r="D883" s="41">
        <v>10</v>
      </c>
      <c r="E883" s="6" t="s">
        <v>2108</v>
      </c>
      <c r="F883" s="6" t="s">
        <v>2111</v>
      </c>
      <c r="G883" s="107">
        <v>45870</v>
      </c>
      <c r="H883" s="108">
        <v>46054</v>
      </c>
      <c r="I883" s="239">
        <v>4000</v>
      </c>
      <c r="J883" s="116" t="s">
        <v>1762</v>
      </c>
      <c r="K883" s="148">
        <v>4446.3</v>
      </c>
      <c r="L883" s="9">
        <v>23900</v>
      </c>
      <c r="M883" s="112"/>
      <c r="N883" s="9">
        <f t="shared" si="744"/>
        <v>11950</v>
      </c>
      <c r="O883" s="9">
        <f t="shared" si="745"/>
        <v>7503.7</v>
      </c>
      <c r="P883" s="9">
        <f t="shared" si="746"/>
        <v>4446.3</v>
      </c>
      <c r="Q883" s="139">
        <f t="shared" si="747"/>
        <v>0.62792468619246855</v>
      </c>
      <c r="R883" s="387">
        <v>23900</v>
      </c>
      <c r="S883" s="359" t="s">
        <v>1948</v>
      </c>
      <c r="T883" s="305">
        <v>0.61167685589519649</v>
      </c>
      <c r="U883" s="144"/>
      <c r="V883" s="100"/>
      <c r="W883" s="110">
        <f t="shared" si="748"/>
        <v>23900</v>
      </c>
      <c r="X883" s="110">
        <f t="shared" si="749"/>
        <v>4446.3</v>
      </c>
      <c r="Y883" s="110">
        <f t="shared" si="750"/>
        <v>0</v>
      </c>
      <c r="Z883" s="110">
        <f t="shared" si="751"/>
        <v>7503.7</v>
      </c>
      <c r="AA883" s="260">
        <f t="shared" si="752"/>
        <v>0.62792468619246855</v>
      </c>
      <c r="AB883" s="28">
        <f t="shared" si="753"/>
        <v>7.9</v>
      </c>
      <c r="AC883" s="261">
        <f t="shared" si="754"/>
        <v>0.62886727015487864</v>
      </c>
      <c r="AD883" s="111">
        <f t="shared" si="755"/>
        <v>3.1</v>
      </c>
      <c r="AE883" s="262">
        <f t="shared" si="756"/>
        <v>5.4210140072110086E-2</v>
      </c>
      <c r="AF883" s="100"/>
      <c r="AG883" s="111">
        <f t="shared" si="757"/>
        <v>4.9000000000000004</v>
      </c>
      <c r="AH883" s="262">
        <f t="shared" si="758"/>
        <v>0.40164314984153898</v>
      </c>
      <c r="AI883" s="100"/>
      <c r="AJ883" s="111">
        <f t="shared" si="759"/>
        <v>4.5</v>
      </c>
      <c r="AK883" s="262">
        <f t="shared" si="760"/>
        <v>0.348455874271898</v>
      </c>
      <c r="AL883" s="100"/>
      <c r="AM883" s="111">
        <f t="shared" si="761"/>
        <v>4.2</v>
      </c>
      <c r="AN883" s="262">
        <f t="shared" si="762"/>
        <v>0.30191700814846212</v>
      </c>
      <c r="AO883" s="100"/>
      <c r="AP883" s="24" t="e">
        <f>VLOOKUP(C883,#REF!,6,FALSE)</f>
        <v>#REF!</v>
      </c>
      <c r="AQ883" s="24" t="e">
        <f>VLOOKUP(C883,#REF!,7,FALSE)</f>
        <v>#REF!</v>
      </c>
      <c r="AR883" s="24" t="e">
        <f>VLOOKUP(C883,#REF!,12,FALSE)</f>
        <v>#REF!</v>
      </c>
      <c r="AS883" s="24" t="e">
        <f>VLOOKUP(C883,#REF!,13,FALSE)</f>
        <v>#REF!</v>
      </c>
      <c r="AT883" s="100"/>
      <c r="AU883" s="100"/>
      <c r="AV883" s="100">
        <v>864</v>
      </c>
      <c r="AW883" s="100"/>
      <c r="AY883" s="9">
        <v>23900</v>
      </c>
    </row>
    <row r="884" spans="1:51" s="2" customFormat="1" ht="12.75" customHeight="1" x14ac:dyDescent="0.2">
      <c r="A884" s="213" t="s">
        <v>1649</v>
      </c>
      <c r="B884" s="8">
        <v>9789500212359</v>
      </c>
      <c r="C884" s="8">
        <v>690838</v>
      </c>
      <c r="D884" s="25">
        <v>18</v>
      </c>
      <c r="E884" s="7" t="s">
        <v>472</v>
      </c>
      <c r="F884" s="7" t="s">
        <v>651</v>
      </c>
      <c r="G884" s="107">
        <v>44593</v>
      </c>
      <c r="H884" s="107">
        <v>44562</v>
      </c>
      <c r="I884" s="7">
        <v>3450</v>
      </c>
      <c r="J884" s="28" t="s">
        <v>2136</v>
      </c>
      <c r="K884" s="9">
        <v>548.4</v>
      </c>
      <c r="L884" s="9">
        <v>19500</v>
      </c>
      <c r="M884" s="112"/>
      <c r="N884" s="9">
        <f t="shared" si="744"/>
        <v>9750</v>
      </c>
      <c r="O884" s="9">
        <f t="shared" si="745"/>
        <v>9201.6</v>
      </c>
      <c r="P884" s="9">
        <f t="shared" si="746"/>
        <v>548.4</v>
      </c>
      <c r="Q884" s="139">
        <f t="shared" si="747"/>
        <v>0.94375384615384617</v>
      </c>
      <c r="R884" s="345">
        <v>19500</v>
      </c>
      <c r="S884" s="359" t="s">
        <v>1948</v>
      </c>
      <c r="T884" s="305">
        <v>0.94375384615384617</v>
      </c>
      <c r="U884" s="144"/>
      <c r="V884" s="100"/>
      <c r="W884" s="110">
        <f t="shared" si="748"/>
        <v>19500</v>
      </c>
      <c r="X884" s="110">
        <f t="shared" si="749"/>
        <v>548.4</v>
      </c>
      <c r="Y884" s="110">
        <f t="shared" si="750"/>
        <v>0</v>
      </c>
      <c r="Z884" s="110">
        <f t="shared" si="751"/>
        <v>9201.6</v>
      </c>
      <c r="AA884" s="260">
        <f t="shared" si="752"/>
        <v>0.94375384615384617</v>
      </c>
      <c r="AB884" s="28">
        <f t="shared" si="753"/>
        <v>6.4</v>
      </c>
      <c r="AC884" s="261">
        <f t="shared" si="754"/>
        <v>0.94349653808110789</v>
      </c>
      <c r="AD884" s="111">
        <f t="shared" si="755"/>
        <v>0.4</v>
      </c>
      <c r="AE884" s="262">
        <f t="shared" si="756"/>
        <v>9.5944609297725095E-2</v>
      </c>
      <c r="AF884" s="100"/>
      <c r="AG884" s="111">
        <f t="shared" si="757"/>
        <v>0.6</v>
      </c>
      <c r="AH884" s="262">
        <f t="shared" si="758"/>
        <v>0.39729640619848339</v>
      </c>
      <c r="AI884" s="100"/>
      <c r="AJ884" s="111">
        <f t="shared" si="759"/>
        <v>0.6</v>
      </c>
      <c r="AK884" s="262">
        <f t="shared" si="760"/>
        <v>0.39729640619848339</v>
      </c>
      <c r="AL884" s="100"/>
      <c r="AM884" s="111">
        <f t="shared" si="761"/>
        <v>0.5</v>
      </c>
      <c r="AN884" s="262">
        <f t="shared" si="762"/>
        <v>0.27675568743818008</v>
      </c>
      <c r="AO884" s="100"/>
      <c r="AP884" s="24" t="e">
        <f>VLOOKUP(C884,#REF!,6,FALSE)</f>
        <v>#REF!</v>
      </c>
      <c r="AQ884" s="24" t="e">
        <f>VLOOKUP(C884,#REF!,7,FALSE)</f>
        <v>#REF!</v>
      </c>
      <c r="AR884" s="24" t="e">
        <f>VLOOKUP(C884,#REF!,12,FALSE)</f>
        <v>#REF!</v>
      </c>
      <c r="AS884" s="24" t="e">
        <f>VLOOKUP(C884,#REF!,13,FALSE)</f>
        <v>#REF!</v>
      </c>
      <c r="AT884" s="100"/>
      <c r="AU884" s="100"/>
      <c r="AV884" s="100">
        <v>865</v>
      </c>
      <c r="AW884" s="100"/>
      <c r="AY884" s="9">
        <v>19500</v>
      </c>
    </row>
    <row r="885" spans="1:51" s="2" customFormat="1" ht="12.75" customHeight="1" x14ac:dyDescent="0.2">
      <c r="A885" s="213" t="s">
        <v>1650</v>
      </c>
      <c r="B885" s="8">
        <v>9789500212342</v>
      </c>
      <c r="C885" s="8">
        <v>690837</v>
      </c>
      <c r="D885" s="25">
        <v>18</v>
      </c>
      <c r="E885" s="7" t="s">
        <v>472</v>
      </c>
      <c r="F885" s="7" t="s">
        <v>652</v>
      </c>
      <c r="G885" s="107">
        <v>44593</v>
      </c>
      <c r="H885" s="107">
        <v>44562</v>
      </c>
      <c r="I885" s="7">
        <v>3400</v>
      </c>
      <c r="J885" s="28" t="s">
        <v>2136</v>
      </c>
      <c r="K885" s="9">
        <v>548.83000000000004</v>
      </c>
      <c r="L885" s="9">
        <v>19500</v>
      </c>
      <c r="M885" s="112"/>
      <c r="N885" s="9">
        <f t="shared" si="744"/>
        <v>9750</v>
      </c>
      <c r="O885" s="9">
        <f t="shared" si="745"/>
        <v>9201.17</v>
      </c>
      <c r="P885" s="9">
        <f t="shared" si="746"/>
        <v>548.83000000000004</v>
      </c>
      <c r="Q885" s="139">
        <f t="shared" si="747"/>
        <v>0.94370974358974358</v>
      </c>
      <c r="R885" s="345">
        <v>19500</v>
      </c>
      <c r="S885" s="359" t="s">
        <v>1948</v>
      </c>
      <c r="T885" s="305">
        <v>0.94370974358974358</v>
      </c>
      <c r="U885" s="144"/>
      <c r="V885" s="100"/>
      <c r="W885" s="110">
        <f t="shared" si="748"/>
        <v>19500</v>
      </c>
      <c r="X885" s="110">
        <f t="shared" si="749"/>
        <v>548.83000000000004</v>
      </c>
      <c r="Y885" s="110">
        <f t="shared" si="750"/>
        <v>0</v>
      </c>
      <c r="Z885" s="110">
        <f t="shared" si="751"/>
        <v>9201.17</v>
      </c>
      <c r="AA885" s="260">
        <f t="shared" si="752"/>
        <v>0.94370974358974358</v>
      </c>
      <c r="AB885" s="28">
        <f t="shared" si="753"/>
        <v>6.4</v>
      </c>
      <c r="AC885" s="261">
        <f t="shared" si="754"/>
        <v>0.94345223376195186</v>
      </c>
      <c r="AD885" s="111">
        <f t="shared" si="755"/>
        <v>0.4</v>
      </c>
      <c r="AE885" s="262">
        <f t="shared" si="756"/>
        <v>9.5235740191229767E-2</v>
      </c>
      <c r="AF885" s="100"/>
      <c r="AG885" s="111">
        <f t="shared" si="757"/>
        <v>0.6</v>
      </c>
      <c r="AH885" s="262">
        <f t="shared" si="758"/>
        <v>0.39682382679415312</v>
      </c>
      <c r="AI885" s="100"/>
      <c r="AJ885" s="111">
        <f t="shared" si="759"/>
        <v>0.6</v>
      </c>
      <c r="AK885" s="262">
        <f t="shared" si="760"/>
        <v>0.39682382679415312</v>
      </c>
      <c r="AL885" s="100"/>
      <c r="AM885" s="111">
        <f t="shared" si="761"/>
        <v>0.5</v>
      </c>
      <c r="AN885" s="262">
        <f t="shared" si="762"/>
        <v>0.2761885921529838</v>
      </c>
      <c r="AO885" s="100"/>
      <c r="AP885" s="24" t="e">
        <f>VLOOKUP(C885,#REF!,6,FALSE)</f>
        <v>#REF!</v>
      </c>
      <c r="AQ885" s="24" t="e">
        <f>VLOOKUP(C885,#REF!,7,FALSE)</f>
        <v>#REF!</v>
      </c>
      <c r="AR885" s="24" t="e">
        <f>VLOOKUP(C885,#REF!,12,FALSE)</f>
        <v>#REF!</v>
      </c>
      <c r="AS885" s="24" t="e">
        <f>VLOOKUP(C885,#REF!,13,FALSE)</f>
        <v>#REF!</v>
      </c>
      <c r="AT885" s="100"/>
      <c r="AU885" s="100"/>
      <c r="AV885" s="100">
        <v>866</v>
      </c>
      <c r="AW885" s="100"/>
      <c r="AY885" s="9">
        <v>19500</v>
      </c>
    </row>
    <row r="886" spans="1:51" s="2" customFormat="1" ht="12.75" customHeight="1" x14ac:dyDescent="0.2">
      <c r="A886" s="7" t="s">
        <v>1651</v>
      </c>
      <c r="B886" s="8">
        <v>9789500212069</v>
      </c>
      <c r="C886" s="8">
        <v>688423</v>
      </c>
      <c r="D886" s="25">
        <v>18</v>
      </c>
      <c r="E886" s="7" t="s">
        <v>472</v>
      </c>
      <c r="F886" s="7" t="s">
        <v>590</v>
      </c>
      <c r="G886" s="107">
        <v>44501</v>
      </c>
      <c r="H886" s="108">
        <v>44470</v>
      </c>
      <c r="I886" s="7">
        <v>5200</v>
      </c>
      <c r="J886" s="28" t="s">
        <v>2136</v>
      </c>
      <c r="K886" s="9">
        <v>422.08</v>
      </c>
      <c r="L886" s="9">
        <v>19500</v>
      </c>
      <c r="M886" s="112"/>
      <c r="N886" s="9">
        <f t="shared" si="744"/>
        <v>9750</v>
      </c>
      <c r="O886" s="9">
        <f t="shared" si="745"/>
        <v>9327.92</v>
      </c>
      <c r="P886" s="9">
        <f t="shared" si="746"/>
        <v>422.08</v>
      </c>
      <c r="Q886" s="139">
        <f t="shared" si="747"/>
        <v>0.95670974358974359</v>
      </c>
      <c r="R886" s="345">
        <v>19500</v>
      </c>
      <c r="S886" s="359" t="s">
        <v>1948</v>
      </c>
      <c r="T886" s="305">
        <v>0.95670974358974359</v>
      </c>
      <c r="U886" s="144"/>
      <c r="V886" s="100"/>
      <c r="W886" s="110">
        <f t="shared" si="748"/>
        <v>19500</v>
      </c>
      <c r="X886" s="110">
        <f t="shared" si="749"/>
        <v>422.08</v>
      </c>
      <c r="Y886" s="110">
        <f t="shared" si="750"/>
        <v>0</v>
      </c>
      <c r="Z886" s="110">
        <f t="shared" si="751"/>
        <v>9327.92</v>
      </c>
      <c r="AA886" s="260">
        <f t="shared" si="752"/>
        <v>0.95670974358974359</v>
      </c>
      <c r="AB886" s="28">
        <f t="shared" si="753"/>
        <v>6.4</v>
      </c>
      <c r="AC886" s="261">
        <f t="shared" si="754"/>
        <v>0.95651170458292123</v>
      </c>
      <c r="AD886" s="111">
        <f t="shared" si="755"/>
        <v>0.3</v>
      </c>
      <c r="AE886" s="262">
        <f t="shared" si="756"/>
        <v>7.2249697768985613E-2</v>
      </c>
      <c r="AF886" s="100"/>
      <c r="AG886" s="111">
        <f t="shared" si="757"/>
        <v>0.5</v>
      </c>
      <c r="AH886" s="262">
        <f t="shared" si="758"/>
        <v>0.44334981866139139</v>
      </c>
      <c r="AI886" s="100"/>
      <c r="AJ886" s="111">
        <f t="shared" si="759"/>
        <v>0.4</v>
      </c>
      <c r="AK886" s="262">
        <f t="shared" si="760"/>
        <v>0.30418727332673923</v>
      </c>
      <c r="AL886" s="100"/>
      <c r="AM886" s="111">
        <f t="shared" si="761"/>
        <v>0.4</v>
      </c>
      <c r="AN886" s="262">
        <f t="shared" si="762"/>
        <v>0.30418727332673923</v>
      </c>
      <c r="AO886" s="100"/>
      <c r="AP886" s="24" t="e">
        <f>VLOOKUP(C886,#REF!,6,FALSE)</f>
        <v>#REF!</v>
      </c>
      <c r="AQ886" s="24" t="e">
        <f>VLOOKUP(C886,#REF!,7,FALSE)</f>
        <v>#REF!</v>
      </c>
      <c r="AR886" s="24" t="e">
        <f>VLOOKUP(C886,#REF!,12,FALSE)</f>
        <v>#REF!</v>
      </c>
      <c r="AS886" s="24" t="e">
        <f>VLOOKUP(C886,#REF!,13,FALSE)</f>
        <v>#REF!</v>
      </c>
      <c r="AT886" s="100"/>
      <c r="AU886" s="100"/>
      <c r="AV886" s="100">
        <v>867</v>
      </c>
      <c r="AW886" s="100"/>
      <c r="AY886" s="9">
        <v>19500</v>
      </c>
    </row>
    <row r="887" spans="1:51" s="2" customFormat="1" ht="12.75" customHeight="1" x14ac:dyDescent="0.2">
      <c r="A887" s="7" t="s">
        <v>1652</v>
      </c>
      <c r="B887" s="8">
        <v>9789500212076</v>
      </c>
      <c r="C887" s="8">
        <v>688424</v>
      </c>
      <c r="D887" s="25">
        <v>18</v>
      </c>
      <c r="E887" s="7" t="s">
        <v>472</v>
      </c>
      <c r="F887" s="7" t="s">
        <v>591</v>
      </c>
      <c r="G887" s="107">
        <v>44501</v>
      </c>
      <c r="H887" s="108">
        <v>44470</v>
      </c>
      <c r="I887" s="7">
        <v>5300</v>
      </c>
      <c r="J887" s="28" t="s">
        <v>2136</v>
      </c>
      <c r="K887" s="9">
        <v>421.75</v>
      </c>
      <c r="L887" s="9">
        <v>19500</v>
      </c>
      <c r="M887" s="112"/>
      <c r="N887" s="9">
        <f t="shared" si="744"/>
        <v>9750</v>
      </c>
      <c r="O887" s="9">
        <f t="shared" si="745"/>
        <v>9328.25</v>
      </c>
      <c r="P887" s="9">
        <f t="shared" si="746"/>
        <v>421.75</v>
      </c>
      <c r="Q887" s="139">
        <f t="shared" si="747"/>
        <v>0.95674358974358975</v>
      </c>
      <c r="R887" s="345">
        <v>19500</v>
      </c>
      <c r="S887" s="359" t="s">
        <v>1948</v>
      </c>
      <c r="T887" s="305">
        <v>0.95674358974358975</v>
      </c>
      <c r="U887" s="144"/>
      <c r="V887" s="100"/>
      <c r="W887" s="110">
        <f t="shared" si="748"/>
        <v>19500</v>
      </c>
      <c r="X887" s="110">
        <f t="shared" si="749"/>
        <v>421.75</v>
      </c>
      <c r="Y887" s="110">
        <f t="shared" si="750"/>
        <v>0</v>
      </c>
      <c r="Z887" s="110">
        <f t="shared" si="751"/>
        <v>9328.25</v>
      </c>
      <c r="AA887" s="260">
        <f t="shared" si="752"/>
        <v>0.95674358974358975</v>
      </c>
      <c r="AB887" s="28">
        <f t="shared" si="753"/>
        <v>6.4</v>
      </c>
      <c r="AC887" s="261">
        <f t="shared" si="754"/>
        <v>0.95654570557204088</v>
      </c>
      <c r="AD887" s="111">
        <f t="shared" si="755"/>
        <v>0.3</v>
      </c>
      <c r="AE887" s="262">
        <f t="shared" si="756"/>
        <v>7.2975052203538823E-2</v>
      </c>
      <c r="AF887" s="100"/>
      <c r="AG887" s="111">
        <f t="shared" si="757"/>
        <v>0.5</v>
      </c>
      <c r="AH887" s="262">
        <f t="shared" si="758"/>
        <v>0.44378503132212332</v>
      </c>
      <c r="AI887" s="100"/>
      <c r="AJ887" s="111">
        <f t="shared" si="759"/>
        <v>0.4</v>
      </c>
      <c r="AK887" s="262">
        <f t="shared" si="760"/>
        <v>0.30473128915265418</v>
      </c>
      <c r="AL887" s="100"/>
      <c r="AM887" s="111">
        <f t="shared" si="761"/>
        <v>0.4</v>
      </c>
      <c r="AN887" s="262">
        <f t="shared" si="762"/>
        <v>0.30473128915265418</v>
      </c>
      <c r="AO887" s="100"/>
      <c r="AP887" s="24" t="e">
        <f>VLOOKUP(C887,#REF!,6,FALSE)</f>
        <v>#REF!</v>
      </c>
      <c r="AQ887" s="24" t="e">
        <f>VLOOKUP(C887,#REF!,7,FALSE)</f>
        <v>#REF!</v>
      </c>
      <c r="AR887" s="24" t="e">
        <f>VLOOKUP(C887,#REF!,12,FALSE)</f>
        <v>#REF!</v>
      </c>
      <c r="AS887" s="24" t="e">
        <f>VLOOKUP(C887,#REF!,13,FALSE)</f>
        <v>#REF!</v>
      </c>
      <c r="AT887" s="100"/>
      <c r="AU887" s="100"/>
      <c r="AV887" s="100">
        <v>868</v>
      </c>
      <c r="AW887" s="100"/>
      <c r="AY887" s="9">
        <v>19500</v>
      </c>
    </row>
    <row r="888" spans="1:51" s="2" customFormat="1" ht="12.75" customHeight="1" x14ac:dyDescent="0.2">
      <c r="A888" s="7" t="s">
        <v>1653</v>
      </c>
      <c r="B888" s="8">
        <v>9789500211895</v>
      </c>
      <c r="C888" s="8">
        <v>685399</v>
      </c>
      <c r="D888" s="25">
        <v>18</v>
      </c>
      <c r="E888" s="7" t="s">
        <v>472</v>
      </c>
      <c r="F888" s="7" t="s">
        <v>1654</v>
      </c>
      <c r="G888" s="107">
        <v>44409</v>
      </c>
      <c r="H888" s="107">
        <v>44378</v>
      </c>
      <c r="I888" s="7">
        <v>6000</v>
      </c>
      <c r="J888" s="28" t="s">
        <v>2136</v>
      </c>
      <c r="K888" s="9">
        <v>360.16</v>
      </c>
      <c r="L888" s="9">
        <v>19500</v>
      </c>
      <c r="M888" s="112"/>
      <c r="N888" s="9">
        <f t="shared" si="744"/>
        <v>9750</v>
      </c>
      <c r="O888" s="9">
        <f t="shared" si="745"/>
        <v>9389.84</v>
      </c>
      <c r="P888" s="9">
        <f t="shared" si="746"/>
        <v>360.16</v>
      </c>
      <c r="Q888" s="139">
        <f t="shared" si="747"/>
        <v>0.96306051282051286</v>
      </c>
      <c r="R888" s="345">
        <v>19500</v>
      </c>
      <c r="S888" s="359" t="s">
        <v>1948</v>
      </c>
      <c r="T888" s="305">
        <v>0.96306051282051286</v>
      </c>
      <c r="U888" s="144"/>
      <c r="V888" s="100"/>
      <c r="W888" s="110">
        <f t="shared" si="748"/>
        <v>19500</v>
      </c>
      <c r="X888" s="110">
        <f t="shared" si="749"/>
        <v>360.16</v>
      </c>
      <c r="Y888" s="110">
        <f t="shared" si="750"/>
        <v>0</v>
      </c>
      <c r="Z888" s="110">
        <f t="shared" si="751"/>
        <v>9389.84</v>
      </c>
      <c r="AA888" s="260">
        <f t="shared" si="752"/>
        <v>0.96306051282051286</v>
      </c>
      <c r="AB888" s="28">
        <f t="shared" si="753"/>
        <v>6.4</v>
      </c>
      <c r="AC888" s="261">
        <f t="shared" si="754"/>
        <v>0.96289152654137822</v>
      </c>
      <c r="AD888" s="111">
        <f t="shared" si="755"/>
        <v>0.2</v>
      </c>
      <c r="AE888" s="262">
        <f t="shared" si="756"/>
        <v>-0.18747115067589848</v>
      </c>
      <c r="AF888" s="100"/>
      <c r="AG888" s="111">
        <f t="shared" si="757"/>
        <v>0.4</v>
      </c>
      <c r="AH888" s="262">
        <f t="shared" si="758"/>
        <v>0.40626442466205076</v>
      </c>
      <c r="AI888" s="100"/>
      <c r="AJ888" s="111">
        <f t="shared" si="759"/>
        <v>0.4</v>
      </c>
      <c r="AK888" s="262">
        <f t="shared" si="760"/>
        <v>0.40626442466205076</v>
      </c>
      <c r="AL888" s="100"/>
      <c r="AM888" s="111">
        <f t="shared" si="761"/>
        <v>0.3</v>
      </c>
      <c r="AN888" s="262">
        <f t="shared" si="762"/>
        <v>0.20835256621606763</v>
      </c>
      <c r="AO888" s="100"/>
      <c r="AP888" s="24" t="e">
        <f>VLOOKUP(C888,#REF!,6,FALSE)</f>
        <v>#REF!</v>
      </c>
      <c r="AQ888" s="24" t="e">
        <f>VLOOKUP(C888,#REF!,7,FALSE)</f>
        <v>#REF!</v>
      </c>
      <c r="AR888" s="24" t="e">
        <f>VLOOKUP(C888,#REF!,12,FALSE)</f>
        <v>#REF!</v>
      </c>
      <c r="AS888" s="24" t="e">
        <f>VLOOKUP(C888,#REF!,13,FALSE)</f>
        <v>#REF!</v>
      </c>
      <c r="AT888" s="100"/>
      <c r="AU888" s="100"/>
      <c r="AV888" s="100">
        <v>869</v>
      </c>
      <c r="AW888" s="100"/>
      <c r="AY888" s="9">
        <v>19500</v>
      </c>
    </row>
    <row r="889" spans="1:51" s="2" customFormat="1" ht="12.75" customHeight="1" x14ac:dyDescent="0.2">
      <c r="A889" s="7" t="s">
        <v>1655</v>
      </c>
      <c r="B889" s="8">
        <v>9789500211901</v>
      </c>
      <c r="C889" s="8">
        <v>685400</v>
      </c>
      <c r="D889" s="25">
        <v>18</v>
      </c>
      <c r="E889" s="7" t="s">
        <v>472</v>
      </c>
      <c r="F889" s="7" t="s">
        <v>561</v>
      </c>
      <c r="G889" s="107">
        <v>44409</v>
      </c>
      <c r="H889" s="107">
        <v>44378</v>
      </c>
      <c r="I889" s="7">
        <v>6000</v>
      </c>
      <c r="J889" s="28" t="s">
        <v>2136</v>
      </c>
      <c r="K889" s="9">
        <v>360.16</v>
      </c>
      <c r="L889" s="9">
        <v>19500</v>
      </c>
      <c r="M889" s="112"/>
      <c r="N889" s="9">
        <f t="shared" si="744"/>
        <v>9750</v>
      </c>
      <c r="O889" s="9">
        <f t="shared" si="745"/>
        <v>9389.84</v>
      </c>
      <c r="P889" s="9">
        <f t="shared" si="746"/>
        <v>360.16</v>
      </c>
      <c r="Q889" s="139">
        <f t="shared" si="747"/>
        <v>0.96306051282051286</v>
      </c>
      <c r="R889" s="345">
        <v>19500</v>
      </c>
      <c r="S889" s="359" t="s">
        <v>1948</v>
      </c>
      <c r="T889" s="305">
        <v>0.96306051282051286</v>
      </c>
      <c r="U889" s="144"/>
      <c r="V889" s="100"/>
      <c r="W889" s="110">
        <f t="shared" si="748"/>
        <v>19500</v>
      </c>
      <c r="X889" s="110">
        <f t="shared" si="749"/>
        <v>360.16</v>
      </c>
      <c r="Y889" s="110">
        <f t="shared" si="750"/>
        <v>0</v>
      </c>
      <c r="Z889" s="110">
        <f t="shared" si="751"/>
        <v>9389.84</v>
      </c>
      <c r="AA889" s="260">
        <f t="shared" si="752"/>
        <v>0.96306051282051286</v>
      </c>
      <c r="AB889" s="28">
        <f t="shared" si="753"/>
        <v>6.4</v>
      </c>
      <c r="AC889" s="261">
        <f t="shared" si="754"/>
        <v>0.96289152654137822</v>
      </c>
      <c r="AD889" s="111">
        <f t="shared" si="755"/>
        <v>0.2</v>
      </c>
      <c r="AE889" s="262">
        <f t="shared" si="756"/>
        <v>-0.18747115067589848</v>
      </c>
      <c r="AF889" s="100"/>
      <c r="AG889" s="111">
        <f t="shared" si="757"/>
        <v>0.4</v>
      </c>
      <c r="AH889" s="262">
        <f t="shared" si="758"/>
        <v>0.40626442466205076</v>
      </c>
      <c r="AI889" s="100"/>
      <c r="AJ889" s="111">
        <f t="shared" si="759"/>
        <v>0.4</v>
      </c>
      <c r="AK889" s="262">
        <f t="shared" si="760"/>
        <v>0.40626442466205076</v>
      </c>
      <c r="AL889" s="100"/>
      <c r="AM889" s="111">
        <f t="shared" si="761"/>
        <v>0.3</v>
      </c>
      <c r="AN889" s="262">
        <f t="shared" si="762"/>
        <v>0.20835256621606763</v>
      </c>
      <c r="AO889" s="100"/>
      <c r="AP889" s="24" t="e">
        <f>VLOOKUP(C889,#REF!,6,FALSE)</f>
        <v>#REF!</v>
      </c>
      <c r="AQ889" s="24" t="e">
        <f>VLOOKUP(C889,#REF!,7,FALSE)</f>
        <v>#REF!</v>
      </c>
      <c r="AR889" s="24" t="e">
        <f>VLOOKUP(C889,#REF!,12,FALSE)</f>
        <v>#REF!</v>
      </c>
      <c r="AS889" s="24" t="e">
        <f>VLOOKUP(C889,#REF!,13,FALSE)</f>
        <v>#REF!</v>
      </c>
      <c r="AT889" s="100"/>
      <c r="AU889" s="100"/>
      <c r="AV889" s="100">
        <v>870</v>
      </c>
      <c r="AW889" s="100"/>
      <c r="AY889" s="9">
        <v>19500</v>
      </c>
    </row>
    <row r="890" spans="1:51" s="2" customFormat="1" ht="12.75" customHeight="1" x14ac:dyDescent="0.2">
      <c r="A890" s="7" t="s">
        <v>1656</v>
      </c>
      <c r="B890" s="8">
        <v>9789500211857</v>
      </c>
      <c r="C890" s="8">
        <v>684675</v>
      </c>
      <c r="D890" s="25">
        <v>18</v>
      </c>
      <c r="E890" s="7" t="s">
        <v>554</v>
      </c>
      <c r="F890" s="7" t="s">
        <v>6</v>
      </c>
      <c r="G890" s="107">
        <v>44378</v>
      </c>
      <c r="H890" s="108">
        <v>45536</v>
      </c>
      <c r="I890" s="7">
        <v>3024</v>
      </c>
      <c r="J890" s="28" t="s">
        <v>2136</v>
      </c>
      <c r="K890" s="9">
        <v>809.91</v>
      </c>
      <c r="L890" s="128">
        <v>16900</v>
      </c>
      <c r="M890" s="112">
        <f>+L890*0.08</f>
        <v>1352</v>
      </c>
      <c r="N890" s="9">
        <f t="shared" si="744"/>
        <v>8450</v>
      </c>
      <c r="O890" s="9">
        <f t="shared" si="745"/>
        <v>6288.09</v>
      </c>
      <c r="P890" s="9">
        <f t="shared" si="746"/>
        <v>2161.91</v>
      </c>
      <c r="Q890" s="139">
        <f t="shared" si="747"/>
        <v>0.74415266272189351</v>
      </c>
      <c r="R890" s="345">
        <v>16900</v>
      </c>
      <c r="S890" s="359" t="s">
        <v>1948</v>
      </c>
      <c r="T890" s="305">
        <v>0.74415266272189351</v>
      </c>
      <c r="U890" s="144"/>
      <c r="V890" s="100"/>
      <c r="W890" s="110">
        <f t="shared" si="748"/>
        <v>16900</v>
      </c>
      <c r="X890" s="110">
        <f t="shared" si="749"/>
        <v>809.91</v>
      </c>
      <c r="Y890" s="110">
        <f t="shared" si="750"/>
        <v>1352</v>
      </c>
      <c r="Z890" s="110">
        <f t="shared" si="751"/>
        <v>6288.09</v>
      </c>
      <c r="AA890" s="260">
        <f t="shared" si="752"/>
        <v>0.74415266272189351</v>
      </c>
      <c r="AB890" s="28">
        <f t="shared" si="753"/>
        <v>5.6</v>
      </c>
      <c r="AC890" s="261">
        <f t="shared" si="754"/>
        <v>0.74543003155762799</v>
      </c>
      <c r="AD890" s="111">
        <f t="shared" si="755"/>
        <v>1.5</v>
      </c>
      <c r="AE890" s="262">
        <f t="shared" si="756"/>
        <v>4.9605451148477919E-2</v>
      </c>
      <c r="AF890" s="100"/>
      <c r="AG890" s="111">
        <f t="shared" si="757"/>
        <v>2.4</v>
      </c>
      <c r="AH890" s="262">
        <f t="shared" si="758"/>
        <v>0.40600340696779869</v>
      </c>
      <c r="AI890" s="100"/>
      <c r="AJ890" s="111">
        <f t="shared" si="759"/>
        <v>2.2000000000000002</v>
      </c>
      <c r="AK890" s="262">
        <f t="shared" si="760"/>
        <v>0.35200371669214409</v>
      </c>
      <c r="AL890" s="100"/>
      <c r="AM890" s="111">
        <f t="shared" si="761"/>
        <v>2</v>
      </c>
      <c r="AN890" s="262">
        <f t="shared" si="762"/>
        <v>0.28720408836135841</v>
      </c>
      <c r="AO890" s="100"/>
      <c r="AP890" s="24" t="e">
        <f>VLOOKUP(C890,#REF!,6,FALSE)</f>
        <v>#REF!</v>
      </c>
      <c r="AQ890" s="24" t="e">
        <f>VLOOKUP(C890,#REF!,7,FALSE)</f>
        <v>#REF!</v>
      </c>
      <c r="AR890" s="24" t="e">
        <f>VLOOKUP(C890,#REF!,12,FALSE)</f>
        <v>#REF!</v>
      </c>
      <c r="AS890" s="24" t="e">
        <f>VLOOKUP(C890,#REF!,13,FALSE)</f>
        <v>#REF!</v>
      </c>
      <c r="AT890" s="100"/>
      <c r="AU890" s="100"/>
      <c r="AV890" s="100">
        <v>871</v>
      </c>
      <c r="AW890" s="100"/>
      <c r="AY890" s="128">
        <v>16900</v>
      </c>
    </row>
    <row r="891" spans="1:51" s="2" customFormat="1" ht="12.75" customHeight="1" x14ac:dyDescent="0.2">
      <c r="A891" s="7" t="s">
        <v>1657</v>
      </c>
      <c r="B891" s="8">
        <v>9789500211963</v>
      </c>
      <c r="C891" s="8">
        <v>686376</v>
      </c>
      <c r="D891" s="25">
        <v>18</v>
      </c>
      <c r="E891" s="7" t="s">
        <v>554</v>
      </c>
      <c r="F891" s="7" t="s">
        <v>578</v>
      </c>
      <c r="G891" s="107">
        <v>44440</v>
      </c>
      <c r="H891" s="108">
        <v>45536</v>
      </c>
      <c r="I891" s="7">
        <v>3024</v>
      </c>
      <c r="J891" s="28" t="s">
        <v>2136</v>
      </c>
      <c r="K891" s="9">
        <v>809.91</v>
      </c>
      <c r="L891" s="128">
        <v>16900</v>
      </c>
      <c r="M891" s="112">
        <f>+L891*0.08</f>
        <v>1352</v>
      </c>
      <c r="N891" s="9">
        <f t="shared" si="744"/>
        <v>8450</v>
      </c>
      <c r="O891" s="9">
        <f t="shared" si="745"/>
        <v>6288.09</v>
      </c>
      <c r="P891" s="9">
        <f t="shared" si="746"/>
        <v>2161.91</v>
      </c>
      <c r="Q891" s="139">
        <f t="shared" si="747"/>
        <v>0.74415266272189351</v>
      </c>
      <c r="R891" s="345">
        <v>16900</v>
      </c>
      <c r="S891" s="359" t="s">
        <v>1948</v>
      </c>
      <c r="T891" s="305">
        <v>0.74415266272189351</v>
      </c>
      <c r="U891" s="144"/>
      <c r="V891" s="100"/>
      <c r="W891" s="110">
        <f t="shared" si="748"/>
        <v>16900</v>
      </c>
      <c r="X891" s="110">
        <f t="shared" si="749"/>
        <v>809.91</v>
      </c>
      <c r="Y891" s="110">
        <f t="shared" si="750"/>
        <v>1352</v>
      </c>
      <c r="Z891" s="110">
        <f t="shared" si="751"/>
        <v>6288.09</v>
      </c>
      <c r="AA891" s="260">
        <f t="shared" si="752"/>
        <v>0.74415266272189351</v>
      </c>
      <c r="AB891" s="28">
        <f t="shared" si="753"/>
        <v>5.6</v>
      </c>
      <c r="AC891" s="261">
        <f t="shared" si="754"/>
        <v>0.74543003155762799</v>
      </c>
      <c r="AD891" s="111">
        <f t="shared" si="755"/>
        <v>1.5</v>
      </c>
      <c r="AE891" s="262">
        <f t="shared" si="756"/>
        <v>4.9605451148477919E-2</v>
      </c>
      <c r="AF891" s="100"/>
      <c r="AG891" s="111">
        <f t="shared" si="757"/>
        <v>2.4</v>
      </c>
      <c r="AH891" s="262">
        <f t="shared" si="758"/>
        <v>0.40600340696779869</v>
      </c>
      <c r="AI891" s="100"/>
      <c r="AJ891" s="111">
        <f t="shared" si="759"/>
        <v>2.2000000000000002</v>
      </c>
      <c r="AK891" s="262">
        <f t="shared" si="760"/>
        <v>0.35200371669214409</v>
      </c>
      <c r="AL891" s="100"/>
      <c r="AM891" s="111">
        <f t="shared" si="761"/>
        <v>2</v>
      </c>
      <c r="AN891" s="262">
        <f t="shared" si="762"/>
        <v>0.28720408836135841</v>
      </c>
      <c r="AO891" s="100"/>
      <c r="AP891" s="24" t="e">
        <f>VLOOKUP(C891,#REF!,6,FALSE)</f>
        <v>#REF!</v>
      </c>
      <c r="AQ891" s="24" t="e">
        <f>VLOOKUP(C891,#REF!,7,FALSE)</f>
        <v>#REF!</v>
      </c>
      <c r="AR891" s="24" t="e">
        <f>VLOOKUP(C891,#REF!,12,FALSE)</f>
        <v>#REF!</v>
      </c>
      <c r="AS891" s="24" t="e">
        <f>VLOOKUP(C891,#REF!,13,FALSE)</f>
        <v>#REF!</v>
      </c>
      <c r="AT891" s="100"/>
      <c r="AU891" s="100"/>
      <c r="AV891" s="100">
        <v>872</v>
      </c>
      <c r="AW891" s="100"/>
      <c r="AY891" s="128">
        <v>16900</v>
      </c>
    </row>
    <row r="892" spans="1:51" s="2" customFormat="1" ht="12.75" customHeight="1" x14ac:dyDescent="0.2">
      <c r="A892" s="6" t="s">
        <v>1918</v>
      </c>
      <c r="B892" s="8">
        <v>9789500215176</v>
      </c>
      <c r="C892" s="8">
        <v>720931</v>
      </c>
      <c r="D892" s="25">
        <v>18</v>
      </c>
      <c r="E892" s="7" t="s">
        <v>1919</v>
      </c>
      <c r="F892" s="7" t="s">
        <v>1920</v>
      </c>
      <c r="G892" s="107">
        <v>45566</v>
      </c>
      <c r="H892" s="108">
        <v>45536</v>
      </c>
      <c r="I892" s="267">
        <v>3024</v>
      </c>
      <c r="J892" s="128" t="s">
        <v>2136</v>
      </c>
      <c r="K892" s="9">
        <v>870.1</v>
      </c>
      <c r="L892" s="128">
        <v>16900</v>
      </c>
      <c r="M892" s="112"/>
      <c r="N892" s="9">
        <f t="shared" si="744"/>
        <v>8450</v>
      </c>
      <c r="O892" s="9">
        <f t="shared" si="745"/>
        <v>7579.9</v>
      </c>
      <c r="P892" s="9">
        <f t="shared" si="746"/>
        <v>870.1</v>
      </c>
      <c r="Q892" s="139">
        <f t="shared" si="747"/>
        <v>0.89702958579881653</v>
      </c>
      <c r="R892" s="345">
        <v>16900</v>
      </c>
      <c r="S892" s="359" t="s">
        <v>1948</v>
      </c>
      <c r="T892" s="305">
        <v>0.89702958579881653</v>
      </c>
      <c r="U892" s="144"/>
      <c r="V892" s="100"/>
      <c r="W892" s="110">
        <f t="shared" si="748"/>
        <v>16900</v>
      </c>
      <c r="X892" s="110">
        <f t="shared" si="749"/>
        <v>870.1</v>
      </c>
      <c r="Y892" s="110">
        <f t="shared" si="750"/>
        <v>0</v>
      </c>
      <c r="Z892" s="110">
        <f t="shared" si="751"/>
        <v>7579.9</v>
      </c>
      <c r="AA892" s="260">
        <f t="shared" si="752"/>
        <v>0.89702958579881653</v>
      </c>
      <c r="AB892" s="28">
        <f t="shared" si="753"/>
        <v>5.6</v>
      </c>
      <c r="AC892" s="261">
        <f t="shared" si="754"/>
        <v>0.89754368611935376</v>
      </c>
      <c r="AD892" s="111">
        <f t="shared" si="755"/>
        <v>0.6</v>
      </c>
      <c r="AE892" s="262">
        <f t="shared" si="756"/>
        <v>4.3741070447301855E-2</v>
      </c>
      <c r="AF892" s="100"/>
      <c r="AG892" s="111">
        <f t="shared" si="757"/>
        <v>1</v>
      </c>
      <c r="AH892" s="262">
        <f t="shared" si="758"/>
        <v>0.4262446422683811</v>
      </c>
      <c r="AI892" s="100"/>
      <c r="AJ892" s="111">
        <f t="shared" si="759"/>
        <v>0.9</v>
      </c>
      <c r="AK892" s="262">
        <f t="shared" si="760"/>
        <v>0.36249404696486798</v>
      </c>
      <c r="AL892" s="100"/>
      <c r="AM892" s="111">
        <f t="shared" si="761"/>
        <v>0.8</v>
      </c>
      <c r="AN892" s="262">
        <f t="shared" si="762"/>
        <v>0.28280580283547646</v>
      </c>
      <c r="AO892" s="100"/>
      <c r="AP892" s="24" t="e">
        <f>VLOOKUP(C892,#REF!,6,FALSE)</f>
        <v>#REF!</v>
      </c>
      <c r="AQ892" s="24" t="e">
        <f>VLOOKUP(C892,#REF!,7,FALSE)</f>
        <v>#REF!</v>
      </c>
      <c r="AR892" s="24" t="e">
        <f>VLOOKUP(C892,#REF!,12,FALSE)</f>
        <v>#REF!</v>
      </c>
      <c r="AS892" s="24" t="e">
        <f>VLOOKUP(C892,#REF!,13,FALSE)</f>
        <v>#REF!</v>
      </c>
      <c r="AT892" s="100"/>
      <c r="AU892" s="100"/>
      <c r="AV892" s="100">
        <v>873</v>
      </c>
      <c r="AW892" s="100"/>
      <c r="AY892" s="128">
        <v>16900</v>
      </c>
    </row>
    <row r="893" spans="1:51" s="2" customFormat="1" ht="12.75" customHeight="1" x14ac:dyDescent="0.2">
      <c r="A893" s="6" t="s">
        <v>1921</v>
      </c>
      <c r="B893" s="8">
        <v>9789500215183</v>
      </c>
      <c r="C893" s="8">
        <v>720932</v>
      </c>
      <c r="D893" s="25">
        <v>18</v>
      </c>
      <c r="E893" s="7" t="s">
        <v>1919</v>
      </c>
      <c r="F893" s="7" t="s">
        <v>4</v>
      </c>
      <c r="G893" s="107">
        <v>45566</v>
      </c>
      <c r="H893" s="108">
        <v>45536</v>
      </c>
      <c r="I893" s="267">
        <v>3024</v>
      </c>
      <c r="J893" s="128" t="s">
        <v>2136</v>
      </c>
      <c r="K893" s="9">
        <v>870.1</v>
      </c>
      <c r="L893" s="128">
        <v>16900</v>
      </c>
      <c r="M893" s="112"/>
      <c r="N893" s="9">
        <f t="shared" si="744"/>
        <v>8450</v>
      </c>
      <c r="O893" s="9">
        <f t="shared" si="745"/>
        <v>7579.9</v>
      </c>
      <c r="P893" s="9">
        <f t="shared" si="746"/>
        <v>870.1</v>
      </c>
      <c r="Q893" s="139">
        <f t="shared" si="747"/>
        <v>0.89702958579881653</v>
      </c>
      <c r="R893" s="345">
        <v>16900</v>
      </c>
      <c r="S893" s="359" t="s">
        <v>1948</v>
      </c>
      <c r="T893" s="305">
        <v>0.89702958579881653</v>
      </c>
      <c r="U893" s="144"/>
      <c r="V893" s="100"/>
      <c r="W893" s="110">
        <f t="shared" si="748"/>
        <v>16900</v>
      </c>
      <c r="X893" s="110">
        <f t="shared" si="749"/>
        <v>870.1</v>
      </c>
      <c r="Y893" s="110">
        <f t="shared" si="750"/>
        <v>0</v>
      </c>
      <c r="Z893" s="110">
        <f t="shared" si="751"/>
        <v>7579.9</v>
      </c>
      <c r="AA893" s="260">
        <f t="shared" si="752"/>
        <v>0.89702958579881653</v>
      </c>
      <c r="AB893" s="28">
        <f t="shared" si="753"/>
        <v>5.6</v>
      </c>
      <c r="AC893" s="261">
        <f t="shared" si="754"/>
        <v>0.89754368611935376</v>
      </c>
      <c r="AD893" s="111">
        <f t="shared" si="755"/>
        <v>0.6</v>
      </c>
      <c r="AE893" s="262">
        <f t="shared" si="756"/>
        <v>4.3741070447301855E-2</v>
      </c>
      <c r="AF893" s="100"/>
      <c r="AG893" s="111">
        <f t="shared" si="757"/>
        <v>1</v>
      </c>
      <c r="AH893" s="262">
        <f t="shared" si="758"/>
        <v>0.4262446422683811</v>
      </c>
      <c r="AI893" s="100"/>
      <c r="AJ893" s="111">
        <f t="shared" si="759"/>
        <v>0.9</v>
      </c>
      <c r="AK893" s="262">
        <f t="shared" si="760"/>
        <v>0.36249404696486798</v>
      </c>
      <c r="AL893" s="100"/>
      <c r="AM893" s="111">
        <f t="shared" si="761"/>
        <v>0.8</v>
      </c>
      <c r="AN893" s="262">
        <f t="shared" si="762"/>
        <v>0.28280580283547646</v>
      </c>
      <c r="AO893" s="100"/>
      <c r="AP893" s="24" t="e">
        <f>VLOOKUP(C893,#REF!,6,FALSE)</f>
        <v>#REF!</v>
      </c>
      <c r="AQ893" s="24" t="e">
        <f>VLOOKUP(C893,#REF!,7,FALSE)</f>
        <v>#REF!</v>
      </c>
      <c r="AR893" s="24" t="e">
        <f>VLOOKUP(C893,#REF!,12,FALSE)</f>
        <v>#REF!</v>
      </c>
      <c r="AS893" s="24" t="e">
        <f>VLOOKUP(C893,#REF!,13,FALSE)</f>
        <v>#REF!</v>
      </c>
      <c r="AT893" s="100"/>
      <c r="AU893" s="100"/>
      <c r="AV893" s="100">
        <v>874</v>
      </c>
      <c r="AW893" s="100"/>
      <c r="AY893" s="128">
        <v>16900</v>
      </c>
    </row>
    <row r="894" spans="1:51" s="132" customFormat="1" ht="12.75" customHeight="1" x14ac:dyDescent="0.2">
      <c r="A894" s="213" t="s">
        <v>1648</v>
      </c>
      <c r="B894" s="8">
        <v>9789500210652</v>
      </c>
      <c r="C894" s="8">
        <v>689983</v>
      </c>
      <c r="D894" s="25">
        <v>8</v>
      </c>
      <c r="E894" s="7" t="s">
        <v>642</v>
      </c>
      <c r="F894" s="7" t="s">
        <v>643</v>
      </c>
      <c r="G894" s="107">
        <v>44562</v>
      </c>
      <c r="H894" s="108">
        <v>44470</v>
      </c>
      <c r="I894" s="7">
        <v>3000</v>
      </c>
      <c r="J894" s="28" t="s">
        <v>1946</v>
      </c>
      <c r="K894" s="9">
        <v>430.21</v>
      </c>
      <c r="L894" s="9">
        <v>17500</v>
      </c>
      <c r="M894" s="112"/>
      <c r="N894" s="9">
        <f t="shared" si="744"/>
        <v>8750</v>
      </c>
      <c r="O894" s="9">
        <f t="shared" si="745"/>
        <v>8319.7900000000009</v>
      </c>
      <c r="P894" s="9">
        <f t="shared" si="746"/>
        <v>430.21</v>
      </c>
      <c r="Q894" s="139">
        <f t="shared" si="747"/>
        <v>0.95083314285714293</v>
      </c>
      <c r="R894" s="345">
        <v>17500</v>
      </c>
      <c r="S894" s="359" t="s">
        <v>1948</v>
      </c>
      <c r="T894" s="305">
        <v>0.95083314285714293</v>
      </c>
      <c r="U894" s="144"/>
      <c r="V894" s="100"/>
      <c r="W894" s="110">
        <f t="shared" si="748"/>
        <v>17500</v>
      </c>
      <c r="X894" s="110">
        <f t="shared" si="749"/>
        <v>430.21</v>
      </c>
      <c r="Y894" s="110">
        <f t="shared" si="750"/>
        <v>0</v>
      </c>
      <c r="Z894" s="110">
        <f t="shared" si="751"/>
        <v>8319.7900000000009</v>
      </c>
      <c r="AA894" s="260">
        <f t="shared" si="752"/>
        <v>0.95083314285714293</v>
      </c>
      <c r="AB894" s="28">
        <f t="shared" si="753"/>
        <v>5.8</v>
      </c>
      <c r="AC894" s="261">
        <f t="shared" si="754"/>
        <v>0.95108860011141816</v>
      </c>
      <c r="AD894" s="111">
        <f t="shared" si="755"/>
        <v>0.3</v>
      </c>
      <c r="AE894" s="262">
        <f t="shared" si="756"/>
        <v>5.4379602154082884E-2</v>
      </c>
      <c r="AF894" s="100"/>
      <c r="AG894" s="111">
        <f t="shared" si="757"/>
        <v>0.5</v>
      </c>
      <c r="AH894" s="262">
        <f t="shared" si="758"/>
        <v>0.43262776129244973</v>
      </c>
      <c r="AI894" s="100"/>
      <c r="AJ894" s="111">
        <f t="shared" si="759"/>
        <v>0.4</v>
      </c>
      <c r="AK894" s="262">
        <f t="shared" si="760"/>
        <v>0.29078470161556219</v>
      </c>
      <c r="AL894" s="100"/>
      <c r="AM894" s="111">
        <f t="shared" si="761"/>
        <v>0.4</v>
      </c>
      <c r="AN894" s="262">
        <f t="shared" si="762"/>
        <v>0.29078470161556219</v>
      </c>
      <c r="AO894" s="100"/>
      <c r="AP894" s="24" t="e">
        <f>VLOOKUP(C894,#REF!,6,FALSE)</f>
        <v>#REF!</v>
      </c>
      <c r="AQ894" s="24" t="e">
        <f>VLOOKUP(C894,#REF!,7,FALSE)</f>
        <v>#REF!</v>
      </c>
      <c r="AR894" s="24" t="e">
        <f>VLOOKUP(C894,#REF!,12,FALSE)</f>
        <v>#REF!</v>
      </c>
      <c r="AS894" s="24" t="e">
        <f>VLOOKUP(C894,#REF!,13,FALSE)</f>
        <v>#REF!</v>
      </c>
      <c r="AT894" s="100"/>
      <c r="AU894" s="100"/>
      <c r="AV894" s="100">
        <v>875</v>
      </c>
      <c r="AW894" s="100"/>
      <c r="AY894" s="9">
        <v>17500</v>
      </c>
    </row>
    <row r="895" spans="1:51" s="2" customFormat="1" ht="12.75" customHeight="1" x14ac:dyDescent="0.25">
      <c r="A895" s="1"/>
      <c r="B895" s="3"/>
      <c r="C895" s="3"/>
      <c r="E895" s="3"/>
      <c r="F895" s="26"/>
      <c r="G895" s="3"/>
      <c r="H895" s="26"/>
      <c r="I895" s="3"/>
      <c r="J895" s="26"/>
      <c r="K895" s="132"/>
      <c r="L895" s="18"/>
      <c r="M895" s="132"/>
      <c r="N895" s="132"/>
      <c r="O895" s="132"/>
      <c r="P895" s="132"/>
      <c r="Q895" s="147"/>
      <c r="R895" s="371"/>
      <c r="S895" s="360"/>
      <c r="T895" s="307"/>
      <c r="U895" s="135"/>
      <c r="V895" s="100"/>
      <c r="W895"/>
      <c r="X895"/>
      <c r="Y895"/>
      <c r="Z895"/>
      <c r="AA895"/>
      <c r="AB895"/>
      <c r="AC895"/>
      <c r="AD895" s="263"/>
      <c r="AE895"/>
      <c r="AF895" s="100"/>
      <c r="AG895" s="263"/>
      <c r="AH895"/>
      <c r="AI895" s="100"/>
      <c r="AJ895" s="263"/>
      <c r="AK895"/>
      <c r="AL895" s="100"/>
      <c r="AM895" s="263"/>
      <c r="AN895"/>
      <c r="AO895" s="100"/>
      <c r="AP895" s="100"/>
      <c r="AQ895" s="100"/>
      <c r="AR895" s="100"/>
      <c r="AS895" s="100"/>
      <c r="AT895" s="100"/>
      <c r="AU895" s="100"/>
      <c r="AV895" s="100">
        <v>876</v>
      </c>
      <c r="AW895" s="100"/>
      <c r="AY895" s="18"/>
    </row>
    <row r="896" spans="1:51" s="2" customFormat="1" ht="12.75" customHeight="1" x14ac:dyDescent="0.25">
      <c r="A896" s="202" t="s">
        <v>2383</v>
      </c>
      <c r="B896" s="203"/>
      <c r="C896" s="203"/>
      <c r="D896" s="204"/>
      <c r="E896" s="205"/>
      <c r="F896" s="162"/>
      <c r="G896" s="162"/>
      <c r="H896" s="132"/>
      <c r="I896" s="132"/>
      <c r="J896" s="132"/>
      <c r="K896" s="132"/>
      <c r="L896" s="132"/>
      <c r="M896" s="132"/>
      <c r="N896" s="132"/>
      <c r="O896" s="132"/>
      <c r="P896" s="132"/>
      <c r="Q896" s="147"/>
      <c r="R896" s="371"/>
      <c r="S896" s="360"/>
      <c r="T896" s="307"/>
      <c r="U896" s="135"/>
      <c r="V896" s="100"/>
      <c r="W896"/>
      <c r="X896"/>
      <c r="Y896"/>
      <c r="Z896"/>
      <c r="AA896"/>
      <c r="AB896"/>
      <c r="AC896"/>
      <c r="AD896" s="263"/>
      <c r="AE896"/>
      <c r="AF896" s="100"/>
      <c r="AG896" s="263"/>
      <c r="AH896"/>
      <c r="AI896" s="100"/>
      <c r="AJ896" s="263"/>
      <c r="AK896"/>
      <c r="AL896" s="100"/>
      <c r="AM896" s="263"/>
      <c r="AN896"/>
      <c r="AO896" s="100"/>
      <c r="AP896" s="100"/>
      <c r="AQ896" s="100"/>
      <c r="AR896" s="100"/>
      <c r="AS896" s="100"/>
      <c r="AT896" s="100"/>
      <c r="AU896" s="100"/>
      <c r="AV896" s="100">
        <v>877</v>
      </c>
      <c r="AW896" s="100"/>
      <c r="AY896" s="132"/>
    </row>
    <row r="897" spans="1:51" s="2" customFormat="1" ht="12.75" customHeight="1" x14ac:dyDescent="0.2">
      <c r="A897" s="6" t="s">
        <v>2372</v>
      </c>
      <c r="B897" s="362">
        <v>9789500217064</v>
      </c>
      <c r="C897" s="363">
        <v>747642</v>
      </c>
      <c r="D897" s="239">
        <v>48</v>
      </c>
      <c r="E897" s="8" t="s">
        <v>2373</v>
      </c>
      <c r="F897" s="364" t="s">
        <v>2374</v>
      </c>
      <c r="G897" s="107">
        <v>46204</v>
      </c>
      <c r="H897" s="108">
        <v>46174</v>
      </c>
      <c r="I897" s="116">
        <v>4008</v>
      </c>
      <c r="J897" s="315" t="s">
        <v>1867</v>
      </c>
      <c r="K897" s="292">
        <v>3926.04</v>
      </c>
      <c r="L897" s="9">
        <v>20500</v>
      </c>
      <c r="M897" s="112"/>
      <c r="N897" s="9">
        <f>+L897/2</f>
        <v>10250</v>
      </c>
      <c r="O897" s="9">
        <f>+N897-M897-K897</f>
        <v>6323.96</v>
      </c>
      <c r="P897" s="9">
        <f>+M897+K897</f>
        <v>3926.04</v>
      </c>
      <c r="Q897" s="139">
        <f>+O897/N897</f>
        <v>0.61697170731707318</v>
      </c>
      <c r="R897" s="385">
        <v>20500</v>
      </c>
      <c r="S897" s="359" t="s">
        <v>1948</v>
      </c>
      <c r="T897" s="305">
        <v>0.65398078602620091</v>
      </c>
      <c r="U897" s="144"/>
      <c r="V897" s="100"/>
      <c r="W897" s="110">
        <f>+L897</f>
        <v>20500</v>
      </c>
      <c r="X897" s="110">
        <f>+K897</f>
        <v>3926.04</v>
      </c>
      <c r="Y897" s="110">
        <f>+M897</f>
        <v>0</v>
      </c>
      <c r="Z897" s="110">
        <f>+W897/2-X897-Y897</f>
        <v>6323.96</v>
      </c>
      <c r="AA897" s="260">
        <f>+Z897/(W897/2)</f>
        <v>0.61697170731707318</v>
      </c>
      <c r="AB897" s="28">
        <f>ROUND($W897/2/$X$1,1)</f>
        <v>6.8</v>
      </c>
      <c r="AC897" s="261">
        <f>+(AB897*$X$1-$X897-$Y897)/(AB897*$X$1)</f>
        <v>0.61928201547681383</v>
      </c>
      <c r="AD897" s="111">
        <f>+IFERROR(ROUND(($X897+$Y897)/(1-$X$2)/$X$1,1),0)</f>
        <v>2.7</v>
      </c>
      <c r="AE897" s="262">
        <f>+(AD897*$X$1-$X897-$Y897)/(AD897*$X$1)</f>
        <v>4.1154705645309063E-2</v>
      </c>
      <c r="AF897" s="100"/>
      <c r="AG897" s="111">
        <f>+IFERROR(ROUND(($X897+$Y897)/(1-$AG$2)/$X$1,1),0)</f>
        <v>4.3</v>
      </c>
      <c r="AH897" s="262">
        <f>+(AG897*$X$1-$X897-$Y897)/(AG897*$X$1)</f>
        <v>0.3979343500563568</v>
      </c>
      <c r="AI897" s="100"/>
      <c r="AJ897" s="111">
        <f>+IFERROR(ROUND(($X897+$Y897)/(1-$AJ$2)/$X$1,1),0)</f>
        <v>4</v>
      </c>
      <c r="AK897" s="262">
        <f>+(AJ897*$X$1-$X897-$Y897)/(AJ897*$X$1)</f>
        <v>0.35277942631058357</v>
      </c>
      <c r="AL897" s="100"/>
      <c r="AM897" s="111">
        <f>+IFERROR(ROUND(($X897+$Y897)/(1-$AM$2)/$X$1,1),0)</f>
        <v>3.7</v>
      </c>
      <c r="AN897" s="262">
        <f>+(AM897*$X$1-$X897-$Y897)/(AM897*$X$1)</f>
        <v>0.30030208249792822</v>
      </c>
      <c r="AO897" s="100"/>
      <c r="AP897" s="24" t="e">
        <f>VLOOKUP(C897,#REF!,6,FALSE)</f>
        <v>#REF!</v>
      </c>
      <c r="AQ897" s="24" t="e">
        <f>VLOOKUP(C897,#REF!,7,FALSE)</f>
        <v>#REF!</v>
      </c>
      <c r="AR897" s="24" t="e">
        <f>VLOOKUP(C897,#REF!,12,FALSE)</f>
        <v>#REF!</v>
      </c>
      <c r="AS897" s="24" t="e">
        <f>VLOOKUP(C897,#REF!,13,FALSE)</f>
        <v>#REF!</v>
      </c>
      <c r="AT897" s="100"/>
      <c r="AU897" s="100"/>
      <c r="AV897" s="100">
        <v>878</v>
      </c>
      <c r="AW897" s="100"/>
      <c r="AY897" s="9">
        <v>20500</v>
      </c>
    </row>
    <row r="898" spans="1:51" s="2" customFormat="1" ht="12.75" customHeight="1" x14ac:dyDescent="0.25">
      <c r="A898" s="202" t="s">
        <v>2384</v>
      </c>
      <c r="B898" s="203"/>
      <c r="C898" s="203"/>
      <c r="D898" s="204"/>
      <c r="E898" s="205"/>
      <c r="F898" s="162"/>
      <c r="G898" s="162"/>
      <c r="H898" s="132"/>
      <c r="I898" s="132"/>
      <c r="J898" s="132"/>
      <c r="K898" s="132"/>
      <c r="L898" s="132"/>
      <c r="M898" s="132"/>
      <c r="N898" s="132"/>
      <c r="O898" s="132"/>
      <c r="P898" s="132"/>
      <c r="Q898" s="147"/>
      <c r="R898" s="327"/>
      <c r="S898" s="360"/>
      <c r="T898" s="307"/>
      <c r="U898" s="135"/>
      <c r="V898" s="100"/>
      <c r="W898"/>
      <c r="X898"/>
      <c r="Y898"/>
      <c r="Z898"/>
      <c r="AA898"/>
      <c r="AB898"/>
      <c r="AC898"/>
      <c r="AD898" s="263"/>
      <c r="AE898"/>
      <c r="AF898" s="100"/>
      <c r="AG898" s="263"/>
      <c r="AH898"/>
      <c r="AI898" s="100"/>
      <c r="AJ898" s="263"/>
      <c r="AK898"/>
      <c r="AL898" s="100"/>
      <c r="AM898" s="263"/>
      <c r="AN898"/>
      <c r="AO898" s="100"/>
      <c r="AP898" s="100"/>
      <c r="AQ898" s="100"/>
      <c r="AR898" s="100"/>
      <c r="AS898" s="100"/>
      <c r="AT898" s="100"/>
      <c r="AU898" s="100"/>
      <c r="AV898" s="100">
        <v>879</v>
      </c>
      <c r="AW898" s="100"/>
      <c r="AY898" s="132"/>
    </row>
    <row r="899" spans="1:51" s="2" customFormat="1" ht="12.75" customHeight="1" x14ac:dyDescent="0.2">
      <c r="A899" s="6" t="s">
        <v>2267</v>
      </c>
      <c r="B899" s="339">
        <v>9789500216944</v>
      </c>
      <c r="C899" s="340">
        <v>742443</v>
      </c>
      <c r="D899" s="239">
        <v>12</v>
      </c>
      <c r="E899" s="8" t="s">
        <v>2268</v>
      </c>
      <c r="F899" s="340" t="s">
        <v>2269</v>
      </c>
      <c r="G899" s="107">
        <v>46113</v>
      </c>
      <c r="H899" s="108">
        <v>46054</v>
      </c>
      <c r="I899" s="264">
        <v>4060</v>
      </c>
      <c r="J899" s="28" t="s">
        <v>1333</v>
      </c>
      <c r="K899" s="7">
        <v>3961.92</v>
      </c>
      <c r="L899" s="9">
        <v>22900</v>
      </c>
      <c r="M899" s="112"/>
      <c r="N899" s="9">
        <f>+L899/2</f>
        <v>11450</v>
      </c>
      <c r="O899" s="9">
        <f>+N899-M899-K899</f>
        <v>7488.08</v>
      </c>
      <c r="P899" s="9">
        <f>+M899+K899</f>
        <v>3961.92</v>
      </c>
      <c r="Q899" s="139">
        <f>+O899/N899</f>
        <v>0.65398078602620091</v>
      </c>
      <c r="R899" s="385">
        <v>22900</v>
      </c>
      <c r="S899" s="359" t="s">
        <v>1948</v>
      </c>
      <c r="T899" s="305">
        <v>0.65398078602620091</v>
      </c>
      <c r="U899" s="144"/>
      <c r="V899" s="100"/>
      <c r="W899" s="110">
        <f>+L899</f>
        <v>22900</v>
      </c>
      <c r="X899" s="110">
        <f>+K899</f>
        <v>3961.92</v>
      </c>
      <c r="Y899" s="110">
        <f>+M899</f>
        <v>0</v>
      </c>
      <c r="Z899" s="110">
        <f>+W899/2-X899-Y899</f>
        <v>7488.08</v>
      </c>
      <c r="AA899" s="260">
        <f>+Z899/(W899/2)</f>
        <v>0.65398078602620091</v>
      </c>
      <c r="AB899" s="28">
        <f>ROUND($W899/2/$X$1,1)</f>
        <v>7.6</v>
      </c>
      <c r="AC899" s="261">
        <f>+(AB899*$X$1-$X899-$Y899)/(AB899*$X$1)</f>
        <v>0.65624446873861209</v>
      </c>
      <c r="AD899" s="111">
        <f>+IFERROR(ROUND(($X899+$Y899)/(1-$X$2)/$X$1,1),0)</f>
        <v>2.8</v>
      </c>
      <c r="AE899" s="262">
        <f>+(AD899*$X$1-$X899-$Y899)/(AD899*$X$1)</f>
        <v>6.694927229051853E-2</v>
      </c>
      <c r="AF899" s="100"/>
      <c r="AG899" s="111">
        <f>+IFERROR(ROUND(($X899+$Y899)/(1-$AG$2)/$X$1,1),0)</f>
        <v>4.4000000000000004</v>
      </c>
      <c r="AH899" s="262">
        <f>+(AG899*$X$1-$X899-$Y899)/(AG899*$X$1)</f>
        <v>0.40624044600305731</v>
      </c>
      <c r="AI899" s="100"/>
      <c r="AJ899" s="111">
        <f>+IFERROR(ROUND(($X899+$Y899)/(1-$AJ$2)/$X$1,1),0)</f>
        <v>4</v>
      </c>
      <c r="AK899" s="262">
        <f>+(AJ899*$X$1-$X899-$Y899)/(AJ899*$X$1)</f>
        <v>0.346864490603363</v>
      </c>
      <c r="AL899" s="100"/>
      <c r="AM899" s="111">
        <f>+IFERROR(ROUND(($X899+$Y899)/(1-$AM$2)/$X$1,1),0)</f>
        <v>3.7</v>
      </c>
      <c r="AN899" s="262">
        <f>+(AM899*$X$1-$X899-$Y899)/(AM899*$X$1)</f>
        <v>0.29390755740904112</v>
      </c>
      <c r="AO899" s="100"/>
      <c r="AP899" s="24" t="e">
        <f>VLOOKUP(C899,#REF!,6,FALSE)</f>
        <v>#REF!</v>
      </c>
      <c r="AQ899" s="24" t="e">
        <f>VLOOKUP(C899,#REF!,7,FALSE)</f>
        <v>#REF!</v>
      </c>
      <c r="AR899" s="24" t="e">
        <f>VLOOKUP(C899,#REF!,12,FALSE)</f>
        <v>#REF!</v>
      </c>
      <c r="AS899" s="24" t="e">
        <f>VLOOKUP(C899,#REF!,13,FALSE)</f>
        <v>#REF!</v>
      </c>
      <c r="AT899" s="100"/>
      <c r="AU899" s="100"/>
      <c r="AV899" s="100">
        <v>880</v>
      </c>
      <c r="AW899" s="100"/>
      <c r="AY899" s="9">
        <v>22900</v>
      </c>
    </row>
    <row r="900" spans="1:51" s="2" customFormat="1" ht="12.75" customHeight="1" x14ac:dyDescent="0.2">
      <c r="A900" s="6" t="s">
        <v>2270</v>
      </c>
      <c r="B900" s="339">
        <v>9789500216951</v>
      </c>
      <c r="C900" s="340">
        <v>742444</v>
      </c>
      <c r="D900" s="239">
        <v>12</v>
      </c>
      <c r="E900" s="8" t="s">
        <v>2268</v>
      </c>
      <c r="F900" s="340" t="s">
        <v>2271</v>
      </c>
      <c r="G900" s="107">
        <v>46113</v>
      </c>
      <c r="H900" s="108">
        <v>46054</v>
      </c>
      <c r="I900" s="264">
        <v>4120</v>
      </c>
      <c r="J900" s="28" t="s">
        <v>1333</v>
      </c>
      <c r="K900" s="7">
        <v>3961.38</v>
      </c>
      <c r="L900" s="9">
        <v>22900</v>
      </c>
      <c r="M900" s="112"/>
      <c r="N900" s="9">
        <f>+L900/2</f>
        <v>11450</v>
      </c>
      <c r="O900" s="9">
        <f>+N900-M900-K900</f>
        <v>7488.62</v>
      </c>
      <c r="P900" s="9">
        <f>+M900+K900</f>
        <v>3961.38</v>
      </c>
      <c r="Q900" s="139">
        <f>+O900/N900</f>
        <v>0.65402794759825322</v>
      </c>
      <c r="R900" s="385">
        <v>22900</v>
      </c>
      <c r="S900" s="359" t="s">
        <v>1948</v>
      </c>
      <c r="T900" s="305">
        <v>0.65402794759825322</v>
      </c>
      <c r="U900" s="144"/>
      <c r="V900" s="100"/>
      <c r="W900" s="110">
        <f>+L900</f>
        <v>22900</v>
      </c>
      <c r="X900" s="110">
        <f>+K900</f>
        <v>3961.38</v>
      </c>
      <c r="Y900" s="110">
        <f>+M900</f>
        <v>0</v>
      </c>
      <c r="Z900" s="110">
        <f>+W900/2-X900-Y900</f>
        <v>7488.62</v>
      </c>
      <c r="AA900" s="260">
        <f>+Z900/(W900/2)</f>
        <v>0.65402794759825322</v>
      </c>
      <c r="AB900" s="28">
        <f>ROUND($W900/2/$X$1,1)</f>
        <v>7.6</v>
      </c>
      <c r="AC900" s="261">
        <f>+(AB900*$X$1-$X900-$Y900)/(AB900*$X$1)</f>
        <v>0.65629132177625071</v>
      </c>
      <c r="AD900" s="111">
        <f>+IFERROR(ROUND(($X900+$Y900)/(1-$X$2)/$X$1,1),0)</f>
        <v>2.7</v>
      </c>
      <c r="AE900" s="262">
        <f>+(AD900*$X$1-$X900-$Y900)/(AD900*$X$1)</f>
        <v>3.25237205553724E-2</v>
      </c>
      <c r="AF900" s="100"/>
      <c r="AG900" s="111">
        <f>+IFERROR(ROUND(($X900+$Y900)/(1-$AG$2)/$X$1,1),0)</f>
        <v>4.4000000000000004</v>
      </c>
      <c r="AH900" s="262">
        <f>+(AG900*$X$1-$X900-$Y900)/(AG900*$X$1)</f>
        <v>0.40632137397716034</v>
      </c>
      <c r="AI900" s="100"/>
      <c r="AJ900" s="111">
        <f>+IFERROR(ROUND(($X900+$Y900)/(1-$AJ$2)/$X$1,1),0)</f>
        <v>4</v>
      </c>
      <c r="AK900" s="262">
        <f>+(AJ900*$X$1-$X900-$Y900)/(AJ900*$X$1)</f>
        <v>0.34695351137487634</v>
      </c>
      <c r="AL900" s="100"/>
      <c r="AM900" s="111">
        <f>+IFERROR(ROUND(($X900+$Y900)/(1-$AM$2)/$X$1,1),0)</f>
        <v>3.7</v>
      </c>
      <c r="AN900" s="262">
        <f>+(AM900*$X$1-$X900-$Y900)/(AM900*$X$1)</f>
        <v>0.2940037960809474</v>
      </c>
      <c r="AO900" s="100"/>
      <c r="AP900" s="24" t="e">
        <f>VLOOKUP(C900,#REF!,6,FALSE)</f>
        <v>#REF!</v>
      </c>
      <c r="AQ900" s="24" t="e">
        <f>VLOOKUP(C900,#REF!,7,FALSE)</f>
        <v>#REF!</v>
      </c>
      <c r="AR900" s="24" t="e">
        <f>VLOOKUP(C900,#REF!,12,FALSE)</f>
        <v>#REF!</v>
      </c>
      <c r="AS900" s="24" t="e">
        <f>VLOOKUP(C900,#REF!,13,FALSE)</f>
        <v>#REF!</v>
      </c>
      <c r="AT900" s="100"/>
      <c r="AU900" s="100"/>
      <c r="AV900" s="100">
        <v>881</v>
      </c>
      <c r="AW900" s="100"/>
      <c r="AY900" s="9">
        <v>22900</v>
      </c>
    </row>
    <row r="901" spans="1:51" s="2" customFormat="1" ht="12.75" customHeight="1" x14ac:dyDescent="0.25">
      <c r="A901" s="1"/>
      <c r="B901" s="3"/>
      <c r="C901" s="3"/>
      <c r="E901" s="3"/>
      <c r="F901" s="26"/>
      <c r="G901" s="3"/>
      <c r="H901" s="26"/>
      <c r="I901" s="3"/>
      <c r="J901" s="26"/>
      <c r="K901" s="132"/>
      <c r="L901" s="18"/>
      <c r="M901" s="132"/>
      <c r="N901" s="132"/>
      <c r="O901" s="132"/>
      <c r="P901" s="132"/>
      <c r="Q901" s="147"/>
      <c r="R901" s="327"/>
      <c r="S901" s="360"/>
      <c r="T901" s="307"/>
      <c r="U901" s="135"/>
      <c r="V901" s="100"/>
      <c r="W901"/>
      <c r="X901"/>
      <c r="Y901"/>
      <c r="Z901"/>
      <c r="AA901"/>
      <c r="AB901"/>
      <c r="AC901"/>
      <c r="AD901" s="263"/>
      <c r="AE901"/>
      <c r="AF901" s="100"/>
      <c r="AG901" s="263"/>
      <c r="AH901"/>
      <c r="AI901" s="100"/>
      <c r="AJ901" s="263"/>
      <c r="AK901"/>
      <c r="AL901" s="100"/>
      <c r="AM901" s="263"/>
      <c r="AN901"/>
      <c r="AO901" s="100"/>
      <c r="AP901" s="100"/>
      <c r="AQ901" s="100"/>
      <c r="AR901" s="100"/>
      <c r="AS901" s="100"/>
      <c r="AT901" s="100"/>
      <c r="AU901" s="100"/>
      <c r="AV901" s="100">
        <v>882</v>
      </c>
      <c r="AW901" s="100"/>
      <c r="AY901" s="18"/>
    </row>
    <row r="902" spans="1:51" s="2" customFormat="1" ht="12.75" customHeight="1" x14ac:dyDescent="0.25">
      <c r="A902" s="202" t="s">
        <v>2415</v>
      </c>
      <c r="B902" s="203"/>
      <c r="C902" s="203"/>
      <c r="D902" s="204"/>
      <c r="E902" s="205"/>
      <c r="F902" s="162"/>
      <c r="G902" s="162"/>
      <c r="H902" s="132"/>
      <c r="I902" s="132"/>
      <c r="J902" s="132"/>
      <c r="K902" s="132"/>
      <c r="L902" s="132"/>
      <c r="M902" s="132"/>
      <c r="N902" s="132"/>
      <c r="O902" s="132"/>
      <c r="P902" s="132"/>
      <c r="Q902" s="147"/>
      <c r="R902" s="327"/>
      <c r="S902" s="360"/>
      <c r="T902" s="307"/>
      <c r="U902" s="135"/>
      <c r="V902" s="100"/>
      <c r="W902"/>
      <c r="X902"/>
      <c r="Y902"/>
      <c r="Z902"/>
      <c r="AA902"/>
      <c r="AB902"/>
      <c r="AC902"/>
      <c r="AD902" s="263"/>
      <c r="AE902"/>
      <c r="AF902" s="100"/>
      <c r="AG902" s="263"/>
      <c r="AH902"/>
      <c r="AI902" s="100"/>
      <c r="AJ902" s="263"/>
      <c r="AK902"/>
      <c r="AL902" s="100"/>
      <c r="AM902" s="263"/>
      <c r="AN902"/>
      <c r="AO902" s="100"/>
      <c r="AP902" s="100"/>
      <c r="AQ902" s="100"/>
      <c r="AR902" s="100"/>
      <c r="AS902" s="100"/>
      <c r="AT902" s="100"/>
      <c r="AU902" s="100"/>
      <c r="AV902" s="100">
        <v>883</v>
      </c>
      <c r="AW902" s="100"/>
      <c r="AY902" s="132"/>
    </row>
    <row r="903" spans="1:51" s="2" customFormat="1" ht="12.75" customHeight="1" x14ac:dyDescent="0.2">
      <c r="A903" s="6" t="s">
        <v>2407</v>
      </c>
      <c r="B903" s="153">
        <v>9789500217484</v>
      </c>
      <c r="C903" s="8">
        <v>749098</v>
      </c>
      <c r="D903" s="41">
        <v>10</v>
      </c>
      <c r="E903" s="6" t="s">
        <v>2408</v>
      </c>
      <c r="F903" s="6" t="s">
        <v>2409</v>
      </c>
      <c r="G903" s="107">
        <v>46266</v>
      </c>
      <c r="H903" s="107">
        <v>46235</v>
      </c>
      <c r="I903" s="267">
        <v>4000</v>
      </c>
      <c r="J903" s="6" t="s">
        <v>2136</v>
      </c>
      <c r="K903" s="148">
        <v>3249.94</v>
      </c>
      <c r="L903" s="352">
        <v>24900</v>
      </c>
      <c r="M903" s="352"/>
      <c r="N903" s="9">
        <f>+L903/2</f>
        <v>12450</v>
      </c>
      <c r="O903" s="9">
        <f>+N903-M903-K903</f>
        <v>9200.06</v>
      </c>
      <c r="P903" s="9">
        <f>+M903+K903</f>
        <v>3249.94</v>
      </c>
      <c r="Q903" s="139">
        <f>+O903/N903</f>
        <v>0.73896064257028105</v>
      </c>
      <c r="R903" s="388">
        <v>24900</v>
      </c>
      <c r="S903" s="359" t="s">
        <v>1948</v>
      </c>
      <c r="T903" s="305">
        <v>0.62902122905027935</v>
      </c>
      <c r="U903" s="144"/>
      <c r="V903" s="100"/>
      <c r="W903" s="110">
        <f>+L903</f>
        <v>24900</v>
      </c>
      <c r="X903" s="110">
        <f>+K903</f>
        <v>3249.94</v>
      </c>
      <c r="Y903" s="110">
        <f>+M903</f>
        <v>0</v>
      </c>
      <c r="Z903" s="110">
        <f>+W903/2-X903-Y903</f>
        <v>9200.06</v>
      </c>
      <c r="AA903" s="260">
        <f>+Z903/(W903/2)</f>
        <v>0.73896064257028105</v>
      </c>
      <c r="AB903" s="28">
        <f>ROUND($W903/2/$X$1,1)</f>
        <v>8.1999999999999993</v>
      </c>
      <c r="AC903" s="261">
        <f>+(AB903*$X$1-$X903-$Y903)/(AB903*$X$1)</f>
        <v>0.73865206307849418</v>
      </c>
      <c r="AD903" s="111">
        <f>+IFERROR(ROUND(($X903+$Y903)/(1-$X$2)/$X$1,1),0)</f>
        <v>2.2999999999999998</v>
      </c>
      <c r="AE903" s="262">
        <f>+(AD903*$X$1-$X903-$Y903)/(AD903*$X$1)</f>
        <v>6.8237790105936086E-2</v>
      </c>
      <c r="AF903" s="100"/>
      <c r="AG903" s="111">
        <f>+IFERROR(ROUND(($X903+$Y903)/(1-$AG$2)/$X$1,1),0)</f>
        <v>3.6</v>
      </c>
      <c r="AH903" s="262">
        <f>+(AG903*$X$1-$X903-$Y903)/(AG903*$X$1)</f>
        <v>0.40470747701212595</v>
      </c>
      <c r="AI903" s="100"/>
      <c r="AJ903" s="111">
        <f>+IFERROR(ROUND(($X903+$Y903)/(1-$AJ$2)/$X$1,1),0)</f>
        <v>3.3</v>
      </c>
      <c r="AK903" s="262">
        <f>+(AJ903*$X$1-$X903-$Y903)/(AJ903*$X$1)</f>
        <v>0.35058997492231908</v>
      </c>
      <c r="AL903" s="100"/>
      <c r="AM903" s="111">
        <f>+IFERROR(ROUND(($X903+$Y903)/(1-$AM$2)/$X$1,1),0)</f>
        <v>3.1</v>
      </c>
      <c r="AN903" s="262">
        <f>+(AM903*$X$1-$X903-$Y903)/(AM903*$X$1)</f>
        <v>0.30869255394956557</v>
      </c>
      <c r="AO903" s="100"/>
      <c r="AP903" s="24" t="e">
        <f>VLOOKUP(C903,#REF!,6,FALSE)</f>
        <v>#REF!</v>
      </c>
      <c r="AQ903" s="24" t="e">
        <f>VLOOKUP(C903,#REF!,7,FALSE)</f>
        <v>#REF!</v>
      </c>
      <c r="AR903" s="24" t="e">
        <f>VLOOKUP(C903,#REF!,12,FALSE)</f>
        <v>#REF!</v>
      </c>
      <c r="AS903" s="24" t="e">
        <f>VLOOKUP(C903,#REF!,13,FALSE)</f>
        <v>#REF!</v>
      </c>
      <c r="AT903" s="100"/>
      <c r="AU903" s="100"/>
      <c r="AV903" s="100">
        <v>884</v>
      </c>
      <c r="AW903" s="100"/>
      <c r="AY903" s="352">
        <v>24900</v>
      </c>
    </row>
    <row r="904" spans="1:51" s="2" customFormat="1" ht="12.75" customHeight="1" x14ac:dyDescent="0.2">
      <c r="A904" s="6" t="s">
        <v>2410</v>
      </c>
      <c r="B904" s="153">
        <v>9789500217491</v>
      </c>
      <c r="C904" s="366">
        <v>749099</v>
      </c>
      <c r="D904" s="41">
        <v>10</v>
      </c>
      <c r="E904" s="6" t="s">
        <v>2408</v>
      </c>
      <c r="F904" s="6" t="s">
        <v>2411</v>
      </c>
      <c r="G904" s="107">
        <v>46266</v>
      </c>
      <c r="H904" s="107">
        <v>46235</v>
      </c>
      <c r="I904" s="267">
        <v>4000</v>
      </c>
      <c r="J904" s="6" t="s">
        <v>2136</v>
      </c>
      <c r="K904" s="148">
        <v>3249.94</v>
      </c>
      <c r="L904" s="352">
        <v>24900</v>
      </c>
      <c r="M904" s="352"/>
      <c r="N904" s="9">
        <f>+L904/2</f>
        <v>12450</v>
      </c>
      <c r="O904" s="9">
        <f>+N904-M904-K904</f>
        <v>9200.06</v>
      </c>
      <c r="P904" s="9">
        <f>+M904+K904</f>
        <v>3249.94</v>
      </c>
      <c r="Q904" s="139">
        <f>+O904/N904</f>
        <v>0.73896064257028105</v>
      </c>
      <c r="R904" s="388">
        <v>24900</v>
      </c>
      <c r="S904" s="359" t="s">
        <v>1948</v>
      </c>
      <c r="T904" s="305">
        <v>0.61167685589519649</v>
      </c>
      <c r="U904" s="144"/>
      <c r="V904" s="100"/>
      <c r="W904" s="110">
        <f>+L904</f>
        <v>24900</v>
      </c>
      <c r="X904" s="110">
        <f>+K904</f>
        <v>3249.94</v>
      </c>
      <c r="Y904" s="110">
        <f>+M904</f>
        <v>0</v>
      </c>
      <c r="Z904" s="110">
        <f>+W904/2-X904-Y904</f>
        <v>9200.06</v>
      </c>
      <c r="AA904" s="260">
        <f>+Z904/(W904/2)</f>
        <v>0.73896064257028105</v>
      </c>
      <c r="AB904" s="28">
        <f>ROUND($W904/2/$X$1,1)</f>
        <v>8.1999999999999993</v>
      </c>
      <c r="AC904" s="261">
        <f>+(AB904*$X$1-$X904-$Y904)/(AB904*$X$1)</f>
        <v>0.73865206307849418</v>
      </c>
      <c r="AD904" s="111">
        <f>+IFERROR(ROUND(($X904+$Y904)/(1-$X$2)/$X$1,1),0)</f>
        <v>2.2999999999999998</v>
      </c>
      <c r="AE904" s="262">
        <f>+(AD904*$X$1-$X904-$Y904)/(AD904*$X$1)</f>
        <v>6.8237790105936086E-2</v>
      </c>
      <c r="AF904" s="100"/>
      <c r="AG904" s="111">
        <f>+IFERROR(ROUND(($X904+$Y904)/(1-$AG$2)/$X$1,1),0)</f>
        <v>3.6</v>
      </c>
      <c r="AH904" s="262">
        <f>+(AG904*$X$1-$X904-$Y904)/(AG904*$X$1)</f>
        <v>0.40470747701212595</v>
      </c>
      <c r="AI904" s="100"/>
      <c r="AJ904" s="111">
        <f>+IFERROR(ROUND(($X904+$Y904)/(1-$AJ$2)/$X$1,1),0)</f>
        <v>3.3</v>
      </c>
      <c r="AK904" s="262">
        <f>+(AJ904*$X$1-$X904-$Y904)/(AJ904*$X$1)</f>
        <v>0.35058997492231908</v>
      </c>
      <c r="AL904" s="100"/>
      <c r="AM904" s="111">
        <f>+IFERROR(ROUND(($X904+$Y904)/(1-$AM$2)/$X$1,1),0)</f>
        <v>3.1</v>
      </c>
      <c r="AN904" s="262">
        <f>+(AM904*$X$1-$X904-$Y904)/(AM904*$X$1)</f>
        <v>0.30869255394956557</v>
      </c>
      <c r="AO904" s="100"/>
      <c r="AP904" s="24" t="e">
        <f>VLOOKUP(C904,#REF!,6,FALSE)</f>
        <v>#REF!</v>
      </c>
      <c r="AQ904" s="24" t="e">
        <f>VLOOKUP(C904,#REF!,7,FALSE)</f>
        <v>#REF!</v>
      </c>
      <c r="AR904" s="24" t="e">
        <f>VLOOKUP(C904,#REF!,12,FALSE)</f>
        <v>#REF!</v>
      </c>
      <c r="AS904" s="24" t="e">
        <f>VLOOKUP(C904,#REF!,13,FALSE)</f>
        <v>#REF!</v>
      </c>
      <c r="AT904" s="100"/>
      <c r="AU904" s="100"/>
      <c r="AV904" s="100">
        <v>885</v>
      </c>
      <c r="AW904" s="100"/>
      <c r="AY904" s="352">
        <v>24900</v>
      </c>
    </row>
    <row r="905" spans="1:51" s="2" customFormat="1" ht="12.75" customHeight="1" x14ac:dyDescent="0.2">
      <c r="A905" s="6" t="s">
        <v>2412</v>
      </c>
      <c r="B905" s="153">
        <v>9789500217477</v>
      </c>
      <c r="C905" s="366">
        <v>749100</v>
      </c>
      <c r="D905" s="41">
        <v>10</v>
      </c>
      <c r="E905" s="6" t="s">
        <v>2408</v>
      </c>
      <c r="F905" s="7" t="s">
        <v>2413</v>
      </c>
      <c r="G905" s="107">
        <v>46266</v>
      </c>
      <c r="H905" s="107">
        <v>46235</v>
      </c>
      <c r="I905" s="267">
        <v>4000</v>
      </c>
      <c r="J905" s="6" t="s">
        <v>2136</v>
      </c>
      <c r="K905" s="148">
        <v>3249.94</v>
      </c>
      <c r="L905" s="352">
        <v>24900</v>
      </c>
      <c r="M905" s="352"/>
      <c r="N905" s="9">
        <f>+L905/2</f>
        <v>12450</v>
      </c>
      <c r="O905" s="9">
        <f>+N905-M905-K905</f>
        <v>9200.06</v>
      </c>
      <c r="P905" s="9">
        <f>+M905+K905</f>
        <v>3249.94</v>
      </c>
      <c r="Q905" s="139">
        <f>+O905/N905</f>
        <v>0.73896064257028105</v>
      </c>
      <c r="R905" s="388">
        <v>24900</v>
      </c>
      <c r="S905" s="359" t="s">
        <v>1948</v>
      </c>
      <c r="T905" s="305">
        <v>0.61167685589519649</v>
      </c>
      <c r="U905" s="144"/>
      <c r="V905" s="100"/>
      <c r="W905" s="110">
        <f>+L905</f>
        <v>24900</v>
      </c>
      <c r="X905" s="110">
        <f>+K905</f>
        <v>3249.94</v>
      </c>
      <c r="Y905" s="110">
        <f>+M905</f>
        <v>0</v>
      </c>
      <c r="Z905" s="110">
        <f>+W905/2-X905-Y905</f>
        <v>9200.06</v>
      </c>
      <c r="AA905" s="260">
        <f>+Z905/(W905/2)</f>
        <v>0.73896064257028105</v>
      </c>
      <c r="AB905" s="28">
        <f>ROUND($W905/2/$X$1,1)</f>
        <v>8.1999999999999993</v>
      </c>
      <c r="AC905" s="261">
        <f>+(AB905*$X$1-$X905-$Y905)/(AB905*$X$1)</f>
        <v>0.73865206307849418</v>
      </c>
      <c r="AD905" s="111">
        <f>+IFERROR(ROUND(($X905+$Y905)/(1-$X$2)/$X$1,1),0)</f>
        <v>2.2999999999999998</v>
      </c>
      <c r="AE905" s="262">
        <f>+(AD905*$X$1-$X905-$Y905)/(AD905*$X$1)</f>
        <v>6.8237790105936086E-2</v>
      </c>
      <c r="AF905" s="100"/>
      <c r="AG905" s="111">
        <f>+IFERROR(ROUND(($X905+$Y905)/(1-$AG$2)/$X$1,1),0)</f>
        <v>3.6</v>
      </c>
      <c r="AH905" s="262">
        <f>+(AG905*$X$1-$X905-$Y905)/(AG905*$X$1)</f>
        <v>0.40470747701212595</v>
      </c>
      <c r="AI905" s="100"/>
      <c r="AJ905" s="111">
        <f>+IFERROR(ROUND(($X905+$Y905)/(1-$AJ$2)/$X$1,1),0)</f>
        <v>3.3</v>
      </c>
      <c r="AK905" s="262">
        <f>+(AJ905*$X$1-$X905-$Y905)/(AJ905*$X$1)</f>
        <v>0.35058997492231908</v>
      </c>
      <c r="AL905" s="100"/>
      <c r="AM905" s="111">
        <f>+IFERROR(ROUND(($X905+$Y905)/(1-$AM$2)/$X$1,1),0)</f>
        <v>3.1</v>
      </c>
      <c r="AN905" s="262">
        <f>+(AM905*$X$1-$X905-$Y905)/(AM905*$X$1)</f>
        <v>0.30869255394956557</v>
      </c>
      <c r="AO905" s="100"/>
      <c r="AP905" s="24" t="e">
        <f>VLOOKUP(C905,#REF!,6,FALSE)</f>
        <v>#REF!</v>
      </c>
      <c r="AQ905" s="24" t="e">
        <f>VLOOKUP(C905,#REF!,7,FALSE)</f>
        <v>#REF!</v>
      </c>
      <c r="AR905" s="24" t="e">
        <f>VLOOKUP(C905,#REF!,12,FALSE)</f>
        <v>#REF!</v>
      </c>
      <c r="AS905" s="24" t="e">
        <f>VLOOKUP(C905,#REF!,13,FALSE)</f>
        <v>#REF!</v>
      </c>
      <c r="AT905" s="100"/>
      <c r="AU905" s="100"/>
      <c r="AV905" s="100">
        <v>886</v>
      </c>
      <c r="AW905" s="100"/>
      <c r="AY905" s="352">
        <v>24900</v>
      </c>
    </row>
    <row r="906" spans="1:51" s="2" customFormat="1" ht="12.75" customHeight="1" x14ac:dyDescent="0.2">
      <c r="A906" s="6" t="s">
        <v>2375</v>
      </c>
      <c r="B906" s="362">
        <v>9789500217057</v>
      </c>
      <c r="C906" s="363">
        <v>747643</v>
      </c>
      <c r="D906" s="239">
        <v>10</v>
      </c>
      <c r="E906" s="8" t="s">
        <v>2373</v>
      </c>
      <c r="F906" s="7" t="s">
        <v>2376</v>
      </c>
      <c r="G906" s="107">
        <v>46204</v>
      </c>
      <c r="H906" s="108">
        <v>46174</v>
      </c>
      <c r="I906" s="116">
        <v>4000</v>
      </c>
      <c r="J906" s="315" t="s">
        <v>1867</v>
      </c>
      <c r="K906" s="292">
        <v>2609.87</v>
      </c>
      <c r="L906" s="9">
        <v>12500</v>
      </c>
      <c r="M906" s="112"/>
      <c r="N906" s="9">
        <f>+L906/2</f>
        <v>6250</v>
      </c>
      <c r="O906" s="9">
        <f>+N906-M906-K906</f>
        <v>3640.13</v>
      </c>
      <c r="P906" s="9">
        <f>+M906+K906</f>
        <v>2609.87</v>
      </c>
      <c r="Q906" s="139">
        <f>+O906/N906</f>
        <v>0.58242080000000007</v>
      </c>
      <c r="R906" s="389">
        <v>12500</v>
      </c>
      <c r="S906" s="359" t="s">
        <v>1948</v>
      </c>
      <c r="T906" s="305">
        <v>0.62902122905027935</v>
      </c>
      <c r="U906" s="144"/>
      <c r="V906" s="100"/>
      <c r="W906" s="110">
        <f>+L906</f>
        <v>12500</v>
      </c>
      <c r="X906" s="110">
        <f>+K906</f>
        <v>2609.87</v>
      </c>
      <c r="Y906" s="110">
        <f>+M906</f>
        <v>0</v>
      </c>
      <c r="Z906" s="110">
        <f>+W906/2-X906-Y906</f>
        <v>3640.13</v>
      </c>
      <c r="AA906" s="260">
        <f>+Z906/(W906/2)</f>
        <v>0.58242080000000007</v>
      </c>
      <c r="AB906" s="28">
        <f>ROUND($W906/2/$X$1,1)</f>
        <v>4.0999999999999996</v>
      </c>
      <c r="AC906" s="261">
        <f>+(AB906*$X$1-$X906-$Y906)/(AB906*$X$1)</f>
        <v>0.58024816449944916</v>
      </c>
      <c r="AD906" s="111">
        <f>+IFERROR(ROUND(($X906+$Y906)/(1-$X$2)/$X$1,1),0)</f>
        <v>1.8</v>
      </c>
      <c r="AE906" s="262">
        <f>+(AD906*$X$1-$X906-$Y906)/(AD906*$X$1)</f>
        <v>4.3898596915412084E-2</v>
      </c>
      <c r="AF906" s="100"/>
      <c r="AG906" s="111">
        <f>+IFERROR(ROUND(($X906+$Y906)/(1-$AG$2)/$X$1,1),0)</f>
        <v>2.9</v>
      </c>
      <c r="AH906" s="262">
        <f>+(AG906*$X$1-$X906-$Y906)/(AG906*$X$1)</f>
        <v>0.40655774980956599</v>
      </c>
      <c r="AI906" s="100"/>
      <c r="AJ906" s="111">
        <f>+IFERROR(ROUND(($X906+$Y906)/(1-$AJ$2)/$X$1,1),0)</f>
        <v>2.6</v>
      </c>
      <c r="AK906" s="262">
        <f>+(AJ906*$X$1-$X906-$Y906)/(AJ906*$X$1)</f>
        <v>0.33808364401836216</v>
      </c>
      <c r="AL906" s="100"/>
      <c r="AM906" s="111">
        <f>+IFERROR(ROUND(($X906+$Y906)/(1-$AM$2)/$X$1,1),0)</f>
        <v>2.5</v>
      </c>
      <c r="AN906" s="262">
        <f>+(AM906*$X$1-$X906-$Y906)/(AM906*$X$1)</f>
        <v>0.31160698977909662</v>
      </c>
      <c r="AO906" s="100"/>
      <c r="AP906" s="24" t="e">
        <f>VLOOKUP(C906,#REF!,6,FALSE)</f>
        <v>#REF!</v>
      </c>
      <c r="AQ906" s="24" t="e">
        <f>VLOOKUP(C906,#REF!,7,FALSE)</f>
        <v>#REF!</v>
      </c>
      <c r="AR906" s="24" t="e">
        <f>VLOOKUP(C906,#REF!,12,FALSE)</f>
        <v>#REF!</v>
      </c>
      <c r="AS906" s="24" t="e">
        <f>VLOOKUP(C906,#REF!,13,FALSE)</f>
        <v>#REF!</v>
      </c>
      <c r="AT906" s="100"/>
      <c r="AU906" s="100"/>
      <c r="AV906" s="100">
        <v>887</v>
      </c>
      <c r="AW906" s="100"/>
      <c r="AY906" s="9">
        <v>12500</v>
      </c>
    </row>
    <row r="907" spans="1:51" s="2" customFormat="1" ht="12.75" customHeight="1" x14ac:dyDescent="0.2">
      <c r="A907" s="6" t="s">
        <v>2377</v>
      </c>
      <c r="B907" s="153">
        <v>9789500217040</v>
      </c>
      <c r="C907" s="363">
        <v>747645</v>
      </c>
      <c r="D907" s="41">
        <v>10</v>
      </c>
      <c r="E907" s="8" t="s">
        <v>2373</v>
      </c>
      <c r="F907" s="364" t="s">
        <v>2378</v>
      </c>
      <c r="G907" s="107">
        <v>46204</v>
      </c>
      <c r="H907" s="108">
        <v>46174</v>
      </c>
      <c r="I907" s="116">
        <v>4000</v>
      </c>
      <c r="J907" s="315" t="s">
        <v>1867</v>
      </c>
      <c r="K907" s="292">
        <v>2609.87</v>
      </c>
      <c r="L907" s="295">
        <v>12500</v>
      </c>
      <c r="M907" s="112"/>
      <c r="N907" s="9">
        <f>+L907/2</f>
        <v>6250</v>
      </c>
      <c r="O907" s="9">
        <f>+N907-M907-K907</f>
        <v>3640.13</v>
      </c>
      <c r="P907" s="9">
        <f>+M907+K907</f>
        <v>2609.87</v>
      </c>
      <c r="Q907" s="139">
        <f>+O907/N907</f>
        <v>0.58242080000000007</v>
      </c>
      <c r="R907" s="389">
        <v>12500</v>
      </c>
      <c r="S907" s="359" t="s">
        <v>1948</v>
      </c>
      <c r="T907" s="305">
        <v>0.61167685589519649</v>
      </c>
      <c r="U907" s="144"/>
      <c r="V907" s="100"/>
      <c r="W907" s="110">
        <f>+L907</f>
        <v>12500</v>
      </c>
      <c r="X907" s="110">
        <f>+K907</f>
        <v>2609.87</v>
      </c>
      <c r="Y907" s="110">
        <f>+M907</f>
        <v>0</v>
      </c>
      <c r="Z907" s="110">
        <f>+W907/2-X907-Y907</f>
        <v>3640.13</v>
      </c>
      <c r="AA907" s="260">
        <f>+Z907/(W907/2)</f>
        <v>0.58242080000000007</v>
      </c>
      <c r="AB907" s="28">
        <f>ROUND($W907/2/$X$1,1)</f>
        <v>4.0999999999999996</v>
      </c>
      <c r="AC907" s="261">
        <f>+(AB907*$X$1-$X907-$Y907)/(AB907*$X$1)</f>
        <v>0.58024816449944916</v>
      </c>
      <c r="AD907" s="111">
        <f>+IFERROR(ROUND(($X907+$Y907)/(1-$X$2)/$X$1,1),0)</f>
        <v>1.8</v>
      </c>
      <c r="AE907" s="262">
        <f>+(AD907*$X$1-$X907-$Y907)/(AD907*$X$1)</f>
        <v>4.3898596915412084E-2</v>
      </c>
      <c r="AF907" s="100"/>
      <c r="AG907" s="111">
        <f>+IFERROR(ROUND(($X907+$Y907)/(1-$AG$2)/$X$1,1),0)</f>
        <v>2.9</v>
      </c>
      <c r="AH907" s="262">
        <f>+(AG907*$X$1-$X907-$Y907)/(AG907*$X$1)</f>
        <v>0.40655774980956599</v>
      </c>
      <c r="AI907" s="100"/>
      <c r="AJ907" s="111">
        <f>+IFERROR(ROUND(($X907+$Y907)/(1-$AJ$2)/$X$1,1),0)</f>
        <v>2.6</v>
      </c>
      <c r="AK907" s="262">
        <f>+(AJ907*$X$1-$X907-$Y907)/(AJ907*$X$1)</f>
        <v>0.33808364401836216</v>
      </c>
      <c r="AL907" s="100"/>
      <c r="AM907" s="111">
        <f>+IFERROR(ROUND(($X907+$Y907)/(1-$AM$2)/$X$1,1),0)</f>
        <v>2.5</v>
      </c>
      <c r="AN907" s="262">
        <f>+(AM907*$X$1-$X907-$Y907)/(AM907*$X$1)</f>
        <v>0.31160698977909662</v>
      </c>
      <c r="AO907" s="100"/>
      <c r="AP907" s="24" t="e">
        <f>VLOOKUP(C907,#REF!,6,FALSE)</f>
        <v>#REF!</v>
      </c>
      <c r="AQ907" s="24" t="e">
        <f>VLOOKUP(C907,#REF!,7,FALSE)</f>
        <v>#REF!</v>
      </c>
      <c r="AR907" s="24" t="e">
        <f>VLOOKUP(C907,#REF!,12,FALSE)</f>
        <v>#REF!</v>
      </c>
      <c r="AS907" s="24" t="e">
        <f>VLOOKUP(C907,#REF!,13,FALSE)</f>
        <v>#REF!</v>
      </c>
      <c r="AT907" s="100"/>
      <c r="AU907" s="100"/>
      <c r="AV907" s="100">
        <v>888</v>
      </c>
      <c r="AW907" s="100"/>
      <c r="AY907" s="295">
        <v>12500</v>
      </c>
    </row>
    <row r="908" spans="1:51" s="2" customFormat="1" ht="12.75" customHeight="1" x14ac:dyDescent="0.25">
      <c r="A908" s="1"/>
      <c r="B908" s="3"/>
      <c r="C908" s="3"/>
      <c r="E908" s="3"/>
      <c r="F908" s="26"/>
      <c r="G908" s="3"/>
      <c r="H908" s="26"/>
      <c r="I908" s="3"/>
      <c r="J908" s="26"/>
      <c r="K908" s="132"/>
      <c r="L908" s="18"/>
      <c r="M908" s="132"/>
      <c r="N908" s="132"/>
      <c r="O908" s="132"/>
      <c r="P908" s="132"/>
      <c r="Q908" s="147"/>
      <c r="R908" s="327"/>
      <c r="S908" s="360"/>
      <c r="T908" s="307"/>
      <c r="U908" s="135"/>
      <c r="V908" s="100"/>
      <c r="W908"/>
      <c r="X908"/>
      <c r="Y908"/>
      <c r="Z908"/>
      <c r="AA908"/>
      <c r="AB908"/>
      <c r="AC908"/>
      <c r="AD908" s="263"/>
      <c r="AE908"/>
      <c r="AF908" s="100"/>
      <c r="AG908" s="263"/>
      <c r="AH908"/>
      <c r="AI908" s="100"/>
      <c r="AJ908" s="263"/>
      <c r="AK908"/>
      <c r="AL908" s="100"/>
      <c r="AM908" s="263"/>
      <c r="AN908"/>
      <c r="AO908" s="100"/>
      <c r="AP908" s="100"/>
      <c r="AQ908" s="100"/>
      <c r="AR908" s="100"/>
      <c r="AS908" s="100"/>
      <c r="AT908" s="100"/>
      <c r="AU908" s="100"/>
      <c r="AV908" s="100">
        <v>889</v>
      </c>
      <c r="AW908" s="100"/>
      <c r="AY908" s="18"/>
    </row>
    <row r="909" spans="1:51" s="2" customFormat="1" ht="12.75" customHeight="1" x14ac:dyDescent="0.25">
      <c r="A909" s="202" t="s">
        <v>2277</v>
      </c>
      <c r="B909" s="203"/>
      <c r="C909" s="203"/>
      <c r="D909" s="204"/>
      <c r="E909" s="205"/>
      <c r="F909" s="162"/>
      <c r="G909" s="162"/>
      <c r="H909" s="132"/>
      <c r="I909" s="132"/>
      <c r="J909" s="132"/>
      <c r="K909" s="132"/>
      <c r="L909" s="132"/>
      <c r="M909" s="132"/>
      <c r="N909" s="132"/>
      <c r="O909" s="132"/>
      <c r="P909" s="132"/>
      <c r="Q909" s="147"/>
      <c r="R909" s="327"/>
      <c r="S909" s="360"/>
      <c r="T909" s="307"/>
      <c r="U909" s="135"/>
      <c r="V909" s="100"/>
      <c r="W909"/>
      <c r="X909"/>
      <c r="Y909"/>
      <c r="Z909"/>
      <c r="AA909"/>
      <c r="AB909"/>
      <c r="AC909"/>
      <c r="AD909" s="263"/>
      <c r="AE909"/>
      <c r="AF909" s="100"/>
      <c r="AG909" s="263"/>
      <c r="AH909"/>
      <c r="AI909" s="100"/>
      <c r="AJ909" s="263"/>
      <c r="AK909"/>
      <c r="AL909" s="100"/>
      <c r="AM909" s="263"/>
      <c r="AN909"/>
      <c r="AO909" s="100"/>
      <c r="AP909" s="100"/>
      <c r="AQ909" s="100"/>
      <c r="AR909" s="100"/>
      <c r="AS909" s="100"/>
      <c r="AT909" s="100"/>
      <c r="AU909" s="100"/>
      <c r="AV909" s="100">
        <v>890</v>
      </c>
      <c r="AW909" s="100"/>
      <c r="AY909" s="132"/>
    </row>
    <row r="910" spans="1:51" s="2" customFormat="1" ht="12.75" customHeight="1" x14ac:dyDescent="0.2">
      <c r="A910" s="6" t="s">
        <v>2272</v>
      </c>
      <c r="B910" s="339">
        <v>9789500216777</v>
      </c>
      <c r="C910" s="340">
        <v>742445</v>
      </c>
      <c r="D910" s="239">
        <v>12</v>
      </c>
      <c r="E910" s="8" t="s">
        <v>2273</v>
      </c>
      <c r="F910" s="340" t="s">
        <v>2274</v>
      </c>
      <c r="G910" s="107">
        <v>46143</v>
      </c>
      <c r="H910" s="108">
        <v>46054</v>
      </c>
      <c r="I910" s="264">
        <v>4104</v>
      </c>
      <c r="J910" s="28" t="s">
        <v>2329</v>
      </c>
      <c r="K910" s="292">
        <v>4406.24</v>
      </c>
      <c r="L910" s="9">
        <v>23900</v>
      </c>
      <c r="M910" s="112"/>
      <c r="N910" s="9">
        <f>+L910/2</f>
        <v>11950</v>
      </c>
      <c r="O910" s="9">
        <f>+N910-M910-K910</f>
        <v>7543.76</v>
      </c>
      <c r="P910" s="9">
        <f>+M910+K910</f>
        <v>4406.24</v>
      </c>
      <c r="Q910" s="139">
        <f>+O910/N910</f>
        <v>0.63127698744769878</v>
      </c>
      <c r="R910" s="387">
        <v>23900</v>
      </c>
      <c r="S910" s="359" t="s">
        <v>1948</v>
      </c>
      <c r="T910" s="305">
        <v>0.61517554585152845</v>
      </c>
      <c r="U910" s="144"/>
      <c r="V910" s="100"/>
      <c r="W910" s="110">
        <f>+L910</f>
        <v>23900</v>
      </c>
      <c r="X910" s="110">
        <f>+K910</f>
        <v>4406.24</v>
      </c>
      <c r="Y910" s="110">
        <f>+M910</f>
        <v>0</v>
      </c>
      <c r="Z910" s="110">
        <f>+W910/2-X910-Y910</f>
        <v>7543.76</v>
      </c>
      <c r="AA910" s="260">
        <f>+Z910/(W910/2)</f>
        <v>0.63127698744769878</v>
      </c>
      <c r="AB910" s="28">
        <f>ROUND($W910/2/$X$1,1)</f>
        <v>7.9</v>
      </c>
      <c r="AC910" s="261">
        <f>+(AB910*$X$1-$X910-$Y910)/(AB910*$X$1)</f>
        <v>0.63221107897515516</v>
      </c>
      <c r="AD910" s="111">
        <f>+IFERROR(ROUND(($X910+$Y910)/(1-$X$2)/$X$1,1),0)</f>
        <v>3.1</v>
      </c>
      <c r="AE910" s="262">
        <f>+(AD910*$X$1-$X910-$Y910)/(AD910*$X$1)</f>
        <v>6.2731459323782629E-2</v>
      </c>
      <c r="AF910" s="100"/>
      <c r="AG910" s="111">
        <f>+IFERROR(ROUND(($X910+$Y910)/(1-$AG$2)/$X$1,1),0)</f>
        <v>4.8</v>
      </c>
      <c r="AH910" s="262">
        <f>+(AG910*$X$1-$X910-$Y910)/(AG910*$X$1)</f>
        <v>0.39468073414660954</v>
      </c>
      <c r="AI910" s="100"/>
      <c r="AJ910" s="111">
        <f>+IFERROR(ROUND(($X910+$Y910)/(1-$AJ$2)/$X$1,1),0)</f>
        <v>4.5</v>
      </c>
      <c r="AK910" s="262">
        <f>+(AJ910*$X$1-$X910-$Y910)/(AJ910*$X$1)</f>
        <v>0.35432611642305017</v>
      </c>
      <c r="AL910" s="100"/>
      <c r="AM910" s="111">
        <f>+IFERROR(ROUND(($X910+$Y910)/(1-$AM$2)/$X$1,1),0)</f>
        <v>4.2</v>
      </c>
      <c r="AN910" s="262">
        <f>+(AM910*$X$1-$X910-$Y910)/(AM910*$X$1)</f>
        <v>0.30820655331041091</v>
      </c>
      <c r="AO910" s="100"/>
      <c r="AP910" s="24" t="e">
        <f>VLOOKUP(C910,#REF!,6,FALSE)</f>
        <v>#REF!</v>
      </c>
      <c r="AQ910" s="24" t="e">
        <f>VLOOKUP(C910,#REF!,7,FALSE)</f>
        <v>#REF!</v>
      </c>
      <c r="AR910" s="24" t="e">
        <f>VLOOKUP(C910,#REF!,12,FALSE)</f>
        <v>#REF!</v>
      </c>
      <c r="AS910" s="24" t="e">
        <f>VLOOKUP(C910,#REF!,13,FALSE)</f>
        <v>#REF!</v>
      </c>
      <c r="AT910" s="100"/>
      <c r="AU910" s="100"/>
      <c r="AV910" s="100">
        <v>891</v>
      </c>
      <c r="AW910" s="100"/>
      <c r="AY910" s="9">
        <v>23900</v>
      </c>
    </row>
    <row r="911" spans="1:51" s="2" customFormat="1" ht="12.75" customHeight="1" x14ac:dyDescent="0.2">
      <c r="A911" s="6" t="s">
        <v>2275</v>
      </c>
      <c r="B911" s="339">
        <v>9789500216760</v>
      </c>
      <c r="C911" s="340">
        <v>742446</v>
      </c>
      <c r="D911" s="239">
        <v>12</v>
      </c>
      <c r="E911" s="8" t="s">
        <v>2273</v>
      </c>
      <c r="F911" s="340" t="s">
        <v>2276</v>
      </c>
      <c r="G911" s="107">
        <v>46143</v>
      </c>
      <c r="H911" s="108">
        <v>46054</v>
      </c>
      <c r="I911" s="264">
        <v>4104</v>
      </c>
      <c r="J911" s="28" t="s">
        <v>2329</v>
      </c>
      <c r="K911" s="292">
        <v>4406.24</v>
      </c>
      <c r="L911" s="9">
        <v>23900</v>
      </c>
      <c r="M911" s="112"/>
      <c r="N911" s="9">
        <f>+L911/2</f>
        <v>11950</v>
      </c>
      <c r="O911" s="9">
        <f>+N911-M911-K911</f>
        <v>7543.76</v>
      </c>
      <c r="P911" s="9">
        <f>+M911+K911</f>
        <v>4406.24</v>
      </c>
      <c r="Q911" s="139">
        <f>+O911/N911</f>
        <v>0.63127698744769878</v>
      </c>
      <c r="R911" s="387">
        <v>23900</v>
      </c>
      <c r="S911" s="359" t="s">
        <v>1948</v>
      </c>
      <c r="T911" s="305">
        <v>0.61517554585152845</v>
      </c>
      <c r="U911" s="144"/>
      <c r="V911" s="100"/>
      <c r="W911" s="110">
        <f>+L911</f>
        <v>23900</v>
      </c>
      <c r="X911" s="110">
        <f>+K911</f>
        <v>4406.24</v>
      </c>
      <c r="Y911" s="110">
        <f>+M911</f>
        <v>0</v>
      </c>
      <c r="Z911" s="110">
        <f>+W911/2-X911-Y911</f>
        <v>7543.76</v>
      </c>
      <c r="AA911" s="260">
        <f>+Z911/(W911/2)</f>
        <v>0.63127698744769878</v>
      </c>
      <c r="AB911" s="28">
        <f>ROUND($W911/2/$X$1,1)</f>
        <v>7.9</v>
      </c>
      <c r="AC911" s="261">
        <f>+(AB911*$X$1-$X911-$Y911)/(AB911*$X$1)</f>
        <v>0.63221107897515516</v>
      </c>
      <c r="AD911" s="111">
        <f>+IFERROR(ROUND(($X911+$Y911)/(1-$X$2)/$X$1,1),0)</f>
        <v>3.1</v>
      </c>
      <c r="AE911" s="262">
        <f>+(AD911*$X$1-$X911-$Y911)/(AD911*$X$1)</f>
        <v>6.2731459323782629E-2</v>
      </c>
      <c r="AF911" s="100"/>
      <c r="AG911" s="111">
        <f>+IFERROR(ROUND(($X911+$Y911)/(1-$AG$2)/$X$1,1),0)</f>
        <v>4.8</v>
      </c>
      <c r="AH911" s="262">
        <f>+(AG911*$X$1-$X911-$Y911)/(AG911*$X$1)</f>
        <v>0.39468073414660954</v>
      </c>
      <c r="AI911" s="100"/>
      <c r="AJ911" s="111">
        <f>+IFERROR(ROUND(($X911+$Y911)/(1-$AJ$2)/$X$1,1),0)</f>
        <v>4.5</v>
      </c>
      <c r="AK911" s="262">
        <f>+(AJ911*$X$1-$X911-$Y911)/(AJ911*$X$1)</f>
        <v>0.35432611642305017</v>
      </c>
      <c r="AL911" s="100"/>
      <c r="AM911" s="111">
        <f>+IFERROR(ROUND(($X911+$Y911)/(1-$AM$2)/$X$1,1),0)</f>
        <v>4.2</v>
      </c>
      <c r="AN911" s="262">
        <f>+(AM911*$X$1-$X911-$Y911)/(AM911*$X$1)</f>
        <v>0.30820655331041091</v>
      </c>
      <c r="AO911" s="100"/>
      <c r="AP911" s="24" t="e">
        <f>VLOOKUP(C911,#REF!,6,FALSE)</f>
        <v>#REF!</v>
      </c>
      <c r="AQ911" s="24" t="e">
        <f>VLOOKUP(C911,#REF!,7,FALSE)</f>
        <v>#REF!</v>
      </c>
      <c r="AR911" s="24" t="e">
        <f>VLOOKUP(C911,#REF!,12,FALSE)</f>
        <v>#REF!</v>
      </c>
      <c r="AS911" s="24" t="e">
        <f>VLOOKUP(C911,#REF!,13,FALSE)</f>
        <v>#REF!</v>
      </c>
      <c r="AT911" s="100"/>
      <c r="AU911" s="100"/>
      <c r="AV911" s="100">
        <v>892</v>
      </c>
      <c r="AW911" s="100"/>
      <c r="AY911" s="9">
        <v>23900</v>
      </c>
    </row>
    <row r="912" spans="1:51" s="2" customFormat="1" ht="12.75" customHeight="1" x14ac:dyDescent="0.25">
      <c r="A912" s="1"/>
      <c r="B912" s="3"/>
      <c r="C912" s="3"/>
      <c r="E912" s="3"/>
      <c r="F912" s="26"/>
      <c r="G912" s="3"/>
      <c r="H912" s="26"/>
      <c r="I912" s="3"/>
      <c r="J912" s="26"/>
      <c r="K912" s="132"/>
      <c r="L912" s="18"/>
      <c r="M912" s="132"/>
      <c r="N912" s="132"/>
      <c r="O912" s="132"/>
      <c r="P912" s="132"/>
      <c r="Q912" s="147"/>
      <c r="R912" s="327"/>
      <c r="S912" s="360"/>
      <c r="T912" s="307"/>
      <c r="U912" s="135"/>
      <c r="V912" s="100"/>
      <c r="W912"/>
      <c r="X912"/>
      <c r="Y912"/>
      <c r="Z912"/>
      <c r="AA912"/>
      <c r="AB912"/>
      <c r="AC912"/>
      <c r="AD912" s="263"/>
      <c r="AE912"/>
      <c r="AF912" s="100"/>
      <c r="AG912" s="263"/>
      <c r="AH912"/>
      <c r="AI912" s="100"/>
      <c r="AJ912" s="263"/>
      <c r="AK912"/>
      <c r="AL912" s="100"/>
      <c r="AM912" s="263"/>
      <c r="AN912"/>
      <c r="AO912" s="100"/>
      <c r="AP912" s="100"/>
      <c r="AQ912" s="100"/>
      <c r="AR912" s="100"/>
      <c r="AS912" s="100"/>
      <c r="AT912" s="100"/>
      <c r="AU912" s="100"/>
      <c r="AV912" s="100">
        <v>893</v>
      </c>
      <c r="AW912" s="100"/>
      <c r="AY912" s="18"/>
    </row>
    <row r="913" spans="1:51" s="2" customFormat="1" ht="12.75" customHeight="1" x14ac:dyDescent="0.25">
      <c r="A913" s="202" t="s">
        <v>2260</v>
      </c>
      <c r="B913" s="203"/>
      <c r="C913" s="203"/>
      <c r="D913" s="204"/>
      <c r="E913" s="205"/>
      <c r="F913" s="162"/>
      <c r="G913" s="162"/>
      <c r="H913" s="132"/>
      <c r="I913" s="132"/>
      <c r="J913" s="132"/>
      <c r="K913" s="132"/>
      <c r="L913" s="132"/>
      <c r="M913" s="132"/>
      <c r="N913" s="132"/>
      <c r="O913" s="132"/>
      <c r="P913" s="132"/>
      <c r="Q913" s="147"/>
      <c r="R913" s="327"/>
      <c r="S913" s="360"/>
      <c r="T913" s="307"/>
      <c r="U913" s="135"/>
      <c r="V913" s="100"/>
      <c r="W913"/>
      <c r="X913"/>
      <c r="Y913"/>
      <c r="Z913"/>
      <c r="AA913"/>
      <c r="AB913"/>
      <c r="AC913"/>
      <c r="AD913" s="263"/>
      <c r="AE913"/>
      <c r="AF913" s="100"/>
      <c r="AG913" s="263"/>
      <c r="AH913"/>
      <c r="AI913" s="100"/>
      <c r="AJ913" s="263"/>
      <c r="AK913"/>
      <c r="AL913" s="100"/>
      <c r="AM913" s="263"/>
      <c r="AN913"/>
      <c r="AO913" s="100"/>
      <c r="AP913" s="100"/>
      <c r="AQ913" s="100"/>
      <c r="AR913" s="100"/>
      <c r="AS913" s="100"/>
      <c r="AT913" s="100"/>
      <c r="AU913" s="100"/>
      <c r="AV913" s="100">
        <v>894</v>
      </c>
      <c r="AW913" s="100"/>
      <c r="AY913" s="132"/>
    </row>
    <row r="914" spans="1:51" s="2" customFormat="1" ht="12.75" customHeight="1" x14ac:dyDescent="0.2">
      <c r="A914" s="6" t="s">
        <v>2261</v>
      </c>
      <c r="B914" s="339">
        <v>9789500216814</v>
      </c>
      <c r="C914" s="340">
        <v>741979</v>
      </c>
      <c r="D914" s="239">
        <v>8</v>
      </c>
      <c r="E914" s="8" t="s">
        <v>2262</v>
      </c>
      <c r="F914" s="340" t="s">
        <v>2263</v>
      </c>
      <c r="G914" s="107">
        <v>46082</v>
      </c>
      <c r="H914" s="108">
        <v>46054</v>
      </c>
      <c r="I914" s="24">
        <v>4000</v>
      </c>
      <c r="J914" s="28" t="s">
        <v>2258</v>
      </c>
      <c r="K914" s="148">
        <v>3800.16</v>
      </c>
      <c r="L914" s="9">
        <v>20900</v>
      </c>
      <c r="M914" s="112"/>
      <c r="N914" s="9">
        <f>+L914/2</f>
        <v>10450</v>
      </c>
      <c r="O914" s="9">
        <f>+N914-M914-K914</f>
        <v>6649.84</v>
      </c>
      <c r="P914" s="9">
        <f>+M914+K914</f>
        <v>3800.16</v>
      </c>
      <c r="Q914" s="139">
        <f>+O914/N914</f>
        <v>0.63634832535885166</v>
      </c>
      <c r="R914" s="387">
        <v>20900</v>
      </c>
      <c r="S914" s="359" t="s">
        <v>1948</v>
      </c>
      <c r="T914" s="305">
        <v>0.61807437185929648</v>
      </c>
      <c r="U914" s="144"/>
      <c r="V914" s="100"/>
      <c r="W914" s="110">
        <f>+L914</f>
        <v>20900</v>
      </c>
      <c r="X914" s="110">
        <f>+K914</f>
        <v>3800.16</v>
      </c>
      <c r="Y914" s="110">
        <f>+M914</f>
        <v>0</v>
      </c>
      <c r="Z914" s="110">
        <f>+W914/2-X914-Y914</f>
        <v>6649.84</v>
      </c>
      <c r="AA914" s="260">
        <f>+Z914/(W914/2)</f>
        <v>0.63634832535885166</v>
      </c>
      <c r="AB914" s="28">
        <f>ROUND($W914/2/$X$1,1)</f>
        <v>6.9</v>
      </c>
      <c r="AC914" s="261">
        <f>+(AB914*$X$1-$X914-$Y914)/(AB914*$X$1)</f>
        <v>0.63682965638842304</v>
      </c>
      <c r="AD914" s="111">
        <f>+IFERROR(ROUND(($X914+$Y914)/(1-$X$2)/$X$1,1),0)</f>
        <v>2.6</v>
      </c>
      <c r="AE914" s="262">
        <f>+(AD914*$X$1-$X914-$Y914)/(AD914*$X$1)</f>
        <v>3.6201780415430325E-2</v>
      </c>
      <c r="AF914" s="100"/>
      <c r="AG914" s="111">
        <f>+IFERROR(ROUND(($X914+$Y914)/(1-$AG$2)/$X$1,1),0)</f>
        <v>4.2</v>
      </c>
      <c r="AH914" s="262">
        <f>+(AG914*$X$1-$X914-$Y914)/(AG914*$X$1)</f>
        <v>0.40336300692383781</v>
      </c>
      <c r="AI914" s="100"/>
      <c r="AJ914" s="111">
        <f>+IFERROR(ROUND(($X914+$Y914)/(1-$AJ$2)/$X$1,1),0)</f>
        <v>3.9</v>
      </c>
      <c r="AK914" s="262">
        <f>+(AJ914*$X$1-$X914-$Y914)/(AJ914*$X$1)</f>
        <v>0.35746785361028682</v>
      </c>
      <c r="AL914" s="100"/>
      <c r="AM914" s="111">
        <f>+IFERROR(ROUND(($X914+$Y914)/(1-$AM$2)/$X$1,1),0)</f>
        <v>3.6</v>
      </c>
      <c r="AN914" s="262">
        <f>+(AM914*$X$1-$X914-$Y914)/(AM914*$X$1)</f>
        <v>0.30392350807781082</v>
      </c>
      <c r="AO914" s="100"/>
      <c r="AP914" s="24" t="e">
        <f>VLOOKUP(C914,#REF!,6,FALSE)</f>
        <v>#REF!</v>
      </c>
      <c r="AQ914" s="24" t="e">
        <f>VLOOKUP(C914,#REF!,7,FALSE)</f>
        <v>#REF!</v>
      </c>
      <c r="AR914" s="24" t="e">
        <f>VLOOKUP(C914,#REF!,12,FALSE)</f>
        <v>#REF!</v>
      </c>
      <c r="AS914" s="24" t="e">
        <f>VLOOKUP(C914,#REF!,13,FALSE)</f>
        <v>#REF!</v>
      </c>
      <c r="AT914" s="100"/>
      <c r="AU914" s="100"/>
      <c r="AV914" s="100">
        <v>895</v>
      </c>
      <c r="AW914" s="100"/>
      <c r="AY914" s="9">
        <v>20900</v>
      </c>
    </row>
    <row r="915" spans="1:51" s="2" customFormat="1" ht="12.75" customHeight="1" x14ac:dyDescent="0.2">
      <c r="A915" s="6" t="s">
        <v>2264</v>
      </c>
      <c r="B915" s="339">
        <v>9789500216807</v>
      </c>
      <c r="C915" s="340">
        <v>741981</v>
      </c>
      <c r="D915" s="239">
        <v>8</v>
      </c>
      <c r="E915" s="8" t="s">
        <v>2262</v>
      </c>
      <c r="F915" s="340" t="s">
        <v>2265</v>
      </c>
      <c r="G915" s="107">
        <v>46082</v>
      </c>
      <c r="H915" s="108">
        <v>46054</v>
      </c>
      <c r="I915" s="24">
        <v>4000</v>
      </c>
      <c r="J915" s="28" t="s">
        <v>2258</v>
      </c>
      <c r="K915" s="148">
        <v>3800.16</v>
      </c>
      <c r="L915" s="9">
        <v>20900</v>
      </c>
      <c r="M915" s="112"/>
      <c r="N915" s="9">
        <f>+L915/2</f>
        <v>10450</v>
      </c>
      <c r="O915" s="9">
        <f>+N915-M915-K915</f>
        <v>6649.84</v>
      </c>
      <c r="P915" s="9">
        <f>+M915+K915</f>
        <v>3800.16</v>
      </c>
      <c r="Q915" s="139">
        <f>+O915/N915</f>
        <v>0.63634832535885166</v>
      </c>
      <c r="R915" s="387">
        <v>20900</v>
      </c>
      <c r="S915" s="359" t="s">
        <v>1948</v>
      </c>
      <c r="T915" s="305">
        <v>0.61807437185929648</v>
      </c>
      <c r="U915" s="144"/>
      <c r="V915" s="100"/>
      <c r="W915" s="110">
        <f>+L915</f>
        <v>20900</v>
      </c>
      <c r="X915" s="110">
        <f>+K915</f>
        <v>3800.16</v>
      </c>
      <c r="Y915" s="110">
        <f>+M915</f>
        <v>0</v>
      </c>
      <c r="Z915" s="110">
        <f>+W915/2-X915-Y915</f>
        <v>6649.84</v>
      </c>
      <c r="AA915" s="260">
        <f>+Z915/(W915/2)</f>
        <v>0.63634832535885166</v>
      </c>
      <c r="AB915" s="28">
        <f>ROUND($W915/2/$X$1,1)</f>
        <v>6.9</v>
      </c>
      <c r="AC915" s="261">
        <f>+(AB915*$X$1-$X915-$Y915)/(AB915*$X$1)</f>
        <v>0.63682965638842304</v>
      </c>
      <c r="AD915" s="111">
        <f>+IFERROR(ROUND(($X915+$Y915)/(1-$X$2)/$X$1,1),0)</f>
        <v>2.6</v>
      </c>
      <c r="AE915" s="262">
        <f>+(AD915*$X$1-$X915-$Y915)/(AD915*$X$1)</f>
        <v>3.6201780415430325E-2</v>
      </c>
      <c r="AF915" s="100"/>
      <c r="AG915" s="111">
        <f>+IFERROR(ROUND(($X915+$Y915)/(1-$AG$2)/$X$1,1),0)</f>
        <v>4.2</v>
      </c>
      <c r="AH915" s="262">
        <f>+(AG915*$X$1-$X915-$Y915)/(AG915*$X$1)</f>
        <v>0.40336300692383781</v>
      </c>
      <c r="AI915" s="100"/>
      <c r="AJ915" s="111">
        <f>+IFERROR(ROUND(($X915+$Y915)/(1-$AJ$2)/$X$1,1),0)</f>
        <v>3.9</v>
      </c>
      <c r="AK915" s="262">
        <f>+(AJ915*$X$1-$X915-$Y915)/(AJ915*$X$1)</f>
        <v>0.35746785361028682</v>
      </c>
      <c r="AL915" s="100"/>
      <c r="AM915" s="111">
        <f>+IFERROR(ROUND(($X915+$Y915)/(1-$AM$2)/$X$1,1),0)</f>
        <v>3.6</v>
      </c>
      <c r="AN915" s="262">
        <f>+(AM915*$X$1-$X915-$Y915)/(AM915*$X$1)</f>
        <v>0.30392350807781082</v>
      </c>
      <c r="AO915" s="100"/>
      <c r="AP915" s="24" t="e">
        <f>VLOOKUP(C915,#REF!,6,FALSE)</f>
        <v>#REF!</v>
      </c>
      <c r="AQ915" s="24" t="e">
        <f>VLOOKUP(C915,#REF!,7,FALSE)</f>
        <v>#REF!</v>
      </c>
      <c r="AR915" s="24" t="e">
        <f>VLOOKUP(C915,#REF!,12,FALSE)</f>
        <v>#REF!</v>
      </c>
      <c r="AS915" s="24" t="e">
        <f>VLOOKUP(C915,#REF!,13,FALSE)</f>
        <v>#REF!</v>
      </c>
      <c r="AT915" s="100"/>
      <c r="AU915" s="100"/>
      <c r="AV915" s="100">
        <v>896</v>
      </c>
      <c r="AW915" s="100"/>
      <c r="AY915" s="9">
        <v>20900</v>
      </c>
    </row>
    <row r="916" spans="1:51" s="2" customFormat="1" ht="12.75" customHeight="1" x14ac:dyDescent="0.25">
      <c r="A916" s="1"/>
      <c r="B916" s="3"/>
      <c r="C916" s="3"/>
      <c r="E916" s="3"/>
      <c r="F916" s="26"/>
      <c r="G916" s="3"/>
      <c r="H916" s="26"/>
      <c r="I916" s="3"/>
      <c r="J916" s="26"/>
      <c r="K916" s="132"/>
      <c r="L916" s="18"/>
      <c r="M916" s="132"/>
      <c r="N916" s="132"/>
      <c r="O916" s="132"/>
      <c r="P916" s="132"/>
      <c r="Q916" s="147"/>
      <c r="R916" s="327"/>
      <c r="S916" s="360"/>
      <c r="T916" s="307"/>
      <c r="U916" s="135"/>
      <c r="V916" s="100"/>
      <c r="W916"/>
      <c r="X916"/>
      <c r="Y916"/>
      <c r="Z916"/>
      <c r="AA916"/>
      <c r="AB916"/>
      <c r="AC916"/>
      <c r="AD916" s="263"/>
      <c r="AE916"/>
      <c r="AF916" s="100"/>
      <c r="AG916" s="263"/>
      <c r="AH916"/>
      <c r="AI916" s="100"/>
      <c r="AJ916" s="263"/>
      <c r="AK916"/>
      <c r="AL916" s="100"/>
      <c r="AM916" s="263"/>
      <c r="AN916"/>
      <c r="AO916" s="100"/>
      <c r="AP916" s="100"/>
      <c r="AQ916" s="100"/>
      <c r="AR916" s="100"/>
      <c r="AS916" s="100"/>
      <c r="AT916" s="100"/>
      <c r="AU916" s="100"/>
      <c r="AV916" s="100">
        <v>897</v>
      </c>
      <c r="AW916" s="100"/>
      <c r="AY916" s="18"/>
    </row>
    <row r="917" spans="1:51" s="2" customFormat="1" ht="12.75" customHeight="1" x14ac:dyDescent="0.25">
      <c r="A917" s="202" t="s">
        <v>2138</v>
      </c>
      <c r="B917" s="203"/>
      <c r="C917" s="203"/>
      <c r="D917" s="204"/>
      <c r="E917" s="205"/>
      <c r="F917" s="162"/>
      <c r="G917" s="162"/>
      <c r="H917" s="132"/>
      <c r="I917" s="132"/>
      <c r="J917" s="132"/>
      <c r="K917" s="132"/>
      <c r="L917" s="132"/>
      <c r="M917" s="132"/>
      <c r="N917" s="132"/>
      <c r="O917" s="132"/>
      <c r="P917" s="132"/>
      <c r="Q917" s="147"/>
      <c r="R917" s="327"/>
      <c r="S917" s="360"/>
      <c r="T917" s="307"/>
      <c r="U917" s="135"/>
      <c r="V917" s="100"/>
      <c r="W917"/>
      <c r="X917"/>
      <c r="Y917"/>
      <c r="Z917"/>
      <c r="AA917"/>
      <c r="AB917"/>
      <c r="AC917"/>
      <c r="AD917" s="263"/>
      <c r="AE917"/>
      <c r="AF917" s="100"/>
      <c r="AG917" s="263"/>
      <c r="AH917"/>
      <c r="AI917" s="100"/>
      <c r="AJ917" s="263"/>
      <c r="AK917"/>
      <c r="AL917" s="100"/>
      <c r="AM917" s="263"/>
      <c r="AN917"/>
      <c r="AO917" s="100"/>
      <c r="AP917" s="100"/>
      <c r="AQ917" s="100"/>
      <c r="AR917" s="100"/>
      <c r="AS917" s="100"/>
      <c r="AT917" s="100"/>
      <c r="AU917" s="100"/>
      <c r="AV917" s="100">
        <v>898</v>
      </c>
      <c r="AW917" s="100"/>
      <c r="AY917" s="132"/>
    </row>
    <row r="918" spans="1:51" s="2" customFormat="1" ht="12.75" customHeight="1" x14ac:dyDescent="0.2">
      <c r="A918" s="6" t="s">
        <v>2131</v>
      </c>
      <c r="B918" s="8">
        <v>9789500216258</v>
      </c>
      <c r="C918" s="6">
        <v>734398</v>
      </c>
      <c r="D918" s="7">
        <v>12</v>
      </c>
      <c r="E918" s="8" t="s">
        <v>2132</v>
      </c>
      <c r="F918" s="7" t="s">
        <v>2133</v>
      </c>
      <c r="G918" s="107">
        <v>45901</v>
      </c>
      <c r="H918" s="108">
        <v>45870</v>
      </c>
      <c r="I918" s="24">
        <v>2988</v>
      </c>
      <c r="J918" s="28" t="s">
        <v>2136</v>
      </c>
      <c r="K918" s="28">
        <v>5296.58</v>
      </c>
      <c r="L918" s="28">
        <v>20900</v>
      </c>
      <c r="M918" s="112"/>
      <c r="N918" s="9">
        <f>+L918/2</f>
        <v>10450</v>
      </c>
      <c r="O918" s="9">
        <f>+N918-M918-K918</f>
        <v>5153.42</v>
      </c>
      <c r="P918" s="9">
        <f>+M918+K918</f>
        <v>5296.58</v>
      </c>
      <c r="Q918" s="139">
        <f>+O918/N918</f>
        <v>0.49315023923444978</v>
      </c>
      <c r="R918" s="387">
        <v>20900</v>
      </c>
      <c r="S918" s="359" t="s">
        <v>1948</v>
      </c>
      <c r="T918" s="305">
        <v>0.49315023923444978</v>
      </c>
      <c r="U918" s="144"/>
      <c r="V918" s="100"/>
      <c r="W918" s="110">
        <f>+L918</f>
        <v>20900</v>
      </c>
      <c r="X918" s="110">
        <f>+K918</f>
        <v>5296.58</v>
      </c>
      <c r="Y918" s="110">
        <f>+M918</f>
        <v>0</v>
      </c>
      <c r="Z918" s="110">
        <f>+W918/2-X918-Y918</f>
        <v>5153.42</v>
      </c>
      <c r="AA918" s="260">
        <f>+Z918/(W918/2)</f>
        <v>0.49315023923444978</v>
      </c>
      <c r="AB918" s="28">
        <f>ROUND($W918/2/$X$1,1)</f>
        <v>6.9</v>
      </c>
      <c r="AC918" s="261">
        <f>+(AB918*$X$1-$X918-$Y918)/(AB918*$X$1)</f>
        <v>0.49382110790961264</v>
      </c>
      <c r="AD918" s="111">
        <f>+IFERROR(ROUND(($X918+$Y918)/(1-$X$2)/$X$1,1),0)</f>
        <v>3.7</v>
      </c>
      <c r="AE918" s="262">
        <f>+(AD918*$X$1-$X918-$Y918)/(AD918*$X$1)</f>
        <v>5.6044768804412767E-2</v>
      </c>
      <c r="AF918" s="100"/>
      <c r="AG918" s="111">
        <f>+IFERROR(ROUND(($X918+$Y918)/(1-$AG$2)/$X$1,1),0)</f>
        <v>5.8</v>
      </c>
      <c r="AH918" s="262">
        <f>+(AG918*$X$1-$X918-$Y918)/(AG918*$X$1)</f>
        <v>0.39782166285798737</v>
      </c>
      <c r="AI918" s="100"/>
      <c r="AJ918" s="111">
        <f>+IFERROR(ROUND(($X918+$Y918)/(1-$AJ$2)/$X$1,1),0)</f>
        <v>5.4</v>
      </c>
      <c r="AK918" s="262">
        <f>+(AJ918*$X$1-$X918-$Y918)/(AJ918*$X$1)</f>
        <v>0.35321586010672729</v>
      </c>
      <c r="AL918" s="100"/>
      <c r="AM918" s="111">
        <f>+IFERROR(ROUND(($X918+$Y918)/(1-$AM$2)/$X$1,1),0)</f>
        <v>5</v>
      </c>
      <c r="AN918" s="262">
        <f>+(AM918*$X$1-$X918-$Y918)/(AM918*$X$1)</f>
        <v>0.3014731289152654</v>
      </c>
      <c r="AO918" s="100"/>
      <c r="AP918" s="24" t="e">
        <f>VLOOKUP(C918,#REF!,6,FALSE)</f>
        <v>#REF!</v>
      </c>
      <c r="AQ918" s="24" t="e">
        <f>VLOOKUP(C918,#REF!,7,FALSE)</f>
        <v>#REF!</v>
      </c>
      <c r="AR918" s="24" t="e">
        <f>VLOOKUP(C918,#REF!,12,FALSE)</f>
        <v>#REF!</v>
      </c>
      <c r="AS918" s="24" t="e">
        <f>VLOOKUP(C918,#REF!,13,FALSE)</f>
        <v>#REF!</v>
      </c>
      <c r="AT918" s="100"/>
      <c r="AU918" s="100"/>
      <c r="AV918" s="100">
        <v>899</v>
      </c>
      <c r="AW918" s="100"/>
      <c r="AY918" s="28">
        <v>20900</v>
      </c>
    </row>
    <row r="919" spans="1:51" s="2" customFormat="1" ht="12.75" customHeight="1" x14ac:dyDescent="0.2">
      <c r="A919" s="7" t="s">
        <v>2134</v>
      </c>
      <c r="B919" s="8">
        <v>9789500216241</v>
      </c>
      <c r="C919" s="6">
        <v>734399</v>
      </c>
      <c r="D919" s="25">
        <v>12</v>
      </c>
      <c r="E919" s="8" t="s">
        <v>2132</v>
      </c>
      <c r="F919" s="7" t="s">
        <v>2135</v>
      </c>
      <c r="G919" s="107">
        <v>45901</v>
      </c>
      <c r="H919" s="108">
        <v>45870</v>
      </c>
      <c r="I919" s="24">
        <v>2988</v>
      </c>
      <c r="J919" s="28" t="s">
        <v>2136</v>
      </c>
      <c r="K919" s="28">
        <v>5296.58</v>
      </c>
      <c r="L919" s="28">
        <v>20900</v>
      </c>
      <c r="M919" s="112"/>
      <c r="N919" s="9">
        <f>+L919/2</f>
        <v>10450</v>
      </c>
      <c r="O919" s="9">
        <f>+N919-M919-K919</f>
        <v>5153.42</v>
      </c>
      <c r="P919" s="9">
        <f>+M919+K919</f>
        <v>5296.58</v>
      </c>
      <c r="Q919" s="139">
        <f>+O919/N919</f>
        <v>0.49315023923444978</v>
      </c>
      <c r="R919" s="387">
        <v>20900</v>
      </c>
      <c r="S919" s="359" t="s">
        <v>1948</v>
      </c>
      <c r="T919" s="305">
        <v>0.49315023923444978</v>
      </c>
      <c r="U919" s="144"/>
      <c r="V919" s="100"/>
      <c r="W919" s="110">
        <f>+L919</f>
        <v>20900</v>
      </c>
      <c r="X919" s="110">
        <f>+K919</f>
        <v>5296.58</v>
      </c>
      <c r="Y919" s="110">
        <f>+M919</f>
        <v>0</v>
      </c>
      <c r="Z919" s="110">
        <f>+W919/2-X919-Y919</f>
        <v>5153.42</v>
      </c>
      <c r="AA919" s="260">
        <f>+Z919/(W919/2)</f>
        <v>0.49315023923444978</v>
      </c>
      <c r="AB919" s="28">
        <f>ROUND($W919/2/$X$1,1)</f>
        <v>6.9</v>
      </c>
      <c r="AC919" s="261">
        <f>+(AB919*$X$1-$X919-$Y919)/(AB919*$X$1)</f>
        <v>0.49382110790961264</v>
      </c>
      <c r="AD919" s="111">
        <f>+IFERROR(ROUND(($X919+$Y919)/(1-$X$2)/$X$1,1),0)</f>
        <v>3.7</v>
      </c>
      <c r="AE919" s="262">
        <f>+(AD919*$X$1-$X919-$Y919)/(AD919*$X$1)</f>
        <v>5.6044768804412767E-2</v>
      </c>
      <c r="AF919" s="100"/>
      <c r="AG919" s="111">
        <f>+IFERROR(ROUND(($X919+$Y919)/(1-$AG$2)/$X$1,1),0)</f>
        <v>5.8</v>
      </c>
      <c r="AH919" s="262">
        <f>+(AG919*$X$1-$X919-$Y919)/(AG919*$X$1)</f>
        <v>0.39782166285798737</v>
      </c>
      <c r="AI919" s="100"/>
      <c r="AJ919" s="111">
        <f>+IFERROR(ROUND(($X919+$Y919)/(1-$AJ$2)/$X$1,1),0)</f>
        <v>5.4</v>
      </c>
      <c r="AK919" s="262">
        <f>+(AJ919*$X$1-$X919-$Y919)/(AJ919*$X$1)</f>
        <v>0.35321586010672729</v>
      </c>
      <c r="AL919" s="100"/>
      <c r="AM919" s="111">
        <f>+IFERROR(ROUND(($X919+$Y919)/(1-$AM$2)/$X$1,1),0)</f>
        <v>5</v>
      </c>
      <c r="AN919" s="262">
        <f>+(AM919*$X$1-$X919-$Y919)/(AM919*$X$1)</f>
        <v>0.3014731289152654</v>
      </c>
      <c r="AO919" s="100"/>
      <c r="AP919" s="24" t="e">
        <f>VLOOKUP(C919,#REF!,6,FALSE)</f>
        <v>#REF!</v>
      </c>
      <c r="AQ919" s="24" t="e">
        <f>VLOOKUP(C919,#REF!,7,FALSE)</f>
        <v>#REF!</v>
      </c>
      <c r="AR919" s="24" t="e">
        <f>VLOOKUP(C919,#REF!,12,FALSE)</f>
        <v>#REF!</v>
      </c>
      <c r="AS919" s="24" t="e">
        <f>VLOOKUP(C919,#REF!,13,FALSE)</f>
        <v>#REF!</v>
      </c>
      <c r="AT919" s="100"/>
      <c r="AU919" s="100"/>
      <c r="AV919" s="100">
        <v>900</v>
      </c>
      <c r="AW919" s="100"/>
      <c r="AY919" s="28">
        <v>20900</v>
      </c>
    </row>
    <row r="920" spans="1:51" s="2" customFormat="1" ht="12.75" customHeight="1" x14ac:dyDescent="0.25">
      <c r="A920" s="1"/>
      <c r="B920" s="3"/>
      <c r="C920" s="3"/>
      <c r="E920" s="274"/>
      <c r="F920" s="275"/>
      <c r="H920" s="132"/>
      <c r="I920" s="132"/>
      <c r="J920" s="132"/>
      <c r="K920" s="132"/>
      <c r="L920" s="18"/>
      <c r="M920" s="132"/>
      <c r="N920" s="132"/>
      <c r="O920" s="132"/>
      <c r="P920" s="132"/>
      <c r="Q920" s="147"/>
      <c r="R920" s="327"/>
      <c r="S920" s="360"/>
      <c r="T920" s="307"/>
      <c r="U920" s="135"/>
      <c r="V920" s="100"/>
      <c r="W920"/>
      <c r="X920"/>
      <c r="Y920"/>
      <c r="Z920"/>
      <c r="AA920"/>
      <c r="AB920"/>
      <c r="AC920"/>
      <c r="AD920" s="263"/>
      <c r="AE920"/>
      <c r="AF920" s="100"/>
      <c r="AG920" s="263"/>
      <c r="AH920"/>
      <c r="AI920" s="100"/>
      <c r="AJ920" s="263"/>
      <c r="AK920"/>
      <c r="AL920" s="100"/>
      <c r="AM920" s="263"/>
      <c r="AN920"/>
      <c r="AO920" s="100"/>
      <c r="AP920" s="100"/>
      <c r="AQ920" s="100"/>
      <c r="AR920" s="100"/>
      <c r="AS920" s="100"/>
      <c r="AT920" s="100"/>
      <c r="AU920" s="100"/>
      <c r="AV920" s="100">
        <v>901</v>
      </c>
      <c r="AW920" s="100"/>
      <c r="AY920" s="18"/>
    </row>
    <row r="921" spans="1:51" s="2" customFormat="1" ht="12.75" customHeight="1" x14ac:dyDescent="0.25">
      <c r="A921" s="160" t="s">
        <v>1658</v>
      </c>
      <c r="B921" s="214"/>
      <c r="C921" s="215"/>
      <c r="D921" s="152"/>
      <c r="E921" s="174"/>
      <c r="F921" s="162"/>
      <c r="G921" s="162"/>
      <c r="H921" s="132"/>
      <c r="I921" s="132"/>
      <c r="J921" s="132"/>
      <c r="K921" s="132"/>
      <c r="L921" s="18"/>
      <c r="M921" s="132"/>
      <c r="N921" s="132"/>
      <c r="O921" s="132"/>
      <c r="P921" s="132"/>
      <c r="Q921" s="147"/>
      <c r="R921" s="327"/>
      <c r="S921" s="360"/>
      <c r="T921" s="307"/>
      <c r="U921" s="135"/>
      <c r="V921" s="100"/>
      <c r="W921"/>
      <c r="X921"/>
      <c r="Y921"/>
      <c r="Z921"/>
      <c r="AA921"/>
      <c r="AB921"/>
      <c r="AC921"/>
      <c r="AD921" s="263"/>
      <c r="AE921"/>
      <c r="AF921" s="100"/>
      <c r="AG921" s="263"/>
      <c r="AH921"/>
      <c r="AI921" s="100"/>
      <c r="AJ921" s="263"/>
      <c r="AK921"/>
      <c r="AL921" s="100"/>
      <c r="AM921" s="263"/>
      <c r="AN921"/>
      <c r="AO921" s="100"/>
      <c r="AP921" s="100"/>
      <c r="AQ921" s="100"/>
      <c r="AR921" s="100"/>
      <c r="AS921" s="100"/>
      <c r="AT921" s="100"/>
      <c r="AU921" s="100"/>
      <c r="AV921" s="100">
        <v>902</v>
      </c>
      <c r="AW921" s="100"/>
      <c r="AY921" s="18"/>
    </row>
    <row r="922" spans="1:51" s="2" customFormat="1" ht="12.75" customHeight="1" x14ac:dyDescent="0.2">
      <c r="A922" s="6" t="s">
        <v>2465</v>
      </c>
      <c r="B922" s="153">
        <v>9789500217798</v>
      </c>
      <c r="C922" s="8">
        <v>751242</v>
      </c>
      <c r="D922" s="41">
        <v>64</v>
      </c>
      <c r="E922" s="6" t="s">
        <v>1984</v>
      </c>
      <c r="F922" s="7" t="s">
        <v>2466</v>
      </c>
      <c r="G922" s="107">
        <v>46296</v>
      </c>
      <c r="H922" s="108">
        <v>46266</v>
      </c>
      <c r="I922" s="267">
        <v>4000</v>
      </c>
      <c r="J922" s="6" t="s">
        <v>2160</v>
      </c>
      <c r="K922" s="148">
        <v>3067.98</v>
      </c>
      <c r="L922" s="352">
        <v>24900</v>
      </c>
      <c r="M922" s="112"/>
      <c r="N922" s="9">
        <f t="shared" ref="N922" si="763">+L922/2</f>
        <v>12450</v>
      </c>
      <c r="O922" s="9">
        <f t="shared" ref="O922" si="764">+N922-M922-K922</f>
        <v>9382.02</v>
      </c>
      <c r="P922" s="9">
        <f t="shared" ref="P922" si="765">+M922+K922</f>
        <v>3067.98</v>
      </c>
      <c r="Q922" s="139">
        <f t="shared" ref="Q922" si="766">+O922/N922</f>
        <v>0.75357590361445792</v>
      </c>
      <c r="R922" s="365">
        <v>24900</v>
      </c>
      <c r="S922" s="359" t="s">
        <v>2140</v>
      </c>
      <c r="T922" s="305">
        <v>0.69300251046025119</v>
      </c>
      <c r="U922" s="144"/>
      <c r="V922" s="100"/>
      <c r="W922" s="110">
        <f t="shared" ref="W922" si="767">+L922</f>
        <v>24900</v>
      </c>
      <c r="X922" s="110">
        <f t="shared" ref="X922" si="768">+K922</f>
        <v>3067.98</v>
      </c>
      <c r="Y922" s="110">
        <f t="shared" ref="Y922" si="769">+M922</f>
        <v>0</v>
      </c>
      <c r="Z922" s="110">
        <f t="shared" ref="Z922" si="770">+W922/2-X922-Y922</f>
        <v>9382.02</v>
      </c>
      <c r="AA922" s="260">
        <f t="shared" ref="AA922" si="771">+Z922/(W922/2)</f>
        <v>0.75357590361445792</v>
      </c>
      <c r="AB922" s="28">
        <f t="shared" ref="AB922:AB930" si="772">ROUND($W922/2/$X$1,1)</f>
        <v>8.1999999999999993</v>
      </c>
      <c r="AC922" s="261">
        <f t="shared" ref="AC922" si="773">+(AB922*$X$1-$X922-$Y922)/(AB922*$X$1)</f>
        <v>0.75328460109526918</v>
      </c>
      <c r="AD922" s="111">
        <f t="shared" ref="AD922:AD930" si="774">+IFERROR(ROUND(($X922+$Y922)/(1-$X$2)/$X$1,1),0)</f>
        <v>2.1</v>
      </c>
      <c r="AE922" s="262">
        <f t="shared" ref="AE922" si="775">+(AD922*$X$1-$X922-$Y922)/(AD922*$X$1)</f>
        <v>3.6635109038669893E-2</v>
      </c>
      <c r="AF922" s="100"/>
      <c r="AG922" s="111">
        <f t="shared" ref="AG922:AG930" si="776">+IFERROR(ROUND(($X922+$Y922)/(1-$AG$2)/$X$1,1),0)</f>
        <v>3.4</v>
      </c>
      <c r="AH922" s="262">
        <f t="shared" ref="AH922" si="777">+(AG922*$X$1-$X922-$Y922)/(AG922*$X$1)</f>
        <v>0.40498050852388429</v>
      </c>
      <c r="AI922" s="100"/>
      <c r="AJ922" s="111">
        <f t="shared" ref="AJ922:AJ930" si="778">+IFERROR(ROUND(($X922+$Y922)/(1-$AJ$2)/$X$1,1),0)</f>
        <v>3.1</v>
      </c>
      <c r="AK922" s="262">
        <f t="shared" ref="AK922" si="779">+(AJ922*$X$1-$X922-$Y922)/(AJ922*$X$1)</f>
        <v>0.34739797709071191</v>
      </c>
      <c r="AL922" s="100"/>
      <c r="AM922" s="111">
        <f t="shared" ref="AM922:AM930" si="780">+IFERROR(ROUND(($X922+$Y922)/(1-$AM$2)/$X$1,1),0)</f>
        <v>2.9</v>
      </c>
      <c r="AN922" s="262">
        <f t="shared" ref="AN922" si="781">+(AM922*$X$1-$X922-$Y922)/(AM922*$X$1)</f>
        <v>0.30239094102800224</v>
      </c>
      <c r="AO922" s="100"/>
      <c r="AP922" s="24" t="e">
        <f>VLOOKUP(C922,#REF!,6,FALSE)</f>
        <v>#REF!</v>
      </c>
      <c r="AQ922" s="24" t="e">
        <f>VLOOKUP(C922,#REF!,7,FALSE)</f>
        <v>#REF!</v>
      </c>
      <c r="AR922" s="24" t="e">
        <f>VLOOKUP(C922,#REF!,12,FALSE)</f>
        <v>#REF!</v>
      </c>
      <c r="AS922" s="24" t="e">
        <f>VLOOKUP(C922,#REF!,13,FALSE)</f>
        <v>#REF!</v>
      </c>
      <c r="AT922" s="100"/>
      <c r="AU922" s="100"/>
      <c r="AV922" s="100">
        <v>903</v>
      </c>
      <c r="AW922" s="100"/>
      <c r="AY922" s="9">
        <v>23900</v>
      </c>
    </row>
    <row r="923" spans="1:51" s="2" customFormat="1" ht="12.75" customHeight="1" x14ac:dyDescent="0.2">
      <c r="A923" s="6" t="s">
        <v>2239</v>
      </c>
      <c r="B923" s="8">
        <v>9789500216555</v>
      </c>
      <c r="C923" s="6">
        <v>740761</v>
      </c>
      <c r="D923" s="41">
        <v>64</v>
      </c>
      <c r="E923" s="6" t="s">
        <v>1984</v>
      </c>
      <c r="F923" s="6" t="s">
        <v>2240</v>
      </c>
      <c r="G923" s="107">
        <v>46054</v>
      </c>
      <c r="H923" s="107">
        <v>46023</v>
      </c>
      <c r="I923" s="264">
        <v>4005</v>
      </c>
      <c r="J923" s="6" t="s">
        <v>1333</v>
      </c>
      <c r="K923" s="292">
        <v>3668.62</v>
      </c>
      <c r="L923" s="9">
        <v>23900</v>
      </c>
      <c r="M923" s="112"/>
      <c r="N923" s="9">
        <f t="shared" ref="N923:N930" si="782">+L923/2</f>
        <v>11950</v>
      </c>
      <c r="O923" s="9">
        <f t="shared" ref="O923:O930" si="783">+N923-M923-K923</f>
        <v>8281.380000000001</v>
      </c>
      <c r="P923" s="9">
        <f t="shared" ref="P923:P930" si="784">+M923+K923</f>
        <v>3668.62</v>
      </c>
      <c r="Q923" s="139">
        <f t="shared" ref="Q923:Q930" si="785">+O923/N923</f>
        <v>0.69300251046025119</v>
      </c>
      <c r="R923" s="387">
        <v>23900</v>
      </c>
      <c r="S923" s="359" t="s">
        <v>1948</v>
      </c>
      <c r="T923" s="305">
        <v>0.69300251046025119</v>
      </c>
      <c r="U923" s="144"/>
      <c r="V923" s="100"/>
      <c r="W923" s="110">
        <f t="shared" ref="W923:W930" si="786">+L923</f>
        <v>23900</v>
      </c>
      <c r="X923" s="110">
        <f t="shared" ref="X923:X930" si="787">+K923</f>
        <v>3668.62</v>
      </c>
      <c r="Y923" s="110">
        <f t="shared" ref="Y923:Y930" si="788">+M923</f>
        <v>0</v>
      </c>
      <c r="Z923" s="110">
        <f t="shared" ref="Z923:Z930" si="789">+W923/2-X923-Y923</f>
        <v>8281.380000000001</v>
      </c>
      <c r="AA923" s="260">
        <f t="shared" ref="AA923:AA930" si="790">+Z923/(W923/2)</f>
        <v>0.69300251046025119</v>
      </c>
      <c r="AB923" s="28">
        <f t="shared" si="772"/>
        <v>7.9</v>
      </c>
      <c r="AC923" s="261">
        <f t="shared" ref="AC923:AC930" si="791">+(AB923*$X$1-$X923-$Y923)/(AB923*$X$1)</f>
        <v>0.69378023179623294</v>
      </c>
      <c r="AD923" s="111">
        <f t="shared" si="774"/>
        <v>2.5</v>
      </c>
      <c r="AE923" s="262">
        <f t="shared" ref="AE923:AE930" si="792">+(AD923*$X$1-$X923-$Y923)/(AD923*$X$1)</f>
        <v>3.2345532476096304E-2</v>
      </c>
      <c r="AF923" s="100"/>
      <c r="AG923" s="111">
        <f t="shared" si="776"/>
        <v>4</v>
      </c>
      <c r="AH923" s="262">
        <f t="shared" ref="AH923:AH930" si="793">+(AG923*$X$1-$X923-$Y923)/(AG923*$X$1)</f>
        <v>0.39521595779756019</v>
      </c>
      <c r="AI923" s="100"/>
      <c r="AJ923" s="111">
        <f t="shared" si="778"/>
        <v>3.7</v>
      </c>
      <c r="AK923" s="262">
        <f t="shared" ref="AK923:AK930" si="794">+(AJ923*$X$1-$X923-$Y923)/(AJ923*$X$1)</f>
        <v>0.34617941383520023</v>
      </c>
      <c r="AL923" s="100"/>
      <c r="AM923" s="111">
        <f t="shared" si="780"/>
        <v>3.5</v>
      </c>
      <c r="AN923" s="262">
        <f t="shared" ref="AN923:AN930" si="795">+(AM923*$X$1-$X923-$Y923)/(AM923*$X$1)</f>
        <v>0.30881823748292592</v>
      </c>
      <c r="AO923" s="100"/>
      <c r="AP923" s="24" t="e">
        <f>VLOOKUP(C923,#REF!,6,FALSE)</f>
        <v>#REF!</v>
      </c>
      <c r="AQ923" s="24" t="e">
        <f>VLOOKUP(C923,#REF!,7,FALSE)</f>
        <v>#REF!</v>
      </c>
      <c r="AR923" s="24" t="e">
        <f>VLOOKUP(C923,#REF!,12,FALSE)</f>
        <v>#REF!</v>
      </c>
      <c r="AS923" s="24" t="e">
        <f>VLOOKUP(C923,#REF!,13,FALSE)</f>
        <v>#REF!</v>
      </c>
      <c r="AT923" s="100"/>
      <c r="AU923" s="100"/>
      <c r="AV923" s="100">
        <v>903</v>
      </c>
      <c r="AW923" s="100"/>
      <c r="AY923" s="9">
        <v>23900</v>
      </c>
    </row>
    <row r="924" spans="1:51" s="2" customFormat="1" ht="12.75" customHeight="1" x14ac:dyDescent="0.2">
      <c r="A924" s="6" t="s">
        <v>2197</v>
      </c>
      <c r="B924" s="8">
        <v>9789500216449</v>
      </c>
      <c r="C924" s="6">
        <v>737808</v>
      </c>
      <c r="D924" s="239">
        <v>64</v>
      </c>
      <c r="E924" s="8" t="s">
        <v>1984</v>
      </c>
      <c r="F924" s="6" t="s">
        <v>2198</v>
      </c>
      <c r="G924" s="107">
        <v>46023</v>
      </c>
      <c r="H924" s="107">
        <v>45931</v>
      </c>
      <c r="I924" s="264">
        <v>4000</v>
      </c>
      <c r="J924" s="6" t="s">
        <v>1333</v>
      </c>
      <c r="K924" s="292">
        <v>3443.82</v>
      </c>
      <c r="L924" s="9">
        <v>24900</v>
      </c>
      <c r="M924" s="112"/>
      <c r="N924" s="9">
        <f t="shared" si="782"/>
        <v>12450</v>
      </c>
      <c r="O924" s="9">
        <f t="shared" si="783"/>
        <v>9006.18</v>
      </c>
      <c r="P924" s="9">
        <f t="shared" si="784"/>
        <v>3443.82</v>
      </c>
      <c r="Q924" s="139">
        <f t="shared" si="785"/>
        <v>0.72338795180722892</v>
      </c>
      <c r="R924" s="387">
        <v>24900</v>
      </c>
      <c r="S924" s="359" t="s">
        <v>1948</v>
      </c>
      <c r="T924" s="305">
        <v>0.71181422594142263</v>
      </c>
      <c r="U924" s="144"/>
      <c r="V924" s="100"/>
      <c r="W924" s="110">
        <f t="shared" si="786"/>
        <v>24900</v>
      </c>
      <c r="X924" s="110">
        <f t="shared" si="787"/>
        <v>3443.82</v>
      </c>
      <c r="Y924" s="110">
        <f t="shared" si="788"/>
        <v>0</v>
      </c>
      <c r="Z924" s="110">
        <f t="shared" si="789"/>
        <v>9006.18</v>
      </c>
      <c r="AA924" s="260">
        <f t="shared" si="790"/>
        <v>0.72338795180722892</v>
      </c>
      <c r="AB924" s="28">
        <f t="shared" si="772"/>
        <v>8.1999999999999993</v>
      </c>
      <c r="AC924" s="261">
        <f t="shared" si="791"/>
        <v>0.72306096354732097</v>
      </c>
      <c r="AD924" s="111">
        <f t="shared" si="774"/>
        <v>2.4</v>
      </c>
      <c r="AE924" s="262">
        <f t="shared" si="792"/>
        <v>5.3791625453346453E-2</v>
      </c>
      <c r="AF924" s="100"/>
      <c r="AG924" s="111">
        <f t="shared" si="776"/>
        <v>3.8</v>
      </c>
      <c r="AH924" s="262">
        <f t="shared" si="793"/>
        <v>0.40239471081263989</v>
      </c>
      <c r="AI924" s="100"/>
      <c r="AJ924" s="111">
        <f t="shared" si="778"/>
        <v>3.5</v>
      </c>
      <c r="AK924" s="262">
        <f t="shared" si="794"/>
        <v>0.35117140031086613</v>
      </c>
      <c r="AL924" s="100"/>
      <c r="AM924" s="111">
        <f t="shared" si="780"/>
        <v>3.2</v>
      </c>
      <c r="AN924" s="262">
        <f t="shared" si="795"/>
        <v>0.29034371909000989</v>
      </c>
      <c r="AO924" s="100"/>
      <c r="AP924" s="24" t="e">
        <f>VLOOKUP(C924,#REF!,6,FALSE)</f>
        <v>#REF!</v>
      </c>
      <c r="AQ924" s="24" t="e">
        <f>VLOOKUP(C924,#REF!,7,FALSE)</f>
        <v>#REF!</v>
      </c>
      <c r="AR924" s="24" t="e">
        <f>VLOOKUP(C924,#REF!,12,FALSE)</f>
        <v>#REF!</v>
      </c>
      <c r="AS924" s="24" t="e">
        <f>VLOOKUP(C924,#REF!,13,FALSE)</f>
        <v>#REF!</v>
      </c>
      <c r="AT924" s="100"/>
      <c r="AU924" s="100"/>
      <c r="AV924" s="100">
        <v>904</v>
      </c>
      <c r="AW924" s="100"/>
      <c r="AY924" s="9">
        <v>24900</v>
      </c>
    </row>
    <row r="925" spans="1:51" s="162" customFormat="1" ht="12.75" customHeight="1" x14ac:dyDescent="0.2">
      <c r="A925" s="6" t="s">
        <v>2000</v>
      </c>
      <c r="B925" s="279">
        <v>9789500215350</v>
      </c>
      <c r="C925" s="6">
        <v>726373</v>
      </c>
      <c r="D925" s="41">
        <v>60</v>
      </c>
      <c r="E925" s="8" t="s">
        <v>1984</v>
      </c>
      <c r="F925" s="6" t="s">
        <v>2001</v>
      </c>
      <c r="G925" s="107">
        <v>45717</v>
      </c>
      <c r="H925" s="107">
        <v>45931</v>
      </c>
      <c r="I925" s="7">
        <v>4000</v>
      </c>
      <c r="J925" s="6" t="s">
        <v>1333</v>
      </c>
      <c r="K925" s="9">
        <v>3413.83</v>
      </c>
      <c r="L925" s="9">
        <v>24900</v>
      </c>
      <c r="M925" s="112"/>
      <c r="N925" s="9">
        <f t="shared" si="782"/>
        <v>12450</v>
      </c>
      <c r="O925" s="9">
        <f t="shared" si="783"/>
        <v>9036.17</v>
      </c>
      <c r="P925" s="9">
        <f t="shared" si="784"/>
        <v>3413.83</v>
      </c>
      <c r="Q925" s="139">
        <f t="shared" si="785"/>
        <v>0.72579678714859441</v>
      </c>
      <c r="R925" s="387">
        <v>24900</v>
      </c>
      <c r="S925" s="359" t="s">
        <v>1948</v>
      </c>
      <c r="T925" s="305">
        <v>0.71432384937238491</v>
      </c>
      <c r="U925" s="144"/>
      <c r="V925" s="100"/>
      <c r="W925" s="110">
        <f t="shared" si="786"/>
        <v>24900</v>
      </c>
      <c r="X925" s="110">
        <f t="shared" si="787"/>
        <v>3413.83</v>
      </c>
      <c r="Y925" s="110">
        <f t="shared" si="788"/>
        <v>0</v>
      </c>
      <c r="Z925" s="110">
        <f t="shared" si="789"/>
        <v>9036.17</v>
      </c>
      <c r="AA925" s="260">
        <f t="shared" si="790"/>
        <v>0.72579678714859441</v>
      </c>
      <c r="AB925" s="28">
        <f t="shared" si="772"/>
        <v>8.1999999999999993</v>
      </c>
      <c r="AC925" s="261">
        <f t="shared" si="791"/>
        <v>0.7254726464178588</v>
      </c>
      <c r="AD925" s="111">
        <f t="shared" si="774"/>
        <v>2.4</v>
      </c>
      <c r="AE925" s="262">
        <f t="shared" si="792"/>
        <v>6.2031541927684355E-2</v>
      </c>
      <c r="AF925" s="100"/>
      <c r="AG925" s="111">
        <f t="shared" si="776"/>
        <v>3.8</v>
      </c>
      <c r="AH925" s="262">
        <f t="shared" si="793"/>
        <v>0.40759886858590588</v>
      </c>
      <c r="AI925" s="100"/>
      <c r="AJ925" s="111">
        <f t="shared" si="778"/>
        <v>3.5</v>
      </c>
      <c r="AK925" s="262">
        <f t="shared" si="794"/>
        <v>0.35682162875041212</v>
      </c>
      <c r="AL925" s="100"/>
      <c r="AM925" s="111">
        <f t="shared" si="780"/>
        <v>3.2</v>
      </c>
      <c r="AN925" s="262">
        <f t="shared" si="795"/>
        <v>0.29652365644576334</v>
      </c>
      <c r="AO925" s="100"/>
      <c r="AP925" s="24" t="e">
        <f>VLOOKUP(C925,#REF!,6,FALSE)</f>
        <v>#REF!</v>
      </c>
      <c r="AQ925" s="24" t="e">
        <f>VLOOKUP(C925,#REF!,7,FALSE)</f>
        <v>#REF!</v>
      </c>
      <c r="AR925" s="24" t="e">
        <f>VLOOKUP(C925,#REF!,12,FALSE)</f>
        <v>#REF!</v>
      </c>
      <c r="AS925" s="24" t="e">
        <f>VLOOKUP(C925,#REF!,13,FALSE)</f>
        <v>#REF!</v>
      </c>
      <c r="AT925" s="100"/>
      <c r="AU925" s="100"/>
      <c r="AV925" s="100">
        <v>905</v>
      </c>
      <c r="AW925" s="100"/>
      <c r="AY925" s="9">
        <v>24900</v>
      </c>
    </row>
    <row r="926" spans="1:51" s="2" customFormat="1" ht="12.75" customHeight="1" x14ac:dyDescent="0.2">
      <c r="A926" s="6" t="s">
        <v>2002</v>
      </c>
      <c r="B926" s="8">
        <v>9789500215367</v>
      </c>
      <c r="C926" s="6">
        <v>726374</v>
      </c>
      <c r="D926" s="239">
        <v>64</v>
      </c>
      <c r="E926" s="8" t="s">
        <v>1984</v>
      </c>
      <c r="F926" s="6" t="s">
        <v>2003</v>
      </c>
      <c r="G926" s="107">
        <v>45717</v>
      </c>
      <c r="H926" s="108">
        <v>45931</v>
      </c>
      <c r="I926" s="7">
        <v>4000</v>
      </c>
      <c r="J926" s="6" t="s">
        <v>1333</v>
      </c>
      <c r="K926" s="9">
        <v>3413.83</v>
      </c>
      <c r="L926" s="9">
        <v>24900</v>
      </c>
      <c r="M926" s="112"/>
      <c r="N926" s="9">
        <f t="shared" si="782"/>
        <v>12450</v>
      </c>
      <c r="O926" s="9">
        <f t="shared" si="783"/>
        <v>9036.17</v>
      </c>
      <c r="P926" s="9">
        <f t="shared" si="784"/>
        <v>3413.83</v>
      </c>
      <c r="Q926" s="139">
        <f t="shared" si="785"/>
        <v>0.72579678714859441</v>
      </c>
      <c r="R926" s="387">
        <v>24900</v>
      </c>
      <c r="S926" s="359" t="s">
        <v>1948</v>
      </c>
      <c r="T926" s="305">
        <v>0.71432384937238491</v>
      </c>
      <c r="U926" s="144"/>
      <c r="V926" s="100"/>
      <c r="W926" s="110">
        <f t="shared" si="786"/>
        <v>24900</v>
      </c>
      <c r="X926" s="110">
        <f t="shared" si="787"/>
        <v>3413.83</v>
      </c>
      <c r="Y926" s="110">
        <f t="shared" si="788"/>
        <v>0</v>
      </c>
      <c r="Z926" s="110">
        <f t="shared" si="789"/>
        <v>9036.17</v>
      </c>
      <c r="AA926" s="260">
        <f t="shared" si="790"/>
        <v>0.72579678714859441</v>
      </c>
      <c r="AB926" s="28">
        <f t="shared" si="772"/>
        <v>8.1999999999999993</v>
      </c>
      <c r="AC926" s="261">
        <f t="shared" si="791"/>
        <v>0.7254726464178588</v>
      </c>
      <c r="AD926" s="111">
        <f t="shared" si="774"/>
        <v>2.4</v>
      </c>
      <c r="AE926" s="262">
        <f t="shared" si="792"/>
        <v>6.2031541927684355E-2</v>
      </c>
      <c r="AF926" s="100"/>
      <c r="AG926" s="111">
        <f t="shared" si="776"/>
        <v>3.8</v>
      </c>
      <c r="AH926" s="262">
        <f t="shared" si="793"/>
        <v>0.40759886858590588</v>
      </c>
      <c r="AI926" s="100"/>
      <c r="AJ926" s="111">
        <f t="shared" si="778"/>
        <v>3.5</v>
      </c>
      <c r="AK926" s="262">
        <f t="shared" si="794"/>
        <v>0.35682162875041212</v>
      </c>
      <c r="AL926" s="100"/>
      <c r="AM926" s="111">
        <f t="shared" si="780"/>
        <v>3.2</v>
      </c>
      <c r="AN926" s="262">
        <f t="shared" si="795"/>
        <v>0.29652365644576334</v>
      </c>
      <c r="AO926" s="100"/>
      <c r="AP926" s="24" t="e">
        <f>VLOOKUP(C926,#REF!,6,FALSE)</f>
        <v>#REF!</v>
      </c>
      <c r="AQ926" s="24" t="e">
        <f>VLOOKUP(C926,#REF!,7,FALSE)</f>
        <v>#REF!</v>
      </c>
      <c r="AR926" s="24" t="e">
        <f>VLOOKUP(C926,#REF!,12,FALSE)</f>
        <v>#REF!</v>
      </c>
      <c r="AS926" s="24" t="e">
        <f>VLOOKUP(C926,#REF!,13,FALSE)</f>
        <v>#REF!</v>
      </c>
      <c r="AT926" s="100"/>
      <c r="AU926" s="100"/>
      <c r="AV926" s="100">
        <v>906</v>
      </c>
      <c r="AW926" s="100"/>
      <c r="AY926" s="9">
        <v>24900</v>
      </c>
    </row>
    <row r="927" spans="1:51" s="162" customFormat="1" ht="12.75" customHeight="1" x14ac:dyDescent="0.2">
      <c r="A927" s="7" t="s">
        <v>1098</v>
      </c>
      <c r="B927" s="8">
        <v>9789500211017</v>
      </c>
      <c r="C927" s="8">
        <v>677841</v>
      </c>
      <c r="D927" s="25">
        <v>64</v>
      </c>
      <c r="E927" s="7" t="s">
        <v>466</v>
      </c>
      <c r="F927" s="7" t="s">
        <v>833</v>
      </c>
      <c r="G927" s="107">
        <v>44105</v>
      </c>
      <c r="H927" s="107">
        <v>44075</v>
      </c>
      <c r="I927" s="7">
        <v>3000</v>
      </c>
      <c r="J927" s="28" t="s">
        <v>2136</v>
      </c>
      <c r="K927" s="9">
        <v>92.71</v>
      </c>
      <c r="L927" s="112">
        <v>15500</v>
      </c>
      <c r="M927" s="112"/>
      <c r="N927" s="9">
        <f t="shared" si="782"/>
        <v>7750</v>
      </c>
      <c r="O927" s="9">
        <f t="shared" si="783"/>
        <v>7657.29</v>
      </c>
      <c r="P927" s="9">
        <f t="shared" si="784"/>
        <v>92.71</v>
      </c>
      <c r="Q927" s="139">
        <f t="shared" si="785"/>
        <v>0.98803741935483869</v>
      </c>
      <c r="R927" s="387">
        <v>15500</v>
      </c>
      <c r="S927" s="359" t="s">
        <v>1948</v>
      </c>
      <c r="T927" s="305">
        <v>0.98803741935483869</v>
      </c>
      <c r="U927" s="144"/>
      <c r="V927" s="100"/>
      <c r="W927" s="110">
        <f t="shared" si="786"/>
        <v>15500</v>
      </c>
      <c r="X927" s="110">
        <f t="shared" si="787"/>
        <v>92.71</v>
      </c>
      <c r="Y927" s="110">
        <f t="shared" si="788"/>
        <v>0</v>
      </c>
      <c r="Z927" s="110">
        <f t="shared" si="789"/>
        <v>7657.29</v>
      </c>
      <c r="AA927" s="260">
        <f t="shared" si="790"/>
        <v>0.98803741935483869</v>
      </c>
      <c r="AB927" s="28">
        <f t="shared" si="772"/>
        <v>5.0999999999999996</v>
      </c>
      <c r="AC927" s="261">
        <f t="shared" si="791"/>
        <v>0.98801290380972695</v>
      </c>
      <c r="AD927" s="111">
        <f t="shared" si="774"/>
        <v>0.1</v>
      </c>
      <c r="AE927" s="262">
        <f t="shared" si="792"/>
        <v>0.38865809429607656</v>
      </c>
      <c r="AF927" s="100"/>
      <c r="AG927" s="111">
        <f t="shared" si="776"/>
        <v>0.1</v>
      </c>
      <c r="AH927" s="262">
        <f t="shared" si="793"/>
        <v>0.38865809429607656</v>
      </c>
      <c r="AI927" s="100"/>
      <c r="AJ927" s="111">
        <f t="shared" si="778"/>
        <v>0.1</v>
      </c>
      <c r="AK927" s="262">
        <f t="shared" si="794"/>
        <v>0.38865809429607656</v>
      </c>
      <c r="AL927" s="100"/>
      <c r="AM927" s="111">
        <f t="shared" si="780"/>
        <v>0.1</v>
      </c>
      <c r="AN927" s="262">
        <f t="shared" si="795"/>
        <v>0.38865809429607656</v>
      </c>
      <c r="AO927" s="100"/>
      <c r="AP927" s="24" t="e">
        <f>VLOOKUP(C927,#REF!,6,FALSE)</f>
        <v>#REF!</v>
      </c>
      <c r="AQ927" s="24" t="e">
        <f>VLOOKUP(C927,#REF!,7,FALSE)</f>
        <v>#REF!</v>
      </c>
      <c r="AR927" s="24" t="e">
        <f>VLOOKUP(C927,#REF!,12,FALSE)</f>
        <v>#REF!</v>
      </c>
      <c r="AS927" s="24" t="e">
        <f>VLOOKUP(C927,#REF!,13,FALSE)</f>
        <v>#REF!</v>
      </c>
      <c r="AT927" s="100"/>
      <c r="AU927" s="100"/>
      <c r="AV927" s="100">
        <v>907</v>
      </c>
      <c r="AW927" s="100"/>
      <c r="AY927" s="112">
        <v>15500</v>
      </c>
    </row>
    <row r="928" spans="1:51" s="2" customFormat="1" ht="12.75" customHeight="1" x14ac:dyDescent="0.2">
      <c r="A928" s="7" t="s">
        <v>1659</v>
      </c>
      <c r="B928" s="8">
        <v>9789500210508</v>
      </c>
      <c r="C928" s="8">
        <v>674459</v>
      </c>
      <c r="D928" s="25">
        <v>56</v>
      </c>
      <c r="E928" s="7" t="s">
        <v>466</v>
      </c>
      <c r="F928" s="7" t="s">
        <v>834</v>
      </c>
      <c r="G928" s="107">
        <v>43891</v>
      </c>
      <c r="H928" s="108">
        <v>43891</v>
      </c>
      <c r="I928" s="7">
        <v>3080</v>
      </c>
      <c r="J928" s="28" t="s">
        <v>2136</v>
      </c>
      <c r="K928" s="9">
        <v>75</v>
      </c>
      <c r="L928" s="112">
        <v>15500</v>
      </c>
      <c r="M928" s="112"/>
      <c r="N928" s="9">
        <f t="shared" si="782"/>
        <v>7750</v>
      </c>
      <c r="O928" s="9">
        <f t="shared" si="783"/>
        <v>7675</v>
      </c>
      <c r="P928" s="9">
        <f t="shared" si="784"/>
        <v>75</v>
      </c>
      <c r="Q928" s="139">
        <f t="shared" si="785"/>
        <v>0.99032258064516132</v>
      </c>
      <c r="R928" s="387">
        <v>15500</v>
      </c>
      <c r="S928" s="359" t="s">
        <v>1948</v>
      </c>
      <c r="T928" s="305">
        <v>0.99032258064516132</v>
      </c>
      <c r="U928" s="144"/>
      <c r="V928" s="100"/>
      <c r="W928" s="110">
        <f t="shared" si="786"/>
        <v>15500</v>
      </c>
      <c r="X928" s="110">
        <f t="shared" si="787"/>
        <v>75</v>
      </c>
      <c r="Y928" s="110">
        <f t="shared" si="788"/>
        <v>0</v>
      </c>
      <c r="Z928" s="110">
        <f t="shared" si="789"/>
        <v>7675</v>
      </c>
      <c r="AA928" s="260">
        <f t="shared" si="790"/>
        <v>0.99032258064516132</v>
      </c>
      <c r="AB928" s="28">
        <f t="shared" si="772"/>
        <v>5.0999999999999996</v>
      </c>
      <c r="AC928" s="261">
        <f t="shared" si="791"/>
        <v>0.99030274820115982</v>
      </c>
      <c r="AD928" s="111">
        <f t="shared" si="774"/>
        <v>0.1</v>
      </c>
      <c r="AE928" s="262">
        <f t="shared" si="792"/>
        <v>0.50544015825914934</v>
      </c>
      <c r="AF928" s="100"/>
      <c r="AG928" s="111">
        <f t="shared" si="776"/>
        <v>0.1</v>
      </c>
      <c r="AH928" s="262">
        <f t="shared" si="793"/>
        <v>0.50544015825914934</v>
      </c>
      <c r="AI928" s="100"/>
      <c r="AJ928" s="111">
        <f t="shared" si="778"/>
        <v>0.1</v>
      </c>
      <c r="AK928" s="262">
        <f t="shared" si="794"/>
        <v>0.50544015825914934</v>
      </c>
      <c r="AL928" s="100"/>
      <c r="AM928" s="111">
        <f t="shared" si="780"/>
        <v>0.1</v>
      </c>
      <c r="AN928" s="262">
        <f t="shared" si="795"/>
        <v>0.50544015825914934</v>
      </c>
      <c r="AO928" s="100"/>
      <c r="AP928" s="24" t="e">
        <f>VLOOKUP(C928,#REF!,6,FALSE)</f>
        <v>#REF!</v>
      </c>
      <c r="AQ928" s="24" t="e">
        <f>VLOOKUP(C928,#REF!,7,FALSE)</f>
        <v>#REF!</v>
      </c>
      <c r="AR928" s="24" t="e">
        <f>VLOOKUP(C928,#REF!,12,FALSE)</f>
        <v>#REF!</v>
      </c>
      <c r="AS928" s="24" t="e">
        <f>VLOOKUP(C928,#REF!,13,FALSE)</f>
        <v>#REF!</v>
      </c>
      <c r="AT928" s="100"/>
      <c r="AU928" s="100"/>
      <c r="AV928" s="100">
        <v>908</v>
      </c>
      <c r="AW928" s="100"/>
      <c r="AY928" s="112">
        <v>15500</v>
      </c>
    </row>
    <row r="929" spans="1:51" s="2" customFormat="1" ht="12.75" customHeight="1" x14ac:dyDescent="0.2">
      <c r="A929" s="7" t="s">
        <v>1660</v>
      </c>
      <c r="B929" s="8">
        <v>9789500210225</v>
      </c>
      <c r="C929" s="14">
        <v>670529</v>
      </c>
      <c r="D929" s="25">
        <v>56</v>
      </c>
      <c r="E929" s="7" t="s">
        <v>466</v>
      </c>
      <c r="F929" s="7" t="s">
        <v>467</v>
      </c>
      <c r="G929" s="107">
        <v>43770</v>
      </c>
      <c r="H929" s="108">
        <v>44835</v>
      </c>
      <c r="I929" s="7">
        <v>3040</v>
      </c>
      <c r="J929" s="28" t="s">
        <v>2136</v>
      </c>
      <c r="K929" s="117">
        <v>429.39</v>
      </c>
      <c r="L929" s="112">
        <v>15500</v>
      </c>
      <c r="M929" s="112"/>
      <c r="N929" s="9">
        <f t="shared" si="782"/>
        <v>7750</v>
      </c>
      <c r="O929" s="9">
        <f t="shared" si="783"/>
        <v>7320.61</v>
      </c>
      <c r="P929" s="9">
        <f t="shared" si="784"/>
        <v>429.39</v>
      </c>
      <c r="Q929" s="139">
        <f t="shared" si="785"/>
        <v>0.94459483870967742</v>
      </c>
      <c r="R929" s="387">
        <v>15500</v>
      </c>
      <c r="S929" s="359" t="s">
        <v>1948</v>
      </c>
      <c r="T929" s="305">
        <v>0.94459483870967742</v>
      </c>
      <c r="U929" s="144"/>
      <c r="V929" s="100"/>
      <c r="W929" s="110">
        <f t="shared" si="786"/>
        <v>15500</v>
      </c>
      <c r="X929" s="110">
        <f t="shared" si="787"/>
        <v>429.39</v>
      </c>
      <c r="Y929" s="110">
        <f t="shared" si="788"/>
        <v>0</v>
      </c>
      <c r="Z929" s="110">
        <f t="shared" si="789"/>
        <v>7320.61</v>
      </c>
      <c r="AA929" s="260">
        <f t="shared" si="790"/>
        <v>0.94459483870967742</v>
      </c>
      <c r="AB929" s="28">
        <f t="shared" si="772"/>
        <v>5.0999999999999996</v>
      </c>
      <c r="AC929" s="261">
        <f t="shared" si="791"/>
        <v>0.94448129400128</v>
      </c>
      <c r="AD929" s="111">
        <f t="shared" si="774"/>
        <v>0.3</v>
      </c>
      <c r="AE929" s="262">
        <f t="shared" si="792"/>
        <v>5.6181998021760639E-2</v>
      </c>
      <c r="AF929" s="100"/>
      <c r="AG929" s="111">
        <f t="shared" si="776"/>
        <v>0.5</v>
      </c>
      <c r="AH929" s="262">
        <f t="shared" si="793"/>
        <v>0.43370919881305642</v>
      </c>
      <c r="AI929" s="100"/>
      <c r="AJ929" s="111">
        <f t="shared" si="778"/>
        <v>0.4</v>
      </c>
      <c r="AK929" s="262">
        <f t="shared" si="794"/>
        <v>0.29213649851632051</v>
      </c>
      <c r="AL929" s="100"/>
      <c r="AM929" s="111">
        <f t="shared" si="780"/>
        <v>0.4</v>
      </c>
      <c r="AN929" s="262">
        <f t="shared" si="795"/>
        <v>0.29213649851632051</v>
      </c>
      <c r="AO929" s="100"/>
      <c r="AP929" s="24" t="e">
        <f>VLOOKUP(C929,#REF!,6,FALSE)</f>
        <v>#REF!</v>
      </c>
      <c r="AQ929" s="24" t="e">
        <f>VLOOKUP(C929,#REF!,7,FALSE)</f>
        <v>#REF!</v>
      </c>
      <c r="AR929" s="24" t="e">
        <f>VLOOKUP(C929,#REF!,12,FALSE)</f>
        <v>#REF!</v>
      </c>
      <c r="AS929" s="24" t="e">
        <f>VLOOKUP(C929,#REF!,13,FALSE)</f>
        <v>#REF!</v>
      </c>
      <c r="AT929" s="100"/>
      <c r="AU929" s="100"/>
      <c r="AV929" s="100">
        <v>909</v>
      </c>
      <c r="AW929" s="100"/>
      <c r="AY929" s="112">
        <v>15500</v>
      </c>
    </row>
    <row r="930" spans="1:51" s="2" customFormat="1" ht="12.75" customHeight="1" x14ac:dyDescent="0.2">
      <c r="A930" s="7" t="s">
        <v>1661</v>
      </c>
      <c r="B930" s="8">
        <v>9789500212045</v>
      </c>
      <c r="C930" s="8">
        <v>686377</v>
      </c>
      <c r="D930" s="25">
        <v>96</v>
      </c>
      <c r="E930" s="7" t="s">
        <v>576</v>
      </c>
      <c r="F930" s="7" t="s">
        <v>577</v>
      </c>
      <c r="G930" s="107">
        <v>44440</v>
      </c>
      <c r="H930" s="108">
        <v>44409</v>
      </c>
      <c r="I930" s="7">
        <v>4090</v>
      </c>
      <c r="J930" s="28" t="s">
        <v>2136</v>
      </c>
      <c r="K930" s="9">
        <v>157.28</v>
      </c>
      <c r="L930" s="9">
        <v>17500</v>
      </c>
      <c r="M930" s="112">
        <f>+L930*0.1</f>
        <v>1750</v>
      </c>
      <c r="N930" s="9">
        <f t="shared" si="782"/>
        <v>8750</v>
      </c>
      <c r="O930" s="9">
        <f t="shared" si="783"/>
        <v>6842.72</v>
      </c>
      <c r="P930" s="9">
        <f t="shared" si="784"/>
        <v>1907.28</v>
      </c>
      <c r="Q930" s="139">
        <f t="shared" si="785"/>
        <v>0.78202514285714286</v>
      </c>
      <c r="R930" s="387">
        <v>17500</v>
      </c>
      <c r="S930" s="359" t="s">
        <v>1948</v>
      </c>
      <c r="T930" s="305">
        <v>0.78202514285714286</v>
      </c>
      <c r="U930" s="144"/>
      <c r="V930" s="100"/>
      <c r="W930" s="110">
        <f t="shared" si="786"/>
        <v>17500</v>
      </c>
      <c r="X930" s="110">
        <f t="shared" si="787"/>
        <v>157.28</v>
      </c>
      <c r="Y930" s="110">
        <f t="shared" si="788"/>
        <v>1750</v>
      </c>
      <c r="Z930" s="110">
        <f t="shared" si="789"/>
        <v>6842.7199999999993</v>
      </c>
      <c r="AA930" s="260">
        <f t="shared" si="790"/>
        <v>0.78202514285714275</v>
      </c>
      <c r="AB930" s="28">
        <f t="shared" si="772"/>
        <v>5.8</v>
      </c>
      <c r="AC930" s="261">
        <f t="shared" si="791"/>
        <v>0.783157679320577</v>
      </c>
      <c r="AD930" s="111">
        <f t="shared" si="774"/>
        <v>1.3</v>
      </c>
      <c r="AE930" s="262">
        <f t="shared" si="792"/>
        <v>3.2549646199497871E-2</v>
      </c>
      <c r="AF930" s="100"/>
      <c r="AG930" s="111">
        <f t="shared" si="776"/>
        <v>2.1</v>
      </c>
      <c r="AH930" s="262">
        <f t="shared" si="793"/>
        <v>0.40110216193302239</v>
      </c>
      <c r="AI930" s="100"/>
      <c r="AJ930" s="111">
        <f t="shared" si="778"/>
        <v>1.9</v>
      </c>
      <c r="AK930" s="262">
        <f t="shared" si="794"/>
        <v>0.3380602842417616</v>
      </c>
      <c r="AL930" s="100"/>
      <c r="AM930" s="111">
        <f t="shared" si="780"/>
        <v>1.8</v>
      </c>
      <c r="AN930" s="262">
        <f t="shared" si="795"/>
        <v>0.30128585558852622</v>
      </c>
      <c r="AO930" s="100"/>
      <c r="AP930" s="24" t="e">
        <f>VLOOKUP(C930,#REF!,6,FALSE)</f>
        <v>#REF!</v>
      </c>
      <c r="AQ930" s="24" t="e">
        <f>VLOOKUP(C930,#REF!,7,FALSE)</f>
        <v>#REF!</v>
      </c>
      <c r="AR930" s="24" t="e">
        <f>VLOOKUP(C930,#REF!,12,FALSE)</f>
        <v>#REF!</v>
      </c>
      <c r="AS930" s="24" t="e">
        <f>VLOOKUP(C930,#REF!,13,FALSE)</f>
        <v>#REF!</v>
      </c>
      <c r="AT930" s="100"/>
      <c r="AU930" s="100"/>
      <c r="AV930" s="100">
        <v>910</v>
      </c>
      <c r="AW930" s="100"/>
      <c r="AY930" s="9">
        <v>17500</v>
      </c>
    </row>
    <row r="931" spans="1:51" s="2" customFormat="1" ht="12.75" customHeight="1" x14ac:dyDescent="0.25">
      <c r="A931" s="1"/>
      <c r="B931" s="3"/>
      <c r="C931" s="3"/>
      <c r="E931" s="3"/>
      <c r="F931" s="26"/>
      <c r="G931" s="3"/>
      <c r="H931" s="26"/>
      <c r="I931" s="3"/>
      <c r="J931" s="26"/>
      <c r="K931" s="132"/>
      <c r="L931" s="134"/>
      <c r="M931" s="132"/>
      <c r="N931" s="132"/>
      <c r="O931" s="132"/>
      <c r="P931" s="132"/>
      <c r="Q931" s="147"/>
      <c r="R931" s="327"/>
      <c r="S931" s="360"/>
      <c r="T931" s="307"/>
      <c r="U931" s="135"/>
      <c r="V931" s="100"/>
      <c r="W931"/>
      <c r="X931"/>
      <c r="Y931"/>
      <c r="Z931"/>
      <c r="AA931"/>
      <c r="AB931"/>
      <c r="AC931"/>
      <c r="AD931" s="263"/>
      <c r="AE931"/>
      <c r="AF931" s="100"/>
      <c r="AG931" s="263"/>
      <c r="AH931"/>
      <c r="AI931" s="100"/>
      <c r="AJ931" s="263"/>
      <c r="AK931"/>
      <c r="AL931" s="100"/>
      <c r="AM931" s="263"/>
      <c r="AN931"/>
      <c r="AO931" s="100"/>
      <c r="AP931" s="100"/>
      <c r="AQ931" s="100"/>
      <c r="AR931" s="100"/>
      <c r="AS931" s="100"/>
      <c r="AT931" s="100"/>
      <c r="AU931" s="100"/>
      <c r="AV931" s="100">
        <v>911</v>
      </c>
      <c r="AW931" s="100"/>
      <c r="AY931" s="134"/>
    </row>
    <row r="932" spans="1:51" s="2" customFormat="1" ht="12.75" customHeight="1" x14ac:dyDescent="0.25">
      <c r="A932" s="202" t="s">
        <v>2241</v>
      </c>
      <c r="B932" s="203"/>
      <c r="C932" s="203"/>
      <c r="D932" s="204"/>
      <c r="E932" s="205"/>
      <c r="F932" s="162"/>
      <c r="G932" s="162"/>
      <c r="H932" s="132"/>
      <c r="I932" s="132"/>
      <c r="J932" s="132"/>
      <c r="K932" s="132"/>
      <c r="L932" s="134"/>
      <c r="M932" s="132"/>
      <c r="N932" s="132"/>
      <c r="O932" s="132"/>
      <c r="P932" s="132"/>
      <c r="Q932" s="147"/>
      <c r="R932" s="327"/>
      <c r="S932" s="360"/>
      <c r="T932" s="307"/>
      <c r="U932" s="135"/>
      <c r="V932" s="100"/>
      <c r="W932"/>
      <c r="X932"/>
      <c r="Y932"/>
      <c r="Z932"/>
      <c r="AA932"/>
      <c r="AB932"/>
      <c r="AC932"/>
      <c r="AD932" s="263"/>
      <c r="AE932"/>
      <c r="AF932" s="100"/>
      <c r="AG932" s="263"/>
      <c r="AH932"/>
      <c r="AI932" s="100"/>
      <c r="AJ932" s="263"/>
      <c r="AK932"/>
      <c r="AL932" s="100"/>
      <c r="AM932" s="263"/>
      <c r="AN932"/>
      <c r="AO932" s="100"/>
      <c r="AP932" s="100"/>
      <c r="AQ932" s="100"/>
      <c r="AR932" s="100"/>
      <c r="AS932" s="100"/>
      <c r="AT932" s="100"/>
      <c r="AU932" s="100"/>
      <c r="AV932" s="100">
        <v>912</v>
      </c>
      <c r="AW932" s="100"/>
      <c r="AY932" s="134"/>
    </row>
    <row r="933" spans="1:51" s="162" customFormat="1" ht="12.75" customHeight="1" x14ac:dyDescent="0.2">
      <c r="A933" s="6" t="s">
        <v>2234</v>
      </c>
      <c r="B933" s="8">
        <v>9789500216517</v>
      </c>
      <c r="C933" s="6">
        <v>740173</v>
      </c>
      <c r="D933" s="239">
        <v>12</v>
      </c>
      <c r="E933" s="8" t="s">
        <v>2235</v>
      </c>
      <c r="F933" s="6" t="s">
        <v>2236</v>
      </c>
      <c r="G933" s="107">
        <v>46054</v>
      </c>
      <c r="H933" s="108">
        <v>45992</v>
      </c>
      <c r="I933" s="7">
        <v>4200</v>
      </c>
      <c r="J933" s="28" t="s">
        <v>1333</v>
      </c>
      <c r="K933" s="148">
        <v>3744.98</v>
      </c>
      <c r="L933" s="9">
        <v>17900</v>
      </c>
      <c r="M933" s="9"/>
      <c r="N933" s="9">
        <f>+L933/2</f>
        <v>8950</v>
      </c>
      <c r="O933" s="9">
        <f>+N933-M933-K933</f>
        <v>5205.0200000000004</v>
      </c>
      <c r="P933" s="9">
        <f>+M933+K933</f>
        <v>3744.98</v>
      </c>
      <c r="Q933" s="139">
        <f>+O933/N933</f>
        <v>0.58156648044692738</v>
      </c>
      <c r="R933" s="387">
        <v>17900</v>
      </c>
      <c r="S933" s="359" t="s">
        <v>1948</v>
      </c>
      <c r="T933" s="305">
        <v>0.58156648044692738</v>
      </c>
      <c r="U933" s="144"/>
      <c r="V933" s="100"/>
      <c r="W933" s="110">
        <f>+L933</f>
        <v>17900</v>
      </c>
      <c r="X933" s="110">
        <f>+K933</f>
        <v>3744.98</v>
      </c>
      <c r="Y933" s="110">
        <f>+M933</f>
        <v>0</v>
      </c>
      <c r="Z933" s="110">
        <f>+W933/2-X933-Y933</f>
        <v>5205.0200000000004</v>
      </c>
      <c r="AA933" s="260">
        <f>+Z933/(W933/2)</f>
        <v>0.58156648044692738</v>
      </c>
      <c r="AB933" s="28">
        <f>ROUND($W933/2/$X$1,1)</f>
        <v>5.9</v>
      </c>
      <c r="AC933" s="261">
        <f>+(AB933*$X$1-$X933-$Y933)/(AB933*$X$1)</f>
        <v>0.58144255002877954</v>
      </c>
      <c r="AD933" s="111">
        <f>+IFERROR(ROUND(($X933+$Y933)/(1-$X$2)/$X$1,1),0)</f>
        <v>2.6</v>
      </c>
      <c r="AE933" s="262">
        <f>+(AD933*$X$1-$X933-$Y933)/(AD933*$X$1)</f>
        <v>5.0196555834538047E-2</v>
      </c>
      <c r="AF933" s="100"/>
      <c r="AG933" s="111">
        <f>+IFERROR(ROUND(($X933+$Y933)/(1-$AG$2)/$X$1,1),0)</f>
        <v>4.0999999999999996</v>
      </c>
      <c r="AH933" s="262">
        <f>+(AG933*$X$1-$X933-$Y933)/(AG933*$X$1)</f>
        <v>0.39768562077312164</v>
      </c>
      <c r="AI933" s="100"/>
      <c r="AJ933" s="111">
        <f>+IFERROR(ROUND(($X933+$Y933)/(1-$AJ$2)/$X$1,1),0)</f>
        <v>3.8</v>
      </c>
      <c r="AK933" s="262">
        <f>+(AJ933*$X$1-$X933-$Y933)/(AJ933*$X$1)</f>
        <v>0.35013448557099969</v>
      </c>
      <c r="AL933" s="100"/>
      <c r="AM933" s="111">
        <f>+IFERROR(ROUND(($X933+$Y933)/(1-$AM$2)/$X$1,1),0)</f>
        <v>3.5</v>
      </c>
      <c r="AN933" s="262">
        <f>+(AM933*$X$1-$X933-$Y933)/(AM933*$X$1)</f>
        <v>0.29443172719137112</v>
      </c>
      <c r="AO933" s="100"/>
      <c r="AP933" s="24" t="e">
        <f>VLOOKUP(C933,#REF!,6,FALSE)</f>
        <v>#REF!</v>
      </c>
      <c r="AQ933" s="24" t="e">
        <f>VLOOKUP(C933,#REF!,7,FALSE)</f>
        <v>#REF!</v>
      </c>
      <c r="AR933" s="24" t="e">
        <f>VLOOKUP(C933,#REF!,12,FALSE)</f>
        <v>#REF!</v>
      </c>
      <c r="AS933" s="24" t="e">
        <f>VLOOKUP(C933,#REF!,13,FALSE)</f>
        <v>#REF!</v>
      </c>
      <c r="AT933" s="100"/>
      <c r="AU933" s="100"/>
      <c r="AV933" s="100">
        <v>913</v>
      </c>
      <c r="AW933" s="100"/>
      <c r="AY933" s="9">
        <v>17900</v>
      </c>
    </row>
    <row r="934" spans="1:51" s="2" customFormat="1" ht="12.75" customHeight="1" x14ac:dyDescent="0.2">
      <c r="A934" s="6" t="s">
        <v>2237</v>
      </c>
      <c r="B934" s="8">
        <v>9789500216524</v>
      </c>
      <c r="C934" s="6">
        <v>740175</v>
      </c>
      <c r="D934" s="239">
        <v>12</v>
      </c>
      <c r="E934" s="8" t="s">
        <v>2235</v>
      </c>
      <c r="F934" s="6" t="s">
        <v>2238</v>
      </c>
      <c r="G934" s="107">
        <v>46054</v>
      </c>
      <c r="H934" s="108">
        <v>45992</v>
      </c>
      <c r="I934" s="7">
        <v>4200</v>
      </c>
      <c r="J934" s="28" t="s">
        <v>1333</v>
      </c>
      <c r="K934" s="148">
        <v>3744.98</v>
      </c>
      <c r="L934" s="9">
        <v>17900</v>
      </c>
      <c r="M934" s="9"/>
      <c r="N934" s="9">
        <f>+L934/2</f>
        <v>8950</v>
      </c>
      <c r="O934" s="9">
        <f>+N934-M934-K934</f>
        <v>5205.0200000000004</v>
      </c>
      <c r="P934" s="9">
        <f>+M934+K934</f>
        <v>3744.98</v>
      </c>
      <c r="Q934" s="139">
        <f>+O934/N934</f>
        <v>0.58156648044692738</v>
      </c>
      <c r="R934" s="387">
        <v>17900</v>
      </c>
      <c r="S934" s="359" t="s">
        <v>1948</v>
      </c>
      <c r="T934" s="305">
        <v>0.58156648044692738</v>
      </c>
      <c r="U934" s="144"/>
      <c r="V934" s="100"/>
      <c r="W934" s="110">
        <f>+L934</f>
        <v>17900</v>
      </c>
      <c r="X934" s="110">
        <f>+K934</f>
        <v>3744.98</v>
      </c>
      <c r="Y934" s="110">
        <f>+M934</f>
        <v>0</v>
      </c>
      <c r="Z934" s="110">
        <f>+W934/2-X934-Y934</f>
        <v>5205.0200000000004</v>
      </c>
      <c r="AA934" s="260">
        <f>+Z934/(W934/2)</f>
        <v>0.58156648044692738</v>
      </c>
      <c r="AB934" s="28">
        <f>ROUND($W934/2/$X$1,1)</f>
        <v>5.9</v>
      </c>
      <c r="AC934" s="261">
        <f>+(AB934*$X$1-$X934-$Y934)/(AB934*$X$1)</f>
        <v>0.58144255002877954</v>
      </c>
      <c r="AD934" s="111">
        <f>+IFERROR(ROUND(($X934+$Y934)/(1-$X$2)/$X$1,1),0)</f>
        <v>2.6</v>
      </c>
      <c r="AE934" s="262">
        <f>+(AD934*$X$1-$X934-$Y934)/(AD934*$X$1)</f>
        <v>5.0196555834538047E-2</v>
      </c>
      <c r="AF934" s="100"/>
      <c r="AG934" s="111">
        <f>+IFERROR(ROUND(($X934+$Y934)/(1-$AG$2)/$X$1,1),0)</f>
        <v>4.0999999999999996</v>
      </c>
      <c r="AH934" s="262">
        <f>+(AG934*$X$1-$X934-$Y934)/(AG934*$X$1)</f>
        <v>0.39768562077312164</v>
      </c>
      <c r="AI934" s="100"/>
      <c r="AJ934" s="111">
        <f>+IFERROR(ROUND(($X934+$Y934)/(1-$AJ$2)/$X$1,1),0)</f>
        <v>3.8</v>
      </c>
      <c r="AK934" s="262">
        <f>+(AJ934*$X$1-$X934-$Y934)/(AJ934*$X$1)</f>
        <v>0.35013448557099969</v>
      </c>
      <c r="AL934" s="100"/>
      <c r="AM934" s="111">
        <f>+IFERROR(ROUND(($X934+$Y934)/(1-$AM$2)/$X$1,1),0)</f>
        <v>3.5</v>
      </c>
      <c r="AN934" s="262">
        <f>+(AM934*$X$1-$X934-$Y934)/(AM934*$X$1)</f>
        <v>0.29443172719137112</v>
      </c>
      <c r="AO934" s="100"/>
      <c r="AP934" s="24" t="e">
        <f>VLOOKUP(C934,#REF!,6,FALSE)</f>
        <v>#REF!</v>
      </c>
      <c r="AQ934" s="24" t="e">
        <f>VLOOKUP(C934,#REF!,7,FALSE)</f>
        <v>#REF!</v>
      </c>
      <c r="AR934" s="24" t="e">
        <f>VLOOKUP(C934,#REF!,12,FALSE)</f>
        <v>#REF!</v>
      </c>
      <c r="AS934" s="24" t="e">
        <f>VLOOKUP(C934,#REF!,13,FALSE)</f>
        <v>#REF!</v>
      </c>
      <c r="AT934" s="100"/>
      <c r="AU934" s="100"/>
      <c r="AV934" s="100">
        <v>914</v>
      </c>
      <c r="AW934" s="100"/>
      <c r="AY934" s="9">
        <v>17900</v>
      </c>
    </row>
    <row r="935" spans="1:51" s="2" customFormat="1" ht="12.75" customHeight="1" x14ac:dyDescent="0.25">
      <c r="A935" s="1"/>
      <c r="B935" s="3"/>
      <c r="C935" s="3"/>
      <c r="E935" s="274"/>
      <c r="F935" s="275"/>
      <c r="H935" s="132"/>
      <c r="I935" s="132"/>
      <c r="J935" s="132"/>
      <c r="K935" s="132"/>
      <c r="L935" s="134"/>
      <c r="M935" s="132"/>
      <c r="N935" s="132"/>
      <c r="O935" s="132"/>
      <c r="P935" s="132"/>
      <c r="Q935" s="147"/>
      <c r="R935" s="327"/>
      <c r="S935" s="360"/>
      <c r="T935" s="307"/>
      <c r="U935" s="135"/>
      <c r="V935" s="100"/>
      <c r="W935"/>
      <c r="X935"/>
      <c r="Y935"/>
      <c r="Z935"/>
      <c r="AA935"/>
      <c r="AB935"/>
      <c r="AC935"/>
      <c r="AD935" s="263"/>
      <c r="AE935"/>
      <c r="AF935" s="100"/>
      <c r="AG935" s="263"/>
      <c r="AH935"/>
      <c r="AI935" s="100"/>
      <c r="AJ935" s="263"/>
      <c r="AK935"/>
      <c r="AL935" s="100"/>
      <c r="AM935" s="263"/>
      <c r="AN935"/>
      <c r="AO935" s="100"/>
      <c r="AP935" s="100"/>
      <c r="AQ935" s="100"/>
      <c r="AR935" s="100"/>
      <c r="AS935" s="100"/>
      <c r="AT935" s="100"/>
      <c r="AU935" s="100"/>
      <c r="AV935" s="100">
        <v>915</v>
      </c>
      <c r="AW935" s="100"/>
      <c r="AY935" s="134"/>
    </row>
    <row r="936" spans="1:51" s="2" customFormat="1" ht="12.75" customHeight="1" x14ac:dyDescent="0.25">
      <c r="A936" s="202" t="s">
        <v>2438</v>
      </c>
      <c r="B936" s="203"/>
      <c r="C936" s="203"/>
      <c r="D936" s="204"/>
      <c r="E936" s="205"/>
      <c r="F936" s="162"/>
      <c r="G936" s="162"/>
      <c r="H936" s="132"/>
      <c r="I936" s="132"/>
      <c r="J936" s="132"/>
      <c r="K936" s="132"/>
      <c r="L936" s="134"/>
      <c r="M936" s="132"/>
      <c r="N936" s="132"/>
      <c r="O936" s="132"/>
      <c r="P936" s="132"/>
      <c r="Q936" s="147"/>
      <c r="R936" s="327"/>
      <c r="S936" s="360"/>
      <c r="T936" s="307"/>
      <c r="U936" s="135"/>
      <c r="V936" s="100"/>
      <c r="W936"/>
      <c r="X936"/>
      <c r="Y936"/>
      <c r="Z936"/>
      <c r="AA936"/>
      <c r="AB936"/>
      <c r="AC936"/>
      <c r="AD936" s="263"/>
      <c r="AE936"/>
      <c r="AF936" s="100"/>
      <c r="AG936" s="263"/>
      <c r="AH936"/>
      <c r="AI936" s="100"/>
      <c r="AJ936" s="263"/>
      <c r="AK936"/>
      <c r="AL936" s="100"/>
      <c r="AM936" s="263"/>
      <c r="AN936"/>
      <c r="AO936" s="100"/>
      <c r="AP936" s="100"/>
      <c r="AQ936" s="100"/>
      <c r="AR936" s="100"/>
      <c r="AS936" s="100"/>
      <c r="AT936" s="100"/>
      <c r="AU936" s="100"/>
      <c r="AV936" s="100">
        <v>916</v>
      </c>
      <c r="AW936" s="100"/>
      <c r="AY936" s="134"/>
    </row>
    <row r="937" spans="1:51" s="162" customFormat="1" ht="12.75" customHeight="1" x14ac:dyDescent="0.2">
      <c r="A937" s="6" t="s">
        <v>2431</v>
      </c>
      <c r="B937" s="153">
        <v>9789500217545</v>
      </c>
      <c r="C937" s="366">
        <v>750395</v>
      </c>
      <c r="D937" s="41">
        <v>8</v>
      </c>
      <c r="E937" s="6" t="s">
        <v>2405</v>
      </c>
      <c r="F937" s="6" t="s">
        <v>2432</v>
      </c>
      <c r="G937" s="107">
        <v>46266</v>
      </c>
      <c r="H937" s="107">
        <v>46235</v>
      </c>
      <c r="I937" s="267">
        <v>4000</v>
      </c>
      <c r="J937" s="6" t="s">
        <v>2136</v>
      </c>
      <c r="K937" s="148">
        <v>5729.3139907499999</v>
      </c>
      <c r="L937" s="352">
        <v>24500</v>
      </c>
      <c r="M937" s="112"/>
      <c r="N937" s="9">
        <f>+L937/2</f>
        <v>12250</v>
      </c>
      <c r="O937" s="9">
        <f>+N937-M937-K937</f>
        <v>6520.6860092500001</v>
      </c>
      <c r="P937" s="9">
        <f>+M937+K937</f>
        <v>5729.3139907499999</v>
      </c>
      <c r="Q937" s="139">
        <f>+O937/N937</f>
        <v>0.53230089871428576</v>
      </c>
      <c r="R937" s="388">
        <v>24500</v>
      </c>
      <c r="S937" s="359" t="s">
        <v>1948</v>
      </c>
      <c r="T937" s="305">
        <v>0.99200202020202022</v>
      </c>
      <c r="U937" s="144"/>
      <c r="V937" s="100"/>
      <c r="W937" s="110">
        <f>+L937</f>
        <v>24500</v>
      </c>
      <c r="X937" s="110">
        <f>+K937</f>
        <v>5729.3139907499999</v>
      </c>
      <c r="Y937" s="110">
        <f>+M937</f>
        <v>0</v>
      </c>
      <c r="Z937" s="110">
        <f>+W937/2-X937-Y937</f>
        <v>6520.6860092500001</v>
      </c>
      <c r="AA937" s="260">
        <f>+Z937/(W937/2)</f>
        <v>0.53230089871428576</v>
      </c>
      <c r="AB937" s="28">
        <f>ROUND($W937/2/$X$1,1)</f>
        <v>8.1</v>
      </c>
      <c r="AC937" s="261">
        <f>+(AB937*$X$1-$X937-$Y937)/(AB937*$X$1)</f>
        <v>0.53358212007424499</v>
      </c>
      <c r="AD937" s="111">
        <f>+IFERROR(ROUND(($X937+$Y937)/(1-$X$2)/$X$1,1),0)</f>
        <v>4</v>
      </c>
      <c r="AE937" s="262">
        <f>+(AD937*$X$1-$X937-$Y937)/(AD937*$X$1)</f>
        <v>5.550379315034621E-2</v>
      </c>
      <c r="AF937" s="100"/>
      <c r="AG937" s="111">
        <f>+IFERROR(ROUND(($X937+$Y937)/(1-$AG$2)/$X$1,1),0)</f>
        <v>6.3</v>
      </c>
      <c r="AH937" s="262">
        <f>+(AG937*$X$1-$X937-$Y937)/(AG937*$X$1)</f>
        <v>0.4003198686668864</v>
      </c>
      <c r="AI937" s="100"/>
      <c r="AJ937" s="111">
        <f>+IFERROR(ROUND(($X937+$Y937)/(1-$AJ$2)/$X$1,1),0)</f>
        <v>5.8</v>
      </c>
      <c r="AK937" s="262">
        <f>+(AJ937*$X$1-$X937-$Y937)/(AJ937*$X$1)</f>
        <v>0.34862330562092836</v>
      </c>
      <c r="AL937" s="100"/>
      <c r="AM937" s="111">
        <f>+IFERROR(ROUND(($X937+$Y937)/(1-$AM$2)/$X$1,1),0)</f>
        <v>5.4</v>
      </c>
      <c r="AN937" s="262">
        <f>+(AM937*$X$1-$X937-$Y937)/(AM937*$X$1)</f>
        <v>0.3003731801113676</v>
      </c>
      <c r="AO937" s="100"/>
      <c r="AP937" s="24" t="e">
        <f>VLOOKUP(C937,#REF!,6,FALSE)</f>
        <v>#REF!</v>
      </c>
      <c r="AQ937" s="24" t="e">
        <f>VLOOKUP(C937,#REF!,7,FALSE)</f>
        <v>#REF!</v>
      </c>
      <c r="AR937" s="24" t="e">
        <f>VLOOKUP(C937,#REF!,12,FALSE)</f>
        <v>#REF!</v>
      </c>
      <c r="AS937" s="24" t="e">
        <f>VLOOKUP(C937,#REF!,13,FALSE)</f>
        <v>#REF!</v>
      </c>
      <c r="AT937" s="100"/>
      <c r="AU937" s="100"/>
      <c r="AV937" s="100">
        <v>917</v>
      </c>
      <c r="AW937" s="100"/>
      <c r="AY937" s="352">
        <v>24500</v>
      </c>
    </row>
    <row r="938" spans="1:51" s="2" customFormat="1" ht="12.75" customHeight="1" x14ac:dyDescent="0.2">
      <c r="A938" s="6" t="s">
        <v>2433</v>
      </c>
      <c r="B938" s="153">
        <v>9789500217552</v>
      </c>
      <c r="C938" s="366">
        <v>750397</v>
      </c>
      <c r="D938" s="41">
        <v>8</v>
      </c>
      <c r="E938" s="6" t="s">
        <v>2405</v>
      </c>
      <c r="F938" s="7" t="s">
        <v>2434</v>
      </c>
      <c r="G938" s="107">
        <v>46266</v>
      </c>
      <c r="H938" s="107">
        <v>46235</v>
      </c>
      <c r="I938" s="267">
        <v>4000</v>
      </c>
      <c r="J938" s="6" t="s">
        <v>2136</v>
      </c>
      <c r="K938" s="148">
        <v>5729.3139907499999</v>
      </c>
      <c r="L938" s="352">
        <v>24500</v>
      </c>
      <c r="M938" s="112"/>
      <c r="N938" s="9">
        <f>+L938/2</f>
        <v>12250</v>
      </c>
      <c r="O938" s="9">
        <f>+N938-M938-K938</f>
        <v>6520.6860092500001</v>
      </c>
      <c r="P938" s="9">
        <f>+M938+K938</f>
        <v>5729.3139907499999</v>
      </c>
      <c r="Q938" s="139">
        <f>+O938/N938</f>
        <v>0.53230089871428576</v>
      </c>
      <c r="R938" s="388">
        <v>24500</v>
      </c>
      <c r="S938" s="359" t="s">
        <v>1948</v>
      </c>
      <c r="T938" s="305">
        <v>0.99200202020202022</v>
      </c>
      <c r="U938" s="144"/>
      <c r="V938" s="100"/>
      <c r="W938" s="110">
        <f>+L938</f>
        <v>24500</v>
      </c>
      <c r="X938" s="110">
        <f>+K938</f>
        <v>5729.3139907499999</v>
      </c>
      <c r="Y938" s="110">
        <f>+M938</f>
        <v>0</v>
      </c>
      <c r="Z938" s="110">
        <f>+W938/2-X938-Y938</f>
        <v>6520.6860092500001</v>
      </c>
      <c r="AA938" s="260">
        <f>+Z938/(W938/2)</f>
        <v>0.53230089871428576</v>
      </c>
      <c r="AB938" s="28">
        <f>ROUND($W938/2/$X$1,1)</f>
        <v>8.1</v>
      </c>
      <c r="AC938" s="261">
        <f>+(AB938*$X$1-$X938-$Y938)/(AB938*$X$1)</f>
        <v>0.53358212007424499</v>
      </c>
      <c r="AD938" s="111">
        <f>+IFERROR(ROUND(($X938+$Y938)/(1-$X$2)/$X$1,1),0)</f>
        <v>4</v>
      </c>
      <c r="AE938" s="262">
        <f>+(AD938*$X$1-$X938-$Y938)/(AD938*$X$1)</f>
        <v>5.550379315034621E-2</v>
      </c>
      <c r="AF938" s="100"/>
      <c r="AG938" s="111">
        <f>+IFERROR(ROUND(($X938+$Y938)/(1-$AG$2)/$X$1,1),0)</f>
        <v>6.3</v>
      </c>
      <c r="AH938" s="262">
        <f>+(AG938*$X$1-$X938-$Y938)/(AG938*$X$1)</f>
        <v>0.4003198686668864</v>
      </c>
      <c r="AI938" s="100"/>
      <c r="AJ938" s="111">
        <f>+IFERROR(ROUND(($X938+$Y938)/(1-$AJ$2)/$X$1,1),0)</f>
        <v>5.8</v>
      </c>
      <c r="AK938" s="262">
        <f>+(AJ938*$X$1-$X938-$Y938)/(AJ938*$X$1)</f>
        <v>0.34862330562092836</v>
      </c>
      <c r="AL938" s="100"/>
      <c r="AM938" s="111">
        <f>+IFERROR(ROUND(($X938+$Y938)/(1-$AM$2)/$X$1,1),0)</f>
        <v>5.4</v>
      </c>
      <c r="AN938" s="262">
        <f>+(AM938*$X$1-$X938-$Y938)/(AM938*$X$1)</f>
        <v>0.3003731801113676</v>
      </c>
      <c r="AO938" s="100"/>
      <c r="AP938" s="24" t="e">
        <f>VLOOKUP(C938,#REF!,6,FALSE)</f>
        <v>#REF!</v>
      </c>
      <c r="AQ938" s="24" t="e">
        <f>VLOOKUP(C938,#REF!,7,FALSE)</f>
        <v>#REF!</v>
      </c>
      <c r="AR938" s="24" t="e">
        <f>VLOOKUP(C938,#REF!,12,FALSE)</f>
        <v>#REF!</v>
      </c>
      <c r="AS938" s="24" t="e">
        <f>VLOOKUP(C938,#REF!,13,FALSE)</f>
        <v>#REF!</v>
      </c>
      <c r="AT938" s="100"/>
      <c r="AU938" s="100"/>
      <c r="AV938" s="100">
        <v>918</v>
      </c>
      <c r="AW938" s="100"/>
      <c r="AY938" s="352">
        <v>24500</v>
      </c>
    </row>
    <row r="939" spans="1:51" s="2" customFormat="1" ht="12.75" customHeight="1" x14ac:dyDescent="0.25">
      <c r="A939" s="1"/>
      <c r="B939" s="3"/>
      <c r="C939" s="3"/>
      <c r="E939" s="274"/>
      <c r="F939" s="275"/>
      <c r="H939" s="132"/>
      <c r="I939" s="132"/>
      <c r="J939" s="132"/>
      <c r="K939" s="132"/>
      <c r="L939" s="134"/>
      <c r="M939" s="132"/>
      <c r="N939" s="132"/>
      <c r="O939" s="132"/>
      <c r="P939" s="132"/>
      <c r="Q939" s="147"/>
      <c r="R939" s="327"/>
      <c r="S939" s="360"/>
      <c r="T939" s="307"/>
      <c r="U939" s="135"/>
      <c r="V939" s="100"/>
      <c r="W939"/>
      <c r="X939"/>
      <c r="Y939"/>
      <c r="Z939"/>
      <c r="AA939"/>
      <c r="AB939"/>
      <c r="AC939"/>
      <c r="AD939" s="263"/>
      <c r="AE939"/>
      <c r="AF939" s="100"/>
      <c r="AG939" s="263"/>
      <c r="AH939"/>
      <c r="AI939" s="100"/>
      <c r="AJ939" s="263"/>
      <c r="AK939"/>
      <c r="AL939" s="100"/>
      <c r="AM939" s="263"/>
      <c r="AN939"/>
      <c r="AO939" s="100"/>
      <c r="AP939" s="100"/>
      <c r="AQ939" s="100"/>
      <c r="AR939" s="100"/>
      <c r="AS939" s="100"/>
      <c r="AT939" s="100"/>
      <c r="AU939" s="100"/>
      <c r="AV939" s="100">
        <v>919</v>
      </c>
      <c r="AW939" s="100"/>
      <c r="AY939" s="134"/>
    </row>
    <row r="940" spans="1:51" s="2" customFormat="1" ht="12.75" customHeight="1" x14ac:dyDescent="0.25">
      <c r="A940" s="202" t="s">
        <v>2469</v>
      </c>
      <c r="B940" s="203"/>
      <c r="C940" s="203"/>
      <c r="D940" s="204"/>
      <c r="E940" s="205"/>
      <c r="F940" s="162"/>
      <c r="G940" s="162"/>
      <c r="H940" s="132"/>
      <c r="I940" s="132"/>
      <c r="J940" s="132"/>
      <c r="K940" s="132"/>
      <c r="L940" s="134"/>
      <c r="M940" s="132"/>
      <c r="N940" s="132"/>
      <c r="O940" s="132"/>
      <c r="P940" s="132"/>
      <c r="Q940" s="147"/>
      <c r="R940" s="327"/>
      <c r="S940" s="360"/>
      <c r="T940" s="307"/>
      <c r="U940" s="135"/>
      <c r="V940" s="100"/>
      <c r="W940"/>
      <c r="X940"/>
      <c r="Y940"/>
      <c r="Z940"/>
      <c r="AA940"/>
      <c r="AB940"/>
      <c r="AC940"/>
      <c r="AD940" s="263"/>
      <c r="AE940"/>
      <c r="AF940" s="100"/>
      <c r="AG940" s="263"/>
      <c r="AH940"/>
      <c r="AI940" s="100"/>
      <c r="AJ940" s="263"/>
      <c r="AK940"/>
      <c r="AL940" s="100"/>
      <c r="AM940" s="263"/>
      <c r="AN940"/>
      <c r="AO940" s="100"/>
      <c r="AP940" s="100"/>
      <c r="AQ940" s="100"/>
      <c r="AR940" s="100"/>
      <c r="AS940" s="100"/>
      <c r="AT940" s="100"/>
      <c r="AU940" s="100"/>
      <c r="AV940" s="100">
        <v>912</v>
      </c>
      <c r="AW940" s="100"/>
      <c r="AY940" s="134"/>
    </row>
    <row r="941" spans="1:51" s="162" customFormat="1" ht="12.75" customHeight="1" x14ac:dyDescent="0.2">
      <c r="A941" s="6" t="s">
        <v>2459</v>
      </c>
      <c r="B941" s="153">
        <v>9789500217408</v>
      </c>
      <c r="C941" s="8">
        <v>751240</v>
      </c>
      <c r="D941" s="41">
        <v>12</v>
      </c>
      <c r="E941" s="6" t="s">
        <v>2460</v>
      </c>
      <c r="F941" s="6" t="s">
        <v>2461</v>
      </c>
      <c r="G941" s="107">
        <v>46296</v>
      </c>
      <c r="H941" s="108">
        <v>46266</v>
      </c>
      <c r="I941" s="267">
        <v>4000</v>
      </c>
      <c r="J941" s="6" t="s">
        <v>2160</v>
      </c>
      <c r="K941" s="148">
        <v>3649.52</v>
      </c>
      <c r="L941" s="352">
        <v>26500</v>
      </c>
      <c r="M941" s="9"/>
      <c r="N941" s="9">
        <f>+L941/2</f>
        <v>13250</v>
      </c>
      <c r="O941" s="9">
        <f>+N941-M941-K941</f>
        <v>9600.48</v>
      </c>
      <c r="P941" s="9">
        <f>+M941+K941</f>
        <v>3649.52</v>
      </c>
      <c r="Q941" s="139">
        <f>+O941/N941</f>
        <v>0.72456452830188678</v>
      </c>
      <c r="R941" s="365">
        <v>26500</v>
      </c>
      <c r="S941" s="359" t="s">
        <v>2140</v>
      </c>
      <c r="T941" s="305">
        <v>0.58156648044692738</v>
      </c>
      <c r="U941" s="144"/>
      <c r="V941" s="100"/>
      <c r="W941" s="110">
        <f>+L941</f>
        <v>26500</v>
      </c>
      <c r="X941" s="110">
        <f>+K941</f>
        <v>3649.52</v>
      </c>
      <c r="Y941" s="110">
        <f>+M941</f>
        <v>0</v>
      </c>
      <c r="Z941" s="110">
        <f>+W941/2-X941-Y941</f>
        <v>9600.48</v>
      </c>
      <c r="AA941" s="260">
        <f>+Z941/(W941/2)</f>
        <v>0.72456452830188678</v>
      </c>
      <c r="AB941" s="28">
        <f>ROUND($W941/2/$X$1,1)</f>
        <v>8.6999999999999993</v>
      </c>
      <c r="AC941" s="261">
        <f>+(AB941*$X$1-$X941-$Y941)/(AB941*$X$1)</f>
        <v>0.72338604848581312</v>
      </c>
      <c r="AD941" s="111">
        <f>+IFERROR(ROUND(($X941+$Y941)/(1-$X$2)/$X$1,1),0)</f>
        <v>2.5</v>
      </c>
      <c r="AE941" s="262">
        <f>+(AD941*$X$1-$X941-$Y941)/(AD941*$X$1)</f>
        <v>3.7383448730629744E-2</v>
      </c>
      <c r="AF941" s="100"/>
      <c r="AG941" s="111">
        <f>+IFERROR(ROUND(($X941+$Y941)/(1-$AG$2)/$X$1,1),0)</f>
        <v>4</v>
      </c>
      <c r="AH941" s="262">
        <f>+(AG941*$X$1-$X941-$Y941)/(AG941*$X$1)</f>
        <v>0.39836465545664357</v>
      </c>
      <c r="AI941" s="100"/>
      <c r="AJ941" s="111">
        <f>+IFERROR(ROUND(($X941+$Y941)/(1-$AJ$2)/$X$1,1),0)</f>
        <v>3.7</v>
      </c>
      <c r="AK941" s="262">
        <f>+(AJ941*$X$1-$X941-$Y941)/(AJ941*$X$1)</f>
        <v>0.34958341130447956</v>
      </c>
      <c r="AL941" s="100"/>
      <c r="AM941" s="111">
        <f>+IFERROR(ROUND(($X941+$Y941)/(1-$AM$2)/$X$1,1),0)</f>
        <v>3.4</v>
      </c>
      <c r="AN941" s="262">
        <f>+(AM941*$X$1-$X941-$Y941)/(AM941*$X$1)</f>
        <v>0.29219371230193358</v>
      </c>
      <c r="AO941" s="100"/>
      <c r="AP941" s="24" t="e">
        <f>VLOOKUP(C941,#REF!,6,FALSE)</f>
        <v>#REF!</v>
      </c>
      <c r="AQ941" s="24" t="e">
        <f>VLOOKUP(C941,#REF!,7,FALSE)</f>
        <v>#REF!</v>
      </c>
      <c r="AR941" s="24" t="e">
        <f>VLOOKUP(C941,#REF!,12,FALSE)</f>
        <v>#REF!</v>
      </c>
      <c r="AS941" s="24" t="e">
        <f>VLOOKUP(C941,#REF!,13,FALSE)</f>
        <v>#REF!</v>
      </c>
      <c r="AT941" s="100"/>
      <c r="AU941" s="100"/>
      <c r="AV941" s="100">
        <v>913</v>
      </c>
      <c r="AW941" s="100"/>
      <c r="AY941" s="9">
        <v>17900</v>
      </c>
    </row>
    <row r="942" spans="1:51" s="2" customFormat="1" ht="12.75" customHeight="1" x14ac:dyDescent="0.2">
      <c r="A942" s="6" t="s">
        <v>2462</v>
      </c>
      <c r="B942" s="153">
        <v>9789500217415</v>
      </c>
      <c r="C942" s="8">
        <v>751241</v>
      </c>
      <c r="D942" s="41">
        <v>12</v>
      </c>
      <c r="E942" s="6" t="s">
        <v>2463</v>
      </c>
      <c r="F942" s="7" t="s">
        <v>2464</v>
      </c>
      <c r="G942" s="107">
        <v>46296</v>
      </c>
      <c r="H942" s="108">
        <v>46266</v>
      </c>
      <c r="I942" s="267">
        <v>4000</v>
      </c>
      <c r="J942" s="6" t="s">
        <v>2160</v>
      </c>
      <c r="K942" s="148">
        <v>3649.52</v>
      </c>
      <c r="L942" s="352">
        <v>26500</v>
      </c>
      <c r="M942" s="9"/>
      <c r="N942" s="9">
        <f>+L942/2</f>
        <v>13250</v>
      </c>
      <c r="O942" s="9">
        <f>+N942-M942-K942</f>
        <v>9600.48</v>
      </c>
      <c r="P942" s="9">
        <f>+M942+K942</f>
        <v>3649.52</v>
      </c>
      <c r="Q942" s="139">
        <f>+O942/N942</f>
        <v>0.72456452830188678</v>
      </c>
      <c r="R942" s="365">
        <v>26500</v>
      </c>
      <c r="S942" s="359" t="s">
        <v>2140</v>
      </c>
      <c r="T942" s="305">
        <v>0.58156648044692738</v>
      </c>
      <c r="U942" s="144"/>
      <c r="V942" s="100"/>
      <c r="W942" s="110">
        <f>+L942</f>
        <v>26500</v>
      </c>
      <c r="X942" s="110">
        <f>+K942</f>
        <v>3649.52</v>
      </c>
      <c r="Y942" s="110">
        <f>+M942</f>
        <v>0</v>
      </c>
      <c r="Z942" s="110">
        <f>+W942/2-X942-Y942</f>
        <v>9600.48</v>
      </c>
      <c r="AA942" s="260">
        <f>+Z942/(W942/2)</f>
        <v>0.72456452830188678</v>
      </c>
      <c r="AB942" s="28">
        <f>ROUND($W942/2/$X$1,1)</f>
        <v>8.6999999999999993</v>
      </c>
      <c r="AC942" s="261">
        <f>+(AB942*$X$1-$X942-$Y942)/(AB942*$X$1)</f>
        <v>0.72338604848581312</v>
      </c>
      <c r="AD942" s="111">
        <f>+IFERROR(ROUND(($X942+$Y942)/(1-$X$2)/$X$1,1),0)</f>
        <v>2.5</v>
      </c>
      <c r="AE942" s="262">
        <f>+(AD942*$X$1-$X942-$Y942)/(AD942*$X$1)</f>
        <v>3.7383448730629744E-2</v>
      </c>
      <c r="AF942" s="100"/>
      <c r="AG942" s="111">
        <f>+IFERROR(ROUND(($X942+$Y942)/(1-$AG$2)/$X$1,1),0)</f>
        <v>4</v>
      </c>
      <c r="AH942" s="262">
        <f>+(AG942*$X$1-$X942-$Y942)/(AG942*$X$1)</f>
        <v>0.39836465545664357</v>
      </c>
      <c r="AI942" s="100"/>
      <c r="AJ942" s="111">
        <f>+IFERROR(ROUND(($X942+$Y942)/(1-$AJ$2)/$X$1,1),0)</f>
        <v>3.7</v>
      </c>
      <c r="AK942" s="262">
        <f>+(AJ942*$X$1-$X942-$Y942)/(AJ942*$X$1)</f>
        <v>0.34958341130447956</v>
      </c>
      <c r="AL942" s="100"/>
      <c r="AM942" s="111">
        <f>+IFERROR(ROUND(($X942+$Y942)/(1-$AM$2)/$X$1,1),0)</f>
        <v>3.4</v>
      </c>
      <c r="AN942" s="262">
        <f>+(AM942*$X$1-$X942-$Y942)/(AM942*$X$1)</f>
        <v>0.29219371230193358</v>
      </c>
      <c r="AO942" s="100"/>
      <c r="AP942" s="24" t="e">
        <f>VLOOKUP(C942,#REF!,6,FALSE)</f>
        <v>#REF!</v>
      </c>
      <c r="AQ942" s="24" t="e">
        <f>VLOOKUP(C942,#REF!,7,FALSE)</f>
        <v>#REF!</v>
      </c>
      <c r="AR942" s="24" t="e">
        <f>VLOOKUP(C942,#REF!,12,FALSE)</f>
        <v>#REF!</v>
      </c>
      <c r="AS942" s="24" t="e">
        <f>VLOOKUP(C942,#REF!,13,FALSE)</f>
        <v>#REF!</v>
      </c>
      <c r="AT942" s="100"/>
      <c r="AU942" s="100"/>
      <c r="AV942" s="100">
        <v>914</v>
      </c>
      <c r="AW942" s="100"/>
      <c r="AY942" s="9">
        <v>17900</v>
      </c>
    </row>
    <row r="943" spans="1:51" s="2" customFormat="1" ht="12.75" customHeight="1" x14ac:dyDescent="0.25">
      <c r="A943" s="1"/>
      <c r="B943" s="3"/>
      <c r="C943" s="3"/>
      <c r="E943" s="274"/>
      <c r="F943" s="275"/>
      <c r="H943" s="132"/>
      <c r="I943" s="132"/>
      <c r="J943" s="132"/>
      <c r="K943" s="132"/>
      <c r="L943" s="134"/>
      <c r="M943" s="132"/>
      <c r="N943" s="132"/>
      <c r="O943" s="132"/>
      <c r="P943" s="132"/>
      <c r="Q943" s="147"/>
      <c r="R943" s="327"/>
      <c r="S943" s="360"/>
      <c r="T943" s="307"/>
      <c r="U943" s="135"/>
      <c r="V943" s="100"/>
      <c r="W943"/>
      <c r="X943"/>
      <c r="Y943"/>
      <c r="Z943"/>
      <c r="AA943"/>
      <c r="AB943"/>
      <c r="AC943"/>
      <c r="AD943" s="263"/>
      <c r="AE943"/>
      <c r="AF943" s="100"/>
      <c r="AG943" s="263"/>
      <c r="AH943"/>
      <c r="AI943" s="100"/>
      <c r="AJ943" s="263"/>
      <c r="AK943"/>
      <c r="AL943" s="100"/>
      <c r="AM943" s="263"/>
      <c r="AN943"/>
      <c r="AO943" s="100"/>
      <c r="AP943" s="100"/>
      <c r="AQ943" s="100"/>
      <c r="AR943" s="100"/>
      <c r="AS943" s="100"/>
      <c r="AT943" s="100"/>
      <c r="AU943" s="100"/>
      <c r="AV943" s="100">
        <v>915</v>
      </c>
      <c r="AW943" s="100"/>
      <c r="AY943" s="134"/>
    </row>
    <row r="944" spans="1:51" s="2" customFormat="1" ht="12.75" customHeight="1" x14ac:dyDescent="0.25">
      <c r="A944" s="202" t="s">
        <v>1947</v>
      </c>
      <c r="B944" s="203"/>
      <c r="C944" s="203"/>
      <c r="D944" s="204"/>
      <c r="E944" s="205"/>
      <c r="F944" s="162"/>
      <c r="G944" s="162"/>
      <c r="H944" s="132"/>
      <c r="I944" s="132"/>
      <c r="J944" s="132"/>
      <c r="K944" s="132"/>
      <c r="L944" s="134"/>
      <c r="M944" s="132"/>
      <c r="N944" s="132"/>
      <c r="O944" s="132"/>
      <c r="P944" s="132"/>
      <c r="Q944" s="147"/>
      <c r="R944" s="327"/>
      <c r="S944" s="360"/>
      <c r="T944" s="307"/>
      <c r="U944" s="135"/>
      <c r="V944" s="100"/>
      <c r="W944"/>
      <c r="X944"/>
      <c r="Y944"/>
      <c r="Z944"/>
      <c r="AA944"/>
      <c r="AB944"/>
      <c r="AC944"/>
      <c r="AD944" s="263"/>
      <c r="AE944"/>
      <c r="AF944" s="100"/>
      <c r="AG944" s="263"/>
      <c r="AH944"/>
      <c r="AI944" s="100"/>
      <c r="AJ944" s="263"/>
      <c r="AK944"/>
      <c r="AL944" s="100"/>
      <c r="AM944" s="263"/>
      <c r="AN944"/>
      <c r="AO944" s="100"/>
      <c r="AP944" s="100"/>
      <c r="AQ944" s="100"/>
      <c r="AR944" s="100"/>
      <c r="AS944" s="100"/>
      <c r="AT944" s="100"/>
      <c r="AU944" s="100"/>
      <c r="AV944" s="100">
        <v>920</v>
      </c>
      <c r="AW944" s="100"/>
      <c r="AY944" s="134"/>
    </row>
    <row r="945" spans="1:51" s="162" customFormat="1" ht="12.75" customHeight="1" x14ac:dyDescent="0.2">
      <c r="A945" s="7" t="s">
        <v>1940</v>
      </c>
      <c r="B945" s="279">
        <v>9789500215299</v>
      </c>
      <c r="C945" s="8">
        <v>722620</v>
      </c>
      <c r="D945" s="25">
        <v>12</v>
      </c>
      <c r="E945" s="278" t="s">
        <v>328</v>
      </c>
      <c r="F945" s="278" t="s">
        <v>1941</v>
      </c>
      <c r="G945" s="107">
        <v>45597</v>
      </c>
      <c r="H945" s="108">
        <v>45566</v>
      </c>
      <c r="I945" s="264">
        <v>3000</v>
      </c>
      <c r="J945" s="28" t="s">
        <v>2136</v>
      </c>
      <c r="K945" s="289">
        <v>3502.5</v>
      </c>
      <c r="L945" s="9">
        <v>19900</v>
      </c>
      <c r="M945" s="9"/>
      <c r="N945" s="9">
        <f>+L945/2</f>
        <v>9950</v>
      </c>
      <c r="O945" s="9">
        <f>+N945-M945-K945</f>
        <v>6447.5</v>
      </c>
      <c r="P945" s="9">
        <f>+M945+K945</f>
        <v>3502.5</v>
      </c>
      <c r="Q945" s="139">
        <f>+O945/N945</f>
        <v>0.64798994974874369</v>
      </c>
      <c r="R945" s="387">
        <v>19900</v>
      </c>
      <c r="S945" s="359" t="s">
        <v>1948</v>
      </c>
      <c r="T945" s="305">
        <v>0.64798994974874369</v>
      </c>
      <c r="U945" s="144"/>
      <c r="V945" s="100"/>
      <c r="W945" s="110">
        <f>+L945</f>
        <v>19900</v>
      </c>
      <c r="X945" s="110">
        <f>+K945</f>
        <v>3502.5</v>
      </c>
      <c r="Y945" s="110">
        <f>+M945</f>
        <v>0</v>
      </c>
      <c r="Z945" s="110">
        <f>+W945/2-X945-Y945</f>
        <v>6447.5</v>
      </c>
      <c r="AA945" s="260">
        <f>+Z945/(W945/2)</f>
        <v>0.64798994974874369</v>
      </c>
      <c r="AB945" s="28">
        <f>ROUND($W945/2/$X$1,1)</f>
        <v>6.6</v>
      </c>
      <c r="AC945" s="261">
        <f>+(AB945*$X$1-$X945-$Y945)/(AB945*$X$1)</f>
        <v>0.65006144531367083</v>
      </c>
      <c r="AD945" s="111">
        <f>+IFERROR(ROUND(($X945+$Y945)/(1-$X$2)/$X$1,1),0)</f>
        <v>2.4</v>
      </c>
      <c r="AE945" s="262">
        <f>+(AD945*$X$1-$X945-$Y945)/(AD945*$X$1)</f>
        <v>3.7668974612594767E-2</v>
      </c>
      <c r="AF945" s="100"/>
      <c r="AG945" s="111">
        <f>+IFERROR(ROUND(($X945+$Y945)/(1-$AG$2)/$X$1,1),0)</f>
        <v>3.8</v>
      </c>
      <c r="AH945" s="262">
        <f>+(AG945*$X$1-$X945-$Y945)/(AG945*$X$1)</f>
        <v>0.39221198396584933</v>
      </c>
      <c r="AI945" s="100"/>
      <c r="AJ945" s="111">
        <f>+IFERROR(ROUND(($X945+$Y945)/(1-$AJ$2)/$X$1,1),0)</f>
        <v>3.6</v>
      </c>
      <c r="AK945" s="262">
        <f>+(AJ945*$X$1-$X945-$Y945)/(AJ945*$X$1)</f>
        <v>0.35844598307506326</v>
      </c>
      <c r="AL945" s="100"/>
      <c r="AM945" s="111">
        <f>+IFERROR(ROUND(($X945+$Y945)/(1-$AM$2)/$X$1,1),0)</f>
        <v>3.3</v>
      </c>
      <c r="AN945" s="262">
        <f>+(AM945*$X$1-$X945-$Y945)/(AM945*$X$1)</f>
        <v>0.30012289062734165</v>
      </c>
      <c r="AO945" s="100"/>
      <c r="AP945" s="24" t="e">
        <f>VLOOKUP(C945,#REF!,6,FALSE)</f>
        <v>#REF!</v>
      </c>
      <c r="AQ945" s="24" t="e">
        <f>VLOOKUP(C945,#REF!,7,FALSE)</f>
        <v>#REF!</v>
      </c>
      <c r="AR945" s="24" t="e">
        <f>VLOOKUP(C945,#REF!,12,FALSE)</f>
        <v>#REF!</v>
      </c>
      <c r="AS945" s="24" t="e">
        <f>VLOOKUP(C945,#REF!,13,FALSE)</f>
        <v>#REF!</v>
      </c>
      <c r="AT945" s="100"/>
      <c r="AU945" s="100"/>
      <c r="AV945" s="100">
        <v>921</v>
      </c>
      <c r="AW945" s="100"/>
      <c r="AY945" s="9">
        <v>19900</v>
      </c>
    </row>
    <row r="946" spans="1:51" s="2" customFormat="1" ht="12.75" customHeight="1" x14ac:dyDescent="0.2">
      <c r="A946" s="7" t="s">
        <v>1942</v>
      </c>
      <c r="B946" s="277">
        <v>9789500215305</v>
      </c>
      <c r="C946" s="8">
        <v>722621</v>
      </c>
      <c r="D946" s="41">
        <v>12</v>
      </c>
      <c r="E946" s="7" t="s">
        <v>328</v>
      </c>
      <c r="F946" s="278" t="s">
        <v>1943</v>
      </c>
      <c r="G946" s="107">
        <v>45597</v>
      </c>
      <c r="H946" s="108">
        <v>45566</v>
      </c>
      <c r="I946" s="264">
        <v>3000</v>
      </c>
      <c r="J946" s="28" t="s">
        <v>2136</v>
      </c>
      <c r="K946" s="289">
        <v>3502.5</v>
      </c>
      <c r="L946" s="9">
        <v>19900</v>
      </c>
      <c r="M946" s="9"/>
      <c r="N946" s="9">
        <f>+L946/2</f>
        <v>9950</v>
      </c>
      <c r="O946" s="9">
        <f>+N946-M946-K946</f>
        <v>6447.5</v>
      </c>
      <c r="P946" s="9">
        <f>+M946+K946</f>
        <v>3502.5</v>
      </c>
      <c r="Q946" s="139">
        <f>+O946/N946</f>
        <v>0.64798994974874369</v>
      </c>
      <c r="R946" s="387">
        <v>19900</v>
      </c>
      <c r="S946" s="359" t="s">
        <v>1948</v>
      </c>
      <c r="T946" s="305">
        <v>0.64798994974874369</v>
      </c>
      <c r="U946" s="144"/>
      <c r="V946" s="100"/>
      <c r="W946" s="110">
        <f>+L946</f>
        <v>19900</v>
      </c>
      <c r="X946" s="110">
        <f>+K946</f>
        <v>3502.5</v>
      </c>
      <c r="Y946" s="110">
        <f>+M946</f>
        <v>0</v>
      </c>
      <c r="Z946" s="110">
        <f>+W946/2-X946-Y946</f>
        <v>6447.5</v>
      </c>
      <c r="AA946" s="260">
        <f>+Z946/(W946/2)</f>
        <v>0.64798994974874369</v>
      </c>
      <c r="AB946" s="28">
        <f>ROUND($W946/2/$X$1,1)</f>
        <v>6.6</v>
      </c>
      <c r="AC946" s="261">
        <f>+(AB946*$X$1-$X946-$Y946)/(AB946*$X$1)</f>
        <v>0.65006144531367083</v>
      </c>
      <c r="AD946" s="111">
        <f>+IFERROR(ROUND(($X946+$Y946)/(1-$X$2)/$X$1,1),0)</f>
        <v>2.4</v>
      </c>
      <c r="AE946" s="262">
        <f>+(AD946*$X$1-$X946-$Y946)/(AD946*$X$1)</f>
        <v>3.7668974612594767E-2</v>
      </c>
      <c r="AF946" s="100"/>
      <c r="AG946" s="111">
        <f>+IFERROR(ROUND(($X946+$Y946)/(1-$AG$2)/$X$1,1),0)</f>
        <v>3.8</v>
      </c>
      <c r="AH946" s="262">
        <f>+(AG946*$X$1-$X946-$Y946)/(AG946*$X$1)</f>
        <v>0.39221198396584933</v>
      </c>
      <c r="AI946" s="100"/>
      <c r="AJ946" s="111">
        <f>+IFERROR(ROUND(($X946+$Y946)/(1-$AJ$2)/$X$1,1),0)</f>
        <v>3.6</v>
      </c>
      <c r="AK946" s="262">
        <f>+(AJ946*$X$1-$X946-$Y946)/(AJ946*$X$1)</f>
        <v>0.35844598307506326</v>
      </c>
      <c r="AL946" s="100"/>
      <c r="AM946" s="111">
        <f>+IFERROR(ROUND(($X946+$Y946)/(1-$AM$2)/$X$1,1),0)</f>
        <v>3.3</v>
      </c>
      <c r="AN946" s="262">
        <f>+(AM946*$X$1-$X946-$Y946)/(AM946*$X$1)</f>
        <v>0.30012289062734165</v>
      </c>
      <c r="AO946" s="100"/>
      <c r="AP946" s="24" t="e">
        <f>VLOOKUP(C946,#REF!,6,FALSE)</f>
        <v>#REF!</v>
      </c>
      <c r="AQ946" s="24" t="e">
        <f>VLOOKUP(C946,#REF!,7,FALSE)</f>
        <v>#REF!</v>
      </c>
      <c r="AR946" s="24" t="e">
        <f>VLOOKUP(C946,#REF!,12,FALSE)</f>
        <v>#REF!</v>
      </c>
      <c r="AS946" s="24" t="e">
        <f>VLOOKUP(C946,#REF!,13,FALSE)</f>
        <v>#REF!</v>
      </c>
      <c r="AT946" s="100"/>
      <c r="AU946" s="100"/>
      <c r="AV946" s="100">
        <v>922</v>
      </c>
      <c r="AW946" s="100"/>
      <c r="AY946" s="9">
        <v>19900</v>
      </c>
    </row>
    <row r="947" spans="1:51" s="2" customFormat="1" ht="12.75" customHeight="1" x14ac:dyDescent="0.25">
      <c r="A947" s="1"/>
      <c r="B947" s="3"/>
      <c r="C947" s="3"/>
      <c r="E947" s="274"/>
      <c r="F947" s="275"/>
      <c r="H947" s="132"/>
      <c r="I947" s="132"/>
      <c r="J947" s="132"/>
      <c r="K947" s="132"/>
      <c r="L947" s="134"/>
      <c r="M947" s="132"/>
      <c r="N947" s="132"/>
      <c r="O947" s="132"/>
      <c r="P947" s="132"/>
      <c r="Q947" s="147"/>
      <c r="R947" s="327"/>
      <c r="S947" s="360"/>
      <c r="T947" s="307"/>
      <c r="U947" s="135"/>
      <c r="V947" s="100"/>
      <c r="W947"/>
      <c r="X947"/>
      <c r="Y947"/>
      <c r="Z947"/>
      <c r="AA947"/>
      <c r="AB947"/>
      <c r="AC947"/>
      <c r="AD947" s="263"/>
      <c r="AE947"/>
      <c r="AF947" s="100"/>
      <c r="AG947" s="263"/>
      <c r="AH947"/>
      <c r="AI947" s="100"/>
      <c r="AJ947" s="263"/>
      <c r="AK947"/>
      <c r="AL947" s="100"/>
      <c r="AM947" s="263"/>
      <c r="AN947"/>
      <c r="AO947" s="100"/>
      <c r="AP947" s="100"/>
      <c r="AQ947" s="100"/>
      <c r="AR947" s="100"/>
      <c r="AS947" s="100"/>
      <c r="AT947" s="100"/>
      <c r="AU947" s="100"/>
      <c r="AV947" s="100">
        <v>923</v>
      </c>
      <c r="AW947" s="100"/>
      <c r="AY947" s="134"/>
    </row>
    <row r="948" spans="1:51" s="2" customFormat="1" ht="12.75" customHeight="1" x14ac:dyDescent="0.25">
      <c r="A948" s="202" t="s">
        <v>1662</v>
      </c>
      <c r="B948" s="203"/>
      <c r="C948" s="203"/>
      <c r="D948" s="204"/>
      <c r="E948" s="205"/>
      <c r="F948" s="162"/>
      <c r="G948" s="162"/>
      <c r="H948" s="132"/>
      <c r="I948" s="132"/>
      <c r="J948" s="132"/>
      <c r="K948" s="132"/>
      <c r="L948" s="134"/>
      <c r="M948" s="132"/>
      <c r="N948" s="132"/>
      <c r="O948" s="132"/>
      <c r="P948" s="132"/>
      <c r="Q948" s="147"/>
      <c r="R948" s="327"/>
      <c r="S948" s="360"/>
      <c r="T948" s="307"/>
      <c r="U948" s="135"/>
      <c r="V948" s="100"/>
      <c r="W948"/>
      <c r="X948"/>
      <c r="Y948"/>
      <c r="Z948"/>
      <c r="AA948"/>
      <c r="AB948"/>
      <c r="AC948"/>
      <c r="AD948" s="263"/>
      <c r="AE948"/>
      <c r="AF948" s="100"/>
      <c r="AG948" s="263"/>
      <c r="AH948"/>
      <c r="AI948" s="100"/>
      <c r="AJ948" s="263"/>
      <c r="AK948"/>
      <c r="AL948" s="100"/>
      <c r="AM948" s="263"/>
      <c r="AN948"/>
      <c r="AO948" s="100"/>
      <c r="AP948" s="100"/>
      <c r="AQ948" s="100"/>
      <c r="AR948" s="100"/>
      <c r="AS948" s="100"/>
      <c r="AT948" s="100"/>
      <c r="AU948" s="100"/>
      <c r="AV948" s="100">
        <v>924</v>
      </c>
      <c r="AW948" s="100"/>
      <c r="AY948" s="134"/>
    </row>
    <row r="949" spans="1:51" s="162" customFormat="1" ht="12.75" customHeight="1" x14ac:dyDescent="0.2">
      <c r="A949" s="7" t="s">
        <v>1663</v>
      </c>
      <c r="B949" s="8">
        <v>9789500209830</v>
      </c>
      <c r="C949" s="6">
        <v>660727</v>
      </c>
      <c r="D949" s="7">
        <v>8</v>
      </c>
      <c r="E949" s="22" t="s">
        <v>436</v>
      </c>
      <c r="F949" s="15" t="s">
        <v>437</v>
      </c>
      <c r="G949" s="107">
        <v>43556</v>
      </c>
      <c r="H949" s="108">
        <v>43525</v>
      </c>
      <c r="I949" s="7">
        <v>3104</v>
      </c>
      <c r="J949" s="28" t="s">
        <v>1946</v>
      </c>
      <c r="K949" s="9">
        <v>113.36</v>
      </c>
      <c r="L949" s="28">
        <v>12200</v>
      </c>
      <c r="M949" s="112"/>
      <c r="N949" s="9">
        <f>+L949/2</f>
        <v>6100</v>
      </c>
      <c r="O949" s="9">
        <f>+N949-M949-K949</f>
        <v>5986.64</v>
      </c>
      <c r="P949" s="9">
        <f>+M949+K949</f>
        <v>113.36</v>
      </c>
      <c r="Q949" s="139">
        <f>+O949/N949</f>
        <v>0.98141639344262299</v>
      </c>
      <c r="R949" s="387">
        <v>12200</v>
      </c>
      <c r="S949" s="359" t="s">
        <v>1948</v>
      </c>
      <c r="T949" s="305">
        <v>0.98141639344262299</v>
      </c>
      <c r="U949" s="144"/>
      <c r="V949" s="100"/>
      <c r="W949" s="110">
        <f>+L949</f>
        <v>12200</v>
      </c>
      <c r="X949" s="110">
        <f>+K949</f>
        <v>113.36</v>
      </c>
      <c r="Y949" s="110">
        <f>+M949</f>
        <v>0</v>
      </c>
      <c r="Z949" s="110">
        <f>+W949/2-X949-Y949</f>
        <v>5986.64</v>
      </c>
      <c r="AA949" s="260">
        <f>+Z949/(W949/2)</f>
        <v>0.98141639344262299</v>
      </c>
      <c r="AB949" s="28">
        <f>ROUND($W949/2/$X$1,1)</f>
        <v>4</v>
      </c>
      <c r="AC949" s="261">
        <f>+(AB949*$X$1-$X949-$Y949)/(AB949*$X$1)</f>
        <v>0.98131223211341911</v>
      </c>
      <c r="AD949" s="111">
        <f>+IFERROR(ROUND(($X949+$Y949)/(1-$X$2)/$X$1,1),0)</f>
        <v>0.1</v>
      </c>
      <c r="AE949" s="262">
        <f>+(AD949*$X$1-$X949-$Y949)/(AD949*$X$1)</f>
        <v>0.25248928453676234</v>
      </c>
      <c r="AF949" s="100"/>
      <c r="AG949" s="111">
        <f>+IFERROR(ROUND(($X949+$Y949)/(1-$AG$2)/$X$1,1),0)</f>
        <v>0.1</v>
      </c>
      <c r="AH949" s="262">
        <f>+(AG949*$X$1-$X949-$Y949)/(AG949*$X$1)</f>
        <v>0.25248928453676234</v>
      </c>
      <c r="AI949" s="100"/>
      <c r="AJ949" s="111">
        <f>+IFERROR(ROUND(($X949+$Y949)/(1-$AJ$2)/$X$1,1),0)</f>
        <v>0.1</v>
      </c>
      <c r="AK949" s="262">
        <f>+(AJ949*$X$1-$X949-$Y949)/(AJ949*$X$1)</f>
        <v>0.25248928453676234</v>
      </c>
      <c r="AL949" s="100"/>
      <c r="AM949" s="111">
        <f>+IFERROR(ROUND(($X949+$Y949)/(1-$AM$2)/$X$1,1),0)</f>
        <v>0.1</v>
      </c>
      <c r="AN949" s="262">
        <f>+(AM949*$X$1-$X949-$Y949)/(AM949*$X$1)</f>
        <v>0.25248928453676234</v>
      </c>
      <c r="AO949" s="100"/>
      <c r="AP949" s="24" t="e">
        <f>VLOOKUP(C949,#REF!,6,FALSE)</f>
        <v>#REF!</v>
      </c>
      <c r="AQ949" s="24" t="e">
        <f>VLOOKUP(C949,#REF!,7,FALSE)</f>
        <v>#REF!</v>
      </c>
      <c r="AR949" s="24" t="e">
        <f>VLOOKUP(C949,#REF!,12,FALSE)</f>
        <v>#REF!</v>
      </c>
      <c r="AS949" s="24" t="e">
        <f>VLOOKUP(C949,#REF!,13,FALSE)</f>
        <v>#REF!</v>
      </c>
      <c r="AT949" s="100"/>
      <c r="AU949" s="100"/>
      <c r="AV949" s="100">
        <v>925</v>
      </c>
      <c r="AW949" s="100"/>
      <c r="AY949" s="28">
        <v>12200</v>
      </c>
    </row>
    <row r="950" spans="1:51" s="2" customFormat="1" ht="12.75" customHeight="1" x14ac:dyDescent="0.2">
      <c r="A950" s="7" t="s">
        <v>1664</v>
      </c>
      <c r="B950" s="8">
        <v>9789500209847</v>
      </c>
      <c r="C950" s="6">
        <v>660728</v>
      </c>
      <c r="D950" s="7">
        <v>8</v>
      </c>
      <c r="E950" s="22" t="s">
        <v>436</v>
      </c>
      <c r="F950" s="15" t="s">
        <v>438</v>
      </c>
      <c r="G950" s="107">
        <v>43556</v>
      </c>
      <c r="H950" s="108">
        <v>43525</v>
      </c>
      <c r="I950" s="7">
        <v>3104</v>
      </c>
      <c r="J950" s="28" t="s">
        <v>1946</v>
      </c>
      <c r="K950" s="9">
        <v>113.36</v>
      </c>
      <c r="L950" s="28">
        <v>12200</v>
      </c>
      <c r="M950" s="112"/>
      <c r="N950" s="9">
        <f>+L950/2</f>
        <v>6100</v>
      </c>
      <c r="O950" s="9">
        <f>+N950-M950-K950</f>
        <v>5986.64</v>
      </c>
      <c r="P950" s="9">
        <f>+M950+K950</f>
        <v>113.36</v>
      </c>
      <c r="Q950" s="139">
        <f>+O950/N950</f>
        <v>0.98141639344262299</v>
      </c>
      <c r="R950" s="387">
        <v>12200</v>
      </c>
      <c r="S950" s="359" t="s">
        <v>1948</v>
      </c>
      <c r="T950" s="305">
        <v>0.98141639344262299</v>
      </c>
      <c r="U950" s="144"/>
      <c r="V950" s="100"/>
      <c r="W950" s="110">
        <f>+L950</f>
        <v>12200</v>
      </c>
      <c r="X950" s="110">
        <f>+K950</f>
        <v>113.36</v>
      </c>
      <c r="Y950" s="110">
        <f>+M950</f>
        <v>0</v>
      </c>
      <c r="Z950" s="110">
        <f>+W950/2-X950-Y950</f>
        <v>5986.64</v>
      </c>
      <c r="AA950" s="260">
        <f>+Z950/(W950/2)</f>
        <v>0.98141639344262299</v>
      </c>
      <c r="AB950" s="28">
        <f>ROUND($W950/2/$X$1,1)</f>
        <v>4</v>
      </c>
      <c r="AC950" s="261">
        <f>+(AB950*$X$1-$X950-$Y950)/(AB950*$X$1)</f>
        <v>0.98131223211341911</v>
      </c>
      <c r="AD950" s="111">
        <f>+IFERROR(ROUND(($X950+$Y950)/(1-$X$2)/$X$1,1),0)</f>
        <v>0.1</v>
      </c>
      <c r="AE950" s="262">
        <f>+(AD950*$X$1-$X950-$Y950)/(AD950*$X$1)</f>
        <v>0.25248928453676234</v>
      </c>
      <c r="AF950" s="100"/>
      <c r="AG950" s="111">
        <f>+IFERROR(ROUND(($X950+$Y950)/(1-$AG$2)/$X$1,1),0)</f>
        <v>0.1</v>
      </c>
      <c r="AH950" s="262">
        <f>+(AG950*$X$1-$X950-$Y950)/(AG950*$X$1)</f>
        <v>0.25248928453676234</v>
      </c>
      <c r="AI950" s="100"/>
      <c r="AJ950" s="111">
        <f>+IFERROR(ROUND(($X950+$Y950)/(1-$AJ$2)/$X$1,1),0)</f>
        <v>0.1</v>
      </c>
      <c r="AK950" s="262">
        <f>+(AJ950*$X$1-$X950-$Y950)/(AJ950*$X$1)</f>
        <v>0.25248928453676234</v>
      </c>
      <c r="AL950" s="100"/>
      <c r="AM950" s="111">
        <f>+IFERROR(ROUND(($X950+$Y950)/(1-$AM$2)/$X$1,1),0)</f>
        <v>0.1</v>
      </c>
      <c r="AN950" s="262">
        <f>+(AM950*$X$1-$X950-$Y950)/(AM950*$X$1)</f>
        <v>0.25248928453676234</v>
      </c>
      <c r="AO950" s="100"/>
      <c r="AP950" s="24" t="e">
        <f>VLOOKUP(C950,#REF!,6,FALSE)</f>
        <v>#REF!</v>
      </c>
      <c r="AQ950" s="24" t="e">
        <f>VLOOKUP(C950,#REF!,7,FALSE)</f>
        <v>#REF!</v>
      </c>
      <c r="AR950" s="24" t="e">
        <f>VLOOKUP(C950,#REF!,12,FALSE)</f>
        <v>#REF!</v>
      </c>
      <c r="AS950" s="24" t="e">
        <f>VLOOKUP(C950,#REF!,13,FALSE)</f>
        <v>#REF!</v>
      </c>
      <c r="AT950" s="100"/>
      <c r="AU950" s="100"/>
      <c r="AV950" s="100">
        <v>926</v>
      </c>
      <c r="AW950" s="100"/>
      <c r="AY950" s="28">
        <v>12200</v>
      </c>
    </row>
    <row r="951" spans="1:51" s="2" customFormat="1" ht="12.75" customHeight="1" x14ac:dyDescent="0.25">
      <c r="A951" s="1"/>
      <c r="B951" s="3"/>
      <c r="C951" s="3"/>
      <c r="E951" s="274"/>
      <c r="F951" s="275"/>
      <c r="H951" s="132"/>
      <c r="I951" s="132"/>
      <c r="J951" s="132"/>
      <c r="K951" s="132"/>
      <c r="L951" s="134"/>
      <c r="M951" s="132"/>
      <c r="N951" s="132"/>
      <c r="O951" s="132"/>
      <c r="P951" s="132"/>
      <c r="Q951" s="147"/>
      <c r="R951" s="327"/>
      <c r="S951" s="360"/>
      <c r="T951" s="307"/>
      <c r="U951" s="135"/>
      <c r="V951" s="100"/>
      <c r="W951"/>
      <c r="X951"/>
      <c r="Y951"/>
      <c r="Z951"/>
      <c r="AA951"/>
      <c r="AB951"/>
      <c r="AC951"/>
      <c r="AD951" s="263"/>
      <c r="AE951"/>
      <c r="AF951" s="100"/>
      <c r="AG951" s="263"/>
      <c r="AH951"/>
      <c r="AI951" s="100"/>
      <c r="AJ951" s="263"/>
      <c r="AK951"/>
      <c r="AL951" s="100"/>
      <c r="AM951" s="263"/>
      <c r="AN951"/>
      <c r="AO951" s="100"/>
      <c r="AP951" s="100"/>
      <c r="AQ951" s="100"/>
      <c r="AR951" s="100"/>
      <c r="AS951" s="100"/>
      <c r="AT951" s="100"/>
      <c r="AU951" s="100"/>
      <c r="AV951" s="100">
        <v>927</v>
      </c>
      <c r="AW951" s="100"/>
      <c r="AY951" s="134"/>
    </row>
    <row r="952" spans="1:51" s="2" customFormat="1" ht="12.75" customHeight="1" x14ac:dyDescent="0.25">
      <c r="A952" s="202" t="s">
        <v>1665</v>
      </c>
      <c r="B952" s="203"/>
      <c r="C952" s="203"/>
      <c r="D952" s="204"/>
      <c r="E952" s="205"/>
      <c r="F952" s="162"/>
      <c r="G952" s="162"/>
      <c r="H952" s="132"/>
      <c r="I952" s="132"/>
      <c r="J952" s="132"/>
      <c r="K952" s="132"/>
      <c r="L952" s="132"/>
      <c r="M952" s="132"/>
      <c r="N952" s="132"/>
      <c r="O952" s="132"/>
      <c r="P952" s="132"/>
      <c r="Q952" s="147"/>
      <c r="R952" s="327"/>
      <c r="S952" s="360"/>
      <c r="T952" s="307"/>
      <c r="U952" s="135"/>
      <c r="V952" s="100"/>
      <c r="W952"/>
      <c r="X952"/>
      <c r="Y952"/>
      <c r="Z952"/>
      <c r="AA952"/>
      <c r="AB952"/>
      <c r="AC952"/>
      <c r="AD952" s="263"/>
      <c r="AE952"/>
      <c r="AF952" s="100"/>
      <c r="AG952" s="263"/>
      <c r="AH952"/>
      <c r="AI952" s="100"/>
      <c r="AJ952" s="263"/>
      <c r="AK952"/>
      <c r="AL952" s="100"/>
      <c r="AM952" s="263"/>
      <c r="AN952"/>
      <c r="AO952" s="100"/>
      <c r="AP952" s="100"/>
      <c r="AQ952" s="100"/>
      <c r="AR952" s="100"/>
      <c r="AS952" s="100"/>
      <c r="AT952" s="100"/>
      <c r="AU952" s="100"/>
      <c r="AV952" s="100">
        <v>928</v>
      </c>
      <c r="AW952" s="100"/>
      <c r="AY952" s="132"/>
    </row>
    <row r="953" spans="1:51" s="2" customFormat="1" ht="12.75" customHeight="1" x14ac:dyDescent="0.2">
      <c r="A953" s="6" t="s">
        <v>1608</v>
      </c>
      <c r="B953" s="8">
        <v>9789500209410</v>
      </c>
      <c r="C953" s="6">
        <v>651429</v>
      </c>
      <c r="D953" s="7">
        <v>16</v>
      </c>
      <c r="E953" s="8" t="s">
        <v>389</v>
      </c>
      <c r="F953" s="7" t="s">
        <v>1666</v>
      </c>
      <c r="G953" s="107">
        <v>43313</v>
      </c>
      <c r="H953" s="108">
        <v>43282</v>
      </c>
      <c r="I953" s="24">
        <v>3072</v>
      </c>
      <c r="J953" s="28" t="s">
        <v>1946</v>
      </c>
      <c r="K953" s="28">
        <v>47.82</v>
      </c>
      <c r="L953" s="28">
        <v>6800</v>
      </c>
      <c r="M953" s="112"/>
      <c r="N953" s="9">
        <f>+L953/2</f>
        <v>3400</v>
      </c>
      <c r="O953" s="9">
        <f>+N953-M953-K953</f>
        <v>3352.18</v>
      </c>
      <c r="P953" s="9">
        <f>+M953+K953</f>
        <v>47.82</v>
      </c>
      <c r="Q953" s="139">
        <f>+O953/N953</f>
        <v>0.98593529411764702</v>
      </c>
      <c r="R953" s="387">
        <v>6800</v>
      </c>
      <c r="S953" s="359" t="s">
        <v>1948</v>
      </c>
      <c r="T953" s="305">
        <v>0.98593529411764702</v>
      </c>
      <c r="U953" s="144"/>
      <c r="V953" s="100"/>
      <c r="W953" s="110">
        <f>+L953</f>
        <v>6800</v>
      </c>
      <c r="X953" s="110">
        <f>+K953</f>
        <v>47.82</v>
      </c>
      <c r="Y953" s="110">
        <f>+M953</f>
        <v>0</v>
      </c>
      <c r="Z953" s="110">
        <f>+W953/2-X953-Y953</f>
        <v>3352.18</v>
      </c>
      <c r="AA953" s="260">
        <f>+Z953/(W953/2)</f>
        <v>0.98593529411764702</v>
      </c>
      <c r="AB953" s="28">
        <f>ROUND($W953/2/$X$1,1)</f>
        <v>2.2000000000000002</v>
      </c>
      <c r="AC953" s="261">
        <f>+(AB953*$X$1-$X953-$Y953)/(AB953*$X$1)</f>
        <v>0.98566675658663783</v>
      </c>
      <c r="AD953" s="111">
        <f>+IFERROR(ROUND(($X953+$Y953)/(1-$X$2)/$X$1,1),0)</f>
        <v>0</v>
      </c>
      <c r="AE953" s="262" t="e">
        <f>+(AD953*$X$1-$X953-$Y953)/(AD953*$X$1)</f>
        <v>#DIV/0!</v>
      </c>
      <c r="AF953" s="100"/>
      <c r="AG953" s="111">
        <f>+IFERROR(ROUND(($X953+$Y953)/(1-$AG$2)/$X$1,1),0)</f>
        <v>0.1</v>
      </c>
      <c r="AH953" s="262">
        <f>+(AG953*$X$1-$X953-$Y953)/(AG953*$X$1)</f>
        <v>0.68466864490603374</v>
      </c>
      <c r="AI953" s="100"/>
      <c r="AJ953" s="111">
        <f>+IFERROR(ROUND(($X953+$Y953)/(1-$AJ$2)/$X$1,1),0)</f>
        <v>0</v>
      </c>
      <c r="AK953" s="262" t="e">
        <f>+(AJ953*$X$1-$X953-$Y953)/(AJ953*$X$1)</f>
        <v>#DIV/0!</v>
      </c>
      <c r="AL953" s="100"/>
      <c r="AM953" s="111">
        <f>+IFERROR(ROUND(($X953+$Y953)/(1-$AM$2)/$X$1,1),0)</f>
        <v>0</v>
      </c>
      <c r="AN953" s="262" t="e">
        <f>+(AM953*$X$1-$X953-$Y953)/(AM953*$X$1)</f>
        <v>#DIV/0!</v>
      </c>
      <c r="AO953" s="100"/>
      <c r="AP953" s="24" t="e">
        <f>VLOOKUP(C953,#REF!,6,FALSE)</f>
        <v>#REF!</v>
      </c>
      <c r="AQ953" s="24" t="e">
        <f>VLOOKUP(C953,#REF!,7,FALSE)</f>
        <v>#REF!</v>
      </c>
      <c r="AR953" s="24" t="e">
        <f>VLOOKUP(C953,#REF!,12,FALSE)</f>
        <v>#REF!</v>
      </c>
      <c r="AS953" s="24" t="e">
        <f>VLOOKUP(C953,#REF!,13,FALSE)</f>
        <v>#REF!</v>
      </c>
      <c r="AT953" s="100"/>
      <c r="AU953" s="100"/>
      <c r="AV953" s="100">
        <v>929</v>
      </c>
      <c r="AW953" s="100"/>
      <c r="AY953" s="28">
        <v>6800</v>
      </c>
    </row>
    <row r="954" spans="1:51" s="2" customFormat="1" ht="12.75" customHeight="1" x14ac:dyDescent="0.2">
      <c r="A954" s="7" t="s">
        <v>1667</v>
      </c>
      <c r="B954" s="8">
        <v>9789500209403</v>
      </c>
      <c r="C954" s="6">
        <v>651427</v>
      </c>
      <c r="D954" s="25">
        <v>16</v>
      </c>
      <c r="E954" s="8" t="s">
        <v>389</v>
      </c>
      <c r="F954" s="7" t="s">
        <v>1668</v>
      </c>
      <c r="G954" s="107">
        <v>43313</v>
      </c>
      <c r="H954" s="108">
        <v>43282</v>
      </c>
      <c r="I954" s="24">
        <v>3072</v>
      </c>
      <c r="J954" s="28" t="s">
        <v>1946</v>
      </c>
      <c r="K954" s="28">
        <v>47.82</v>
      </c>
      <c r="L954" s="28">
        <v>6800</v>
      </c>
      <c r="M954" s="112"/>
      <c r="N954" s="9">
        <f>+L954/2</f>
        <v>3400</v>
      </c>
      <c r="O954" s="9">
        <f>+N954-M954-K954</f>
        <v>3352.18</v>
      </c>
      <c r="P954" s="9">
        <f>+M954+K954</f>
        <v>47.82</v>
      </c>
      <c r="Q954" s="139">
        <f>+O954/N954</f>
        <v>0.98593529411764702</v>
      </c>
      <c r="R954" s="387">
        <v>6800</v>
      </c>
      <c r="S954" s="359" t="s">
        <v>1948</v>
      </c>
      <c r="T954" s="305">
        <v>0.98593529411764702</v>
      </c>
      <c r="U954" s="144"/>
      <c r="V954" s="100"/>
      <c r="W954" s="110">
        <f>+L954</f>
        <v>6800</v>
      </c>
      <c r="X954" s="110">
        <f>+K954</f>
        <v>47.82</v>
      </c>
      <c r="Y954" s="110">
        <f>+M954</f>
        <v>0</v>
      </c>
      <c r="Z954" s="110">
        <f>+W954/2-X954-Y954</f>
        <v>3352.18</v>
      </c>
      <c r="AA954" s="260">
        <f>+Z954/(W954/2)</f>
        <v>0.98593529411764702</v>
      </c>
      <c r="AB954" s="28">
        <f>ROUND($W954/2/$X$1,1)</f>
        <v>2.2000000000000002</v>
      </c>
      <c r="AC954" s="261">
        <f>+(AB954*$X$1-$X954-$Y954)/(AB954*$X$1)</f>
        <v>0.98566675658663783</v>
      </c>
      <c r="AD954" s="111">
        <f>+IFERROR(ROUND(($X954+$Y954)/(1-$X$2)/$X$1,1),0)</f>
        <v>0</v>
      </c>
      <c r="AE954" s="262" t="e">
        <f>+(AD954*$X$1-$X954-$Y954)/(AD954*$X$1)</f>
        <v>#DIV/0!</v>
      </c>
      <c r="AF954" s="100"/>
      <c r="AG954" s="111">
        <f>+IFERROR(ROUND(($X954+$Y954)/(1-$AG$2)/$X$1,1),0)</f>
        <v>0.1</v>
      </c>
      <c r="AH954" s="262">
        <f>+(AG954*$X$1-$X954-$Y954)/(AG954*$X$1)</f>
        <v>0.68466864490603374</v>
      </c>
      <c r="AI954" s="100"/>
      <c r="AJ954" s="111">
        <f>+IFERROR(ROUND(($X954+$Y954)/(1-$AJ$2)/$X$1,1),0)</f>
        <v>0</v>
      </c>
      <c r="AK954" s="262" t="e">
        <f>+(AJ954*$X$1-$X954-$Y954)/(AJ954*$X$1)</f>
        <v>#DIV/0!</v>
      </c>
      <c r="AL954" s="100"/>
      <c r="AM954" s="111">
        <f>+IFERROR(ROUND(($X954+$Y954)/(1-$AM$2)/$X$1,1),0)</f>
        <v>0</v>
      </c>
      <c r="AN954" s="262" t="e">
        <f>+(AM954*$X$1-$X954-$Y954)/(AM954*$X$1)</f>
        <v>#DIV/0!</v>
      </c>
      <c r="AO954" s="100"/>
      <c r="AP954" s="24" t="e">
        <f>VLOOKUP(C954,#REF!,6,FALSE)</f>
        <v>#REF!</v>
      </c>
      <c r="AQ954" s="24" t="e">
        <f>VLOOKUP(C954,#REF!,7,FALSE)</f>
        <v>#REF!</v>
      </c>
      <c r="AR954" s="24" t="e">
        <f>VLOOKUP(C954,#REF!,12,FALSE)</f>
        <v>#REF!</v>
      </c>
      <c r="AS954" s="24" t="e">
        <f>VLOOKUP(C954,#REF!,13,FALSE)</f>
        <v>#REF!</v>
      </c>
      <c r="AT954" s="100"/>
      <c r="AU954" s="100"/>
      <c r="AV954" s="100">
        <v>930</v>
      </c>
      <c r="AW954" s="100"/>
      <c r="AY954" s="28">
        <v>6800</v>
      </c>
    </row>
    <row r="955" spans="1:51" s="2" customFormat="1" ht="14.25" customHeight="1" x14ac:dyDescent="0.25">
      <c r="A955" s="1"/>
      <c r="B955" s="3"/>
      <c r="C955" s="3"/>
      <c r="E955" s="274"/>
      <c r="F955" s="275"/>
      <c r="H955" s="132"/>
      <c r="I955" s="132"/>
      <c r="J955" s="132"/>
      <c r="K955" s="132"/>
      <c r="L955" s="18"/>
      <c r="M955" s="132"/>
      <c r="N955" s="132"/>
      <c r="O955" s="132"/>
      <c r="P955" s="132"/>
      <c r="Q955" s="147"/>
      <c r="R955" s="327"/>
      <c r="S955" s="360"/>
      <c r="T955" s="307"/>
      <c r="U955" s="135"/>
      <c r="V955" s="100"/>
      <c r="W955"/>
      <c r="X955"/>
      <c r="Y955"/>
      <c r="Z955"/>
      <c r="AA955"/>
      <c r="AB955"/>
      <c r="AC955"/>
      <c r="AD955" s="263"/>
      <c r="AE955"/>
      <c r="AF955" s="100"/>
      <c r="AG955" s="263"/>
      <c r="AH955"/>
      <c r="AI955" s="100"/>
      <c r="AJ955" s="263"/>
      <c r="AK955"/>
      <c r="AL955" s="100"/>
      <c r="AM955" s="263"/>
      <c r="AN955"/>
      <c r="AO955" s="100"/>
      <c r="AP955" s="100"/>
      <c r="AQ955" s="100"/>
      <c r="AR955" s="100"/>
      <c r="AS955" s="100"/>
      <c r="AT955" s="100"/>
      <c r="AU955" s="100"/>
      <c r="AV955" s="100">
        <v>931</v>
      </c>
      <c r="AW955" s="100"/>
      <c r="AY955" s="18"/>
    </row>
    <row r="956" spans="1:51" s="2" customFormat="1" ht="12.75" customHeight="1" x14ac:dyDescent="0.25">
      <c r="A956" s="202" t="s">
        <v>2330</v>
      </c>
      <c r="B956" s="203"/>
      <c r="C956" s="203"/>
      <c r="D956" s="204"/>
      <c r="E956" s="205"/>
      <c r="F956" s="162"/>
      <c r="G956" s="162"/>
      <c r="H956" s="132"/>
      <c r="I956" s="132"/>
      <c r="J956" s="132"/>
      <c r="K956" s="132"/>
      <c r="L956" s="18"/>
      <c r="M956" s="132"/>
      <c r="N956" s="132"/>
      <c r="O956" s="132"/>
      <c r="P956" s="132"/>
      <c r="Q956" s="147"/>
      <c r="R956" s="327"/>
      <c r="S956" s="360"/>
      <c r="T956" s="307"/>
      <c r="U956" s="135"/>
      <c r="V956" s="100"/>
      <c r="W956"/>
      <c r="X956"/>
      <c r="Y956"/>
      <c r="Z956"/>
      <c r="AA956"/>
      <c r="AB956"/>
      <c r="AC956"/>
      <c r="AD956" s="263"/>
      <c r="AE956"/>
      <c r="AF956" s="100"/>
      <c r="AG956" s="263"/>
      <c r="AH956"/>
      <c r="AI956" s="100"/>
      <c r="AJ956" s="263"/>
      <c r="AK956"/>
      <c r="AL956" s="100"/>
      <c r="AM956" s="263"/>
      <c r="AN956"/>
      <c r="AO956" s="100"/>
      <c r="AP956" s="100"/>
      <c r="AQ956" s="100"/>
      <c r="AR956" s="100"/>
      <c r="AS956" s="100"/>
      <c r="AT956" s="100"/>
      <c r="AU956" s="100"/>
      <c r="AV956" s="100">
        <v>932</v>
      </c>
      <c r="AW956" s="100"/>
      <c r="AY956" s="18"/>
    </row>
    <row r="957" spans="1:51" s="162" customFormat="1" ht="12.75" customHeight="1" x14ac:dyDescent="0.2">
      <c r="A957" s="6" t="s">
        <v>2322</v>
      </c>
      <c r="B957" s="153">
        <v>9789500217019</v>
      </c>
      <c r="C957" s="6">
        <v>744139</v>
      </c>
      <c r="D957" s="41">
        <v>8</v>
      </c>
      <c r="E957" s="7" t="s">
        <v>296</v>
      </c>
      <c r="F957" s="7" t="s">
        <v>2323</v>
      </c>
      <c r="G957" s="107">
        <v>46143</v>
      </c>
      <c r="H957" s="108">
        <v>46082</v>
      </c>
      <c r="I957" s="267">
        <v>4020</v>
      </c>
      <c r="J957" s="7" t="s">
        <v>2329</v>
      </c>
      <c r="K957" s="148">
        <v>3953.1</v>
      </c>
      <c r="L957" s="352">
        <v>19900</v>
      </c>
      <c r="M957" s="112"/>
      <c r="N957" s="9">
        <f>+L957/2</f>
        <v>9950</v>
      </c>
      <c r="O957" s="9">
        <f>+N957-M957-K957</f>
        <v>5996.9</v>
      </c>
      <c r="P957" s="9">
        <f>+M957+K957</f>
        <v>3953.1</v>
      </c>
      <c r="Q957" s="139">
        <f>+O957/N957</f>
        <v>0.60270351758793961</v>
      </c>
      <c r="R957" s="304">
        <v>19900</v>
      </c>
      <c r="S957" s="359" t="s">
        <v>1948</v>
      </c>
      <c r="T957" s="305">
        <v>0.60270351758793961</v>
      </c>
      <c r="U957" s="144"/>
      <c r="V957" s="100"/>
      <c r="W957" s="110">
        <f>+L957</f>
        <v>19900</v>
      </c>
      <c r="X957" s="110">
        <f>+K957</f>
        <v>3953.1</v>
      </c>
      <c r="Y957" s="110">
        <f>+M957</f>
        <v>0</v>
      </c>
      <c r="Z957" s="110">
        <f>+W957/2-X957-Y957</f>
        <v>5996.9</v>
      </c>
      <c r="AA957" s="260">
        <f>+Z957/(W957/2)</f>
        <v>0.60270351758793961</v>
      </c>
      <c r="AB957" s="28">
        <f>ROUND($W957/2/$X$1,1)</f>
        <v>6.6</v>
      </c>
      <c r="AC957" s="261">
        <f>+(AB957*$X$1-$X957-$Y957)/(AB957*$X$1)</f>
        <v>0.60504151305338238</v>
      </c>
      <c r="AD957" s="111">
        <f>+IFERROR(ROUND(($X957+$Y957)/(1-$X$2)/$X$1,1),0)</f>
        <v>2.7</v>
      </c>
      <c r="AE957" s="262">
        <f>+(AD957*$X$1-$X957-$Y957)/(AD957*$X$1)</f>
        <v>3.4545920797157265E-2</v>
      </c>
      <c r="AF957" s="100"/>
      <c r="AG957" s="111">
        <f>+IFERROR(ROUND(($X957+$Y957)/(1-$AG$2)/$X$1,1),0)</f>
        <v>4.3</v>
      </c>
      <c r="AH957" s="262">
        <f>+(AG957*$X$1-$X957-$Y957)/(AG957*$X$1)</f>
        <v>0.39378464794240103</v>
      </c>
      <c r="AI957" s="100"/>
      <c r="AJ957" s="111">
        <f>+IFERROR(ROUND(($X957+$Y957)/(1-$AJ$2)/$X$1,1),0)</f>
        <v>4</v>
      </c>
      <c r="AK957" s="262">
        <f>+(AJ957*$X$1-$X957-$Y957)/(AJ957*$X$1)</f>
        <v>0.34831849653808111</v>
      </c>
      <c r="AL957" s="100"/>
      <c r="AM957" s="111">
        <f>+IFERROR(ROUND(($X957+$Y957)/(1-$AM$2)/$X$1,1),0)</f>
        <v>3.7</v>
      </c>
      <c r="AN957" s="262">
        <f>+(AM957*$X$1-$X957-$Y957)/(AM957*$X$1)</f>
        <v>0.29547945571684447</v>
      </c>
      <c r="AO957" s="100"/>
      <c r="AP957" s="24" t="e">
        <f>VLOOKUP(C957,#REF!,6,FALSE)</f>
        <v>#REF!</v>
      </c>
      <c r="AQ957" s="24" t="e">
        <f>VLOOKUP(C957,#REF!,7,FALSE)</f>
        <v>#REF!</v>
      </c>
      <c r="AR957" s="24" t="e">
        <f>VLOOKUP(C957,#REF!,12,FALSE)</f>
        <v>#REF!</v>
      </c>
      <c r="AS957" s="24" t="e">
        <f>VLOOKUP(C957,#REF!,13,FALSE)</f>
        <v>#REF!</v>
      </c>
      <c r="AT957" s="100"/>
      <c r="AU957" s="100"/>
      <c r="AV957" s="100">
        <v>933</v>
      </c>
      <c r="AW957" s="100"/>
      <c r="AY957" s="352">
        <v>19900</v>
      </c>
    </row>
    <row r="958" spans="1:51" s="2" customFormat="1" ht="12.75" customHeight="1" x14ac:dyDescent="0.2">
      <c r="A958" s="6" t="s">
        <v>2324</v>
      </c>
      <c r="B958" s="153">
        <v>9789500217002</v>
      </c>
      <c r="C958" s="6">
        <v>744140</v>
      </c>
      <c r="D958" s="41">
        <v>8</v>
      </c>
      <c r="E958" s="6" t="s">
        <v>296</v>
      </c>
      <c r="F958" s="7" t="s">
        <v>2325</v>
      </c>
      <c r="G958" s="107">
        <v>46143</v>
      </c>
      <c r="H958" s="108">
        <v>46082</v>
      </c>
      <c r="I958" s="7">
        <v>4080</v>
      </c>
      <c r="J958" s="7" t="s">
        <v>2329</v>
      </c>
      <c r="K958" s="148">
        <v>3953.1</v>
      </c>
      <c r="L958" s="352">
        <v>19900</v>
      </c>
      <c r="M958" s="112"/>
      <c r="N958" s="9">
        <f>+L958/2</f>
        <v>9950</v>
      </c>
      <c r="O958" s="9">
        <f>+N958-M958-K958</f>
        <v>5996.9</v>
      </c>
      <c r="P958" s="9">
        <f>+M958+K958</f>
        <v>3953.1</v>
      </c>
      <c r="Q958" s="139">
        <f>+O958/N958</f>
        <v>0.60270351758793961</v>
      </c>
      <c r="R958" s="387">
        <v>19900</v>
      </c>
      <c r="S958" s="359" t="s">
        <v>1948</v>
      </c>
      <c r="T958" s="305">
        <v>0.60270351758793961</v>
      </c>
      <c r="U958" s="144"/>
      <c r="V958" s="100"/>
      <c r="W958" s="110">
        <f>+L958</f>
        <v>19900</v>
      </c>
      <c r="X958" s="110">
        <f>+K958</f>
        <v>3953.1</v>
      </c>
      <c r="Y958" s="110">
        <f>+M958</f>
        <v>0</v>
      </c>
      <c r="Z958" s="110">
        <f>+W958/2-X958-Y958</f>
        <v>5996.9</v>
      </c>
      <c r="AA958" s="260">
        <f>+Z958/(W958/2)</f>
        <v>0.60270351758793961</v>
      </c>
      <c r="AB958" s="28">
        <f>ROUND($W958/2/$X$1,1)</f>
        <v>6.6</v>
      </c>
      <c r="AC958" s="261">
        <f>+(AB958*$X$1-$X958-$Y958)/(AB958*$X$1)</f>
        <v>0.60504151305338238</v>
      </c>
      <c r="AD958" s="111">
        <f>+IFERROR(ROUND(($X958+$Y958)/(1-$X$2)/$X$1,1),0)</f>
        <v>2.7</v>
      </c>
      <c r="AE958" s="262">
        <f>+(AD958*$X$1-$X958-$Y958)/(AD958*$X$1)</f>
        <v>3.4545920797157265E-2</v>
      </c>
      <c r="AF958" s="100"/>
      <c r="AG958" s="111">
        <f>+IFERROR(ROUND(($X958+$Y958)/(1-$AG$2)/$X$1,1),0)</f>
        <v>4.3</v>
      </c>
      <c r="AH958" s="262">
        <f>+(AG958*$X$1-$X958-$Y958)/(AG958*$X$1)</f>
        <v>0.39378464794240103</v>
      </c>
      <c r="AI958" s="100"/>
      <c r="AJ958" s="111">
        <f>+IFERROR(ROUND(($X958+$Y958)/(1-$AJ$2)/$X$1,1),0)</f>
        <v>4</v>
      </c>
      <c r="AK958" s="262">
        <f>+(AJ958*$X$1-$X958-$Y958)/(AJ958*$X$1)</f>
        <v>0.34831849653808111</v>
      </c>
      <c r="AL958" s="100"/>
      <c r="AM958" s="111">
        <f>+IFERROR(ROUND(($X958+$Y958)/(1-$AM$2)/$X$1,1),0)</f>
        <v>3.7</v>
      </c>
      <c r="AN958" s="262">
        <f>+(AM958*$X$1-$X958-$Y958)/(AM958*$X$1)</f>
        <v>0.29547945571684447</v>
      </c>
      <c r="AO958" s="100"/>
      <c r="AP958" s="24" t="e">
        <f>VLOOKUP(C958,#REF!,6,FALSE)</f>
        <v>#REF!</v>
      </c>
      <c r="AQ958" s="24" t="e">
        <f>VLOOKUP(C958,#REF!,7,FALSE)</f>
        <v>#REF!</v>
      </c>
      <c r="AR958" s="24" t="e">
        <f>VLOOKUP(C958,#REF!,12,FALSE)</f>
        <v>#REF!</v>
      </c>
      <c r="AS958" s="24" t="e">
        <f>VLOOKUP(C958,#REF!,13,FALSE)</f>
        <v>#REF!</v>
      </c>
      <c r="AT958" s="100"/>
      <c r="AU958" s="100"/>
      <c r="AV958" s="100">
        <v>934</v>
      </c>
      <c r="AW958" s="100"/>
      <c r="AY958" s="352">
        <v>19900</v>
      </c>
    </row>
    <row r="959" spans="1:51" s="2" customFormat="1" ht="12.75" customHeight="1" x14ac:dyDescent="0.25">
      <c r="A959" s="1"/>
      <c r="B959" s="3"/>
      <c r="C959" s="3"/>
      <c r="E959" s="274"/>
      <c r="F959" s="275"/>
      <c r="H959" s="132"/>
      <c r="I959" s="132"/>
      <c r="J959" s="132"/>
      <c r="K959" s="132"/>
      <c r="L959" s="18"/>
      <c r="M959" s="132"/>
      <c r="N959" s="132"/>
      <c r="O959" s="132"/>
      <c r="P959" s="132"/>
      <c r="Q959" s="147"/>
      <c r="R959" s="327"/>
      <c r="S959" s="360"/>
      <c r="T959" s="307"/>
      <c r="U959" s="135"/>
      <c r="V959" s="100"/>
      <c r="W959"/>
      <c r="X959"/>
      <c r="Y959"/>
      <c r="Z959"/>
      <c r="AA959"/>
      <c r="AB959"/>
      <c r="AC959"/>
      <c r="AD959" s="263"/>
      <c r="AE959"/>
      <c r="AF959" s="100"/>
      <c r="AG959" s="263"/>
      <c r="AH959"/>
      <c r="AI959" s="100"/>
      <c r="AJ959" s="263"/>
      <c r="AK959"/>
      <c r="AL959" s="100"/>
      <c r="AM959" s="263"/>
      <c r="AN959"/>
      <c r="AO959" s="100"/>
      <c r="AP959" s="100"/>
      <c r="AQ959" s="100"/>
      <c r="AR959" s="100"/>
      <c r="AS959" s="100"/>
      <c r="AT959" s="100"/>
      <c r="AU959" s="100"/>
      <c r="AV959" s="100">
        <v>935</v>
      </c>
      <c r="AW959" s="100"/>
      <c r="AY959" s="18"/>
    </row>
    <row r="960" spans="1:51" s="2" customFormat="1" ht="12.75" customHeight="1" x14ac:dyDescent="0.25">
      <c r="A960" s="202" t="s">
        <v>1669</v>
      </c>
      <c r="B960" s="203"/>
      <c r="C960" s="203"/>
      <c r="D960" s="204"/>
      <c r="E960" s="205"/>
      <c r="F960" s="162"/>
      <c r="G960" s="162"/>
      <c r="H960" s="132"/>
      <c r="I960" s="132"/>
      <c r="J960" s="132"/>
      <c r="K960" s="132"/>
      <c r="L960" s="18"/>
      <c r="M960" s="132"/>
      <c r="N960" s="132"/>
      <c r="O960" s="132"/>
      <c r="P960" s="132"/>
      <c r="Q960" s="147"/>
      <c r="R960" s="327"/>
      <c r="S960" s="360"/>
      <c r="T960" s="307"/>
      <c r="U960" s="135"/>
      <c r="V960" s="100"/>
      <c r="W960"/>
      <c r="X960"/>
      <c r="Y960"/>
      <c r="Z960"/>
      <c r="AA960"/>
      <c r="AB960"/>
      <c r="AC960"/>
      <c r="AD960" s="263"/>
      <c r="AE960"/>
      <c r="AF960" s="100"/>
      <c r="AG960" s="263"/>
      <c r="AH960"/>
      <c r="AI960" s="100"/>
      <c r="AJ960" s="263"/>
      <c r="AK960"/>
      <c r="AL960" s="100"/>
      <c r="AM960" s="263"/>
      <c r="AN960"/>
      <c r="AO960" s="100"/>
      <c r="AP960" s="100"/>
      <c r="AQ960" s="100"/>
      <c r="AR960" s="100"/>
      <c r="AS960" s="100"/>
      <c r="AT960" s="100"/>
      <c r="AU960" s="100"/>
      <c r="AV960" s="100">
        <v>936</v>
      </c>
      <c r="AW960" s="100"/>
      <c r="AY960" s="18"/>
    </row>
    <row r="961" spans="1:51" s="162" customFormat="1" ht="12.75" customHeight="1" x14ac:dyDescent="0.2">
      <c r="A961" s="11" t="s">
        <v>1670</v>
      </c>
      <c r="B961" s="8">
        <v>9789500299664</v>
      </c>
      <c r="C961" s="6">
        <v>635043</v>
      </c>
      <c r="D961" s="7">
        <v>10</v>
      </c>
      <c r="E961" s="7" t="s">
        <v>274</v>
      </c>
      <c r="F961" s="11" t="s">
        <v>1671</v>
      </c>
      <c r="G961" s="107">
        <v>42979</v>
      </c>
      <c r="H961" s="108">
        <v>42948</v>
      </c>
      <c r="I961" s="24">
        <v>4000</v>
      </c>
      <c r="J961" s="28" t="s">
        <v>1946</v>
      </c>
      <c r="K961" s="28">
        <v>45.59</v>
      </c>
      <c r="L961" s="9">
        <v>9900</v>
      </c>
      <c r="M961" s="112"/>
      <c r="N961" s="9">
        <f>+L961/2</f>
        <v>4950</v>
      </c>
      <c r="O961" s="9">
        <f>+N961-M961-K961</f>
        <v>4904.41</v>
      </c>
      <c r="P961" s="9">
        <f>+M961+K961</f>
        <v>45.59</v>
      </c>
      <c r="Q961" s="139">
        <f>+O961/N961</f>
        <v>0.990789898989899</v>
      </c>
      <c r="R961" s="304">
        <v>9900</v>
      </c>
      <c r="S961" s="359" t="s">
        <v>1948</v>
      </c>
      <c r="T961" s="305">
        <v>0.990789898989899</v>
      </c>
      <c r="U961" s="144"/>
      <c r="V961" s="100"/>
      <c r="W961" s="110">
        <f>+L961</f>
        <v>9900</v>
      </c>
      <c r="X961" s="110">
        <f>+K961</f>
        <v>45.59</v>
      </c>
      <c r="Y961" s="110">
        <f>+M961</f>
        <v>0</v>
      </c>
      <c r="Z961" s="110">
        <f>+W961/2-X961-Y961</f>
        <v>4904.41</v>
      </c>
      <c r="AA961" s="260">
        <f>+Z961/(W961/2)</f>
        <v>0.990789898989899</v>
      </c>
      <c r="AB961" s="28">
        <f>ROUND($W961/2/$X$1,1)</f>
        <v>3.3</v>
      </c>
      <c r="AC961" s="261">
        <f>+(AB961*$X$1-$X961-$Y961)/(AB961*$X$1)</f>
        <v>0.9908901078040544</v>
      </c>
      <c r="AD961" s="111">
        <f>+IFERROR(ROUND(($X961+$Y961)/(1-$X$2)/$X$1,1),0)</f>
        <v>0</v>
      </c>
      <c r="AE961" s="262" t="e">
        <f>+(AD961*$X$1-$X961-$Y961)/(AD961*$X$1)</f>
        <v>#DIV/0!</v>
      </c>
      <c r="AF961" s="100"/>
      <c r="AG961" s="111">
        <f>+IFERROR(ROUND(($X961+$Y961)/(1-$AG$2)/$X$1,1),0)</f>
        <v>0.1</v>
      </c>
      <c r="AH961" s="262">
        <f>+(AG961*$X$1-$X961-$Y961)/(AG961*$X$1)</f>
        <v>0.69937355753379493</v>
      </c>
      <c r="AI961" s="100"/>
      <c r="AJ961" s="111">
        <f>+IFERROR(ROUND(($X961+$Y961)/(1-$AJ$2)/$X$1,1),0)</f>
        <v>0</v>
      </c>
      <c r="AK961" s="262" t="e">
        <f>+(AJ961*$X$1-$X961-$Y961)/(AJ961*$X$1)</f>
        <v>#DIV/0!</v>
      </c>
      <c r="AL961" s="100"/>
      <c r="AM961" s="111">
        <f>+IFERROR(ROUND(($X961+$Y961)/(1-$AM$2)/$X$1,1),0)</f>
        <v>0</v>
      </c>
      <c r="AN961" s="262" t="e">
        <f>+(AM961*$X$1-$X961-$Y961)/(AM961*$X$1)</f>
        <v>#DIV/0!</v>
      </c>
      <c r="AO961" s="100"/>
      <c r="AP961" s="24" t="e">
        <f>VLOOKUP(C961,#REF!,6,FALSE)</f>
        <v>#REF!</v>
      </c>
      <c r="AQ961" s="24" t="e">
        <f>VLOOKUP(C961,#REF!,7,FALSE)</f>
        <v>#REF!</v>
      </c>
      <c r="AR961" s="24" t="e">
        <f>VLOOKUP(C961,#REF!,12,FALSE)</f>
        <v>#REF!</v>
      </c>
      <c r="AS961" s="24" t="e">
        <f>VLOOKUP(C961,#REF!,13,FALSE)</f>
        <v>#REF!</v>
      </c>
      <c r="AT961" s="100"/>
      <c r="AU961" s="100"/>
      <c r="AV961" s="100">
        <v>937</v>
      </c>
      <c r="AW961" s="100"/>
      <c r="AY961" s="9">
        <v>9900</v>
      </c>
    </row>
    <row r="962" spans="1:51" s="2" customFormat="1" ht="12.75" customHeight="1" x14ac:dyDescent="0.2">
      <c r="A962" s="11" t="s">
        <v>1672</v>
      </c>
      <c r="B962" s="8">
        <v>9789500299671</v>
      </c>
      <c r="C962" s="6">
        <v>635044</v>
      </c>
      <c r="D962" s="7">
        <v>10</v>
      </c>
      <c r="E962" s="7" t="s">
        <v>274</v>
      </c>
      <c r="F962" s="11" t="s">
        <v>1673</v>
      </c>
      <c r="G962" s="107">
        <v>42979</v>
      </c>
      <c r="H962" s="108">
        <v>42948</v>
      </c>
      <c r="I962" s="24">
        <v>4000</v>
      </c>
      <c r="J962" s="28" t="s">
        <v>1946</v>
      </c>
      <c r="K962" s="28">
        <v>45.59</v>
      </c>
      <c r="L962" s="9">
        <v>9900</v>
      </c>
      <c r="M962" s="112"/>
      <c r="N962" s="9">
        <f>+L962/2</f>
        <v>4950</v>
      </c>
      <c r="O962" s="9">
        <f>+N962-M962-K962</f>
        <v>4904.41</v>
      </c>
      <c r="P962" s="9">
        <f>+M962+K962</f>
        <v>45.59</v>
      </c>
      <c r="Q962" s="139">
        <f>+O962/N962</f>
        <v>0.990789898989899</v>
      </c>
      <c r="R962" s="387">
        <v>9900</v>
      </c>
      <c r="S962" s="359" t="s">
        <v>1948</v>
      </c>
      <c r="T962" s="305">
        <v>0.990789898989899</v>
      </c>
      <c r="U962" s="144"/>
      <c r="V962" s="100"/>
      <c r="W962" s="110">
        <f>+L962</f>
        <v>9900</v>
      </c>
      <c r="X962" s="110">
        <f>+K962</f>
        <v>45.59</v>
      </c>
      <c r="Y962" s="110">
        <f>+M962</f>
        <v>0</v>
      </c>
      <c r="Z962" s="110">
        <f>+W962/2-X962-Y962</f>
        <v>4904.41</v>
      </c>
      <c r="AA962" s="260">
        <f>+Z962/(W962/2)</f>
        <v>0.990789898989899</v>
      </c>
      <c r="AB962" s="28">
        <f>ROUND($W962/2/$X$1,1)</f>
        <v>3.3</v>
      </c>
      <c r="AC962" s="261">
        <f>+(AB962*$X$1-$X962-$Y962)/(AB962*$X$1)</f>
        <v>0.9908901078040544</v>
      </c>
      <c r="AD962" s="111">
        <f>+IFERROR(ROUND(($X962+$Y962)/(1-$X$2)/$X$1,1),0)</f>
        <v>0</v>
      </c>
      <c r="AE962" s="262" t="e">
        <f>+(AD962*$X$1-$X962-$Y962)/(AD962*$X$1)</f>
        <v>#DIV/0!</v>
      </c>
      <c r="AF962" s="100"/>
      <c r="AG962" s="111">
        <f>+IFERROR(ROUND(($X962+$Y962)/(1-$AG$2)/$X$1,1),0)</f>
        <v>0.1</v>
      </c>
      <c r="AH962" s="262">
        <f>+(AG962*$X$1-$X962-$Y962)/(AG962*$X$1)</f>
        <v>0.69937355753379493</v>
      </c>
      <c r="AI962" s="100"/>
      <c r="AJ962" s="111">
        <f>+IFERROR(ROUND(($X962+$Y962)/(1-$AJ$2)/$X$1,1),0)</f>
        <v>0</v>
      </c>
      <c r="AK962" s="262" t="e">
        <f>+(AJ962*$X$1-$X962-$Y962)/(AJ962*$X$1)</f>
        <v>#DIV/0!</v>
      </c>
      <c r="AL962" s="100"/>
      <c r="AM962" s="111">
        <f>+IFERROR(ROUND(($X962+$Y962)/(1-$AM$2)/$X$1,1),0)</f>
        <v>0</v>
      </c>
      <c r="AN962" s="262" t="e">
        <f>+(AM962*$X$1-$X962-$Y962)/(AM962*$X$1)</f>
        <v>#DIV/0!</v>
      </c>
      <c r="AO962" s="100"/>
      <c r="AP962" s="24" t="e">
        <f>VLOOKUP(C962,#REF!,6,FALSE)</f>
        <v>#REF!</v>
      </c>
      <c r="AQ962" s="24" t="e">
        <f>VLOOKUP(C962,#REF!,7,FALSE)</f>
        <v>#REF!</v>
      </c>
      <c r="AR962" s="24" t="e">
        <f>VLOOKUP(C962,#REF!,12,FALSE)</f>
        <v>#REF!</v>
      </c>
      <c r="AS962" s="24" t="e">
        <f>VLOOKUP(C962,#REF!,13,FALSE)</f>
        <v>#REF!</v>
      </c>
      <c r="AT962" s="100"/>
      <c r="AU962" s="100"/>
      <c r="AV962" s="100">
        <v>938</v>
      </c>
      <c r="AW962" s="100"/>
      <c r="AY962" s="9">
        <v>9900</v>
      </c>
    </row>
    <row r="963" spans="1:51" s="2" customFormat="1" ht="12.75" customHeight="1" x14ac:dyDescent="0.25">
      <c r="A963" s="1"/>
      <c r="B963" s="3"/>
      <c r="C963" s="3"/>
      <c r="E963" s="274"/>
      <c r="F963" s="275"/>
      <c r="H963" s="132"/>
      <c r="I963" s="132"/>
      <c r="J963" s="132"/>
      <c r="K963" s="132"/>
      <c r="L963" s="18"/>
      <c r="M963" s="132"/>
      <c r="N963" s="132"/>
      <c r="O963" s="132"/>
      <c r="P963" s="132"/>
      <c r="Q963" s="147"/>
      <c r="R963" s="327"/>
      <c r="S963" s="360"/>
      <c r="T963" s="307"/>
      <c r="U963" s="135"/>
      <c r="V963" s="100"/>
      <c r="W963"/>
      <c r="X963"/>
      <c r="Y963"/>
      <c r="Z963"/>
      <c r="AA963"/>
      <c r="AB963"/>
      <c r="AC963"/>
      <c r="AD963" s="263"/>
      <c r="AE963"/>
      <c r="AF963" s="100"/>
      <c r="AG963" s="263"/>
      <c r="AH963"/>
      <c r="AI963" s="100"/>
      <c r="AJ963" s="263"/>
      <c r="AK963"/>
      <c r="AL963" s="100"/>
      <c r="AM963" s="263"/>
      <c r="AN963"/>
      <c r="AO963" s="100"/>
      <c r="AP963" s="100"/>
      <c r="AQ963" s="100"/>
      <c r="AR963" s="100"/>
      <c r="AS963" s="100"/>
      <c r="AT963" s="100"/>
      <c r="AU963" s="100"/>
      <c r="AV963" s="100">
        <v>939</v>
      </c>
      <c r="AW963" s="100"/>
      <c r="AY963" s="18"/>
    </row>
    <row r="964" spans="1:51" s="2" customFormat="1" ht="12.75" customHeight="1" x14ac:dyDescent="0.25">
      <c r="A964" s="202" t="s">
        <v>1674</v>
      </c>
      <c r="B964" s="203"/>
      <c r="C964" s="203"/>
      <c r="D964" s="204"/>
      <c r="E964" s="205"/>
      <c r="F964" s="162"/>
      <c r="G964" s="162"/>
      <c r="H964" s="132"/>
      <c r="I964" s="132"/>
      <c r="J964" s="132"/>
      <c r="K964" s="132"/>
      <c r="L964" s="18"/>
      <c r="M964" s="132"/>
      <c r="N964" s="132"/>
      <c r="O964" s="132"/>
      <c r="P964" s="132"/>
      <c r="Q964" s="147"/>
      <c r="R964" s="327"/>
      <c r="S964" s="360"/>
      <c r="T964" s="307"/>
      <c r="U964" s="135"/>
      <c r="V964" s="100"/>
      <c r="W964"/>
      <c r="X964"/>
      <c r="Y964"/>
      <c r="Z964"/>
      <c r="AA964"/>
      <c r="AB964"/>
      <c r="AC964"/>
      <c r="AD964" s="263"/>
      <c r="AE964"/>
      <c r="AF964" s="100"/>
      <c r="AG964" s="263"/>
      <c r="AH964"/>
      <c r="AI964" s="100"/>
      <c r="AJ964" s="263"/>
      <c r="AK964"/>
      <c r="AL964" s="100"/>
      <c r="AM964" s="263"/>
      <c r="AN964"/>
      <c r="AO964" s="100"/>
      <c r="AP964" s="100"/>
      <c r="AQ964" s="100"/>
      <c r="AR964" s="100"/>
      <c r="AS964" s="100"/>
      <c r="AT964" s="100"/>
      <c r="AU964" s="100"/>
      <c r="AV964" s="100">
        <v>940</v>
      </c>
      <c r="AW964" s="100"/>
      <c r="AY964" s="18"/>
    </row>
    <row r="965" spans="1:51" s="2" customFormat="1" ht="12.75" customHeight="1" x14ac:dyDescent="0.2">
      <c r="A965" s="6" t="s">
        <v>1675</v>
      </c>
      <c r="B965" s="8">
        <v>9789500299367</v>
      </c>
      <c r="C965" s="8">
        <v>622646</v>
      </c>
      <c r="D965" s="25">
        <v>32</v>
      </c>
      <c r="E965" s="7" t="s">
        <v>315</v>
      </c>
      <c r="F965" s="175" t="s">
        <v>1676</v>
      </c>
      <c r="G965" s="107">
        <v>42767</v>
      </c>
      <c r="H965" s="108">
        <v>42644</v>
      </c>
      <c r="I965" s="24">
        <v>5016</v>
      </c>
      <c r="J965" s="28" t="s">
        <v>1946</v>
      </c>
      <c r="K965" s="28">
        <v>33.340000000000003</v>
      </c>
      <c r="L965" s="128">
        <v>9900</v>
      </c>
      <c r="M965" s="112"/>
      <c r="N965" s="9">
        <f>+L965/2</f>
        <v>4950</v>
      </c>
      <c r="O965" s="9">
        <f>+N965-M965-K965</f>
        <v>4916.66</v>
      </c>
      <c r="P965" s="9">
        <f>+M965+K965</f>
        <v>33.340000000000003</v>
      </c>
      <c r="Q965" s="139">
        <f>+O965/N965</f>
        <v>0.99326464646464641</v>
      </c>
      <c r="R965" s="387">
        <v>9900</v>
      </c>
      <c r="S965" s="359" t="s">
        <v>1948</v>
      </c>
      <c r="T965" s="305">
        <v>0.99326464646464641</v>
      </c>
      <c r="U965" s="144"/>
      <c r="V965" s="100"/>
      <c r="W965" s="110">
        <f>+L965</f>
        <v>9900</v>
      </c>
      <c r="X965" s="110">
        <f>+K965</f>
        <v>33.340000000000003</v>
      </c>
      <c r="Y965" s="110">
        <f>+M965</f>
        <v>0</v>
      </c>
      <c r="Z965" s="110">
        <f>+W965/2-X965-Y965</f>
        <v>4916.66</v>
      </c>
      <c r="AA965" s="260">
        <f>+Z965/(W965/2)</f>
        <v>0.99326464646464641</v>
      </c>
      <c r="AB965" s="28">
        <f>ROUND($W965/2/$X$1,1)</f>
        <v>3.3</v>
      </c>
      <c r="AC965" s="261">
        <f>+(AB965*$X$1-$X965-$Y965)/(AB965*$X$1)</f>
        <v>0.99333792924297371</v>
      </c>
      <c r="AD965" s="111">
        <f>+IFERROR(ROUND(($X965+$Y965)/(1-$X$2)/$X$1,1),0)</f>
        <v>0</v>
      </c>
      <c r="AE965" s="262" t="e">
        <f>+(AD965*$X$1-$X965-$Y965)/(AD965*$X$1)</f>
        <v>#DIV/0!</v>
      </c>
      <c r="AF965" s="100"/>
      <c r="AG965" s="111">
        <f>+IFERROR(ROUND(($X965+$Y965)/(1-$AG$2)/$X$1,1),0)</f>
        <v>0</v>
      </c>
      <c r="AH965" s="262" t="e">
        <f>+(AG965*$X$1-$X965-$Y965)/(AG965*$X$1)</f>
        <v>#DIV/0!</v>
      </c>
      <c r="AI965" s="100"/>
      <c r="AJ965" s="111">
        <f>+IFERROR(ROUND(($X965+$Y965)/(1-$AJ$2)/$X$1,1),0)</f>
        <v>0</v>
      </c>
      <c r="AK965" s="262" t="e">
        <f>+(AJ965*$X$1-$X965-$Y965)/(AJ965*$X$1)</f>
        <v>#DIV/0!</v>
      </c>
      <c r="AL965" s="100"/>
      <c r="AM965" s="111">
        <f>+IFERROR(ROUND(($X965+$Y965)/(1-$AM$2)/$X$1,1),0)</f>
        <v>0</v>
      </c>
      <c r="AN965" s="262" t="e">
        <f>+(AM965*$X$1-$X965-$Y965)/(AM965*$X$1)</f>
        <v>#DIV/0!</v>
      </c>
      <c r="AO965" s="100"/>
      <c r="AP965" s="24" t="e">
        <f>VLOOKUP(C965,#REF!,6,FALSE)</f>
        <v>#REF!</v>
      </c>
      <c r="AQ965" s="24" t="e">
        <f>VLOOKUP(C965,#REF!,7,FALSE)</f>
        <v>#REF!</v>
      </c>
      <c r="AR965" s="24" t="e">
        <f>VLOOKUP(C965,#REF!,12,FALSE)</f>
        <v>#REF!</v>
      </c>
      <c r="AS965" s="24" t="e">
        <f>VLOOKUP(C965,#REF!,13,FALSE)</f>
        <v>#REF!</v>
      </c>
      <c r="AT965" s="100"/>
      <c r="AU965" s="100"/>
      <c r="AV965" s="100">
        <v>941</v>
      </c>
      <c r="AW965" s="100"/>
      <c r="AY965" s="128">
        <v>9900</v>
      </c>
    </row>
    <row r="966" spans="1:51" s="2" customFormat="1" ht="12.75" customHeight="1" x14ac:dyDescent="0.25">
      <c r="A966" s="1"/>
      <c r="B966" s="3"/>
      <c r="C966" s="3"/>
      <c r="E966" s="274"/>
      <c r="F966" s="275"/>
      <c r="H966" s="132"/>
      <c r="I966" s="132"/>
      <c r="J966" s="132"/>
      <c r="K966" s="132"/>
      <c r="L966" s="134"/>
      <c r="M966" s="132"/>
      <c r="N966" s="132"/>
      <c r="O966" s="132"/>
      <c r="P966" s="132"/>
      <c r="Q966" s="147"/>
      <c r="R966" s="327"/>
      <c r="S966" s="360"/>
      <c r="T966" s="307"/>
      <c r="U966" s="135"/>
      <c r="V966" s="100"/>
      <c r="W966"/>
      <c r="X966"/>
      <c r="Y966"/>
      <c r="Z966"/>
      <c r="AA966"/>
      <c r="AB966"/>
      <c r="AC966"/>
      <c r="AD966" s="263"/>
      <c r="AE966"/>
      <c r="AF966" s="100"/>
      <c r="AG966" s="263"/>
      <c r="AH966"/>
      <c r="AI966" s="100"/>
      <c r="AJ966" s="263"/>
      <c r="AK966"/>
      <c r="AL966" s="100"/>
      <c r="AM966" s="263"/>
      <c r="AN966"/>
      <c r="AO966" s="100"/>
      <c r="AP966" s="100"/>
      <c r="AQ966" s="100"/>
      <c r="AR966" s="100"/>
      <c r="AS966" s="100"/>
      <c r="AT966" s="100"/>
      <c r="AU966" s="100"/>
      <c r="AV966" s="100">
        <v>942</v>
      </c>
      <c r="AW966" s="100"/>
      <c r="AY966" s="134"/>
    </row>
    <row r="967" spans="1:51" s="2" customFormat="1" ht="12.75" customHeight="1" x14ac:dyDescent="0.25">
      <c r="A967" s="202" t="s">
        <v>1677</v>
      </c>
      <c r="B967" s="203"/>
      <c r="C967" s="203"/>
      <c r="D967" s="204"/>
      <c r="E967" s="205"/>
      <c r="F967" s="162"/>
      <c r="G967" s="162"/>
      <c r="H967" s="132"/>
      <c r="I967" s="132"/>
      <c r="J967" s="132"/>
      <c r="K967" s="132"/>
      <c r="L967" s="134"/>
      <c r="M967" s="132"/>
      <c r="N967" s="132"/>
      <c r="O967" s="132"/>
      <c r="P967" s="132"/>
      <c r="Q967" s="147"/>
      <c r="R967" s="327"/>
      <c r="S967" s="360"/>
      <c r="T967" s="307"/>
      <c r="U967" s="135"/>
      <c r="V967" s="100"/>
      <c r="W967"/>
      <c r="X967"/>
      <c r="Y967"/>
      <c r="Z967"/>
      <c r="AA967"/>
      <c r="AB967"/>
      <c r="AC967"/>
      <c r="AD967" s="263"/>
      <c r="AE967"/>
      <c r="AF967" s="100"/>
      <c r="AG967" s="263"/>
      <c r="AH967"/>
      <c r="AI967" s="100"/>
      <c r="AJ967" s="263"/>
      <c r="AK967"/>
      <c r="AL967" s="100"/>
      <c r="AM967" s="263"/>
      <c r="AN967"/>
      <c r="AO967" s="100"/>
      <c r="AP967" s="100"/>
      <c r="AQ967" s="100"/>
      <c r="AR967" s="100"/>
      <c r="AS967" s="100"/>
      <c r="AT967" s="100"/>
      <c r="AU967" s="100"/>
      <c r="AV967" s="100">
        <v>943</v>
      </c>
      <c r="AW967" s="100"/>
      <c r="AY967" s="134"/>
    </row>
    <row r="968" spans="1:51" s="162" customFormat="1" ht="12.75" customHeight="1" x14ac:dyDescent="0.2">
      <c r="A968" s="6" t="s">
        <v>1678</v>
      </c>
      <c r="B968" s="8">
        <v>9789500299336</v>
      </c>
      <c r="C968" s="8">
        <v>622627</v>
      </c>
      <c r="D968" s="25">
        <v>8</v>
      </c>
      <c r="E968" s="216" t="s">
        <v>316</v>
      </c>
      <c r="F968" s="175" t="s">
        <v>1679</v>
      </c>
      <c r="G968" s="107">
        <v>42795</v>
      </c>
      <c r="H968" s="108">
        <v>42667</v>
      </c>
      <c r="I968" s="24">
        <v>3024</v>
      </c>
      <c r="J968" s="28" t="s">
        <v>1946</v>
      </c>
      <c r="K968" s="28">
        <v>39.590000000000003</v>
      </c>
      <c r="L968" s="28">
        <v>9900</v>
      </c>
      <c r="M968" s="112"/>
      <c r="N968" s="9">
        <f>+L968/2</f>
        <v>4950</v>
      </c>
      <c r="O968" s="9">
        <f>+N968-M968-K968</f>
        <v>4910.41</v>
      </c>
      <c r="P968" s="9">
        <f>+M968+K968</f>
        <v>39.590000000000003</v>
      </c>
      <c r="Q968" s="139">
        <f>+O968/N968</f>
        <v>0.99200202020202022</v>
      </c>
      <c r="R968" s="387">
        <v>9900</v>
      </c>
      <c r="S968" s="359" t="s">
        <v>1948</v>
      </c>
      <c r="T968" s="305">
        <v>0.99200202020202022</v>
      </c>
      <c r="U968" s="144"/>
      <c r="V968" s="100"/>
      <c r="W968" s="110">
        <f>+L968</f>
        <v>9900</v>
      </c>
      <c r="X968" s="110">
        <f>+K968</f>
        <v>39.590000000000003</v>
      </c>
      <c r="Y968" s="110">
        <f>+M968</f>
        <v>0</v>
      </c>
      <c r="Z968" s="110">
        <f>+W968/2-X968-Y968</f>
        <v>4910.41</v>
      </c>
      <c r="AA968" s="260">
        <f>+Z968/(W968/2)</f>
        <v>0.99200202020202022</v>
      </c>
      <c r="AB968" s="28">
        <f>ROUND($W968/2/$X$1,1)</f>
        <v>3.3</v>
      </c>
      <c r="AC968" s="261">
        <f>+(AB968*$X$1-$X968-$Y968)/(AB968*$X$1)</f>
        <v>0.99208904075372917</v>
      </c>
      <c r="AD968" s="111">
        <f>+IFERROR(ROUND(($X968+$Y968)/(1-$X$2)/$X$1,1),0)</f>
        <v>0</v>
      </c>
      <c r="AE968" s="262" t="e">
        <f>+(AD968*$X$1-$X968-$Y968)/(AD968*$X$1)</f>
        <v>#DIV/0!</v>
      </c>
      <c r="AF968" s="100"/>
      <c r="AG968" s="111">
        <f>+IFERROR(ROUND(($X968+$Y968)/(1-$AG$2)/$X$1,1),0)</f>
        <v>0</v>
      </c>
      <c r="AH968" s="262" t="e">
        <f>+(AG968*$X$1-$X968-$Y968)/(AG968*$X$1)</f>
        <v>#DIV/0!</v>
      </c>
      <c r="AI968" s="100"/>
      <c r="AJ968" s="111">
        <f>+IFERROR(ROUND(($X968+$Y968)/(1-$AJ$2)/$X$1,1),0)</f>
        <v>0</v>
      </c>
      <c r="AK968" s="262" t="e">
        <f>+(AJ968*$X$1-$X968-$Y968)/(AJ968*$X$1)</f>
        <v>#DIV/0!</v>
      </c>
      <c r="AL968" s="100"/>
      <c r="AM968" s="111">
        <f>+IFERROR(ROUND(($X968+$Y968)/(1-$AM$2)/$X$1,1),0)</f>
        <v>0</v>
      </c>
      <c r="AN968" s="262" t="e">
        <f>+(AM968*$X$1-$X968-$Y968)/(AM968*$X$1)</f>
        <v>#DIV/0!</v>
      </c>
      <c r="AO968" s="100"/>
      <c r="AP968" s="24" t="e">
        <f>VLOOKUP(C968,#REF!,6,FALSE)</f>
        <v>#REF!</v>
      </c>
      <c r="AQ968" s="24" t="e">
        <f>VLOOKUP(C968,#REF!,7,FALSE)</f>
        <v>#REF!</v>
      </c>
      <c r="AR968" s="24" t="e">
        <f>VLOOKUP(C968,#REF!,12,FALSE)</f>
        <v>#REF!</v>
      </c>
      <c r="AS968" s="24" t="e">
        <f>VLOOKUP(C968,#REF!,13,FALSE)</f>
        <v>#REF!</v>
      </c>
      <c r="AT968" s="100"/>
      <c r="AU968" s="100"/>
      <c r="AV968" s="100">
        <v>944</v>
      </c>
      <c r="AW968" s="100"/>
      <c r="AY968" s="28">
        <v>9900</v>
      </c>
    </row>
    <row r="969" spans="1:51" s="2" customFormat="1" ht="12.75" customHeight="1" x14ac:dyDescent="0.2">
      <c r="A969" s="6" t="s">
        <v>1680</v>
      </c>
      <c r="B969" s="8">
        <v>9789500299343</v>
      </c>
      <c r="C969" s="8">
        <v>622626</v>
      </c>
      <c r="D969" s="25">
        <v>8</v>
      </c>
      <c r="E969" s="216" t="s">
        <v>316</v>
      </c>
      <c r="F969" s="175" t="s">
        <v>1681</v>
      </c>
      <c r="G969" s="107">
        <v>42795</v>
      </c>
      <c r="H969" s="108">
        <v>42667</v>
      </c>
      <c r="I969" s="24">
        <v>3024</v>
      </c>
      <c r="J969" s="28" t="s">
        <v>1946</v>
      </c>
      <c r="K969" s="28">
        <v>39.590000000000003</v>
      </c>
      <c r="L969" s="28">
        <v>9900</v>
      </c>
      <c r="M969" s="112"/>
      <c r="N969" s="9">
        <f>+L969/2</f>
        <v>4950</v>
      </c>
      <c r="O969" s="9">
        <f>+N969-M969-K969</f>
        <v>4910.41</v>
      </c>
      <c r="P969" s="9">
        <f>+M969+K969</f>
        <v>39.590000000000003</v>
      </c>
      <c r="Q969" s="139">
        <f>+O969/N969</f>
        <v>0.99200202020202022</v>
      </c>
      <c r="R969" s="387">
        <v>9900</v>
      </c>
      <c r="S969" s="359" t="s">
        <v>1948</v>
      </c>
      <c r="T969" s="305">
        <v>0.99200202020202022</v>
      </c>
      <c r="U969" s="144"/>
      <c r="V969" s="100"/>
      <c r="W969" s="110">
        <f>+L969</f>
        <v>9900</v>
      </c>
      <c r="X969" s="110">
        <f>+K969</f>
        <v>39.590000000000003</v>
      </c>
      <c r="Y969" s="110">
        <f>+M969</f>
        <v>0</v>
      </c>
      <c r="Z969" s="110">
        <f>+W969/2-X969-Y969</f>
        <v>4910.41</v>
      </c>
      <c r="AA969" s="260">
        <f>+Z969/(W969/2)</f>
        <v>0.99200202020202022</v>
      </c>
      <c r="AB969" s="28">
        <f>ROUND($W969/2/$X$1,1)</f>
        <v>3.3</v>
      </c>
      <c r="AC969" s="261">
        <f>+(AB969*$X$1-$X969-$Y969)/(AB969*$X$1)</f>
        <v>0.99208904075372917</v>
      </c>
      <c r="AD969" s="111">
        <f>+IFERROR(ROUND(($X969+$Y969)/(1-$X$2)/$X$1,1),0)</f>
        <v>0</v>
      </c>
      <c r="AE969" s="262" t="e">
        <f>+(AD969*$X$1-$X969-$Y969)/(AD969*$X$1)</f>
        <v>#DIV/0!</v>
      </c>
      <c r="AF969" s="100"/>
      <c r="AG969" s="111">
        <f>+IFERROR(ROUND(($X969+$Y969)/(1-$AG$2)/$X$1,1),0)</f>
        <v>0</v>
      </c>
      <c r="AH969" s="262" t="e">
        <f>+(AG969*$X$1-$X969-$Y969)/(AG969*$X$1)</f>
        <v>#DIV/0!</v>
      </c>
      <c r="AI969" s="100"/>
      <c r="AJ969" s="111">
        <f>+IFERROR(ROUND(($X969+$Y969)/(1-$AJ$2)/$X$1,1),0)</f>
        <v>0</v>
      </c>
      <c r="AK969" s="262" t="e">
        <f>+(AJ969*$X$1-$X969-$Y969)/(AJ969*$X$1)</f>
        <v>#DIV/0!</v>
      </c>
      <c r="AL969" s="100"/>
      <c r="AM969" s="111">
        <f>+IFERROR(ROUND(($X969+$Y969)/(1-$AM$2)/$X$1,1),0)</f>
        <v>0</v>
      </c>
      <c r="AN969" s="262" t="e">
        <f>+(AM969*$X$1-$X969-$Y969)/(AM969*$X$1)</f>
        <v>#DIV/0!</v>
      </c>
      <c r="AO969" s="100"/>
      <c r="AP969" s="24" t="e">
        <f>VLOOKUP(C969,#REF!,6,FALSE)</f>
        <v>#REF!</v>
      </c>
      <c r="AQ969" s="24" t="e">
        <f>VLOOKUP(C969,#REF!,7,FALSE)</f>
        <v>#REF!</v>
      </c>
      <c r="AR969" s="24" t="e">
        <f>VLOOKUP(C969,#REF!,12,FALSE)</f>
        <v>#REF!</v>
      </c>
      <c r="AS969" s="24" t="e">
        <f>VLOOKUP(C969,#REF!,13,FALSE)</f>
        <v>#REF!</v>
      </c>
      <c r="AT969" s="100"/>
      <c r="AU969" s="100"/>
      <c r="AV969" s="100">
        <v>945</v>
      </c>
      <c r="AW969" s="100"/>
      <c r="AY969" s="28">
        <v>9900</v>
      </c>
    </row>
    <row r="970" spans="1:51" s="2" customFormat="1" ht="12.75" customHeight="1" x14ac:dyDescent="0.25">
      <c r="A970" s="1"/>
      <c r="B970" s="3"/>
      <c r="C970" s="3"/>
      <c r="E970" s="274"/>
      <c r="F970" s="275"/>
      <c r="H970" s="132"/>
      <c r="I970" s="132"/>
      <c r="J970" s="132"/>
      <c r="K970" s="132"/>
      <c r="L970" s="134"/>
      <c r="M970" s="132"/>
      <c r="N970" s="132"/>
      <c r="O970" s="132"/>
      <c r="P970" s="132"/>
      <c r="Q970" s="147"/>
      <c r="R970" s="327"/>
      <c r="S970" s="360"/>
      <c r="T970" s="307"/>
      <c r="U970" s="135"/>
      <c r="V970" s="100"/>
      <c r="W970"/>
      <c r="X970"/>
      <c r="Y970"/>
      <c r="Z970"/>
      <c r="AA970"/>
      <c r="AB970"/>
      <c r="AC970"/>
      <c r="AD970" s="263"/>
      <c r="AE970"/>
      <c r="AF970" s="100"/>
      <c r="AG970" s="263"/>
      <c r="AH970"/>
      <c r="AI970" s="100"/>
      <c r="AJ970" s="263"/>
      <c r="AK970"/>
      <c r="AL970" s="100"/>
      <c r="AM970" s="263"/>
      <c r="AN970"/>
      <c r="AO970" s="100"/>
      <c r="AP970" s="100"/>
      <c r="AQ970" s="100"/>
      <c r="AR970" s="100"/>
      <c r="AS970" s="100"/>
      <c r="AT970" s="100"/>
      <c r="AU970" s="100"/>
      <c r="AV970" s="100">
        <v>946</v>
      </c>
      <c r="AW970" s="100"/>
      <c r="AY970" s="134"/>
    </row>
    <row r="971" spans="1:51" s="2" customFormat="1" ht="12.75" customHeight="1" x14ac:dyDescent="0.25">
      <c r="A971" s="202" t="s">
        <v>1682</v>
      </c>
      <c r="B971" s="203"/>
      <c r="C971" s="203"/>
      <c r="D971" s="204"/>
      <c r="E971" s="205"/>
      <c r="F971" s="162"/>
      <c r="G971" s="162"/>
      <c r="H971" s="132"/>
      <c r="I971" s="132"/>
      <c r="J971" s="132"/>
      <c r="K971" s="132"/>
      <c r="L971" s="134"/>
      <c r="M971" s="132"/>
      <c r="N971" s="132"/>
      <c r="O971" s="132"/>
      <c r="P971" s="132"/>
      <c r="Q971" s="147"/>
      <c r="R971" s="327"/>
      <c r="S971" s="360"/>
      <c r="T971" s="307"/>
      <c r="U971" s="135"/>
      <c r="V971" s="100"/>
      <c r="W971"/>
      <c r="X971"/>
      <c r="Y971"/>
      <c r="Z971"/>
      <c r="AA971"/>
      <c r="AB971"/>
      <c r="AC971"/>
      <c r="AD971" s="263"/>
      <c r="AE971"/>
      <c r="AF971" s="100"/>
      <c r="AG971" s="263"/>
      <c r="AH971"/>
      <c r="AI971" s="100"/>
      <c r="AJ971" s="263"/>
      <c r="AK971"/>
      <c r="AL971" s="100"/>
      <c r="AM971" s="263"/>
      <c r="AN971"/>
      <c r="AO971" s="100"/>
      <c r="AP971" s="100"/>
      <c r="AQ971" s="100"/>
      <c r="AR971" s="100"/>
      <c r="AS971" s="100"/>
      <c r="AT971" s="100"/>
      <c r="AU971" s="100"/>
      <c r="AV971" s="100">
        <v>947</v>
      </c>
      <c r="AW971" s="100"/>
      <c r="AY971" s="134"/>
    </row>
    <row r="972" spans="1:51" s="2" customFormat="1" ht="12.75" customHeight="1" x14ac:dyDescent="0.2">
      <c r="A972" s="6" t="s">
        <v>1544</v>
      </c>
      <c r="B972" s="8">
        <v>9789500299268</v>
      </c>
      <c r="C972" s="8">
        <v>622590</v>
      </c>
      <c r="D972" s="7">
        <v>12</v>
      </c>
      <c r="E972" s="7" t="s">
        <v>317</v>
      </c>
      <c r="F972" s="7" t="s">
        <v>1683</v>
      </c>
      <c r="G972" s="107">
        <v>42675</v>
      </c>
      <c r="H972" s="108">
        <v>42624</v>
      </c>
      <c r="I972" s="24">
        <v>3940</v>
      </c>
      <c r="J972" s="28" t="s">
        <v>1946</v>
      </c>
      <c r="K972" s="28">
        <v>61.44</v>
      </c>
      <c r="L972" s="28">
        <v>9900</v>
      </c>
      <c r="M972" s="112"/>
      <c r="N972" s="9">
        <f>+L972/2</f>
        <v>4950</v>
      </c>
      <c r="O972" s="9">
        <f>+N972-M972-K972</f>
        <v>4888.5600000000004</v>
      </c>
      <c r="P972" s="9">
        <f>+M972+K972</f>
        <v>61.44</v>
      </c>
      <c r="Q972" s="139">
        <f>+O972/N972</f>
        <v>0.9875878787878789</v>
      </c>
      <c r="R972" s="387">
        <v>9900</v>
      </c>
      <c r="S972" s="359" t="s">
        <v>1948</v>
      </c>
      <c r="T972" s="305">
        <v>0.9875878787878789</v>
      </c>
      <c r="U972" s="144"/>
      <c r="V972" s="100"/>
      <c r="W972" s="110">
        <f>+L972</f>
        <v>9900</v>
      </c>
      <c r="X972" s="110">
        <f>+K972</f>
        <v>61.44</v>
      </c>
      <c r="Y972" s="110">
        <f>+M972</f>
        <v>0</v>
      </c>
      <c r="Z972" s="110">
        <f>+W972/2-X972-Y972</f>
        <v>4888.5600000000004</v>
      </c>
      <c r="AA972" s="260">
        <f>+Z972/(W972/2)</f>
        <v>0.9875878787878789</v>
      </c>
      <c r="AB972" s="28">
        <f>ROUND($W972/2/$X$1,1)</f>
        <v>3.3</v>
      </c>
      <c r="AC972" s="261">
        <f>+(AB972*$X$1-$X972-$Y972)/(AB972*$X$1)</f>
        <v>0.98772292659533023</v>
      </c>
      <c r="AD972" s="111">
        <f>+IFERROR(ROUND(($X972+$Y972)/(1-$X$2)/$X$1,1),0)</f>
        <v>0</v>
      </c>
      <c r="AE972" s="262" t="e">
        <f>+(AD972*$X$1-$X972-$Y972)/(AD972*$X$1)</f>
        <v>#DIV/0!</v>
      </c>
      <c r="AF972" s="100"/>
      <c r="AG972" s="111">
        <f>+IFERROR(ROUND(($X972+$Y972)/(1-$AG$2)/$X$1,1),0)</f>
        <v>0.1</v>
      </c>
      <c r="AH972" s="262">
        <f>+(AG972*$X$1-$X972-$Y972)/(AG972*$X$1)</f>
        <v>0.59485657764589517</v>
      </c>
      <c r="AI972" s="100"/>
      <c r="AJ972" s="111">
        <f>+IFERROR(ROUND(($X972+$Y972)/(1-$AJ$2)/$X$1,1),0)</f>
        <v>0.1</v>
      </c>
      <c r="AK972" s="262">
        <f>+(AJ972*$X$1-$X972-$Y972)/(AJ972*$X$1)</f>
        <v>0.59485657764589517</v>
      </c>
      <c r="AL972" s="100"/>
      <c r="AM972" s="111">
        <f>+IFERROR(ROUND(($X972+$Y972)/(1-$AM$2)/$X$1,1),0)</f>
        <v>0.1</v>
      </c>
      <c r="AN972" s="262">
        <f>+(AM972*$X$1-$X972-$Y972)/(AM972*$X$1)</f>
        <v>0.59485657764589517</v>
      </c>
      <c r="AO972" s="100"/>
      <c r="AP972" s="24" t="e">
        <f>VLOOKUP(C972,#REF!,6,FALSE)</f>
        <v>#REF!</v>
      </c>
      <c r="AQ972" s="24" t="e">
        <f>VLOOKUP(C972,#REF!,7,FALSE)</f>
        <v>#REF!</v>
      </c>
      <c r="AR972" s="24" t="e">
        <f>VLOOKUP(C972,#REF!,12,FALSE)</f>
        <v>#REF!</v>
      </c>
      <c r="AS972" s="24" t="e">
        <f>VLOOKUP(C972,#REF!,13,FALSE)</f>
        <v>#REF!</v>
      </c>
      <c r="AT972" s="100"/>
      <c r="AU972" s="100"/>
      <c r="AV972" s="100">
        <v>948</v>
      </c>
      <c r="AW972" s="100"/>
      <c r="AY972" s="28">
        <v>9900</v>
      </c>
    </row>
    <row r="973" spans="1:51" s="2" customFormat="1" ht="12.75" customHeight="1" x14ac:dyDescent="0.2">
      <c r="A973" s="6" t="s">
        <v>1684</v>
      </c>
      <c r="B973" s="8">
        <v>9789500299244</v>
      </c>
      <c r="C973" s="8">
        <v>622587</v>
      </c>
      <c r="D973" s="7">
        <v>12</v>
      </c>
      <c r="E973" s="7" t="s">
        <v>317</v>
      </c>
      <c r="F973" s="7" t="s">
        <v>616</v>
      </c>
      <c r="G973" s="107">
        <v>42675</v>
      </c>
      <c r="H973" s="108">
        <v>42624</v>
      </c>
      <c r="I973" s="24">
        <v>3760</v>
      </c>
      <c r="J973" s="28" t="s">
        <v>1946</v>
      </c>
      <c r="K973" s="28">
        <v>61.44</v>
      </c>
      <c r="L973" s="28">
        <v>9900</v>
      </c>
      <c r="M973" s="112"/>
      <c r="N973" s="9">
        <f>+L973/2</f>
        <v>4950</v>
      </c>
      <c r="O973" s="9">
        <f>+N973-M973-K973</f>
        <v>4888.5600000000004</v>
      </c>
      <c r="P973" s="9">
        <f>+M973+K973</f>
        <v>61.44</v>
      </c>
      <c r="Q973" s="139">
        <f>+O973/N973</f>
        <v>0.9875878787878789</v>
      </c>
      <c r="R973" s="387">
        <v>9900</v>
      </c>
      <c r="S973" s="359" t="s">
        <v>1948</v>
      </c>
      <c r="T973" s="305">
        <v>0.9875878787878789</v>
      </c>
      <c r="U973" s="144"/>
      <c r="V973" s="100"/>
      <c r="W973" s="110">
        <f>+L973</f>
        <v>9900</v>
      </c>
      <c r="X973" s="110">
        <f>+K973</f>
        <v>61.44</v>
      </c>
      <c r="Y973" s="110">
        <f>+M973</f>
        <v>0</v>
      </c>
      <c r="Z973" s="110">
        <f>+W973/2-X973-Y973</f>
        <v>4888.5600000000004</v>
      </c>
      <c r="AA973" s="260">
        <f>+Z973/(W973/2)</f>
        <v>0.9875878787878789</v>
      </c>
      <c r="AB973" s="28">
        <f>ROUND($W973/2/$X$1,1)</f>
        <v>3.3</v>
      </c>
      <c r="AC973" s="261">
        <f>+(AB973*$X$1-$X973-$Y973)/(AB973*$X$1)</f>
        <v>0.98772292659533023</v>
      </c>
      <c r="AD973" s="111">
        <f>+IFERROR(ROUND(($X973+$Y973)/(1-$X$2)/$X$1,1),0)</f>
        <v>0</v>
      </c>
      <c r="AE973" s="262" t="e">
        <f>+(AD973*$X$1-$X973-$Y973)/(AD973*$X$1)</f>
        <v>#DIV/0!</v>
      </c>
      <c r="AF973" s="100"/>
      <c r="AG973" s="111">
        <f>+IFERROR(ROUND(($X973+$Y973)/(1-$AG$2)/$X$1,1),0)</f>
        <v>0.1</v>
      </c>
      <c r="AH973" s="262">
        <f>+(AG973*$X$1-$X973-$Y973)/(AG973*$X$1)</f>
        <v>0.59485657764589517</v>
      </c>
      <c r="AI973" s="100"/>
      <c r="AJ973" s="111">
        <f>+IFERROR(ROUND(($X973+$Y973)/(1-$AJ$2)/$X$1,1),0)</f>
        <v>0.1</v>
      </c>
      <c r="AK973" s="262">
        <f>+(AJ973*$X$1-$X973-$Y973)/(AJ973*$X$1)</f>
        <v>0.59485657764589517</v>
      </c>
      <c r="AL973" s="100"/>
      <c r="AM973" s="111">
        <f>+IFERROR(ROUND(($X973+$Y973)/(1-$AM$2)/$X$1,1),0)</f>
        <v>0.1</v>
      </c>
      <c r="AN973" s="262">
        <f>+(AM973*$X$1-$X973-$Y973)/(AM973*$X$1)</f>
        <v>0.59485657764589517</v>
      </c>
      <c r="AO973" s="100"/>
      <c r="AP973" s="24" t="e">
        <f>VLOOKUP(C973,#REF!,6,FALSE)</f>
        <v>#REF!</v>
      </c>
      <c r="AQ973" s="24" t="e">
        <f>VLOOKUP(C973,#REF!,7,FALSE)</f>
        <v>#REF!</v>
      </c>
      <c r="AR973" s="24" t="e">
        <f>VLOOKUP(C973,#REF!,12,FALSE)</f>
        <v>#REF!</v>
      </c>
      <c r="AS973" s="24" t="e">
        <f>VLOOKUP(C973,#REF!,13,FALSE)</f>
        <v>#REF!</v>
      </c>
      <c r="AT973" s="100"/>
      <c r="AU973" s="100"/>
      <c r="AV973" s="100">
        <v>949</v>
      </c>
      <c r="AW973" s="100"/>
      <c r="AY973" s="28">
        <v>9900</v>
      </c>
    </row>
    <row r="974" spans="1:51" s="2" customFormat="1" ht="12.75" customHeight="1" x14ac:dyDescent="0.2">
      <c r="A974" s="6" t="s">
        <v>1685</v>
      </c>
      <c r="B974" s="8">
        <v>9789500299251</v>
      </c>
      <c r="C974" s="8">
        <v>622586</v>
      </c>
      <c r="D974" s="7">
        <v>12</v>
      </c>
      <c r="E974" s="7" t="s">
        <v>317</v>
      </c>
      <c r="F974" s="7" t="s">
        <v>835</v>
      </c>
      <c r="G974" s="107">
        <v>42675</v>
      </c>
      <c r="H974" s="108">
        <v>42624</v>
      </c>
      <c r="I974" s="24">
        <v>4000</v>
      </c>
      <c r="J974" s="28" t="s">
        <v>1946</v>
      </c>
      <c r="K974" s="28">
        <v>61.44</v>
      </c>
      <c r="L974" s="28">
        <v>9900</v>
      </c>
      <c r="M974" s="112"/>
      <c r="N974" s="9">
        <f>+L974/2</f>
        <v>4950</v>
      </c>
      <c r="O974" s="9">
        <f>+N974-M974-K974</f>
        <v>4888.5600000000004</v>
      </c>
      <c r="P974" s="9">
        <f>+M974+K974</f>
        <v>61.44</v>
      </c>
      <c r="Q974" s="139">
        <f>+O974/N974</f>
        <v>0.9875878787878789</v>
      </c>
      <c r="R974" s="387">
        <v>9900</v>
      </c>
      <c r="S974" s="359" t="s">
        <v>1948</v>
      </c>
      <c r="T974" s="305">
        <v>0.9875878787878789</v>
      </c>
      <c r="U974" s="144"/>
      <c r="V974" s="100"/>
      <c r="W974" s="110">
        <f>+L974</f>
        <v>9900</v>
      </c>
      <c r="X974" s="110">
        <f>+K974</f>
        <v>61.44</v>
      </c>
      <c r="Y974" s="110">
        <f>+M974</f>
        <v>0</v>
      </c>
      <c r="Z974" s="110">
        <f>+W974/2-X974-Y974</f>
        <v>4888.5600000000004</v>
      </c>
      <c r="AA974" s="260">
        <f>+Z974/(W974/2)</f>
        <v>0.9875878787878789</v>
      </c>
      <c r="AB974" s="28">
        <f>ROUND($W974/2/$X$1,1)</f>
        <v>3.3</v>
      </c>
      <c r="AC974" s="261">
        <f>+(AB974*$X$1-$X974-$Y974)/(AB974*$X$1)</f>
        <v>0.98772292659533023</v>
      </c>
      <c r="AD974" s="111">
        <f>+IFERROR(ROUND(($X974+$Y974)/(1-$X$2)/$X$1,1),0)</f>
        <v>0</v>
      </c>
      <c r="AE974" s="262" t="e">
        <f>+(AD974*$X$1-$X974-$Y974)/(AD974*$X$1)</f>
        <v>#DIV/0!</v>
      </c>
      <c r="AF974" s="100"/>
      <c r="AG974" s="111">
        <f>+IFERROR(ROUND(($X974+$Y974)/(1-$AG$2)/$X$1,1),0)</f>
        <v>0.1</v>
      </c>
      <c r="AH974" s="262">
        <f>+(AG974*$X$1-$X974-$Y974)/(AG974*$X$1)</f>
        <v>0.59485657764589517</v>
      </c>
      <c r="AI974" s="100"/>
      <c r="AJ974" s="111">
        <f>+IFERROR(ROUND(($X974+$Y974)/(1-$AJ$2)/$X$1,1),0)</f>
        <v>0.1</v>
      </c>
      <c r="AK974" s="262">
        <f>+(AJ974*$X$1-$X974-$Y974)/(AJ974*$X$1)</f>
        <v>0.59485657764589517</v>
      </c>
      <c r="AL974" s="100"/>
      <c r="AM974" s="111">
        <f>+IFERROR(ROUND(($X974+$Y974)/(1-$AM$2)/$X$1,1),0)</f>
        <v>0.1</v>
      </c>
      <c r="AN974" s="262">
        <f>+(AM974*$X$1-$X974-$Y974)/(AM974*$X$1)</f>
        <v>0.59485657764589517</v>
      </c>
      <c r="AO974" s="100"/>
      <c r="AP974" s="24" t="e">
        <f>VLOOKUP(C974,#REF!,6,FALSE)</f>
        <v>#REF!</v>
      </c>
      <c r="AQ974" s="24" t="e">
        <f>VLOOKUP(C974,#REF!,7,FALSE)</f>
        <v>#REF!</v>
      </c>
      <c r="AR974" s="24" t="e">
        <f>VLOOKUP(C974,#REF!,12,FALSE)</f>
        <v>#REF!</v>
      </c>
      <c r="AS974" s="24" t="e">
        <f>VLOOKUP(C974,#REF!,13,FALSE)</f>
        <v>#REF!</v>
      </c>
      <c r="AT974" s="100"/>
      <c r="AU974" s="100"/>
      <c r="AV974" s="100">
        <v>950</v>
      </c>
      <c r="AW974" s="100"/>
      <c r="AY974" s="28">
        <v>9900</v>
      </c>
    </row>
    <row r="975" spans="1:51" s="2" customFormat="1" ht="12.75" customHeight="1" x14ac:dyDescent="0.25">
      <c r="B975" s="3"/>
      <c r="C975" s="3"/>
      <c r="D975" s="17"/>
      <c r="H975" s="132"/>
      <c r="I975" s="132"/>
      <c r="J975" s="132"/>
      <c r="K975" s="132"/>
      <c r="L975" s="134"/>
      <c r="M975" s="132"/>
      <c r="N975" s="132"/>
      <c r="O975" s="132"/>
      <c r="P975" s="132"/>
      <c r="Q975" s="147"/>
      <c r="R975" s="327"/>
      <c r="S975" s="360"/>
      <c r="T975" s="307"/>
      <c r="U975" s="135"/>
      <c r="V975" s="100"/>
      <c r="W975"/>
      <c r="X975"/>
      <c r="Y975"/>
      <c r="Z975"/>
      <c r="AA975"/>
      <c r="AB975"/>
      <c r="AC975"/>
      <c r="AD975" s="263"/>
      <c r="AE975"/>
      <c r="AF975" s="100"/>
      <c r="AG975" s="263"/>
      <c r="AH975"/>
      <c r="AI975" s="100"/>
      <c r="AJ975" s="263"/>
      <c r="AK975"/>
      <c r="AL975" s="100"/>
      <c r="AM975" s="263"/>
      <c r="AN975"/>
      <c r="AO975" s="100"/>
      <c r="AP975" s="100"/>
      <c r="AQ975" s="100"/>
      <c r="AR975" s="100"/>
      <c r="AS975" s="100"/>
      <c r="AT975" s="100"/>
      <c r="AU975" s="100"/>
      <c r="AV975" s="100">
        <v>951</v>
      </c>
      <c r="AW975" s="100"/>
      <c r="AY975" s="134"/>
    </row>
    <row r="976" spans="1:51" s="2" customFormat="1" ht="12.75" customHeight="1" x14ac:dyDescent="0.25">
      <c r="A976" s="202" t="s">
        <v>1686</v>
      </c>
      <c r="B976" s="203"/>
      <c r="C976" s="203"/>
      <c r="D976" s="204"/>
      <c r="E976" s="205"/>
      <c r="F976" s="162"/>
      <c r="G976" s="162"/>
      <c r="H976" s="132"/>
      <c r="I976" s="132"/>
      <c r="J976" s="132"/>
      <c r="K976" s="132"/>
      <c r="L976" s="134"/>
      <c r="M976" s="132"/>
      <c r="N976" s="132"/>
      <c r="O976" s="132"/>
      <c r="P976" s="132"/>
      <c r="Q976" s="147"/>
      <c r="R976" s="327"/>
      <c r="S976" s="360"/>
      <c r="T976" s="307"/>
      <c r="U976" s="135"/>
      <c r="V976" s="100"/>
      <c r="W976"/>
      <c r="X976"/>
      <c r="Y976"/>
      <c r="Z976"/>
      <c r="AA976"/>
      <c r="AB976"/>
      <c r="AC976"/>
      <c r="AD976" s="263"/>
      <c r="AE976"/>
      <c r="AF976" s="100"/>
      <c r="AG976" s="263"/>
      <c r="AH976"/>
      <c r="AI976" s="100"/>
      <c r="AJ976" s="263"/>
      <c r="AK976"/>
      <c r="AL976" s="100"/>
      <c r="AM976" s="263"/>
      <c r="AN976"/>
      <c r="AO976" s="100"/>
      <c r="AP976" s="100"/>
      <c r="AQ976" s="100"/>
      <c r="AR976" s="100"/>
      <c r="AS976" s="100"/>
      <c r="AT976" s="100"/>
      <c r="AU976" s="100"/>
      <c r="AV976" s="100">
        <v>952</v>
      </c>
      <c r="AW976" s="100"/>
      <c r="AY976" s="134"/>
    </row>
    <row r="977" spans="1:51" s="162" customFormat="1" ht="12.75" customHeight="1" x14ac:dyDescent="0.2">
      <c r="A977" s="6" t="s">
        <v>1687</v>
      </c>
      <c r="B977" s="8">
        <v>9789500299183</v>
      </c>
      <c r="C977" s="6">
        <v>621799</v>
      </c>
      <c r="D977" s="7">
        <v>22</v>
      </c>
      <c r="E977" s="7" t="s">
        <v>318</v>
      </c>
      <c r="F977" s="7" t="s">
        <v>319</v>
      </c>
      <c r="G977" s="107">
        <v>42705</v>
      </c>
      <c r="H977" s="108">
        <v>42583</v>
      </c>
      <c r="I977" s="24">
        <v>3000</v>
      </c>
      <c r="J977" s="28" t="s">
        <v>1946</v>
      </c>
      <c r="K977" s="28">
        <v>38.33</v>
      </c>
      <c r="L977" s="28">
        <v>9900</v>
      </c>
      <c r="M977" s="112"/>
      <c r="N977" s="9">
        <f>+L977/2</f>
        <v>4950</v>
      </c>
      <c r="O977" s="9">
        <f>+N977-M977-K977</f>
        <v>4911.67</v>
      </c>
      <c r="P977" s="9">
        <f>+M977+K977</f>
        <v>38.33</v>
      </c>
      <c r="Q977" s="139">
        <f>+O977/N977</f>
        <v>0.99225656565656573</v>
      </c>
      <c r="R977" s="387">
        <v>9900</v>
      </c>
      <c r="S977" s="359" t="s">
        <v>1948</v>
      </c>
      <c r="T977" s="305">
        <v>0.99225656565656573</v>
      </c>
      <c r="U977" s="144"/>
      <c r="V977" s="100"/>
      <c r="W977" s="110">
        <f>+L977</f>
        <v>9900</v>
      </c>
      <c r="X977" s="110">
        <f>+K977</f>
        <v>38.33</v>
      </c>
      <c r="Y977" s="110">
        <f>+M977</f>
        <v>0</v>
      </c>
      <c r="Z977" s="110">
        <f>+W977/2-X977-Y977</f>
        <v>4911.67</v>
      </c>
      <c r="AA977" s="260">
        <f>+Z977/(W977/2)</f>
        <v>0.99225656565656573</v>
      </c>
      <c r="AB977" s="28">
        <f>ROUND($W977/2/$X$1,1)</f>
        <v>3.3</v>
      </c>
      <c r="AC977" s="261">
        <f>+(AB977*$X$1-$X977-$Y977)/(AB977*$X$1)</f>
        <v>0.99234081667316087</v>
      </c>
      <c r="AD977" s="111">
        <f>+IFERROR(ROUND(($X977+$Y977)/(1-$X$2)/$X$1,1),0)</f>
        <v>0</v>
      </c>
      <c r="AE977" s="262" t="e">
        <f>+(AD977*$X$1-$X977-$Y977)/(AD977*$X$1)</f>
        <v>#DIV/0!</v>
      </c>
      <c r="AF977" s="100"/>
      <c r="AG977" s="111">
        <f>+IFERROR(ROUND(($X977+$Y977)/(1-$AG$2)/$X$1,1),0)</f>
        <v>0</v>
      </c>
      <c r="AH977" s="262" t="e">
        <f>+(AG977*$X$1-$X977-$Y977)/(AG977*$X$1)</f>
        <v>#DIV/0!</v>
      </c>
      <c r="AI977" s="100"/>
      <c r="AJ977" s="111">
        <f>+IFERROR(ROUND(($X977+$Y977)/(1-$AJ$2)/$X$1,1),0)</f>
        <v>0</v>
      </c>
      <c r="AK977" s="262" t="e">
        <f>+(AJ977*$X$1-$X977-$Y977)/(AJ977*$X$1)</f>
        <v>#DIV/0!</v>
      </c>
      <c r="AL977" s="100"/>
      <c r="AM977" s="111">
        <f>+IFERROR(ROUND(($X977+$Y977)/(1-$AM$2)/$X$1,1),0)</f>
        <v>0</v>
      </c>
      <c r="AN977" s="262" t="e">
        <f>+(AM977*$X$1-$X977-$Y977)/(AM977*$X$1)</f>
        <v>#DIV/0!</v>
      </c>
      <c r="AO977" s="100"/>
      <c r="AP977" s="24" t="e">
        <f>VLOOKUP(C977,#REF!,6,FALSE)</f>
        <v>#REF!</v>
      </c>
      <c r="AQ977" s="24" t="e">
        <f>VLOOKUP(C977,#REF!,7,FALSE)</f>
        <v>#REF!</v>
      </c>
      <c r="AR977" s="24" t="e">
        <f>VLOOKUP(C977,#REF!,12,FALSE)</f>
        <v>#REF!</v>
      </c>
      <c r="AS977" s="24" t="e">
        <f>VLOOKUP(C977,#REF!,13,FALSE)</f>
        <v>#REF!</v>
      </c>
      <c r="AT977" s="100"/>
      <c r="AU977" s="100"/>
      <c r="AV977" s="100">
        <v>953</v>
      </c>
      <c r="AW977" s="100"/>
      <c r="AY977" s="28">
        <v>9900</v>
      </c>
    </row>
    <row r="978" spans="1:51" s="2" customFormat="1" ht="12.75" customHeight="1" x14ac:dyDescent="0.2">
      <c r="A978" s="6" t="s">
        <v>1688</v>
      </c>
      <c r="B978" s="8">
        <v>9789500299190</v>
      </c>
      <c r="C978" s="6">
        <v>621801</v>
      </c>
      <c r="D978" s="7">
        <v>22</v>
      </c>
      <c r="E978" s="7" t="s">
        <v>318</v>
      </c>
      <c r="F978" s="7" t="s">
        <v>1689</v>
      </c>
      <c r="G978" s="107">
        <v>42705</v>
      </c>
      <c r="H978" s="108">
        <v>42583</v>
      </c>
      <c r="I978" s="24">
        <v>3000</v>
      </c>
      <c r="J978" s="28" t="s">
        <v>1946</v>
      </c>
      <c r="K978" s="28">
        <v>38.33</v>
      </c>
      <c r="L978" s="28">
        <v>9900</v>
      </c>
      <c r="M978" s="112"/>
      <c r="N978" s="9">
        <f>+L978/2</f>
        <v>4950</v>
      </c>
      <c r="O978" s="9">
        <f>+N978-M978-K978</f>
        <v>4911.67</v>
      </c>
      <c r="P978" s="9">
        <f>+M978+K978</f>
        <v>38.33</v>
      </c>
      <c r="Q978" s="139">
        <f>+O978/N978</f>
        <v>0.99225656565656573</v>
      </c>
      <c r="R978" s="387">
        <v>9900</v>
      </c>
      <c r="S978" s="359" t="s">
        <v>1948</v>
      </c>
      <c r="T978" s="305">
        <v>0.99225656565656573</v>
      </c>
      <c r="U978" s="144"/>
      <c r="V978" s="100"/>
      <c r="W978" s="110">
        <f>+L978</f>
        <v>9900</v>
      </c>
      <c r="X978" s="110">
        <f>+K978</f>
        <v>38.33</v>
      </c>
      <c r="Y978" s="110">
        <f>+M978</f>
        <v>0</v>
      </c>
      <c r="Z978" s="110">
        <f>+W978/2-X978-Y978</f>
        <v>4911.67</v>
      </c>
      <c r="AA978" s="260">
        <f>+Z978/(W978/2)</f>
        <v>0.99225656565656573</v>
      </c>
      <c r="AB978" s="28">
        <f>ROUND($W978/2/$X$1,1)</f>
        <v>3.3</v>
      </c>
      <c r="AC978" s="261">
        <f>+(AB978*$X$1-$X978-$Y978)/(AB978*$X$1)</f>
        <v>0.99234081667316087</v>
      </c>
      <c r="AD978" s="111">
        <f>+IFERROR(ROUND(($X978+$Y978)/(1-$X$2)/$X$1,1),0)</f>
        <v>0</v>
      </c>
      <c r="AE978" s="262" t="e">
        <f>+(AD978*$X$1-$X978-$Y978)/(AD978*$X$1)</f>
        <v>#DIV/0!</v>
      </c>
      <c r="AF978" s="100"/>
      <c r="AG978" s="111">
        <f>+IFERROR(ROUND(($X978+$Y978)/(1-$AG$2)/$X$1,1),0)</f>
        <v>0</v>
      </c>
      <c r="AH978" s="262" t="e">
        <f>+(AG978*$X$1-$X978-$Y978)/(AG978*$X$1)</f>
        <v>#DIV/0!</v>
      </c>
      <c r="AI978" s="100"/>
      <c r="AJ978" s="111">
        <f>+IFERROR(ROUND(($X978+$Y978)/(1-$AJ$2)/$X$1,1),0)</f>
        <v>0</v>
      </c>
      <c r="AK978" s="262" t="e">
        <f>+(AJ978*$X$1-$X978-$Y978)/(AJ978*$X$1)</f>
        <v>#DIV/0!</v>
      </c>
      <c r="AL978" s="100"/>
      <c r="AM978" s="111">
        <f>+IFERROR(ROUND(($X978+$Y978)/(1-$AM$2)/$X$1,1),0)</f>
        <v>0</v>
      </c>
      <c r="AN978" s="262" t="e">
        <f>+(AM978*$X$1-$X978-$Y978)/(AM978*$X$1)</f>
        <v>#DIV/0!</v>
      </c>
      <c r="AO978" s="100"/>
      <c r="AP978" s="24" t="e">
        <f>VLOOKUP(C978,#REF!,6,FALSE)</f>
        <v>#REF!</v>
      </c>
      <c r="AQ978" s="24" t="e">
        <f>VLOOKUP(C978,#REF!,7,FALSE)</f>
        <v>#REF!</v>
      </c>
      <c r="AR978" s="24" t="e">
        <f>VLOOKUP(C978,#REF!,12,FALSE)</f>
        <v>#REF!</v>
      </c>
      <c r="AS978" s="24" t="e">
        <f>VLOOKUP(C978,#REF!,13,FALSE)</f>
        <v>#REF!</v>
      </c>
      <c r="AT978" s="100"/>
      <c r="AU978" s="100"/>
      <c r="AV978" s="100">
        <v>954</v>
      </c>
      <c r="AW978" s="100"/>
      <c r="AY978" s="28">
        <v>9900</v>
      </c>
    </row>
    <row r="979" spans="1:51" s="2" customFormat="1" ht="12.75" customHeight="1" x14ac:dyDescent="0.2">
      <c r="A979" s="6" t="s">
        <v>1690</v>
      </c>
      <c r="B979" s="8">
        <v>9789500299213</v>
      </c>
      <c r="C979" s="6">
        <v>621802</v>
      </c>
      <c r="D979" s="7">
        <v>22</v>
      </c>
      <c r="E979" s="7" t="s">
        <v>318</v>
      </c>
      <c r="F979" s="7" t="s">
        <v>320</v>
      </c>
      <c r="G979" s="107">
        <v>42705</v>
      </c>
      <c r="H979" s="108">
        <v>42583</v>
      </c>
      <c r="I979" s="24">
        <v>3000</v>
      </c>
      <c r="J979" s="28" t="s">
        <v>1946</v>
      </c>
      <c r="K979" s="28">
        <v>38.33</v>
      </c>
      <c r="L979" s="28">
        <v>9900</v>
      </c>
      <c r="M979" s="112"/>
      <c r="N979" s="9">
        <f>+L979/2</f>
        <v>4950</v>
      </c>
      <c r="O979" s="9">
        <f>+N979-M979-K979</f>
        <v>4911.67</v>
      </c>
      <c r="P979" s="9">
        <f>+M979+K979</f>
        <v>38.33</v>
      </c>
      <c r="Q979" s="139">
        <f>+O979/N979</f>
        <v>0.99225656565656573</v>
      </c>
      <c r="R979" s="387">
        <v>9900</v>
      </c>
      <c r="S979" s="359" t="s">
        <v>1948</v>
      </c>
      <c r="T979" s="305">
        <v>0.99225656565656573</v>
      </c>
      <c r="U979" s="144"/>
      <c r="V979" s="100"/>
      <c r="W979" s="110">
        <f>+L979</f>
        <v>9900</v>
      </c>
      <c r="X979" s="110">
        <f>+K979</f>
        <v>38.33</v>
      </c>
      <c r="Y979" s="110">
        <f>+M979</f>
        <v>0</v>
      </c>
      <c r="Z979" s="110">
        <f>+W979/2-X979-Y979</f>
        <v>4911.67</v>
      </c>
      <c r="AA979" s="260">
        <f>+Z979/(W979/2)</f>
        <v>0.99225656565656573</v>
      </c>
      <c r="AB979" s="28">
        <f>ROUND($W979/2/$X$1,1)</f>
        <v>3.3</v>
      </c>
      <c r="AC979" s="261">
        <f>+(AB979*$X$1-$X979-$Y979)/(AB979*$X$1)</f>
        <v>0.99234081667316087</v>
      </c>
      <c r="AD979" s="111">
        <f>+IFERROR(ROUND(($X979+$Y979)/(1-$X$2)/$X$1,1),0)</f>
        <v>0</v>
      </c>
      <c r="AE979" s="262" t="e">
        <f>+(AD979*$X$1-$X979-$Y979)/(AD979*$X$1)</f>
        <v>#DIV/0!</v>
      </c>
      <c r="AF979" s="100"/>
      <c r="AG979" s="111">
        <f>+IFERROR(ROUND(($X979+$Y979)/(1-$AG$2)/$X$1,1),0)</f>
        <v>0</v>
      </c>
      <c r="AH979" s="262" t="e">
        <f>+(AG979*$X$1-$X979-$Y979)/(AG979*$X$1)</f>
        <v>#DIV/0!</v>
      </c>
      <c r="AI979" s="100"/>
      <c r="AJ979" s="111">
        <f>+IFERROR(ROUND(($X979+$Y979)/(1-$AJ$2)/$X$1,1),0)</f>
        <v>0</v>
      </c>
      <c r="AK979" s="262" t="e">
        <f>+(AJ979*$X$1-$X979-$Y979)/(AJ979*$X$1)</f>
        <v>#DIV/0!</v>
      </c>
      <c r="AL979" s="100"/>
      <c r="AM979" s="111">
        <f>+IFERROR(ROUND(($X979+$Y979)/(1-$AM$2)/$X$1,1),0)</f>
        <v>0</v>
      </c>
      <c r="AN979" s="262" t="e">
        <f>+(AM979*$X$1-$X979-$Y979)/(AM979*$X$1)</f>
        <v>#DIV/0!</v>
      </c>
      <c r="AO979" s="100"/>
      <c r="AP979" s="24" t="e">
        <f>VLOOKUP(C979,#REF!,6,FALSE)</f>
        <v>#REF!</v>
      </c>
      <c r="AQ979" s="24" t="e">
        <f>VLOOKUP(C979,#REF!,7,FALSE)</f>
        <v>#REF!</v>
      </c>
      <c r="AR979" s="24" t="e">
        <f>VLOOKUP(C979,#REF!,12,FALSE)</f>
        <v>#REF!</v>
      </c>
      <c r="AS979" s="24" t="e">
        <f>VLOOKUP(C979,#REF!,13,FALSE)</f>
        <v>#REF!</v>
      </c>
      <c r="AT979" s="100"/>
      <c r="AU979" s="100"/>
      <c r="AV979" s="100">
        <v>955</v>
      </c>
      <c r="AW979" s="100"/>
      <c r="AY979" s="28">
        <v>9900</v>
      </c>
    </row>
    <row r="980" spans="1:51" s="2" customFormat="1" ht="12.75" customHeight="1" x14ac:dyDescent="0.25">
      <c r="A980" s="1"/>
      <c r="B980" s="3"/>
      <c r="C980" s="3"/>
      <c r="E980" s="274"/>
      <c r="F980" s="275"/>
      <c r="H980" s="132"/>
      <c r="I980" s="132"/>
      <c r="J980" s="132"/>
      <c r="K980" s="132"/>
      <c r="L980" s="134"/>
      <c r="M980" s="132"/>
      <c r="N980" s="132"/>
      <c r="O980" s="132"/>
      <c r="P980" s="132"/>
      <c r="Q980" s="147"/>
      <c r="R980" s="387"/>
      <c r="S980" s="360"/>
      <c r="T980" s="307"/>
      <c r="U980" s="135"/>
      <c r="V980" s="100"/>
      <c r="W980"/>
      <c r="X980"/>
      <c r="Y980"/>
      <c r="Z980"/>
      <c r="AA980"/>
      <c r="AB980"/>
      <c r="AC980"/>
      <c r="AD980" s="263"/>
      <c r="AE980"/>
      <c r="AF980" s="100"/>
      <c r="AG980" s="263"/>
      <c r="AH980"/>
      <c r="AI980" s="100"/>
      <c r="AJ980" s="263"/>
      <c r="AK980"/>
      <c r="AL980" s="100"/>
      <c r="AM980" s="263"/>
      <c r="AN980"/>
      <c r="AO980" s="100"/>
      <c r="AP980" s="100"/>
      <c r="AQ980" s="100"/>
      <c r="AR980" s="100"/>
      <c r="AS980" s="100"/>
      <c r="AT980" s="100"/>
      <c r="AU980" s="100"/>
      <c r="AV980" s="100">
        <v>956</v>
      </c>
      <c r="AW980" s="100"/>
      <c r="AY980" s="134"/>
    </row>
    <row r="981" spans="1:51" s="2" customFormat="1" ht="12.75" customHeight="1" x14ac:dyDescent="0.25">
      <c r="A981" s="202" t="s">
        <v>1691</v>
      </c>
      <c r="B981" s="203"/>
      <c r="C981" s="203"/>
      <c r="D981" s="204"/>
      <c r="E981" s="205"/>
      <c r="F981" s="162"/>
      <c r="G981" s="162"/>
      <c r="H981" s="132"/>
      <c r="I981" s="132"/>
      <c r="J981" s="132"/>
      <c r="K981" s="132"/>
      <c r="L981" s="134"/>
      <c r="M981" s="132"/>
      <c r="N981" s="132"/>
      <c r="O981" s="132"/>
      <c r="P981" s="132"/>
      <c r="Q981" s="147"/>
      <c r="R981" s="387"/>
      <c r="S981" s="360"/>
      <c r="T981" s="307"/>
      <c r="U981" s="135"/>
      <c r="V981" s="100"/>
      <c r="W981"/>
      <c r="X981"/>
      <c r="Y981"/>
      <c r="Z981"/>
      <c r="AA981"/>
      <c r="AB981"/>
      <c r="AC981"/>
      <c r="AD981" s="263"/>
      <c r="AE981"/>
      <c r="AF981" s="100"/>
      <c r="AG981" s="263"/>
      <c r="AH981"/>
      <c r="AI981" s="100"/>
      <c r="AJ981" s="263"/>
      <c r="AK981"/>
      <c r="AL981" s="100"/>
      <c r="AM981" s="263"/>
      <c r="AN981"/>
      <c r="AO981" s="100"/>
      <c r="AP981" s="100"/>
      <c r="AQ981" s="100"/>
      <c r="AR981" s="100"/>
      <c r="AS981" s="100"/>
      <c r="AT981" s="100"/>
      <c r="AU981" s="100"/>
      <c r="AV981" s="100">
        <v>957</v>
      </c>
      <c r="AW981" s="100"/>
      <c r="AY981" s="134"/>
    </row>
    <row r="982" spans="1:51" s="2" customFormat="1" ht="12.75" customHeight="1" x14ac:dyDescent="0.2">
      <c r="A982" s="11" t="s">
        <v>1692</v>
      </c>
      <c r="B982" s="8">
        <v>9789500299718</v>
      </c>
      <c r="C982" s="6">
        <v>635040</v>
      </c>
      <c r="D982" s="7">
        <v>8</v>
      </c>
      <c r="E982" s="7" t="s">
        <v>296</v>
      </c>
      <c r="F982" s="11" t="s">
        <v>1693</v>
      </c>
      <c r="G982" s="107">
        <v>43009</v>
      </c>
      <c r="H982" s="108">
        <v>42979</v>
      </c>
      <c r="I982" s="24">
        <v>4080</v>
      </c>
      <c r="J982" s="28" t="s">
        <v>1946</v>
      </c>
      <c r="K982" s="28">
        <v>35.090000000000003</v>
      </c>
      <c r="L982" s="128">
        <v>9900</v>
      </c>
      <c r="M982" s="9"/>
      <c r="N982" s="9">
        <f>+L982/2</f>
        <v>4950</v>
      </c>
      <c r="O982" s="9">
        <f>+N982-M982-K982</f>
        <v>4914.91</v>
      </c>
      <c r="P982" s="9">
        <f>+M982+K982</f>
        <v>35.090000000000003</v>
      </c>
      <c r="Q982" s="139">
        <f>+O982/N982</f>
        <v>0.99291111111111108</v>
      </c>
      <c r="R982" s="387">
        <v>9900</v>
      </c>
      <c r="S982" s="359" t="s">
        <v>1948</v>
      </c>
      <c r="T982" s="305">
        <v>0.99291111111111108</v>
      </c>
      <c r="U982" s="144"/>
      <c r="V982" s="100"/>
      <c r="W982" s="110">
        <f>+L982</f>
        <v>9900</v>
      </c>
      <c r="X982" s="110">
        <f>+K982</f>
        <v>35.090000000000003</v>
      </c>
      <c r="Y982" s="110">
        <f>+M982</f>
        <v>0</v>
      </c>
      <c r="Z982" s="110">
        <f>+W982/2-X982-Y982</f>
        <v>4914.91</v>
      </c>
      <c r="AA982" s="260">
        <f>+Z982/(W982/2)</f>
        <v>0.99291111111111108</v>
      </c>
      <c r="AB982" s="28">
        <f>ROUND($W982/2/$X$1,1)</f>
        <v>3.3</v>
      </c>
      <c r="AC982" s="261">
        <f>+(AB982*$X$1-$X982-$Y982)/(AB982*$X$1)</f>
        <v>0.99298824046598522</v>
      </c>
      <c r="AD982" s="111">
        <f>+IFERROR(ROUND(($X982+$Y982)/(1-$X$2)/$X$1,1),0)</f>
        <v>0</v>
      </c>
      <c r="AE982" s="262" t="e">
        <f>+(AD982*$X$1-$X982-$Y982)/(AD982*$X$1)</f>
        <v>#DIV/0!</v>
      </c>
      <c r="AF982" s="100"/>
      <c r="AG982" s="111">
        <f>+IFERROR(ROUND(($X982+$Y982)/(1-$AG$2)/$X$1,1),0)</f>
        <v>0</v>
      </c>
      <c r="AH982" s="262" t="e">
        <f>+(AG982*$X$1-$X982-$Y982)/(AG982*$X$1)</f>
        <v>#DIV/0!</v>
      </c>
      <c r="AI982" s="100"/>
      <c r="AJ982" s="111">
        <f>+IFERROR(ROUND(($X982+$Y982)/(1-$AJ$2)/$X$1,1),0)</f>
        <v>0</v>
      </c>
      <c r="AK982" s="262" t="e">
        <f>+(AJ982*$X$1-$X982-$Y982)/(AJ982*$X$1)</f>
        <v>#DIV/0!</v>
      </c>
      <c r="AL982" s="100"/>
      <c r="AM982" s="111">
        <f>+IFERROR(ROUND(($X982+$Y982)/(1-$AM$2)/$X$1,1),0)</f>
        <v>0</v>
      </c>
      <c r="AN982" s="262" t="e">
        <f>+(AM982*$X$1-$X982-$Y982)/(AM982*$X$1)</f>
        <v>#DIV/0!</v>
      </c>
      <c r="AO982" s="100"/>
      <c r="AP982" s="24" t="e">
        <f>VLOOKUP(C982,#REF!,6,FALSE)</f>
        <v>#REF!</v>
      </c>
      <c r="AQ982" s="24" t="e">
        <f>VLOOKUP(C982,#REF!,7,FALSE)</f>
        <v>#REF!</v>
      </c>
      <c r="AR982" s="24" t="e">
        <f>VLOOKUP(C982,#REF!,12,FALSE)</f>
        <v>#REF!</v>
      </c>
      <c r="AS982" s="24" t="e">
        <f>VLOOKUP(C982,#REF!,13,FALSE)</f>
        <v>#REF!</v>
      </c>
      <c r="AT982" s="100"/>
      <c r="AU982" s="100"/>
      <c r="AV982" s="100">
        <v>958</v>
      </c>
      <c r="AW982" s="100"/>
      <c r="AY982" s="128">
        <v>9900</v>
      </c>
    </row>
    <row r="983" spans="1:51" s="2" customFormat="1" ht="12.75" customHeight="1" x14ac:dyDescent="0.25">
      <c r="A983" s="1"/>
      <c r="B983" s="3"/>
      <c r="C983" s="3"/>
      <c r="E983" s="274"/>
      <c r="F983" s="275"/>
      <c r="H983" s="132"/>
      <c r="I983" s="132"/>
      <c r="J983" s="132"/>
      <c r="K983" s="132"/>
      <c r="L983" s="134"/>
      <c r="M983" s="132"/>
      <c r="N983" s="132"/>
      <c r="O983" s="132"/>
      <c r="P983" s="132"/>
      <c r="Q983" s="147"/>
      <c r="R983" s="327"/>
      <c r="S983" s="360"/>
      <c r="T983" s="307"/>
      <c r="U983" s="135"/>
      <c r="V983" s="100"/>
      <c r="W983"/>
      <c r="X983"/>
      <c r="Y983"/>
      <c r="Z983"/>
      <c r="AA983"/>
      <c r="AB983"/>
      <c r="AC983"/>
      <c r="AD983" s="263"/>
      <c r="AE983"/>
      <c r="AF983" s="100"/>
      <c r="AG983" s="263"/>
      <c r="AH983"/>
      <c r="AI983" s="100"/>
      <c r="AJ983" s="263"/>
      <c r="AK983"/>
      <c r="AL983" s="100"/>
      <c r="AM983" s="263"/>
      <c r="AN983"/>
      <c r="AO983" s="100"/>
      <c r="AP983" s="100"/>
      <c r="AQ983" s="100"/>
      <c r="AR983" s="100"/>
      <c r="AS983" s="100"/>
      <c r="AT983" s="100"/>
      <c r="AU983" s="100"/>
      <c r="AV983" s="100">
        <v>959</v>
      </c>
      <c r="AW983" s="100"/>
      <c r="AY983" s="134"/>
    </row>
    <row r="984" spans="1:51" s="2" customFormat="1" ht="12.75" customHeight="1" x14ac:dyDescent="0.25">
      <c r="A984" s="202" t="s">
        <v>1694</v>
      </c>
      <c r="B984" s="203"/>
      <c r="C984" s="203"/>
      <c r="D984" s="204"/>
      <c r="E984" s="205"/>
      <c r="F984" s="162"/>
      <c r="G984" s="162"/>
      <c r="H984" s="132"/>
      <c r="I984" s="132"/>
      <c r="J984" s="132"/>
      <c r="K984" s="132"/>
      <c r="L984" s="134"/>
      <c r="M984" s="132"/>
      <c r="N984" s="132"/>
      <c r="O984" s="132"/>
      <c r="P984" s="132"/>
      <c r="Q984" s="147"/>
      <c r="R984" s="327"/>
      <c r="S984" s="360"/>
      <c r="T984" s="307"/>
      <c r="U984" s="135"/>
      <c r="V984" s="100"/>
      <c r="W984"/>
      <c r="X984"/>
      <c r="Y984"/>
      <c r="Z984"/>
      <c r="AA984"/>
      <c r="AB984"/>
      <c r="AC984"/>
      <c r="AD984" s="263"/>
      <c r="AE984"/>
      <c r="AF984" s="100"/>
      <c r="AG984" s="263"/>
      <c r="AH984"/>
      <c r="AI984" s="100"/>
      <c r="AJ984" s="263"/>
      <c r="AK984"/>
      <c r="AL984" s="100"/>
      <c r="AM984" s="263"/>
      <c r="AN984"/>
      <c r="AO984" s="100"/>
      <c r="AP984" s="100"/>
      <c r="AQ984" s="100"/>
      <c r="AR984" s="100"/>
      <c r="AS984" s="100"/>
      <c r="AT984" s="100"/>
      <c r="AU984" s="100"/>
      <c r="AV984" s="100">
        <v>960</v>
      </c>
      <c r="AW984" s="100"/>
      <c r="AY984" s="134"/>
    </row>
    <row r="985" spans="1:51" s="162" customFormat="1" ht="12.75" customHeight="1" x14ac:dyDescent="0.2">
      <c r="A985" s="6" t="s">
        <v>1695</v>
      </c>
      <c r="B985" s="8">
        <v>9789500299176</v>
      </c>
      <c r="C985" s="6">
        <v>621804</v>
      </c>
      <c r="D985" s="7">
        <v>22</v>
      </c>
      <c r="E985" s="7" t="s">
        <v>321</v>
      </c>
      <c r="F985" s="7" t="s">
        <v>322</v>
      </c>
      <c r="G985" s="107">
        <v>42705</v>
      </c>
      <c r="H985" s="108">
        <v>42583</v>
      </c>
      <c r="I985" s="24">
        <v>3000</v>
      </c>
      <c r="J985" s="28" t="s">
        <v>1946</v>
      </c>
      <c r="K985" s="28">
        <v>57.5</v>
      </c>
      <c r="L985" s="128">
        <v>14900</v>
      </c>
      <c r="M985" s="112"/>
      <c r="N985" s="9">
        <f>+L985/2</f>
        <v>7450</v>
      </c>
      <c r="O985" s="9">
        <f>+N985-M985-K985</f>
        <v>7392.5</v>
      </c>
      <c r="P985" s="9">
        <f>+M985+K985</f>
        <v>57.5</v>
      </c>
      <c r="Q985" s="139">
        <f>+O985/N985</f>
        <v>0.99228187919463084</v>
      </c>
      <c r="R985" s="304">
        <v>14900</v>
      </c>
      <c r="S985" s="359" t="s">
        <v>1948</v>
      </c>
      <c r="T985" s="305">
        <v>0.99228187919463084</v>
      </c>
      <c r="U985" s="144"/>
      <c r="V985" s="100"/>
      <c r="W985" s="110">
        <f>+L985</f>
        <v>14900</v>
      </c>
      <c r="X985" s="110">
        <f>+K985</f>
        <v>57.5</v>
      </c>
      <c r="Y985" s="110">
        <f>+M985</f>
        <v>0</v>
      </c>
      <c r="Z985" s="110">
        <f>+W985/2-X985-Y985</f>
        <v>7392.5</v>
      </c>
      <c r="AA985" s="260">
        <f>+Z985/(W985/2)</f>
        <v>0.99228187919463084</v>
      </c>
      <c r="AB985" s="28">
        <f>ROUND($W985/2/$X$1,1)</f>
        <v>4.9000000000000004</v>
      </c>
      <c r="AC985" s="261">
        <f>+(AB985*$X$1-$X985-$Y985)/(AB985*$X$1)</f>
        <v>0.99226198887072137</v>
      </c>
      <c r="AD985" s="111">
        <f>+IFERROR(ROUND(($X985+$Y985)/(1-$X$2)/$X$1,1),0)</f>
        <v>0</v>
      </c>
      <c r="AE985" s="262" t="e">
        <f>+(AD985*$X$1-$X985-$Y985)/(AD985*$X$1)</f>
        <v>#DIV/0!</v>
      </c>
      <c r="AF985" s="100"/>
      <c r="AG985" s="111">
        <f>+IFERROR(ROUND(($X985+$Y985)/(1-$AG$2)/$X$1,1),0)</f>
        <v>0.1</v>
      </c>
      <c r="AH985" s="262">
        <f>+(AG985*$X$1-$X985-$Y985)/(AG985*$X$1)</f>
        <v>0.6208374546653479</v>
      </c>
      <c r="AI985" s="100"/>
      <c r="AJ985" s="111">
        <f>+IFERROR(ROUND(($X985+$Y985)/(1-$AJ$2)/$X$1,1),0)</f>
        <v>0.1</v>
      </c>
      <c r="AK985" s="262">
        <f>+(AJ985*$X$1-$X985-$Y985)/(AJ985*$X$1)</f>
        <v>0.6208374546653479</v>
      </c>
      <c r="AL985" s="100"/>
      <c r="AM985" s="111">
        <f>+IFERROR(ROUND(($X985+$Y985)/(1-$AM$2)/$X$1,1),0)</f>
        <v>0.1</v>
      </c>
      <c r="AN985" s="262">
        <f>+(AM985*$X$1-$X985-$Y985)/(AM985*$X$1)</f>
        <v>0.6208374546653479</v>
      </c>
      <c r="AO985" s="100"/>
      <c r="AP985" s="24" t="e">
        <f>VLOOKUP(C985,#REF!,6,FALSE)</f>
        <v>#REF!</v>
      </c>
      <c r="AQ985" s="24" t="e">
        <f>VLOOKUP(C985,#REF!,7,FALSE)</f>
        <v>#REF!</v>
      </c>
      <c r="AR985" s="24" t="e">
        <f>VLOOKUP(C985,#REF!,12,FALSE)</f>
        <v>#REF!</v>
      </c>
      <c r="AS985" s="24" t="e">
        <f>VLOOKUP(C985,#REF!,13,FALSE)</f>
        <v>#REF!</v>
      </c>
      <c r="AT985" s="100"/>
      <c r="AU985" s="100"/>
      <c r="AV985" s="100">
        <v>961</v>
      </c>
      <c r="AW985" s="100"/>
      <c r="AY985" s="128">
        <v>14900</v>
      </c>
    </row>
    <row r="986" spans="1:51" s="2" customFormat="1" ht="12.75" customHeight="1" x14ac:dyDescent="0.2">
      <c r="A986" s="6" t="s">
        <v>1696</v>
      </c>
      <c r="B986" s="8">
        <v>9789500299152</v>
      </c>
      <c r="C986" s="6">
        <v>621803</v>
      </c>
      <c r="D986" s="7">
        <v>22</v>
      </c>
      <c r="E986" s="7" t="s">
        <v>321</v>
      </c>
      <c r="F986" s="7" t="s">
        <v>323</v>
      </c>
      <c r="G986" s="107">
        <v>42705</v>
      </c>
      <c r="H986" s="108">
        <v>42583</v>
      </c>
      <c r="I986" s="24">
        <v>3000</v>
      </c>
      <c r="J986" s="28" t="s">
        <v>1946</v>
      </c>
      <c r="K986" s="28">
        <v>57.5</v>
      </c>
      <c r="L986" s="128">
        <v>14900</v>
      </c>
      <c r="M986" s="112"/>
      <c r="N986" s="9">
        <f>+L986/2</f>
        <v>7450</v>
      </c>
      <c r="O986" s="9">
        <f>+N986-M986-K986</f>
        <v>7392.5</v>
      </c>
      <c r="P986" s="9">
        <f>+M986+K986</f>
        <v>57.5</v>
      </c>
      <c r="Q986" s="139">
        <f>+O986/N986</f>
        <v>0.99228187919463084</v>
      </c>
      <c r="R986" s="304">
        <v>14900</v>
      </c>
      <c r="S986" s="359" t="s">
        <v>1948</v>
      </c>
      <c r="T986" s="305">
        <v>0.99228187919463084</v>
      </c>
      <c r="U986" s="144"/>
      <c r="V986" s="100"/>
      <c r="W986" s="110">
        <f>+L986</f>
        <v>14900</v>
      </c>
      <c r="X986" s="110">
        <f>+K986</f>
        <v>57.5</v>
      </c>
      <c r="Y986" s="110">
        <f>+M986</f>
        <v>0</v>
      </c>
      <c r="Z986" s="110">
        <f>+W986/2-X986-Y986</f>
        <v>7392.5</v>
      </c>
      <c r="AA986" s="260">
        <f>+Z986/(W986/2)</f>
        <v>0.99228187919463084</v>
      </c>
      <c r="AB986" s="28">
        <f>ROUND($W986/2/$X$1,1)</f>
        <v>4.9000000000000004</v>
      </c>
      <c r="AC986" s="261">
        <f>+(AB986*$X$1-$X986-$Y986)/(AB986*$X$1)</f>
        <v>0.99226198887072137</v>
      </c>
      <c r="AD986" s="111">
        <f>+IFERROR(ROUND(($X986+$Y986)/(1-$X$2)/$X$1,1),0)</f>
        <v>0</v>
      </c>
      <c r="AE986" s="262" t="e">
        <f>+(AD986*$X$1-$X986-$Y986)/(AD986*$X$1)</f>
        <v>#DIV/0!</v>
      </c>
      <c r="AF986" s="100"/>
      <c r="AG986" s="111">
        <f>+IFERROR(ROUND(($X986+$Y986)/(1-$AG$2)/$X$1,1),0)</f>
        <v>0.1</v>
      </c>
      <c r="AH986" s="262">
        <f>+(AG986*$X$1-$X986-$Y986)/(AG986*$X$1)</f>
        <v>0.6208374546653479</v>
      </c>
      <c r="AI986" s="100"/>
      <c r="AJ986" s="111">
        <f>+IFERROR(ROUND(($X986+$Y986)/(1-$AJ$2)/$X$1,1),0)</f>
        <v>0.1</v>
      </c>
      <c r="AK986" s="262">
        <f>+(AJ986*$X$1-$X986-$Y986)/(AJ986*$X$1)</f>
        <v>0.6208374546653479</v>
      </c>
      <c r="AL986" s="100"/>
      <c r="AM986" s="111">
        <f>+IFERROR(ROUND(($X986+$Y986)/(1-$AM$2)/$X$1,1),0)</f>
        <v>0.1</v>
      </c>
      <c r="AN986" s="262">
        <f>+(AM986*$X$1-$X986-$Y986)/(AM986*$X$1)</f>
        <v>0.6208374546653479</v>
      </c>
      <c r="AO986" s="100"/>
      <c r="AP986" s="24" t="e">
        <f>VLOOKUP(C986,#REF!,6,FALSE)</f>
        <v>#REF!</v>
      </c>
      <c r="AQ986" s="24" t="e">
        <f>VLOOKUP(C986,#REF!,7,FALSE)</f>
        <v>#REF!</v>
      </c>
      <c r="AR986" s="24" t="e">
        <f>VLOOKUP(C986,#REF!,12,FALSE)</f>
        <v>#REF!</v>
      </c>
      <c r="AS986" s="24" t="e">
        <f>VLOOKUP(C986,#REF!,13,FALSE)</f>
        <v>#REF!</v>
      </c>
      <c r="AT986" s="100"/>
      <c r="AU986" s="100"/>
      <c r="AV986" s="100">
        <v>962</v>
      </c>
      <c r="AW986" s="100"/>
      <c r="AY986" s="128">
        <v>14900</v>
      </c>
    </row>
    <row r="987" spans="1:51" s="2" customFormat="1" ht="12.75" customHeight="1" x14ac:dyDescent="0.2">
      <c r="A987" s="6" t="s">
        <v>1697</v>
      </c>
      <c r="B987" s="8">
        <v>9789500299169</v>
      </c>
      <c r="C987" s="6">
        <v>621805</v>
      </c>
      <c r="D987" s="7">
        <v>22</v>
      </c>
      <c r="E987" s="7" t="s">
        <v>321</v>
      </c>
      <c r="F987" s="7" t="s">
        <v>1698</v>
      </c>
      <c r="G987" s="107">
        <v>42401</v>
      </c>
      <c r="H987" s="108">
        <v>42583</v>
      </c>
      <c r="I987" s="24">
        <v>3000</v>
      </c>
      <c r="J987" s="28" t="s">
        <v>1946</v>
      </c>
      <c r="K987" s="28">
        <v>57.5</v>
      </c>
      <c r="L987" s="128">
        <v>14900</v>
      </c>
      <c r="M987" s="112"/>
      <c r="N987" s="9">
        <f>+L987/2</f>
        <v>7450</v>
      </c>
      <c r="O987" s="9">
        <f>+N987-M987-K987</f>
        <v>7392.5</v>
      </c>
      <c r="P987" s="9">
        <f>+M987+K987</f>
        <v>57.5</v>
      </c>
      <c r="Q987" s="139">
        <f>+O987/N987</f>
        <v>0.99228187919463084</v>
      </c>
      <c r="R987" s="304">
        <v>14900</v>
      </c>
      <c r="S987" s="359" t="s">
        <v>1948</v>
      </c>
      <c r="T987" s="305">
        <v>0.99228187919463084</v>
      </c>
      <c r="U987" s="144"/>
      <c r="V987" s="100"/>
      <c r="W987" s="110">
        <f>+L987</f>
        <v>14900</v>
      </c>
      <c r="X987" s="110">
        <f>+K987</f>
        <v>57.5</v>
      </c>
      <c r="Y987" s="110">
        <f>+M987</f>
        <v>0</v>
      </c>
      <c r="Z987" s="110">
        <f>+W987/2-X987-Y987</f>
        <v>7392.5</v>
      </c>
      <c r="AA987" s="260">
        <f>+Z987/(W987/2)</f>
        <v>0.99228187919463084</v>
      </c>
      <c r="AB987" s="28">
        <f>ROUND($W987/2/$X$1,1)</f>
        <v>4.9000000000000004</v>
      </c>
      <c r="AC987" s="261">
        <f>+(AB987*$X$1-$X987-$Y987)/(AB987*$X$1)</f>
        <v>0.99226198887072137</v>
      </c>
      <c r="AD987" s="111">
        <f>+IFERROR(ROUND(($X987+$Y987)/(1-$X$2)/$X$1,1),0)</f>
        <v>0</v>
      </c>
      <c r="AE987" s="262" t="e">
        <f>+(AD987*$X$1-$X987-$Y987)/(AD987*$X$1)</f>
        <v>#DIV/0!</v>
      </c>
      <c r="AF987" s="100"/>
      <c r="AG987" s="111">
        <f>+IFERROR(ROUND(($X987+$Y987)/(1-$AG$2)/$X$1,1),0)</f>
        <v>0.1</v>
      </c>
      <c r="AH987" s="262">
        <f>+(AG987*$X$1-$X987-$Y987)/(AG987*$X$1)</f>
        <v>0.6208374546653479</v>
      </c>
      <c r="AI987" s="100"/>
      <c r="AJ987" s="111">
        <f>+IFERROR(ROUND(($X987+$Y987)/(1-$AJ$2)/$X$1,1),0)</f>
        <v>0.1</v>
      </c>
      <c r="AK987" s="262">
        <f>+(AJ987*$X$1-$X987-$Y987)/(AJ987*$X$1)</f>
        <v>0.6208374546653479</v>
      </c>
      <c r="AL987" s="100"/>
      <c r="AM987" s="111">
        <f>+IFERROR(ROUND(($X987+$Y987)/(1-$AM$2)/$X$1,1),0)</f>
        <v>0.1</v>
      </c>
      <c r="AN987" s="262">
        <f>+(AM987*$X$1-$X987-$Y987)/(AM987*$X$1)</f>
        <v>0.6208374546653479</v>
      </c>
      <c r="AO987" s="100"/>
      <c r="AP987" s="24" t="e">
        <f>VLOOKUP(C987,#REF!,6,FALSE)</f>
        <v>#REF!</v>
      </c>
      <c r="AQ987" s="24" t="e">
        <f>VLOOKUP(C987,#REF!,7,FALSE)</f>
        <v>#REF!</v>
      </c>
      <c r="AR987" s="24" t="e">
        <f>VLOOKUP(C987,#REF!,12,FALSE)</f>
        <v>#REF!</v>
      </c>
      <c r="AS987" s="24" t="e">
        <f>VLOOKUP(C987,#REF!,13,FALSE)</f>
        <v>#REF!</v>
      </c>
      <c r="AT987" s="100"/>
      <c r="AU987" s="100"/>
      <c r="AV987" s="100">
        <v>963</v>
      </c>
      <c r="AW987" s="100"/>
      <c r="AY987" s="128">
        <v>14900</v>
      </c>
    </row>
    <row r="988" spans="1:51" s="2" customFormat="1" ht="12.75" customHeight="1" x14ac:dyDescent="0.25">
      <c r="A988" s="1"/>
      <c r="B988" s="3"/>
      <c r="C988" s="3"/>
      <c r="E988" s="274"/>
      <c r="F988" s="275"/>
      <c r="H988" s="132"/>
      <c r="I988" s="132"/>
      <c r="J988" s="132"/>
      <c r="K988" s="132"/>
      <c r="L988" s="134"/>
      <c r="M988" s="132"/>
      <c r="N988" s="132"/>
      <c r="O988" s="132"/>
      <c r="P988" s="132"/>
      <c r="Q988" s="147"/>
      <c r="R988" s="327"/>
      <c r="S988" s="360"/>
      <c r="T988" s="307"/>
      <c r="U988" s="135"/>
      <c r="V988" s="100"/>
      <c r="W988"/>
      <c r="X988"/>
      <c r="Y988"/>
      <c r="Z988"/>
      <c r="AA988"/>
      <c r="AB988"/>
      <c r="AC988"/>
      <c r="AD988" s="263"/>
      <c r="AE988"/>
      <c r="AF988" s="100"/>
      <c r="AG988" s="263"/>
      <c r="AH988"/>
      <c r="AI988" s="100"/>
      <c r="AJ988" s="263"/>
      <c r="AK988"/>
      <c r="AL988" s="100"/>
      <c r="AM988" s="263"/>
      <c r="AN988"/>
      <c r="AO988" s="100"/>
      <c r="AP988" s="100"/>
      <c r="AQ988" s="100"/>
      <c r="AR988" s="100"/>
      <c r="AS988" s="100"/>
      <c r="AT988" s="100"/>
      <c r="AU988" s="100"/>
      <c r="AV988" s="100">
        <v>964</v>
      </c>
      <c r="AW988" s="100"/>
      <c r="AY988" s="134"/>
    </row>
    <row r="989" spans="1:51" s="2" customFormat="1" ht="12.75" customHeight="1" x14ac:dyDescent="0.25">
      <c r="A989" s="202" t="s">
        <v>1699</v>
      </c>
      <c r="B989" s="203"/>
      <c r="C989" s="203"/>
      <c r="D989" s="204"/>
      <c r="E989" s="205"/>
      <c r="F989" s="162"/>
      <c r="G989" s="162"/>
      <c r="H989" s="132"/>
      <c r="I989" s="132"/>
      <c r="J989" s="132"/>
      <c r="K989" s="132"/>
      <c r="L989" s="134"/>
      <c r="M989" s="132"/>
      <c r="N989" s="132"/>
      <c r="O989" s="132"/>
      <c r="P989" s="132"/>
      <c r="Q989" s="147"/>
      <c r="R989" s="327"/>
      <c r="S989" s="360"/>
      <c r="T989" s="307"/>
      <c r="U989" s="135"/>
      <c r="V989" s="100"/>
      <c r="W989"/>
      <c r="X989"/>
      <c r="Y989"/>
      <c r="Z989"/>
      <c r="AA989"/>
      <c r="AB989"/>
      <c r="AC989"/>
      <c r="AD989" s="263"/>
      <c r="AE989"/>
      <c r="AF989" s="100"/>
      <c r="AG989" s="263"/>
      <c r="AH989"/>
      <c r="AI989" s="100"/>
      <c r="AJ989" s="263"/>
      <c r="AK989"/>
      <c r="AL989" s="100"/>
      <c r="AM989" s="263"/>
      <c r="AN989"/>
      <c r="AO989" s="100"/>
      <c r="AP989" s="100"/>
      <c r="AQ989" s="100"/>
      <c r="AR989" s="100"/>
      <c r="AS989" s="100"/>
      <c r="AT989" s="100"/>
      <c r="AU989" s="100"/>
      <c r="AV989" s="100">
        <v>965</v>
      </c>
      <c r="AW989" s="100"/>
      <c r="AY989" s="134"/>
    </row>
    <row r="990" spans="1:51" s="162" customFormat="1" ht="12.75" customHeight="1" x14ac:dyDescent="0.2">
      <c r="A990" s="6" t="s">
        <v>1700</v>
      </c>
      <c r="B990" s="8">
        <v>9789500299466</v>
      </c>
      <c r="C990" s="6">
        <v>627255</v>
      </c>
      <c r="D990" s="7">
        <v>12</v>
      </c>
      <c r="E990" s="7" t="s">
        <v>324</v>
      </c>
      <c r="F990" s="11" t="s">
        <v>1701</v>
      </c>
      <c r="G990" s="107">
        <v>42887</v>
      </c>
      <c r="H990" s="108">
        <v>42767</v>
      </c>
      <c r="I990" s="24">
        <v>3000</v>
      </c>
      <c r="J990" s="28" t="s">
        <v>1946</v>
      </c>
      <c r="K990" s="28">
        <v>26.13</v>
      </c>
      <c r="L990" s="128">
        <v>8000</v>
      </c>
      <c r="M990" s="112"/>
      <c r="N990" s="9">
        <f>+L990/2</f>
        <v>4000</v>
      </c>
      <c r="O990" s="9">
        <f>+N990-M990-K990</f>
        <v>3973.87</v>
      </c>
      <c r="P990" s="9">
        <f>+M990+K990</f>
        <v>26.13</v>
      </c>
      <c r="Q990" s="139">
        <f>+O990/N990</f>
        <v>0.99346749999999995</v>
      </c>
      <c r="R990" s="387">
        <v>8000</v>
      </c>
      <c r="S990" s="359" t="s">
        <v>1948</v>
      </c>
      <c r="T990" s="305">
        <v>0.99346749999999995</v>
      </c>
      <c r="U990" s="144"/>
      <c r="V990" s="100"/>
      <c r="W990" s="110">
        <f>+L990</f>
        <v>8000</v>
      </c>
      <c r="X990" s="110">
        <f>+K990</f>
        <v>26.13</v>
      </c>
      <c r="Y990" s="110">
        <f>+M990</f>
        <v>0</v>
      </c>
      <c r="Z990" s="110">
        <f>+W990/2-X990-Y990</f>
        <v>3973.87</v>
      </c>
      <c r="AA990" s="260">
        <f>+Z990/(W990/2)</f>
        <v>0.99346749999999995</v>
      </c>
      <c r="AB990" s="28">
        <f>ROUND($W990/2/$X$1,1)</f>
        <v>2.6</v>
      </c>
      <c r="AC990" s="261">
        <f>+(AB990*$X$1-$X990-$Y990)/(AB990*$X$1)</f>
        <v>0.99337289812067253</v>
      </c>
      <c r="AD990" s="111">
        <f>+IFERROR(ROUND(($X990+$Y990)/(1-$X$2)/$X$1,1),0)</f>
        <v>0</v>
      </c>
      <c r="AE990" s="262" t="e">
        <f>+(AD990*$X$1-$X990-$Y990)/(AD990*$X$1)</f>
        <v>#DIV/0!</v>
      </c>
      <c r="AF990" s="100"/>
      <c r="AG990" s="111">
        <f>+IFERROR(ROUND(($X990+$Y990)/(1-$AG$2)/$X$1,1),0)</f>
        <v>0</v>
      </c>
      <c r="AH990" s="262" t="e">
        <f>+(AG990*$X$1-$X990-$Y990)/(AG990*$X$1)</f>
        <v>#DIV/0!</v>
      </c>
      <c r="AI990" s="100"/>
      <c r="AJ990" s="111">
        <f>+IFERROR(ROUND(($X990+$Y990)/(1-$AJ$2)/$X$1,1),0)</f>
        <v>0</v>
      </c>
      <c r="AK990" s="262" t="e">
        <f>+(AJ990*$X$1-$X990-$Y990)/(AJ990*$X$1)</f>
        <v>#DIV/0!</v>
      </c>
      <c r="AL990" s="100"/>
      <c r="AM990" s="111">
        <f>+IFERROR(ROUND(($X990+$Y990)/(1-$AM$2)/$X$1,1),0)</f>
        <v>0</v>
      </c>
      <c r="AN990" s="262" t="e">
        <f>+(AM990*$X$1-$X990-$Y990)/(AM990*$X$1)</f>
        <v>#DIV/0!</v>
      </c>
      <c r="AO990" s="100"/>
      <c r="AP990" s="24" t="e">
        <f>VLOOKUP(C990,#REF!,6,FALSE)</f>
        <v>#REF!</v>
      </c>
      <c r="AQ990" s="24" t="e">
        <f>VLOOKUP(C990,#REF!,7,FALSE)</f>
        <v>#REF!</v>
      </c>
      <c r="AR990" s="24" t="e">
        <f>VLOOKUP(C990,#REF!,12,FALSE)</f>
        <v>#REF!</v>
      </c>
      <c r="AS990" s="24" t="e">
        <f>VLOOKUP(C990,#REF!,13,FALSE)</f>
        <v>#REF!</v>
      </c>
      <c r="AT990" s="100"/>
      <c r="AU990" s="100"/>
      <c r="AV990" s="100">
        <v>966</v>
      </c>
      <c r="AW990" s="100"/>
      <c r="AY990" s="128">
        <v>8000</v>
      </c>
    </row>
    <row r="991" spans="1:51" s="2" customFormat="1" ht="12.75" customHeight="1" x14ac:dyDescent="0.2">
      <c r="A991" s="6" t="s">
        <v>1702</v>
      </c>
      <c r="B991" s="8">
        <v>9789500299473</v>
      </c>
      <c r="C991" s="6">
        <v>627256</v>
      </c>
      <c r="D991" s="7">
        <v>12</v>
      </c>
      <c r="E991" s="7" t="s">
        <v>324</v>
      </c>
      <c r="F991" s="11" t="s">
        <v>1703</v>
      </c>
      <c r="G991" s="107">
        <v>42887</v>
      </c>
      <c r="H991" s="108">
        <v>42767</v>
      </c>
      <c r="I991" s="24">
        <v>3000</v>
      </c>
      <c r="J991" s="28" t="s">
        <v>1946</v>
      </c>
      <c r="K991" s="28">
        <v>26.13</v>
      </c>
      <c r="L991" s="128">
        <v>8000</v>
      </c>
      <c r="M991" s="112"/>
      <c r="N991" s="9">
        <f>+L991/2</f>
        <v>4000</v>
      </c>
      <c r="O991" s="9">
        <f>+N991-M991-K991</f>
        <v>3973.87</v>
      </c>
      <c r="P991" s="9">
        <f>+M991+K991</f>
        <v>26.13</v>
      </c>
      <c r="Q991" s="139">
        <f>+O991/N991</f>
        <v>0.99346749999999995</v>
      </c>
      <c r="R991" s="387">
        <v>8000</v>
      </c>
      <c r="S991" s="359" t="s">
        <v>1948</v>
      </c>
      <c r="T991" s="305">
        <v>0.99346749999999995</v>
      </c>
      <c r="U991" s="144"/>
      <c r="V991" s="100"/>
      <c r="W991" s="110">
        <f>+L991</f>
        <v>8000</v>
      </c>
      <c r="X991" s="110">
        <f>+K991</f>
        <v>26.13</v>
      </c>
      <c r="Y991" s="110">
        <f>+M991</f>
        <v>0</v>
      </c>
      <c r="Z991" s="110">
        <f>+W991/2-X991-Y991</f>
        <v>3973.87</v>
      </c>
      <c r="AA991" s="260">
        <f>+Z991/(W991/2)</f>
        <v>0.99346749999999995</v>
      </c>
      <c r="AB991" s="28">
        <f>ROUND($W991/2/$X$1,1)</f>
        <v>2.6</v>
      </c>
      <c r="AC991" s="261">
        <f>+(AB991*$X$1-$X991-$Y991)/(AB991*$X$1)</f>
        <v>0.99337289812067253</v>
      </c>
      <c r="AD991" s="111">
        <f>+IFERROR(ROUND(($X991+$Y991)/(1-$X$2)/$X$1,1),0)</f>
        <v>0</v>
      </c>
      <c r="AE991" s="262" t="e">
        <f>+(AD991*$X$1-$X991-$Y991)/(AD991*$X$1)</f>
        <v>#DIV/0!</v>
      </c>
      <c r="AF991" s="100"/>
      <c r="AG991" s="111">
        <f>+IFERROR(ROUND(($X991+$Y991)/(1-$AG$2)/$X$1,1),0)</f>
        <v>0</v>
      </c>
      <c r="AH991" s="262" t="e">
        <f>+(AG991*$X$1-$X991-$Y991)/(AG991*$X$1)</f>
        <v>#DIV/0!</v>
      </c>
      <c r="AI991" s="100"/>
      <c r="AJ991" s="111">
        <f>+IFERROR(ROUND(($X991+$Y991)/(1-$AJ$2)/$X$1,1),0)</f>
        <v>0</v>
      </c>
      <c r="AK991" s="262" t="e">
        <f>+(AJ991*$X$1-$X991-$Y991)/(AJ991*$X$1)</f>
        <v>#DIV/0!</v>
      </c>
      <c r="AL991" s="100"/>
      <c r="AM991" s="111">
        <f>+IFERROR(ROUND(($X991+$Y991)/(1-$AM$2)/$X$1,1),0)</f>
        <v>0</v>
      </c>
      <c r="AN991" s="262" t="e">
        <f>+(AM991*$X$1-$X991-$Y991)/(AM991*$X$1)</f>
        <v>#DIV/0!</v>
      </c>
      <c r="AO991" s="100"/>
      <c r="AP991" s="24" t="e">
        <f>VLOOKUP(C991,#REF!,6,FALSE)</f>
        <v>#REF!</v>
      </c>
      <c r="AQ991" s="24" t="e">
        <f>VLOOKUP(C991,#REF!,7,FALSE)</f>
        <v>#REF!</v>
      </c>
      <c r="AR991" s="24" t="e">
        <f>VLOOKUP(C991,#REF!,12,FALSE)</f>
        <v>#REF!</v>
      </c>
      <c r="AS991" s="24" t="e">
        <f>VLOOKUP(C991,#REF!,13,FALSE)</f>
        <v>#REF!</v>
      </c>
      <c r="AT991" s="100"/>
      <c r="AU991" s="100"/>
      <c r="AV991" s="100">
        <v>967</v>
      </c>
      <c r="AW991" s="100"/>
      <c r="AY991" s="128">
        <v>8000</v>
      </c>
    </row>
    <row r="992" spans="1:51" s="2" customFormat="1" ht="12.75" customHeight="1" x14ac:dyDescent="0.2">
      <c r="A992" s="6" t="s">
        <v>1704</v>
      </c>
      <c r="B992" s="8">
        <v>9789500299480</v>
      </c>
      <c r="C992" s="6">
        <v>627257</v>
      </c>
      <c r="D992" s="7">
        <v>12</v>
      </c>
      <c r="E992" s="7" t="s">
        <v>324</v>
      </c>
      <c r="F992" s="11" t="s">
        <v>325</v>
      </c>
      <c r="G992" s="107">
        <v>42887</v>
      </c>
      <c r="H992" s="108">
        <v>42767</v>
      </c>
      <c r="I992" s="24">
        <v>3000</v>
      </c>
      <c r="J992" s="28" t="s">
        <v>1946</v>
      </c>
      <c r="K992" s="28">
        <v>26.13</v>
      </c>
      <c r="L992" s="128">
        <v>8000</v>
      </c>
      <c r="M992" s="112"/>
      <c r="N992" s="9">
        <f>+L992/2</f>
        <v>4000</v>
      </c>
      <c r="O992" s="9">
        <f>+N992-M992-K992</f>
        <v>3973.87</v>
      </c>
      <c r="P992" s="9">
        <f>+M992+K992</f>
        <v>26.13</v>
      </c>
      <c r="Q992" s="139">
        <f>+O992/N992</f>
        <v>0.99346749999999995</v>
      </c>
      <c r="R992" s="387">
        <v>8000</v>
      </c>
      <c r="S992" s="359" t="s">
        <v>1948</v>
      </c>
      <c r="T992" s="305">
        <v>0.99346749999999995</v>
      </c>
      <c r="U992" s="144"/>
      <c r="V992" s="100"/>
      <c r="W992" s="110">
        <f>+L992</f>
        <v>8000</v>
      </c>
      <c r="X992" s="110">
        <f>+K992</f>
        <v>26.13</v>
      </c>
      <c r="Y992" s="110">
        <f>+M992</f>
        <v>0</v>
      </c>
      <c r="Z992" s="110">
        <f>+W992/2-X992-Y992</f>
        <v>3973.87</v>
      </c>
      <c r="AA992" s="260">
        <f>+Z992/(W992/2)</f>
        <v>0.99346749999999995</v>
      </c>
      <c r="AB992" s="28">
        <f>ROUND($W992/2/$X$1,1)</f>
        <v>2.6</v>
      </c>
      <c r="AC992" s="261">
        <f>+(AB992*$X$1-$X992-$Y992)/(AB992*$X$1)</f>
        <v>0.99337289812067253</v>
      </c>
      <c r="AD992" s="111">
        <f>+IFERROR(ROUND(($X992+$Y992)/(1-$X$2)/$X$1,1),0)</f>
        <v>0</v>
      </c>
      <c r="AE992" s="262" t="e">
        <f>+(AD992*$X$1-$X992-$Y992)/(AD992*$X$1)</f>
        <v>#DIV/0!</v>
      </c>
      <c r="AF992" s="100"/>
      <c r="AG992" s="111">
        <f>+IFERROR(ROUND(($X992+$Y992)/(1-$AG$2)/$X$1,1),0)</f>
        <v>0</v>
      </c>
      <c r="AH992" s="262" t="e">
        <f>+(AG992*$X$1-$X992-$Y992)/(AG992*$X$1)</f>
        <v>#DIV/0!</v>
      </c>
      <c r="AI992" s="100"/>
      <c r="AJ992" s="111">
        <f>+IFERROR(ROUND(($X992+$Y992)/(1-$AJ$2)/$X$1,1),0)</f>
        <v>0</v>
      </c>
      <c r="AK992" s="262" t="e">
        <f>+(AJ992*$X$1-$X992-$Y992)/(AJ992*$X$1)</f>
        <v>#DIV/0!</v>
      </c>
      <c r="AL992" s="100"/>
      <c r="AM992" s="111">
        <f>+IFERROR(ROUND(($X992+$Y992)/(1-$AM$2)/$X$1,1),0)</f>
        <v>0</v>
      </c>
      <c r="AN992" s="262" t="e">
        <f>+(AM992*$X$1-$X992-$Y992)/(AM992*$X$1)</f>
        <v>#DIV/0!</v>
      </c>
      <c r="AO992" s="100"/>
      <c r="AP992" s="24" t="e">
        <f>VLOOKUP(C992,#REF!,6,FALSE)</f>
        <v>#REF!</v>
      </c>
      <c r="AQ992" s="24" t="e">
        <f>VLOOKUP(C992,#REF!,7,FALSE)</f>
        <v>#REF!</v>
      </c>
      <c r="AR992" s="24" t="e">
        <f>VLOOKUP(C992,#REF!,12,FALSE)</f>
        <v>#REF!</v>
      </c>
      <c r="AS992" s="24" t="e">
        <f>VLOOKUP(C992,#REF!,13,FALSE)</f>
        <v>#REF!</v>
      </c>
      <c r="AT992" s="100"/>
      <c r="AU992" s="100"/>
      <c r="AV992" s="100">
        <v>968</v>
      </c>
      <c r="AW992" s="100"/>
      <c r="AY992" s="128">
        <v>8000</v>
      </c>
    </row>
    <row r="993" spans="1:51" s="2" customFormat="1" ht="12.75" customHeight="1" x14ac:dyDescent="0.2">
      <c r="A993" s="6" t="s">
        <v>1705</v>
      </c>
      <c r="B993" s="8">
        <v>9789500299459</v>
      </c>
      <c r="C993" s="6">
        <v>627258</v>
      </c>
      <c r="D993" s="7">
        <v>12</v>
      </c>
      <c r="E993" s="7" t="s">
        <v>324</v>
      </c>
      <c r="F993" s="11" t="s">
        <v>326</v>
      </c>
      <c r="G993" s="107">
        <v>42887</v>
      </c>
      <c r="H993" s="108">
        <v>42767</v>
      </c>
      <c r="I993" s="24">
        <v>3000</v>
      </c>
      <c r="J993" s="28" t="s">
        <v>1946</v>
      </c>
      <c r="K993" s="28">
        <v>26.13</v>
      </c>
      <c r="L993" s="128">
        <v>8000</v>
      </c>
      <c r="M993" s="112"/>
      <c r="N993" s="9">
        <f>+L993/2</f>
        <v>4000</v>
      </c>
      <c r="O993" s="9">
        <f>+N993-M993-K993</f>
        <v>3973.87</v>
      </c>
      <c r="P993" s="9">
        <f>+M993+K993</f>
        <v>26.13</v>
      </c>
      <c r="Q993" s="139">
        <f>+O993/N993</f>
        <v>0.99346749999999995</v>
      </c>
      <c r="R993" s="387">
        <v>8000</v>
      </c>
      <c r="S993" s="359" t="s">
        <v>1948</v>
      </c>
      <c r="T993" s="305">
        <v>0.99346749999999995</v>
      </c>
      <c r="U993" s="144"/>
      <c r="V993" s="100"/>
      <c r="W993" s="110">
        <f>+L993</f>
        <v>8000</v>
      </c>
      <c r="X993" s="110">
        <f>+K993</f>
        <v>26.13</v>
      </c>
      <c r="Y993" s="110">
        <f>+M993</f>
        <v>0</v>
      </c>
      <c r="Z993" s="110">
        <f>+W993/2-X993-Y993</f>
        <v>3973.87</v>
      </c>
      <c r="AA993" s="260">
        <f>+Z993/(W993/2)</f>
        <v>0.99346749999999995</v>
      </c>
      <c r="AB993" s="28">
        <f>ROUND($W993/2/$X$1,1)</f>
        <v>2.6</v>
      </c>
      <c r="AC993" s="261">
        <f>+(AB993*$X$1-$X993-$Y993)/(AB993*$X$1)</f>
        <v>0.99337289812067253</v>
      </c>
      <c r="AD993" s="111">
        <f>+IFERROR(ROUND(($X993+$Y993)/(1-$X$2)/$X$1,1),0)</f>
        <v>0</v>
      </c>
      <c r="AE993" s="262" t="e">
        <f>+(AD993*$X$1-$X993-$Y993)/(AD993*$X$1)</f>
        <v>#DIV/0!</v>
      </c>
      <c r="AF993" s="100"/>
      <c r="AG993" s="111">
        <f>+IFERROR(ROUND(($X993+$Y993)/(1-$AG$2)/$X$1,1),0)</f>
        <v>0</v>
      </c>
      <c r="AH993" s="262" t="e">
        <f>+(AG993*$X$1-$X993-$Y993)/(AG993*$X$1)</f>
        <v>#DIV/0!</v>
      </c>
      <c r="AI993" s="100"/>
      <c r="AJ993" s="111">
        <f>+IFERROR(ROUND(($X993+$Y993)/(1-$AJ$2)/$X$1,1),0)</f>
        <v>0</v>
      </c>
      <c r="AK993" s="262" t="e">
        <f>+(AJ993*$X$1-$X993-$Y993)/(AJ993*$X$1)</f>
        <v>#DIV/0!</v>
      </c>
      <c r="AL993" s="100"/>
      <c r="AM993" s="111">
        <f>+IFERROR(ROUND(($X993+$Y993)/(1-$AM$2)/$X$1,1),0)</f>
        <v>0</v>
      </c>
      <c r="AN993" s="262" t="e">
        <f>+(AM993*$X$1-$X993-$Y993)/(AM993*$X$1)</f>
        <v>#DIV/0!</v>
      </c>
      <c r="AO993" s="100"/>
      <c r="AP993" s="24" t="e">
        <f>VLOOKUP(C993,#REF!,6,FALSE)</f>
        <v>#REF!</v>
      </c>
      <c r="AQ993" s="24" t="e">
        <f>VLOOKUP(C993,#REF!,7,FALSE)</f>
        <v>#REF!</v>
      </c>
      <c r="AR993" s="24" t="e">
        <f>VLOOKUP(C993,#REF!,12,FALSE)</f>
        <v>#REF!</v>
      </c>
      <c r="AS993" s="24" t="e">
        <f>VLOOKUP(C993,#REF!,13,FALSE)</f>
        <v>#REF!</v>
      </c>
      <c r="AT993" s="100"/>
      <c r="AU993" s="100"/>
      <c r="AV993" s="100">
        <v>969</v>
      </c>
      <c r="AW993" s="100"/>
      <c r="AY993" s="128">
        <v>8000</v>
      </c>
    </row>
    <row r="994" spans="1:51" s="2" customFormat="1" ht="12.75" customHeight="1" x14ac:dyDescent="0.25">
      <c r="A994" s="1"/>
      <c r="B994" s="3"/>
      <c r="C994" s="3"/>
      <c r="E994" s="274"/>
      <c r="F994" s="275"/>
      <c r="H994" s="132"/>
      <c r="I994" s="132"/>
      <c r="J994" s="132"/>
      <c r="K994" s="132"/>
      <c r="L994" s="134"/>
      <c r="M994" s="132"/>
      <c r="N994" s="132"/>
      <c r="O994" s="132"/>
      <c r="P994" s="132"/>
      <c r="Q994" s="147"/>
      <c r="R994" s="327"/>
      <c r="S994" s="360"/>
      <c r="T994" s="307"/>
      <c r="U994" s="135"/>
      <c r="V994" s="100"/>
      <c r="W994"/>
      <c r="X994"/>
      <c r="Y994"/>
      <c r="Z994"/>
      <c r="AA994"/>
      <c r="AB994"/>
      <c r="AC994"/>
      <c r="AD994" s="263"/>
      <c r="AE994"/>
      <c r="AF994" s="100"/>
      <c r="AG994" s="263"/>
      <c r="AH994"/>
      <c r="AI994" s="100"/>
      <c r="AJ994" s="263"/>
      <c r="AK994"/>
      <c r="AL994" s="100"/>
      <c r="AM994" s="263"/>
      <c r="AN994"/>
      <c r="AO994" s="100"/>
      <c r="AP994" s="100"/>
      <c r="AQ994" s="100"/>
      <c r="AR994" s="100"/>
      <c r="AS994" s="100"/>
      <c r="AT994" s="100"/>
      <c r="AU994" s="100"/>
      <c r="AV994" s="100">
        <v>970</v>
      </c>
      <c r="AW994" s="100"/>
      <c r="AY994" s="134"/>
    </row>
    <row r="995" spans="1:51" s="2" customFormat="1" ht="12.75" customHeight="1" x14ac:dyDescent="0.25">
      <c r="A995" s="202" t="s">
        <v>1706</v>
      </c>
      <c r="B995" s="203"/>
      <c r="C995" s="203"/>
      <c r="D995" s="204"/>
      <c r="E995" s="205"/>
      <c r="F995" s="162"/>
      <c r="G995" s="162"/>
      <c r="H995" s="132"/>
      <c r="I995" s="132"/>
      <c r="J995" s="132"/>
      <c r="K995" s="132"/>
      <c r="L995" s="134"/>
      <c r="M995" s="132"/>
      <c r="N995" s="132"/>
      <c r="O995" s="132"/>
      <c r="P995" s="132"/>
      <c r="Q995" s="147"/>
      <c r="R995" s="327"/>
      <c r="S995" s="360"/>
      <c r="T995" s="307"/>
      <c r="U995" s="135"/>
      <c r="V995" s="100"/>
      <c r="W995"/>
      <c r="X995"/>
      <c r="Y995"/>
      <c r="Z995"/>
      <c r="AA995"/>
      <c r="AB995"/>
      <c r="AC995"/>
      <c r="AD995" s="263"/>
      <c r="AE995"/>
      <c r="AF995" s="100"/>
      <c r="AG995" s="263"/>
      <c r="AH995"/>
      <c r="AI995" s="100"/>
      <c r="AJ995" s="263"/>
      <c r="AK995"/>
      <c r="AL995" s="100"/>
      <c r="AM995" s="263"/>
      <c r="AN995"/>
      <c r="AO995" s="100"/>
      <c r="AP995" s="100"/>
      <c r="AQ995" s="100"/>
      <c r="AR995" s="100"/>
      <c r="AS995" s="100"/>
      <c r="AT995" s="100"/>
      <c r="AU995" s="100"/>
      <c r="AV995" s="100">
        <v>971</v>
      </c>
      <c r="AW995" s="100"/>
      <c r="AY995" s="134"/>
    </row>
    <row r="996" spans="1:51" s="162" customFormat="1" ht="12.75" customHeight="1" x14ac:dyDescent="0.2">
      <c r="A996" s="7" t="s">
        <v>1707</v>
      </c>
      <c r="B996" s="208">
        <v>9789500209168</v>
      </c>
      <c r="C996" s="6">
        <v>645292</v>
      </c>
      <c r="D996" s="7">
        <v>10</v>
      </c>
      <c r="E996" s="7" t="s">
        <v>350</v>
      </c>
      <c r="F996" s="15" t="s">
        <v>351</v>
      </c>
      <c r="G996" s="107">
        <v>43160</v>
      </c>
      <c r="H996" s="108">
        <v>43101</v>
      </c>
      <c r="I996" s="24">
        <v>3024</v>
      </c>
      <c r="J996" s="28" t="s">
        <v>1946</v>
      </c>
      <c r="K996" s="28">
        <v>32.86</v>
      </c>
      <c r="L996" s="128">
        <v>8800</v>
      </c>
      <c r="M996" s="112"/>
      <c r="N996" s="9">
        <f>+L996/2</f>
        <v>4400</v>
      </c>
      <c r="O996" s="9">
        <f>+N996-M996-K996</f>
        <v>4367.1400000000003</v>
      </c>
      <c r="P996" s="9">
        <f>+M996+K996</f>
        <v>32.86</v>
      </c>
      <c r="Q996" s="139">
        <f>+O996/N996</f>
        <v>0.99253181818181824</v>
      </c>
      <c r="R996" s="387">
        <v>8800</v>
      </c>
      <c r="S996" s="359" t="s">
        <v>1948</v>
      </c>
      <c r="T996" s="305">
        <v>0.99253181818181824</v>
      </c>
      <c r="U996" s="144"/>
      <c r="V996" s="100"/>
      <c r="W996" s="110">
        <f>+L996</f>
        <v>8800</v>
      </c>
      <c r="X996" s="110">
        <f>+K996</f>
        <v>32.86</v>
      </c>
      <c r="Y996" s="110">
        <f>+M996</f>
        <v>0</v>
      </c>
      <c r="Z996" s="110">
        <f>+W996/2-X996-Y996</f>
        <v>4367.1400000000003</v>
      </c>
      <c r="AA996" s="260">
        <f>+Z996/(W996/2)</f>
        <v>0.99253181818181824</v>
      </c>
      <c r="AB996" s="28">
        <f>ROUND($W996/2/$X$1,1)</f>
        <v>2.9</v>
      </c>
      <c r="AC996" s="261">
        <f>+(AB996*$X$1-$X996-$Y996)/(AB996*$X$1)</f>
        <v>0.99252816717259573</v>
      </c>
      <c r="AD996" s="111">
        <f>+IFERROR(ROUND(($X996+$Y996)/(1-$X$2)/$X$1,1),0)</f>
        <v>0</v>
      </c>
      <c r="AE996" s="262" t="e">
        <f>+(AD996*$X$1-$X996-$Y996)/(AD996*$X$1)</f>
        <v>#DIV/0!</v>
      </c>
      <c r="AF996" s="100"/>
      <c r="AG996" s="111">
        <f>+IFERROR(ROUND(($X996+$Y996)/(1-$AG$2)/$X$1,1),0)</f>
        <v>0</v>
      </c>
      <c r="AH996" s="262" t="e">
        <f>+(AG996*$X$1-$X996-$Y996)/(AG996*$X$1)</f>
        <v>#DIV/0!</v>
      </c>
      <c r="AI996" s="100"/>
      <c r="AJ996" s="111">
        <f>+IFERROR(ROUND(($X996+$Y996)/(1-$AJ$2)/$X$1,1),0)</f>
        <v>0</v>
      </c>
      <c r="AK996" s="262" t="e">
        <f>+(AJ996*$X$1-$X996-$Y996)/(AJ996*$X$1)</f>
        <v>#DIV/0!</v>
      </c>
      <c r="AL996" s="100"/>
      <c r="AM996" s="111">
        <f>+IFERROR(ROUND(($X996+$Y996)/(1-$AM$2)/$X$1,1),0)</f>
        <v>0</v>
      </c>
      <c r="AN996" s="262" t="e">
        <f>+(AM996*$X$1-$X996-$Y996)/(AM996*$X$1)</f>
        <v>#DIV/0!</v>
      </c>
      <c r="AO996" s="100"/>
      <c r="AP996" s="24" t="e">
        <f>VLOOKUP(C996,#REF!,6,FALSE)</f>
        <v>#REF!</v>
      </c>
      <c r="AQ996" s="24" t="e">
        <f>VLOOKUP(C996,#REF!,7,FALSE)</f>
        <v>#REF!</v>
      </c>
      <c r="AR996" s="24" t="e">
        <f>VLOOKUP(C996,#REF!,12,FALSE)</f>
        <v>#REF!</v>
      </c>
      <c r="AS996" s="24" t="e">
        <f>VLOOKUP(C996,#REF!,13,FALSE)</f>
        <v>#REF!</v>
      </c>
      <c r="AT996" s="100"/>
      <c r="AU996" s="100"/>
      <c r="AV996" s="100">
        <v>972</v>
      </c>
      <c r="AW996" s="100"/>
      <c r="AY996" s="128">
        <v>8800</v>
      </c>
    </row>
    <row r="997" spans="1:51" s="2" customFormat="1" ht="12.75" customHeight="1" x14ac:dyDescent="0.2">
      <c r="A997" s="7" t="s">
        <v>1708</v>
      </c>
      <c r="B997" s="208">
        <v>9789500209182</v>
      </c>
      <c r="C997" s="6">
        <v>645290</v>
      </c>
      <c r="D997" s="7">
        <v>10</v>
      </c>
      <c r="E997" s="7" t="s">
        <v>350</v>
      </c>
      <c r="F997" s="15" t="s">
        <v>352</v>
      </c>
      <c r="G997" s="107">
        <v>43160</v>
      </c>
      <c r="H997" s="108">
        <v>43101</v>
      </c>
      <c r="I997" s="24">
        <v>3024</v>
      </c>
      <c r="J997" s="28" t="s">
        <v>1946</v>
      </c>
      <c r="K997" s="28">
        <v>32.86</v>
      </c>
      <c r="L997" s="128">
        <v>8800</v>
      </c>
      <c r="M997" s="112"/>
      <c r="N997" s="9">
        <f>+L997/2</f>
        <v>4400</v>
      </c>
      <c r="O997" s="9">
        <f>+N997-M997-K997</f>
        <v>4367.1400000000003</v>
      </c>
      <c r="P997" s="9">
        <f>+M997+K997</f>
        <v>32.86</v>
      </c>
      <c r="Q997" s="139">
        <f>+O997/N997</f>
        <v>0.99253181818181824</v>
      </c>
      <c r="R997" s="387">
        <v>8800</v>
      </c>
      <c r="S997" s="359" t="s">
        <v>1948</v>
      </c>
      <c r="T997" s="305">
        <v>0.99253181818181824</v>
      </c>
      <c r="U997" s="144"/>
      <c r="V997" s="100"/>
      <c r="W997" s="110">
        <f>+L997</f>
        <v>8800</v>
      </c>
      <c r="X997" s="110">
        <f>+K997</f>
        <v>32.86</v>
      </c>
      <c r="Y997" s="110">
        <f>+M997</f>
        <v>0</v>
      </c>
      <c r="Z997" s="110">
        <f>+W997/2-X997-Y997</f>
        <v>4367.1400000000003</v>
      </c>
      <c r="AA997" s="260">
        <f>+Z997/(W997/2)</f>
        <v>0.99253181818181824</v>
      </c>
      <c r="AB997" s="28">
        <f>ROUND($W997/2/$X$1,1)</f>
        <v>2.9</v>
      </c>
      <c r="AC997" s="261">
        <f>+(AB997*$X$1-$X997-$Y997)/(AB997*$X$1)</f>
        <v>0.99252816717259573</v>
      </c>
      <c r="AD997" s="111">
        <f>+IFERROR(ROUND(($X997+$Y997)/(1-$X$2)/$X$1,1),0)</f>
        <v>0</v>
      </c>
      <c r="AE997" s="262" t="e">
        <f>+(AD997*$X$1-$X997-$Y997)/(AD997*$X$1)</f>
        <v>#DIV/0!</v>
      </c>
      <c r="AF997" s="100"/>
      <c r="AG997" s="111">
        <f>+IFERROR(ROUND(($X997+$Y997)/(1-$AG$2)/$X$1,1),0)</f>
        <v>0</v>
      </c>
      <c r="AH997" s="262" t="e">
        <f>+(AG997*$X$1-$X997-$Y997)/(AG997*$X$1)</f>
        <v>#DIV/0!</v>
      </c>
      <c r="AI997" s="100"/>
      <c r="AJ997" s="111">
        <f>+IFERROR(ROUND(($X997+$Y997)/(1-$AJ$2)/$X$1,1),0)</f>
        <v>0</v>
      </c>
      <c r="AK997" s="262" t="e">
        <f>+(AJ997*$X$1-$X997-$Y997)/(AJ997*$X$1)</f>
        <v>#DIV/0!</v>
      </c>
      <c r="AL997" s="100"/>
      <c r="AM997" s="111">
        <f>+IFERROR(ROUND(($X997+$Y997)/(1-$AM$2)/$X$1,1),0)</f>
        <v>0</v>
      </c>
      <c r="AN997" s="262" t="e">
        <f>+(AM997*$X$1-$X997-$Y997)/(AM997*$X$1)</f>
        <v>#DIV/0!</v>
      </c>
      <c r="AO997" s="100"/>
      <c r="AP997" s="24" t="e">
        <f>VLOOKUP(C997,#REF!,6,FALSE)</f>
        <v>#REF!</v>
      </c>
      <c r="AQ997" s="24" t="e">
        <f>VLOOKUP(C997,#REF!,7,FALSE)</f>
        <v>#REF!</v>
      </c>
      <c r="AR997" s="24" t="e">
        <f>VLOOKUP(C997,#REF!,12,FALSE)</f>
        <v>#REF!</v>
      </c>
      <c r="AS997" s="24" t="e">
        <f>VLOOKUP(C997,#REF!,13,FALSE)</f>
        <v>#REF!</v>
      </c>
      <c r="AT997" s="100"/>
      <c r="AU997" s="100"/>
      <c r="AV997" s="100">
        <v>973</v>
      </c>
      <c r="AW997" s="100"/>
      <c r="AY997" s="128">
        <v>8800</v>
      </c>
    </row>
    <row r="998" spans="1:51" s="2" customFormat="1" ht="12.75" customHeight="1" x14ac:dyDescent="0.2">
      <c r="A998" s="7" t="s">
        <v>1709</v>
      </c>
      <c r="B998" s="208">
        <v>9789500209175</v>
      </c>
      <c r="C998" s="6">
        <v>645287</v>
      </c>
      <c r="D998" s="7">
        <v>10</v>
      </c>
      <c r="E998" s="7" t="s">
        <v>350</v>
      </c>
      <c r="F998" s="15" t="s">
        <v>353</v>
      </c>
      <c r="G998" s="107">
        <v>43160</v>
      </c>
      <c r="H998" s="108">
        <v>43101</v>
      </c>
      <c r="I998" s="24">
        <v>3024</v>
      </c>
      <c r="J998" s="28" t="s">
        <v>1946</v>
      </c>
      <c r="K998" s="28">
        <v>32.86</v>
      </c>
      <c r="L998" s="128">
        <v>8800</v>
      </c>
      <c r="M998" s="112"/>
      <c r="N998" s="9">
        <f>+L998/2</f>
        <v>4400</v>
      </c>
      <c r="O998" s="9">
        <f>+N998-M998-K998</f>
        <v>4367.1400000000003</v>
      </c>
      <c r="P998" s="9">
        <f>+M998+K998</f>
        <v>32.86</v>
      </c>
      <c r="Q998" s="139">
        <f>+O998/N998</f>
        <v>0.99253181818181824</v>
      </c>
      <c r="R998" s="387">
        <v>8800</v>
      </c>
      <c r="S998" s="359" t="s">
        <v>1948</v>
      </c>
      <c r="T998" s="305">
        <v>0.99253181818181824</v>
      </c>
      <c r="U998" s="144"/>
      <c r="V998" s="100"/>
      <c r="W998" s="110">
        <f>+L998</f>
        <v>8800</v>
      </c>
      <c r="X998" s="110">
        <f>+K998</f>
        <v>32.86</v>
      </c>
      <c r="Y998" s="110">
        <f>+M998</f>
        <v>0</v>
      </c>
      <c r="Z998" s="110">
        <f>+W998/2-X998-Y998</f>
        <v>4367.1400000000003</v>
      </c>
      <c r="AA998" s="260">
        <f>+Z998/(W998/2)</f>
        <v>0.99253181818181824</v>
      </c>
      <c r="AB998" s="28">
        <f>ROUND($W998/2/$X$1,1)</f>
        <v>2.9</v>
      </c>
      <c r="AC998" s="261">
        <f>+(AB998*$X$1-$X998-$Y998)/(AB998*$X$1)</f>
        <v>0.99252816717259573</v>
      </c>
      <c r="AD998" s="111">
        <f>+IFERROR(ROUND(($X998+$Y998)/(1-$X$2)/$X$1,1),0)</f>
        <v>0</v>
      </c>
      <c r="AE998" s="262" t="e">
        <f>+(AD998*$X$1-$X998-$Y998)/(AD998*$X$1)</f>
        <v>#DIV/0!</v>
      </c>
      <c r="AF998" s="100"/>
      <c r="AG998" s="111">
        <f>+IFERROR(ROUND(($X998+$Y998)/(1-$AG$2)/$X$1,1),0)</f>
        <v>0</v>
      </c>
      <c r="AH998" s="262" t="e">
        <f>+(AG998*$X$1-$X998-$Y998)/(AG998*$X$1)</f>
        <v>#DIV/0!</v>
      </c>
      <c r="AI998" s="100"/>
      <c r="AJ998" s="111">
        <f>+IFERROR(ROUND(($X998+$Y998)/(1-$AJ$2)/$X$1,1),0)</f>
        <v>0</v>
      </c>
      <c r="AK998" s="262" t="e">
        <f>+(AJ998*$X$1-$X998-$Y998)/(AJ998*$X$1)</f>
        <v>#DIV/0!</v>
      </c>
      <c r="AL998" s="100"/>
      <c r="AM998" s="111">
        <f>+IFERROR(ROUND(($X998+$Y998)/(1-$AM$2)/$X$1,1),0)</f>
        <v>0</v>
      </c>
      <c r="AN998" s="262" t="e">
        <f>+(AM998*$X$1-$X998-$Y998)/(AM998*$X$1)</f>
        <v>#DIV/0!</v>
      </c>
      <c r="AO998" s="100"/>
      <c r="AP998" s="24" t="e">
        <f>VLOOKUP(C998,#REF!,6,FALSE)</f>
        <v>#REF!</v>
      </c>
      <c r="AQ998" s="24" t="e">
        <f>VLOOKUP(C998,#REF!,7,FALSE)</f>
        <v>#REF!</v>
      </c>
      <c r="AR998" s="24" t="e">
        <f>VLOOKUP(C998,#REF!,12,FALSE)</f>
        <v>#REF!</v>
      </c>
      <c r="AS998" s="24" t="e">
        <f>VLOOKUP(C998,#REF!,13,FALSE)</f>
        <v>#REF!</v>
      </c>
      <c r="AT998" s="100"/>
      <c r="AU998" s="100"/>
      <c r="AV998" s="100">
        <v>974</v>
      </c>
      <c r="AW998" s="100"/>
      <c r="AY998" s="128">
        <v>8800</v>
      </c>
    </row>
    <row r="999" spans="1:51" s="2" customFormat="1" ht="12.75" customHeight="1" x14ac:dyDescent="0.2">
      <c r="A999" s="7" t="s">
        <v>1710</v>
      </c>
      <c r="B999" s="208">
        <v>9789500209151</v>
      </c>
      <c r="C999" s="6">
        <v>645293</v>
      </c>
      <c r="D999" s="7">
        <v>10</v>
      </c>
      <c r="E999" s="7" t="s">
        <v>350</v>
      </c>
      <c r="F999" s="15" t="s">
        <v>354</v>
      </c>
      <c r="G999" s="107">
        <v>43160</v>
      </c>
      <c r="H999" s="108">
        <v>43101</v>
      </c>
      <c r="I999" s="24">
        <v>3024</v>
      </c>
      <c r="J999" s="28" t="s">
        <v>1946</v>
      </c>
      <c r="K999" s="28">
        <v>32.86</v>
      </c>
      <c r="L999" s="128">
        <v>8800</v>
      </c>
      <c r="M999" s="112"/>
      <c r="N999" s="9">
        <f>+L999/2</f>
        <v>4400</v>
      </c>
      <c r="O999" s="9">
        <f>+N999-M999-K999</f>
        <v>4367.1400000000003</v>
      </c>
      <c r="P999" s="9">
        <f>+M999+K999</f>
        <v>32.86</v>
      </c>
      <c r="Q999" s="139">
        <f>+O999/N999</f>
        <v>0.99253181818181824</v>
      </c>
      <c r="R999" s="387">
        <v>8800</v>
      </c>
      <c r="S999" s="359" t="s">
        <v>1948</v>
      </c>
      <c r="T999" s="305">
        <v>0.99253181818181824</v>
      </c>
      <c r="U999" s="144"/>
      <c r="V999" s="100"/>
      <c r="W999" s="110">
        <f>+L999</f>
        <v>8800</v>
      </c>
      <c r="X999" s="110">
        <f>+K999</f>
        <v>32.86</v>
      </c>
      <c r="Y999" s="110">
        <f>+M999</f>
        <v>0</v>
      </c>
      <c r="Z999" s="110">
        <f>+W999/2-X999-Y999</f>
        <v>4367.1400000000003</v>
      </c>
      <c r="AA999" s="260">
        <f>+Z999/(W999/2)</f>
        <v>0.99253181818181824</v>
      </c>
      <c r="AB999" s="28">
        <f>ROUND($W999/2/$X$1,1)</f>
        <v>2.9</v>
      </c>
      <c r="AC999" s="261">
        <f>+(AB999*$X$1-$X999-$Y999)/(AB999*$X$1)</f>
        <v>0.99252816717259573</v>
      </c>
      <c r="AD999" s="111">
        <f>+IFERROR(ROUND(($X999+$Y999)/(1-$X$2)/$X$1,1),0)</f>
        <v>0</v>
      </c>
      <c r="AE999" s="262" t="e">
        <f>+(AD999*$X$1-$X999-$Y999)/(AD999*$X$1)</f>
        <v>#DIV/0!</v>
      </c>
      <c r="AF999" s="100"/>
      <c r="AG999" s="111">
        <f>+IFERROR(ROUND(($X999+$Y999)/(1-$AG$2)/$X$1,1),0)</f>
        <v>0</v>
      </c>
      <c r="AH999" s="262" t="e">
        <f>+(AG999*$X$1-$X999-$Y999)/(AG999*$X$1)</f>
        <v>#DIV/0!</v>
      </c>
      <c r="AI999" s="100"/>
      <c r="AJ999" s="111">
        <f>+IFERROR(ROUND(($X999+$Y999)/(1-$AJ$2)/$X$1,1),0)</f>
        <v>0</v>
      </c>
      <c r="AK999" s="262" t="e">
        <f>+(AJ999*$X$1-$X999-$Y999)/(AJ999*$X$1)</f>
        <v>#DIV/0!</v>
      </c>
      <c r="AL999" s="100"/>
      <c r="AM999" s="111">
        <f>+IFERROR(ROUND(($X999+$Y999)/(1-$AM$2)/$X$1,1),0)</f>
        <v>0</v>
      </c>
      <c r="AN999" s="262" t="e">
        <f>+(AM999*$X$1-$X999-$Y999)/(AM999*$X$1)</f>
        <v>#DIV/0!</v>
      </c>
      <c r="AO999" s="100"/>
      <c r="AP999" s="24" t="e">
        <f>VLOOKUP(C999,#REF!,6,FALSE)</f>
        <v>#REF!</v>
      </c>
      <c r="AQ999" s="24" t="e">
        <f>VLOOKUP(C999,#REF!,7,FALSE)</f>
        <v>#REF!</v>
      </c>
      <c r="AR999" s="24" t="e">
        <f>VLOOKUP(C999,#REF!,12,FALSE)</f>
        <v>#REF!</v>
      </c>
      <c r="AS999" s="24" t="e">
        <f>VLOOKUP(C999,#REF!,13,FALSE)</f>
        <v>#REF!</v>
      </c>
      <c r="AT999" s="100">
        <v>32</v>
      </c>
      <c r="AU999" s="100"/>
      <c r="AV999" s="100">
        <v>975</v>
      </c>
      <c r="AW999" s="100"/>
      <c r="AY999" s="128">
        <v>8800</v>
      </c>
    </row>
    <row r="1000" spans="1:51" s="2" customFormat="1" ht="12.75" customHeight="1" x14ac:dyDescent="0.25">
      <c r="A1000" s="1"/>
      <c r="B1000" s="3"/>
      <c r="C1000" s="3"/>
      <c r="E1000" s="274"/>
      <c r="F1000" s="275"/>
      <c r="H1000" s="132"/>
      <c r="I1000" s="132"/>
      <c r="J1000" s="132"/>
      <c r="K1000" s="132"/>
      <c r="L1000" s="134"/>
      <c r="M1000" s="132"/>
      <c r="N1000" s="132"/>
      <c r="O1000" s="132"/>
      <c r="P1000" s="132"/>
      <c r="Q1000" s="147"/>
      <c r="R1000" s="327"/>
      <c r="S1000" s="360"/>
      <c r="T1000" s="307"/>
      <c r="U1000" s="135"/>
      <c r="V1000" s="100"/>
      <c r="W1000"/>
      <c r="X1000"/>
      <c r="Y1000"/>
      <c r="Z1000"/>
      <c r="AA1000"/>
      <c r="AB1000"/>
      <c r="AC1000"/>
      <c r="AD1000" s="263"/>
      <c r="AE1000"/>
      <c r="AF1000" s="100"/>
      <c r="AG1000" s="263"/>
      <c r="AH1000"/>
      <c r="AI1000" s="100"/>
      <c r="AJ1000" s="263"/>
      <c r="AK1000"/>
      <c r="AL1000" s="100"/>
      <c r="AM1000" s="263"/>
      <c r="AN1000"/>
      <c r="AO1000" s="100"/>
      <c r="AP1000" s="100"/>
      <c r="AQ1000" s="100"/>
      <c r="AR1000" s="100"/>
      <c r="AS1000" s="100"/>
      <c r="AT1000" s="100"/>
      <c r="AU1000" s="100"/>
      <c r="AV1000" s="100">
        <v>976</v>
      </c>
      <c r="AW1000" s="100"/>
      <c r="AY1000" s="134"/>
    </row>
    <row r="1001" spans="1:51" s="2" customFormat="1" ht="12.75" customHeight="1" x14ac:dyDescent="0.25">
      <c r="A1001" s="202" t="s">
        <v>1711</v>
      </c>
      <c r="B1001" s="203"/>
      <c r="C1001" s="203"/>
      <c r="D1001" s="204"/>
      <c r="E1001" s="205"/>
      <c r="F1001" s="162"/>
      <c r="G1001" s="162"/>
      <c r="H1001" s="132"/>
      <c r="I1001" s="132"/>
      <c r="J1001" s="132"/>
      <c r="K1001" s="132"/>
      <c r="L1001" s="134"/>
      <c r="M1001" s="132"/>
      <c r="N1001" s="132"/>
      <c r="O1001" s="132"/>
      <c r="P1001" s="132"/>
      <c r="Q1001" s="132"/>
      <c r="R1001" s="327"/>
      <c r="S1001" s="360"/>
      <c r="T1001" s="307"/>
      <c r="U1001" s="135"/>
      <c r="V1001" s="100"/>
      <c r="W1001"/>
      <c r="X1001"/>
      <c r="Y1001"/>
      <c r="Z1001"/>
      <c r="AA1001"/>
      <c r="AB1001"/>
      <c r="AC1001"/>
      <c r="AD1001" s="263"/>
      <c r="AE1001"/>
      <c r="AF1001" s="100"/>
      <c r="AG1001" s="263"/>
      <c r="AH1001"/>
      <c r="AI1001" s="100"/>
      <c r="AJ1001" s="263"/>
      <c r="AK1001"/>
      <c r="AL1001" s="100"/>
      <c r="AM1001" s="263"/>
      <c r="AN1001"/>
      <c r="AO1001" s="100"/>
      <c r="AP1001" s="100"/>
      <c r="AQ1001" s="100"/>
      <c r="AR1001" s="100"/>
      <c r="AS1001" s="100"/>
      <c r="AT1001" s="100"/>
      <c r="AU1001" s="100"/>
      <c r="AV1001" s="100">
        <v>977</v>
      </c>
      <c r="AW1001" s="100"/>
      <c r="AY1001" s="134"/>
    </row>
    <row r="1002" spans="1:51" s="162" customFormat="1" ht="12.75" customHeight="1" x14ac:dyDescent="0.2">
      <c r="A1002" s="7" t="s">
        <v>1712</v>
      </c>
      <c r="B1002" s="208">
        <v>9789500209137</v>
      </c>
      <c r="C1002" s="6">
        <v>645286</v>
      </c>
      <c r="D1002" s="7">
        <v>10</v>
      </c>
      <c r="E1002" s="7" t="s">
        <v>350</v>
      </c>
      <c r="F1002" s="15" t="s">
        <v>567</v>
      </c>
      <c r="G1002" s="107">
        <v>43191</v>
      </c>
      <c r="H1002" s="108">
        <v>46174</v>
      </c>
      <c r="I1002" s="116">
        <v>3000</v>
      </c>
      <c r="J1002" s="28" t="s">
        <v>1946</v>
      </c>
      <c r="K1002" s="148">
        <v>2381.8200000000002</v>
      </c>
      <c r="L1002" s="9">
        <v>13000</v>
      </c>
      <c r="M1002" s="112"/>
      <c r="N1002" s="9">
        <f>+L1002/2</f>
        <v>6500</v>
      </c>
      <c r="O1002" s="9">
        <f>+N1002-M1002-K1002</f>
        <v>4118.18</v>
      </c>
      <c r="P1002" s="9">
        <f>+M1002+K1002</f>
        <v>2381.8200000000002</v>
      </c>
      <c r="Q1002" s="109">
        <f>+O1002/N1002</f>
        <v>0.63356615384615389</v>
      </c>
      <c r="R1002" s="387">
        <v>13000</v>
      </c>
      <c r="S1002" s="359" t="s">
        <v>1948</v>
      </c>
      <c r="T1002" s="305">
        <v>0.97644153846153847</v>
      </c>
      <c r="U1002" s="144"/>
      <c r="V1002" s="100"/>
      <c r="W1002" s="110">
        <f>+L1002</f>
        <v>13000</v>
      </c>
      <c r="X1002" s="110">
        <f>+K1002</f>
        <v>2381.8200000000002</v>
      </c>
      <c r="Y1002" s="110">
        <f>+M1002</f>
        <v>0</v>
      </c>
      <c r="Z1002" s="110">
        <f>+W1002/2-X1002-Y1002</f>
        <v>4118.18</v>
      </c>
      <c r="AA1002" s="260">
        <f>+Z1002/(W1002/2)</f>
        <v>0.63356615384615389</v>
      </c>
      <c r="AB1002" s="28">
        <f>ROUND($W1002/2/$X$1,1)</f>
        <v>4.3</v>
      </c>
      <c r="AC1002" s="261">
        <f>+(AB1002*$X$1-$X1002-$Y1002)/(AB1002*$X$1)</f>
        <v>0.63474340395187812</v>
      </c>
      <c r="AD1002" s="111">
        <f>+IFERROR(ROUND(($X1002+$Y1002)/(1-$X$2)/$X$1,1),0)</f>
        <v>1.7</v>
      </c>
      <c r="AE1002" s="262">
        <f>+(AD1002*$X$1-$X1002-$Y1002)/(AD1002*$X$1)</f>
        <v>7.6115668819456403E-2</v>
      </c>
      <c r="AF1002" s="100"/>
      <c r="AG1002" s="111">
        <f>+IFERROR(ROUND(($X1002+$Y1002)/(1-$AG$2)/$X$1,1),0)</f>
        <v>2.6</v>
      </c>
      <c r="AH1002" s="262">
        <f>+(AG1002*$X$1-$X1002-$Y1002)/(AG1002*$X$1)</f>
        <v>0.39592178345887541</v>
      </c>
      <c r="AI1002" s="100"/>
      <c r="AJ1002" s="111">
        <f>+IFERROR(ROUND(($X1002+$Y1002)/(1-$AJ$2)/$X$1,1),0)</f>
        <v>2.4</v>
      </c>
      <c r="AK1002" s="262">
        <f>+(AJ1002*$X$1-$X1002-$Y1002)/(AJ1002*$X$1)</f>
        <v>0.34558193208044835</v>
      </c>
      <c r="AL1002" s="100"/>
      <c r="AM1002" s="111">
        <f>+IFERROR(ROUND(($X1002+$Y1002)/(1-$AM$2)/$X$1,1),0)</f>
        <v>2.2000000000000002</v>
      </c>
      <c r="AN1002" s="262">
        <f>+(AM1002*$X$1-$X1002-$Y1002)/(AM1002*$X$1)</f>
        <v>0.28608938045139826</v>
      </c>
      <c r="AO1002" s="100"/>
      <c r="AP1002" s="24" t="e">
        <f>VLOOKUP(C1002,#REF!,6,FALSE)</f>
        <v>#REF!</v>
      </c>
      <c r="AQ1002" s="24" t="e">
        <f>VLOOKUP(C1002,#REF!,7,FALSE)</f>
        <v>#REF!</v>
      </c>
      <c r="AR1002" s="24" t="e">
        <f>VLOOKUP(C1002,#REF!,12,FALSE)</f>
        <v>#REF!</v>
      </c>
      <c r="AS1002" s="24" t="e">
        <f>VLOOKUP(C1002,#REF!,13,FALSE)</f>
        <v>#REF!</v>
      </c>
      <c r="AT1002" s="100"/>
      <c r="AU1002" s="100"/>
      <c r="AV1002" s="100">
        <v>978</v>
      </c>
      <c r="AW1002" s="100"/>
      <c r="AY1002" s="9">
        <v>13000</v>
      </c>
    </row>
    <row r="1003" spans="1:51" s="2" customFormat="1" ht="12.75" customHeight="1" x14ac:dyDescent="0.2">
      <c r="A1003" s="7" t="s">
        <v>1713</v>
      </c>
      <c r="B1003" s="208">
        <v>9789500209113</v>
      </c>
      <c r="C1003" s="6">
        <v>645291</v>
      </c>
      <c r="D1003" s="7">
        <v>10</v>
      </c>
      <c r="E1003" s="7" t="s">
        <v>350</v>
      </c>
      <c r="F1003" s="15" t="s">
        <v>568</v>
      </c>
      <c r="G1003" s="107">
        <v>43191</v>
      </c>
      <c r="H1003" s="108">
        <v>46174</v>
      </c>
      <c r="I1003" s="116">
        <v>3000</v>
      </c>
      <c r="J1003" s="28" t="s">
        <v>1946</v>
      </c>
      <c r="K1003" s="148">
        <v>2381.8200000000002</v>
      </c>
      <c r="L1003" s="9">
        <v>13000</v>
      </c>
      <c r="M1003" s="112"/>
      <c r="N1003" s="9">
        <f>+L1003/2</f>
        <v>6500</v>
      </c>
      <c r="O1003" s="9">
        <f>+N1003-M1003-K1003</f>
        <v>4118.18</v>
      </c>
      <c r="P1003" s="9">
        <f>+M1003+K1003</f>
        <v>2381.8200000000002</v>
      </c>
      <c r="Q1003" s="109">
        <f>+O1003/N1003</f>
        <v>0.63356615384615389</v>
      </c>
      <c r="R1003" s="387">
        <v>13000</v>
      </c>
      <c r="S1003" s="359" t="s">
        <v>1948</v>
      </c>
      <c r="T1003" s="305">
        <v>0.97644153846153847</v>
      </c>
      <c r="U1003" s="144"/>
      <c r="V1003" s="100"/>
      <c r="W1003" s="110">
        <f>+L1003</f>
        <v>13000</v>
      </c>
      <c r="X1003" s="110">
        <f>+K1003</f>
        <v>2381.8200000000002</v>
      </c>
      <c r="Y1003" s="110">
        <f>+M1003</f>
        <v>0</v>
      </c>
      <c r="Z1003" s="110">
        <f>+W1003/2-X1003-Y1003</f>
        <v>4118.18</v>
      </c>
      <c r="AA1003" s="260">
        <f>+Z1003/(W1003/2)</f>
        <v>0.63356615384615389</v>
      </c>
      <c r="AB1003" s="28">
        <f>ROUND($W1003/2/$X$1,1)</f>
        <v>4.3</v>
      </c>
      <c r="AC1003" s="261">
        <f>+(AB1003*$X$1-$X1003-$Y1003)/(AB1003*$X$1)</f>
        <v>0.63474340395187812</v>
      </c>
      <c r="AD1003" s="111">
        <f>+IFERROR(ROUND(($X1003+$Y1003)/(1-$X$2)/$X$1,1),0)</f>
        <v>1.7</v>
      </c>
      <c r="AE1003" s="262">
        <f>+(AD1003*$X$1-$X1003-$Y1003)/(AD1003*$X$1)</f>
        <v>7.6115668819456403E-2</v>
      </c>
      <c r="AF1003" s="100"/>
      <c r="AG1003" s="111">
        <f>+IFERROR(ROUND(($X1003+$Y1003)/(1-$AG$2)/$X$1,1),0)</f>
        <v>2.6</v>
      </c>
      <c r="AH1003" s="262">
        <f>+(AG1003*$X$1-$X1003-$Y1003)/(AG1003*$X$1)</f>
        <v>0.39592178345887541</v>
      </c>
      <c r="AI1003" s="100"/>
      <c r="AJ1003" s="111">
        <f>+IFERROR(ROUND(($X1003+$Y1003)/(1-$AJ$2)/$X$1,1),0)</f>
        <v>2.4</v>
      </c>
      <c r="AK1003" s="262">
        <f>+(AJ1003*$X$1-$X1003-$Y1003)/(AJ1003*$X$1)</f>
        <v>0.34558193208044835</v>
      </c>
      <c r="AL1003" s="100"/>
      <c r="AM1003" s="111">
        <f>+IFERROR(ROUND(($X1003+$Y1003)/(1-$AM$2)/$X$1,1),0)</f>
        <v>2.2000000000000002</v>
      </c>
      <c r="AN1003" s="262">
        <f>+(AM1003*$X$1-$X1003-$Y1003)/(AM1003*$X$1)</f>
        <v>0.28608938045139826</v>
      </c>
      <c r="AO1003" s="100"/>
      <c r="AP1003" s="24" t="e">
        <f>VLOOKUP(C1003,#REF!,6,FALSE)</f>
        <v>#REF!</v>
      </c>
      <c r="AQ1003" s="24" t="e">
        <f>VLOOKUP(C1003,#REF!,7,FALSE)</f>
        <v>#REF!</v>
      </c>
      <c r="AR1003" s="24" t="e">
        <f>VLOOKUP(C1003,#REF!,12,FALSE)</f>
        <v>#REF!</v>
      </c>
      <c r="AS1003" s="24" t="e">
        <f>VLOOKUP(C1003,#REF!,13,FALSE)</f>
        <v>#REF!</v>
      </c>
      <c r="AT1003" s="100"/>
      <c r="AU1003" s="100"/>
      <c r="AV1003" s="100">
        <v>979</v>
      </c>
      <c r="AW1003" s="100"/>
      <c r="AY1003" s="9">
        <v>13000</v>
      </c>
    </row>
    <row r="1004" spans="1:51" s="2" customFormat="1" ht="12.75" customHeight="1" x14ac:dyDescent="0.2">
      <c r="A1004" s="7" t="s">
        <v>1714</v>
      </c>
      <c r="B1004" s="208">
        <v>9789500209120</v>
      </c>
      <c r="C1004" s="6">
        <v>645289</v>
      </c>
      <c r="D1004" s="7">
        <v>10</v>
      </c>
      <c r="E1004" s="7" t="s">
        <v>350</v>
      </c>
      <c r="F1004" s="15" t="s">
        <v>565</v>
      </c>
      <c r="G1004" s="107">
        <v>43191</v>
      </c>
      <c r="H1004" s="108">
        <v>46174</v>
      </c>
      <c r="I1004" s="116">
        <v>3000</v>
      </c>
      <c r="J1004" s="28" t="s">
        <v>1946</v>
      </c>
      <c r="K1004" s="148">
        <v>2381.8200000000002</v>
      </c>
      <c r="L1004" s="9">
        <v>13000</v>
      </c>
      <c r="M1004" s="112"/>
      <c r="N1004" s="9">
        <f>+L1004/2</f>
        <v>6500</v>
      </c>
      <c r="O1004" s="9">
        <f>+N1004-M1004-K1004</f>
        <v>4118.18</v>
      </c>
      <c r="P1004" s="9">
        <f>+M1004+K1004</f>
        <v>2381.8200000000002</v>
      </c>
      <c r="Q1004" s="109">
        <f>+O1004/N1004</f>
        <v>0.63356615384615389</v>
      </c>
      <c r="R1004" s="387">
        <v>13000</v>
      </c>
      <c r="S1004" s="359" t="s">
        <v>1948</v>
      </c>
      <c r="T1004" s="305">
        <v>0.97644153846153847</v>
      </c>
      <c r="U1004" s="144"/>
      <c r="V1004" s="100"/>
      <c r="W1004" s="110">
        <f>+L1004</f>
        <v>13000</v>
      </c>
      <c r="X1004" s="110">
        <f>+K1004</f>
        <v>2381.8200000000002</v>
      </c>
      <c r="Y1004" s="110">
        <f>+M1004</f>
        <v>0</v>
      </c>
      <c r="Z1004" s="110">
        <f>+W1004/2-X1004-Y1004</f>
        <v>4118.18</v>
      </c>
      <c r="AA1004" s="260">
        <f>+Z1004/(W1004/2)</f>
        <v>0.63356615384615389</v>
      </c>
      <c r="AB1004" s="28">
        <f>ROUND($W1004/2/$X$1,1)</f>
        <v>4.3</v>
      </c>
      <c r="AC1004" s="261">
        <f>+(AB1004*$X$1-$X1004-$Y1004)/(AB1004*$X$1)</f>
        <v>0.63474340395187812</v>
      </c>
      <c r="AD1004" s="111">
        <f>+IFERROR(ROUND(($X1004+$Y1004)/(1-$X$2)/$X$1,1),0)</f>
        <v>1.7</v>
      </c>
      <c r="AE1004" s="262">
        <f>+(AD1004*$X$1-$X1004-$Y1004)/(AD1004*$X$1)</f>
        <v>7.6115668819456403E-2</v>
      </c>
      <c r="AF1004" s="100"/>
      <c r="AG1004" s="111">
        <f>+IFERROR(ROUND(($X1004+$Y1004)/(1-$AG$2)/$X$1,1),0)</f>
        <v>2.6</v>
      </c>
      <c r="AH1004" s="262">
        <f>+(AG1004*$X$1-$X1004-$Y1004)/(AG1004*$X$1)</f>
        <v>0.39592178345887541</v>
      </c>
      <c r="AI1004" s="100"/>
      <c r="AJ1004" s="111">
        <f>+IFERROR(ROUND(($X1004+$Y1004)/(1-$AJ$2)/$X$1,1),0)</f>
        <v>2.4</v>
      </c>
      <c r="AK1004" s="262">
        <f>+(AJ1004*$X$1-$X1004-$Y1004)/(AJ1004*$X$1)</f>
        <v>0.34558193208044835</v>
      </c>
      <c r="AL1004" s="100"/>
      <c r="AM1004" s="111">
        <f>+IFERROR(ROUND(($X1004+$Y1004)/(1-$AM$2)/$X$1,1),0)</f>
        <v>2.2000000000000002</v>
      </c>
      <c r="AN1004" s="262">
        <f>+(AM1004*$X$1-$X1004-$Y1004)/(AM1004*$X$1)</f>
        <v>0.28608938045139826</v>
      </c>
      <c r="AO1004" s="100"/>
      <c r="AP1004" s="24" t="e">
        <f>VLOOKUP(C1004,#REF!,6,FALSE)</f>
        <v>#REF!</v>
      </c>
      <c r="AQ1004" s="24" t="e">
        <f>VLOOKUP(C1004,#REF!,7,FALSE)</f>
        <v>#REF!</v>
      </c>
      <c r="AR1004" s="24" t="e">
        <f>VLOOKUP(C1004,#REF!,12,FALSE)</f>
        <v>#REF!</v>
      </c>
      <c r="AS1004" s="24" t="e">
        <f>VLOOKUP(C1004,#REF!,13,FALSE)</f>
        <v>#REF!</v>
      </c>
      <c r="AT1004" s="100"/>
      <c r="AU1004" s="100"/>
      <c r="AV1004" s="100">
        <v>980</v>
      </c>
      <c r="AW1004" s="100"/>
      <c r="AY1004" s="9">
        <v>13000</v>
      </c>
    </row>
    <row r="1005" spans="1:51" s="2" customFormat="1" ht="12.75" customHeight="1" x14ac:dyDescent="0.2">
      <c r="A1005" s="7" t="s">
        <v>1627</v>
      </c>
      <c r="B1005" s="208">
        <v>9789500209144</v>
      </c>
      <c r="C1005" s="6">
        <v>645284</v>
      </c>
      <c r="D1005" s="7">
        <v>10</v>
      </c>
      <c r="E1005" s="7" t="s">
        <v>350</v>
      </c>
      <c r="F1005" s="15" t="s">
        <v>564</v>
      </c>
      <c r="G1005" s="107">
        <v>43191</v>
      </c>
      <c r="H1005" s="108">
        <v>46174</v>
      </c>
      <c r="I1005" s="116">
        <v>3000</v>
      </c>
      <c r="J1005" s="28" t="s">
        <v>1946</v>
      </c>
      <c r="K1005" s="148">
        <v>2381.8200000000002</v>
      </c>
      <c r="L1005" s="9">
        <v>13000</v>
      </c>
      <c r="M1005" s="112"/>
      <c r="N1005" s="9">
        <f>+L1005/2</f>
        <v>6500</v>
      </c>
      <c r="O1005" s="9">
        <f>+N1005-M1005-K1005</f>
        <v>4118.18</v>
      </c>
      <c r="P1005" s="9">
        <f>+M1005+K1005</f>
        <v>2381.8200000000002</v>
      </c>
      <c r="Q1005" s="109">
        <f>+O1005/N1005</f>
        <v>0.63356615384615389</v>
      </c>
      <c r="R1005" s="387">
        <v>13000</v>
      </c>
      <c r="S1005" s="359" t="s">
        <v>1948</v>
      </c>
      <c r="T1005" s="305">
        <v>0.97644153846153847</v>
      </c>
      <c r="U1005" s="144"/>
      <c r="V1005" s="100"/>
      <c r="W1005" s="110">
        <f>+L1005</f>
        <v>13000</v>
      </c>
      <c r="X1005" s="110">
        <f>+K1005</f>
        <v>2381.8200000000002</v>
      </c>
      <c r="Y1005" s="110">
        <f>+M1005</f>
        <v>0</v>
      </c>
      <c r="Z1005" s="110">
        <f>+W1005/2-X1005-Y1005</f>
        <v>4118.18</v>
      </c>
      <c r="AA1005" s="260">
        <f>+Z1005/(W1005/2)</f>
        <v>0.63356615384615389</v>
      </c>
      <c r="AB1005" s="28">
        <f>ROUND($W1005/2/$X$1,1)</f>
        <v>4.3</v>
      </c>
      <c r="AC1005" s="261">
        <f>+(AB1005*$X$1-$X1005-$Y1005)/(AB1005*$X$1)</f>
        <v>0.63474340395187812</v>
      </c>
      <c r="AD1005" s="111">
        <f>+IFERROR(ROUND(($X1005+$Y1005)/(1-$X$2)/$X$1,1),0)</f>
        <v>1.7</v>
      </c>
      <c r="AE1005" s="262">
        <f>+(AD1005*$X$1-$X1005-$Y1005)/(AD1005*$X$1)</f>
        <v>7.6115668819456403E-2</v>
      </c>
      <c r="AF1005" s="100"/>
      <c r="AG1005" s="111">
        <f>+IFERROR(ROUND(($X1005+$Y1005)/(1-$AG$2)/$X$1,1),0)</f>
        <v>2.6</v>
      </c>
      <c r="AH1005" s="262">
        <f>+(AG1005*$X$1-$X1005-$Y1005)/(AG1005*$X$1)</f>
        <v>0.39592178345887541</v>
      </c>
      <c r="AI1005" s="100"/>
      <c r="AJ1005" s="111">
        <f>+IFERROR(ROUND(($X1005+$Y1005)/(1-$AJ$2)/$X$1,1),0)</f>
        <v>2.4</v>
      </c>
      <c r="AK1005" s="262">
        <f>+(AJ1005*$X$1-$X1005-$Y1005)/(AJ1005*$X$1)</f>
        <v>0.34558193208044835</v>
      </c>
      <c r="AL1005" s="100"/>
      <c r="AM1005" s="111">
        <f>+IFERROR(ROUND(($X1005+$Y1005)/(1-$AM$2)/$X$1,1),0)</f>
        <v>2.2000000000000002</v>
      </c>
      <c r="AN1005" s="262">
        <f>+(AM1005*$X$1-$X1005-$Y1005)/(AM1005*$X$1)</f>
        <v>0.28608938045139826</v>
      </c>
      <c r="AO1005" s="100"/>
      <c r="AP1005" s="24" t="e">
        <f>VLOOKUP(C1005,#REF!,6,FALSE)</f>
        <v>#REF!</v>
      </c>
      <c r="AQ1005" s="24" t="e">
        <f>VLOOKUP(C1005,#REF!,7,FALSE)</f>
        <v>#REF!</v>
      </c>
      <c r="AR1005" s="24" t="e">
        <f>VLOOKUP(C1005,#REF!,12,FALSE)</f>
        <v>#REF!</v>
      </c>
      <c r="AS1005" s="24" t="e">
        <f>VLOOKUP(C1005,#REF!,13,FALSE)</f>
        <v>#REF!</v>
      </c>
      <c r="AT1005" s="100"/>
      <c r="AU1005" s="100"/>
      <c r="AV1005" s="100">
        <v>981</v>
      </c>
      <c r="AW1005" s="100"/>
      <c r="AY1005" s="9">
        <v>13000</v>
      </c>
    </row>
    <row r="1006" spans="1:51" s="2" customFormat="1" ht="12.75" customHeight="1" x14ac:dyDescent="0.25">
      <c r="A1006" s="1"/>
      <c r="B1006" s="3"/>
      <c r="C1006" s="3"/>
      <c r="E1006" s="274"/>
      <c r="F1006" s="275"/>
      <c r="H1006" s="132"/>
      <c r="I1006" s="132"/>
      <c r="J1006" s="132"/>
      <c r="K1006" s="132"/>
      <c r="L1006" s="18"/>
      <c r="M1006" s="132"/>
      <c r="N1006" s="132"/>
      <c r="O1006" s="132"/>
      <c r="P1006" s="132"/>
      <c r="Q1006" s="132"/>
      <c r="R1006" s="327"/>
      <c r="S1006" s="360"/>
      <c r="T1006" s="307"/>
      <c r="U1006" s="135"/>
      <c r="V1006" s="100"/>
      <c r="W1006"/>
      <c r="X1006"/>
      <c r="Y1006"/>
      <c r="Z1006"/>
      <c r="AA1006"/>
      <c r="AB1006"/>
      <c r="AC1006"/>
      <c r="AD1006" s="263"/>
      <c r="AE1006"/>
      <c r="AF1006" s="100"/>
      <c r="AG1006" s="263"/>
      <c r="AH1006"/>
      <c r="AI1006" s="100"/>
      <c r="AJ1006" s="263"/>
      <c r="AK1006"/>
      <c r="AL1006" s="100"/>
      <c r="AM1006" s="263"/>
      <c r="AN1006"/>
      <c r="AO1006" s="100"/>
      <c r="AP1006" s="100"/>
      <c r="AQ1006" s="100"/>
      <c r="AR1006" s="100"/>
      <c r="AS1006" s="100"/>
      <c r="AT1006" s="100"/>
      <c r="AU1006" s="100"/>
      <c r="AV1006" s="100">
        <v>982</v>
      </c>
      <c r="AW1006" s="100"/>
      <c r="AY1006" s="18"/>
    </row>
    <row r="1007" spans="1:51" s="2" customFormat="1" ht="12.75" customHeight="1" x14ac:dyDescent="0.25">
      <c r="A1007" s="202" t="s">
        <v>1715</v>
      </c>
      <c r="B1007" s="203"/>
      <c r="C1007" s="203"/>
      <c r="D1007" s="204"/>
      <c r="E1007" s="205"/>
      <c r="F1007" s="162"/>
      <c r="G1007" s="162"/>
      <c r="H1007" s="132"/>
      <c r="I1007" s="132"/>
      <c r="J1007" s="132"/>
      <c r="K1007" s="132"/>
      <c r="L1007" s="18"/>
      <c r="M1007" s="132"/>
      <c r="N1007" s="132"/>
      <c r="O1007" s="132"/>
      <c r="P1007" s="132"/>
      <c r="Q1007" s="132"/>
      <c r="R1007" s="327"/>
      <c r="S1007" s="360"/>
      <c r="T1007" s="307"/>
      <c r="U1007" s="135"/>
      <c r="V1007" s="100"/>
      <c r="W1007"/>
      <c r="X1007"/>
      <c r="Y1007"/>
      <c r="Z1007"/>
      <c r="AA1007"/>
      <c r="AB1007"/>
      <c r="AC1007"/>
      <c r="AD1007" s="263"/>
      <c r="AE1007"/>
      <c r="AF1007" s="100"/>
      <c r="AG1007" s="263"/>
      <c r="AH1007"/>
      <c r="AI1007" s="100"/>
      <c r="AJ1007" s="263"/>
      <c r="AK1007"/>
      <c r="AL1007" s="100"/>
      <c r="AM1007" s="263"/>
      <c r="AN1007"/>
      <c r="AO1007" s="100"/>
      <c r="AP1007" s="100"/>
      <c r="AQ1007" s="100"/>
      <c r="AR1007" s="100"/>
      <c r="AS1007" s="100"/>
      <c r="AT1007" s="100"/>
      <c r="AU1007" s="100"/>
      <c r="AV1007" s="100">
        <v>983</v>
      </c>
      <c r="AW1007" s="100"/>
      <c r="AY1007" s="18"/>
    </row>
    <row r="1008" spans="1:51" s="162" customFormat="1" ht="12.75" customHeight="1" x14ac:dyDescent="0.2">
      <c r="A1008" s="6" t="s">
        <v>1625</v>
      </c>
      <c r="B1008" s="8">
        <v>9789500209465</v>
      </c>
      <c r="C1008" s="6">
        <v>651431</v>
      </c>
      <c r="D1008" s="7">
        <v>10</v>
      </c>
      <c r="E1008" s="8" t="s">
        <v>389</v>
      </c>
      <c r="F1008" s="7" t="s">
        <v>390</v>
      </c>
      <c r="G1008" s="107">
        <v>43282</v>
      </c>
      <c r="H1008" s="108">
        <v>43252</v>
      </c>
      <c r="I1008" s="24">
        <v>3090</v>
      </c>
      <c r="J1008" s="28" t="s">
        <v>1946</v>
      </c>
      <c r="K1008" s="28">
        <v>76.61</v>
      </c>
      <c r="L1008" s="9">
        <v>13000</v>
      </c>
      <c r="M1008" s="112"/>
      <c r="N1008" s="9">
        <f>+L1008/2</f>
        <v>6500</v>
      </c>
      <c r="O1008" s="9">
        <f>+N1008-M1008-K1008</f>
        <v>6423.39</v>
      </c>
      <c r="P1008" s="9">
        <f>+M1008+K1008</f>
        <v>76.61</v>
      </c>
      <c r="Q1008" s="109">
        <f>+O1008/N1008</f>
        <v>0.98821384615384622</v>
      </c>
      <c r="R1008" s="345">
        <v>13000</v>
      </c>
      <c r="S1008" s="359" t="s">
        <v>1948</v>
      </c>
      <c r="T1008" s="305">
        <v>0.98821384615384622</v>
      </c>
      <c r="U1008" s="144"/>
      <c r="V1008" s="100"/>
      <c r="W1008" s="110">
        <f>+L1008</f>
        <v>13000</v>
      </c>
      <c r="X1008" s="110">
        <f>+K1008</f>
        <v>76.61</v>
      </c>
      <c r="Y1008" s="110">
        <f>+M1008</f>
        <v>0</v>
      </c>
      <c r="Z1008" s="110">
        <f>+W1008/2-X1008-Y1008</f>
        <v>6423.39</v>
      </c>
      <c r="AA1008" s="260">
        <f>+Z1008/(W1008/2)</f>
        <v>0.98821384615384622</v>
      </c>
      <c r="AB1008" s="28">
        <f>ROUND($W1008/2/$X$1,1)</f>
        <v>4.3</v>
      </c>
      <c r="AC1008" s="261">
        <f>+(AB1008*$X$1-$X1008-$Y1008)/(AB1008*$X$1)</f>
        <v>0.98825171179046001</v>
      </c>
      <c r="AD1008" s="111">
        <f>+IFERROR(ROUND(($X1008+$Y1008)/(1-$X$2)/$X$1,1),0)</f>
        <v>0.1</v>
      </c>
      <c r="AE1008" s="262">
        <f>+(AD1008*$X$1-$X1008-$Y1008)/(AD1008*$X$1)</f>
        <v>0.49482360698977912</v>
      </c>
      <c r="AF1008" s="100"/>
      <c r="AG1008" s="111">
        <f>+IFERROR(ROUND(($X1008+$Y1008)/(1-$AG$2)/$X$1,1),0)</f>
        <v>0.1</v>
      </c>
      <c r="AH1008" s="262">
        <f>+(AG1008*$X$1-$X1008-$Y1008)/(AG1008*$X$1)</f>
        <v>0.49482360698977912</v>
      </c>
      <c r="AI1008" s="100"/>
      <c r="AJ1008" s="111">
        <f>+IFERROR(ROUND(($X1008+$Y1008)/(1-$AJ$2)/$X$1,1),0)</f>
        <v>0.1</v>
      </c>
      <c r="AK1008" s="262">
        <f>+(AJ1008*$X$1-$X1008-$Y1008)/(AJ1008*$X$1)</f>
        <v>0.49482360698977912</v>
      </c>
      <c r="AL1008" s="100"/>
      <c r="AM1008" s="111">
        <f>+IFERROR(ROUND(($X1008+$Y1008)/(1-$AM$2)/$X$1,1),0)</f>
        <v>0.1</v>
      </c>
      <c r="AN1008" s="262">
        <f>+(AM1008*$X$1-$X1008-$Y1008)/(AM1008*$X$1)</f>
        <v>0.49482360698977912</v>
      </c>
      <c r="AO1008" s="100"/>
      <c r="AP1008" s="24" t="e">
        <f>VLOOKUP(C1008,#REF!,6,FALSE)</f>
        <v>#REF!</v>
      </c>
      <c r="AQ1008" s="24" t="e">
        <f>VLOOKUP(C1008,#REF!,7,FALSE)</f>
        <v>#REF!</v>
      </c>
      <c r="AR1008" s="24" t="e">
        <f>VLOOKUP(C1008,#REF!,12,FALSE)</f>
        <v>#REF!</v>
      </c>
      <c r="AS1008" s="24" t="e">
        <f>VLOOKUP(C1008,#REF!,13,FALSE)</f>
        <v>#REF!</v>
      </c>
      <c r="AT1008" s="100"/>
      <c r="AU1008" s="100"/>
      <c r="AV1008" s="100">
        <v>984</v>
      </c>
      <c r="AW1008" s="100"/>
      <c r="AY1008" s="9">
        <v>13000</v>
      </c>
    </row>
    <row r="1009" spans="1:51" s="2" customFormat="1" ht="12.75" customHeight="1" x14ac:dyDescent="0.25">
      <c r="A1009" s="132"/>
      <c r="B1009" s="133"/>
      <c r="C1009" s="133"/>
      <c r="D1009" s="154"/>
      <c r="E1009" s="132"/>
      <c r="F1009" s="132"/>
      <c r="G1009" s="132"/>
      <c r="H1009" s="132"/>
      <c r="I1009" s="132"/>
      <c r="J1009" s="132"/>
      <c r="K1009" s="132"/>
      <c r="L1009" s="134"/>
      <c r="M1009" s="132"/>
      <c r="N1009" s="132"/>
      <c r="O1009" s="132"/>
      <c r="P1009" s="132"/>
      <c r="Q1009" s="132"/>
      <c r="R1009" s="371"/>
      <c r="S1009" s="360"/>
      <c r="T1009" s="307"/>
      <c r="U1009" s="135"/>
      <c r="V1009" s="100"/>
      <c r="W1009"/>
      <c r="X1009"/>
      <c r="Y1009"/>
      <c r="Z1009"/>
      <c r="AA1009"/>
      <c r="AB1009"/>
      <c r="AC1009"/>
      <c r="AD1009" s="263"/>
      <c r="AE1009"/>
      <c r="AF1009" s="100"/>
      <c r="AG1009" s="263"/>
      <c r="AH1009"/>
      <c r="AI1009" s="100"/>
      <c r="AJ1009" s="263"/>
      <c r="AK1009"/>
      <c r="AL1009" s="100"/>
      <c r="AM1009" s="263"/>
      <c r="AN1009"/>
      <c r="AO1009" s="100"/>
      <c r="AP1009" s="100"/>
      <c r="AQ1009" s="100"/>
      <c r="AR1009" s="100"/>
      <c r="AS1009" s="100"/>
      <c r="AT1009" s="100"/>
      <c r="AU1009" s="100"/>
      <c r="AV1009" s="100">
        <v>985</v>
      </c>
      <c r="AW1009" s="100"/>
      <c r="AY1009" s="134"/>
    </row>
    <row r="1010" spans="1:51" s="132" customFormat="1" ht="12.75" customHeight="1" x14ac:dyDescent="0.3">
      <c r="A1010" s="276" t="s">
        <v>629</v>
      </c>
      <c r="B1010" s="133"/>
      <c r="C1010" s="133"/>
      <c r="D1010" s="154"/>
      <c r="E1010" s="197"/>
      <c r="R1010" s="371"/>
      <c r="S1010" s="360"/>
      <c r="T1010" s="307"/>
      <c r="U1010" s="135"/>
      <c r="V1010" s="100"/>
      <c r="W1010"/>
      <c r="X1010"/>
      <c r="Y1010"/>
      <c r="Z1010"/>
      <c r="AA1010"/>
      <c r="AB1010"/>
      <c r="AC1010"/>
      <c r="AD1010" s="263"/>
      <c r="AE1010"/>
      <c r="AF1010" s="100"/>
      <c r="AG1010" s="263"/>
      <c r="AH1010"/>
      <c r="AI1010" s="100"/>
      <c r="AJ1010" s="263"/>
      <c r="AK1010"/>
      <c r="AL1010" s="100"/>
      <c r="AM1010" s="263"/>
      <c r="AN1010"/>
      <c r="AO1010" s="100"/>
      <c r="AP1010" s="100"/>
      <c r="AQ1010" s="100"/>
      <c r="AR1010" s="100"/>
      <c r="AS1010" s="100"/>
      <c r="AT1010" s="100"/>
      <c r="AU1010" s="100"/>
      <c r="AV1010" s="100">
        <v>986</v>
      </c>
      <c r="AW1010" s="100"/>
    </row>
    <row r="1011" spans="1:51" s="132" customFormat="1" ht="12.75" customHeight="1" x14ac:dyDescent="0.25">
      <c r="A1011" s="160" t="s">
        <v>1716</v>
      </c>
      <c r="B1011" s="168"/>
      <c r="C1011" s="168"/>
      <c r="D1011" s="173"/>
      <c r="E1011" s="174"/>
      <c r="F1011" s="162"/>
      <c r="R1011" s="371"/>
      <c r="S1011" s="360"/>
      <c r="T1011" s="307"/>
      <c r="U1011" s="135"/>
      <c r="V1011" s="100"/>
      <c r="W1011"/>
      <c r="X1011"/>
      <c r="Y1011"/>
      <c r="Z1011"/>
      <c r="AA1011"/>
      <c r="AB1011"/>
      <c r="AC1011"/>
      <c r="AD1011" s="263"/>
      <c r="AE1011"/>
      <c r="AF1011" s="100"/>
      <c r="AG1011" s="263"/>
      <c r="AH1011"/>
      <c r="AI1011" s="100"/>
      <c r="AJ1011" s="263"/>
      <c r="AK1011"/>
      <c r="AL1011" s="100"/>
      <c r="AM1011" s="263"/>
      <c r="AN1011"/>
      <c r="AO1011" s="100"/>
      <c r="AP1011" s="100"/>
      <c r="AQ1011" s="100"/>
      <c r="AR1011" s="100"/>
      <c r="AS1011" s="100"/>
      <c r="AT1011" s="100"/>
      <c r="AU1011" s="100"/>
      <c r="AV1011" s="100">
        <v>987</v>
      </c>
      <c r="AW1011" s="100"/>
    </row>
    <row r="1012" spans="1:51" s="162" customFormat="1" ht="12.75" customHeight="1" x14ac:dyDescent="0.2">
      <c r="A1012" s="7" t="s">
        <v>1717</v>
      </c>
      <c r="B1012" s="8">
        <v>9789500285469</v>
      </c>
      <c r="C1012" s="8">
        <v>112019</v>
      </c>
      <c r="D1012" s="25">
        <v>108</v>
      </c>
      <c r="E1012" s="7" t="s">
        <v>327</v>
      </c>
      <c r="F1012" s="116" t="s">
        <v>1718</v>
      </c>
      <c r="G1012" s="107">
        <v>36708</v>
      </c>
      <c r="H1012" s="108">
        <v>43009</v>
      </c>
      <c r="I1012" s="24">
        <v>2108</v>
      </c>
      <c r="J1012" s="28" t="s">
        <v>2136</v>
      </c>
      <c r="K1012" s="28">
        <v>16.11</v>
      </c>
      <c r="L1012" s="28">
        <v>12500</v>
      </c>
      <c r="M1012" s="112">
        <f t="shared" ref="M1012:M1023" si="796">+L1012*0.1</f>
        <v>1250</v>
      </c>
      <c r="N1012" s="9">
        <f t="shared" ref="N1012:N1023" si="797">+L1012/2</f>
        <v>6250</v>
      </c>
      <c r="O1012" s="9">
        <f t="shared" ref="O1012:O1023" si="798">+N1012-M1012-K1012</f>
        <v>4983.8900000000003</v>
      </c>
      <c r="P1012" s="9">
        <f t="shared" ref="P1012:P1023" si="799">+M1012+K1012</f>
        <v>1266.1099999999999</v>
      </c>
      <c r="Q1012" s="109">
        <f t="shared" ref="Q1012:Q1023" si="800">+O1012/N1012</f>
        <v>0.79742240000000009</v>
      </c>
      <c r="R1012" s="345">
        <v>12500</v>
      </c>
      <c r="S1012" s="359" t="s">
        <v>1948</v>
      </c>
      <c r="T1012" s="305">
        <v>0.79742240000000009</v>
      </c>
      <c r="U1012" s="9"/>
      <c r="V1012" s="100"/>
      <c r="W1012" s="110">
        <f t="shared" ref="W1012:W1023" si="801">+L1012</f>
        <v>12500</v>
      </c>
      <c r="X1012" s="110">
        <f t="shared" ref="X1012:X1023" si="802">+K1012</f>
        <v>16.11</v>
      </c>
      <c r="Y1012" s="110">
        <f t="shared" ref="Y1012:Y1023" si="803">+M1012</f>
        <v>1250</v>
      </c>
      <c r="Z1012" s="110">
        <f t="shared" ref="Z1012:Z1023" si="804">+W1012/2-X1012-Y1012</f>
        <v>4983.8900000000003</v>
      </c>
      <c r="AA1012" s="260">
        <f t="shared" ref="AA1012:AA1023" si="805">+Z1012/(W1012/2)</f>
        <v>0.79742240000000009</v>
      </c>
      <c r="AB1012" s="28">
        <f t="shared" ref="AB1012:AB1023" si="806">ROUND($W1012/2/$X$1,1)</f>
        <v>4.0999999999999996</v>
      </c>
      <c r="AC1012" s="261">
        <f t="shared" ref="AC1012:AC1023" si="807">+(AB1012*$X$1-$X1012-$Y1012)/(AB1012*$X$1)</f>
        <v>0.79636840285316801</v>
      </c>
      <c r="AD1012" s="111">
        <f t="shared" ref="AD1012:AD1023" si="808">+IFERROR(ROUND(($X1012+$Y1012)/(1-$X$2)/$X$1,1),0)</f>
        <v>0.9</v>
      </c>
      <c r="AE1012" s="262">
        <f t="shared" ref="AE1012:AE1023" si="809">+(AD1012*$X$1-$X1012-$Y1012)/(AD1012*$X$1)</f>
        <v>7.2344946331098822E-2</v>
      </c>
      <c r="AF1012" s="100"/>
      <c r="AG1012" s="111">
        <f t="shared" ref="AG1012:AG1023" si="810">+IFERROR(ROUND(($X1012+$Y1012)/(1-$AG$2)/$X$1,1),0)</f>
        <v>1.4</v>
      </c>
      <c r="AH1012" s="262">
        <f t="shared" ref="AH1012:AH1023" si="811">+(AG1012*$X$1-$X1012-$Y1012)/(AG1012*$X$1)</f>
        <v>0.40365032264142048</v>
      </c>
      <c r="AI1012" s="100"/>
      <c r="AJ1012" s="111">
        <f t="shared" ref="AJ1012:AJ1023" si="812">+IFERROR(ROUND(($X1012+$Y1012)/(1-$AJ$2)/$X$1,1),0)</f>
        <v>1.3</v>
      </c>
      <c r="AK1012" s="262">
        <f t="shared" ref="AK1012:AK1023" si="813">+(AJ1012*$X$1-$X1012-$Y1012)/(AJ1012*$X$1)</f>
        <v>0.35777727053691449</v>
      </c>
      <c r="AL1012" s="100"/>
      <c r="AM1012" s="111">
        <f>+IFERROR(ROUND(($X1012+$Y1012)/(1-$AM$2)/$X$1,1),0)</f>
        <v>1.2</v>
      </c>
      <c r="AN1012" s="262">
        <f t="shared" ref="AN1012:AN1023" si="814">+(AM1012*$X$1-$X1012-$Y1012)/(AM1012*$X$1)</f>
        <v>0.30425870974832403</v>
      </c>
      <c r="AO1012" s="100"/>
      <c r="AP1012" s="24" t="e">
        <f>VLOOKUP(C1012,#REF!,6,FALSE)</f>
        <v>#REF!</v>
      </c>
      <c r="AQ1012" s="24" t="e">
        <f>VLOOKUP(C1012,#REF!,7,FALSE)</f>
        <v>#REF!</v>
      </c>
      <c r="AR1012" s="24" t="e">
        <f>VLOOKUP(C1012,#REF!,12,FALSE)</f>
        <v>#REF!</v>
      </c>
      <c r="AS1012" s="24" t="e">
        <f>VLOOKUP(C1012,#REF!,13,FALSE)</f>
        <v>#REF!</v>
      </c>
      <c r="AT1012" s="100"/>
      <c r="AU1012" s="100"/>
      <c r="AV1012" s="100">
        <v>988</v>
      </c>
      <c r="AW1012" s="100"/>
      <c r="AY1012" s="28">
        <v>12500</v>
      </c>
    </row>
    <row r="1013" spans="1:51" s="2" customFormat="1" ht="12.75" customHeight="1" x14ac:dyDescent="0.2">
      <c r="A1013" s="7" t="s">
        <v>1719</v>
      </c>
      <c r="B1013" s="8">
        <v>9789500210690</v>
      </c>
      <c r="C1013" s="8">
        <v>685398</v>
      </c>
      <c r="D1013" s="25">
        <v>96</v>
      </c>
      <c r="E1013" s="7" t="s">
        <v>471</v>
      </c>
      <c r="F1013" s="116" t="s">
        <v>1720</v>
      </c>
      <c r="G1013" s="107">
        <v>44409</v>
      </c>
      <c r="H1013" s="107">
        <v>45231</v>
      </c>
      <c r="I1013" s="7">
        <v>1054</v>
      </c>
      <c r="J1013" s="28" t="s">
        <v>2136</v>
      </c>
      <c r="K1013" s="9">
        <v>689.06</v>
      </c>
      <c r="L1013" s="28">
        <v>14900</v>
      </c>
      <c r="M1013" s="112">
        <f t="shared" si="796"/>
        <v>1490</v>
      </c>
      <c r="N1013" s="9">
        <f t="shared" si="797"/>
        <v>7450</v>
      </c>
      <c r="O1013" s="9">
        <f t="shared" si="798"/>
        <v>5270.9400000000005</v>
      </c>
      <c r="P1013" s="9">
        <f t="shared" si="799"/>
        <v>2179.06</v>
      </c>
      <c r="Q1013" s="109">
        <f t="shared" si="800"/>
        <v>0.70750872483221483</v>
      </c>
      <c r="R1013" s="345">
        <v>14900</v>
      </c>
      <c r="S1013" s="359" t="s">
        <v>1948</v>
      </c>
      <c r="T1013" s="305">
        <v>0.70750872483221483</v>
      </c>
      <c r="U1013" s="144"/>
      <c r="V1013" s="100"/>
      <c r="W1013" s="110">
        <f t="shared" si="801"/>
        <v>14900</v>
      </c>
      <c r="X1013" s="110">
        <f t="shared" si="802"/>
        <v>689.06</v>
      </c>
      <c r="Y1013" s="110">
        <f t="shared" si="803"/>
        <v>1490</v>
      </c>
      <c r="Z1013" s="110">
        <f t="shared" si="804"/>
        <v>5270.9400000000005</v>
      </c>
      <c r="AA1013" s="260">
        <f t="shared" si="805"/>
        <v>0.70750872483221483</v>
      </c>
      <c r="AB1013" s="28">
        <f t="shared" si="806"/>
        <v>4.9000000000000004</v>
      </c>
      <c r="AC1013" s="261">
        <f t="shared" si="807"/>
        <v>0.70675494728059385</v>
      </c>
      <c r="AD1013" s="111">
        <f t="shared" si="808"/>
        <v>1.5</v>
      </c>
      <c r="AE1013" s="262">
        <f t="shared" si="809"/>
        <v>4.2066161116606243E-2</v>
      </c>
      <c r="AF1013" s="100"/>
      <c r="AG1013" s="111">
        <f t="shared" si="810"/>
        <v>2.4</v>
      </c>
      <c r="AH1013" s="262">
        <f t="shared" si="811"/>
        <v>0.40129135069787891</v>
      </c>
      <c r="AI1013" s="100"/>
      <c r="AJ1013" s="111">
        <f t="shared" si="812"/>
        <v>2.2000000000000002</v>
      </c>
      <c r="AK1013" s="262">
        <f t="shared" si="813"/>
        <v>0.34686329167041341</v>
      </c>
      <c r="AL1013" s="100"/>
      <c r="AM1013" s="111">
        <f>+IFERROR(ROUND(($X1013+$Y1013)/(1-$AM$2)/$X$1,1),0)</f>
        <v>2.1</v>
      </c>
      <c r="AN1013" s="262">
        <f t="shared" si="814"/>
        <v>0.31576154365471876</v>
      </c>
      <c r="AO1013" s="100"/>
      <c r="AP1013" s="24" t="e">
        <f>VLOOKUP(C1013,#REF!,6,FALSE)</f>
        <v>#REF!</v>
      </c>
      <c r="AQ1013" s="24" t="e">
        <f>VLOOKUP(C1013,#REF!,7,FALSE)</f>
        <v>#REF!</v>
      </c>
      <c r="AR1013" s="24" t="e">
        <f>VLOOKUP(C1013,#REF!,12,FALSE)</f>
        <v>#REF!</v>
      </c>
      <c r="AS1013" s="24" t="e">
        <f>VLOOKUP(C1013,#REF!,13,FALSE)</f>
        <v>#REF!</v>
      </c>
      <c r="AT1013" s="100"/>
      <c r="AU1013" s="100"/>
      <c r="AV1013" s="100">
        <v>989</v>
      </c>
      <c r="AW1013" s="100"/>
      <c r="AY1013" s="28">
        <v>14900</v>
      </c>
    </row>
    <row r="1014" spans="1:51" s="2" customFormat="1" ht="12.75" customHeight="1" x14ac:dyDescent="0.2">
      <c r="A1014" s="7" t="s">
        <v>1721</v>
      </c>
      <c r="B1014" s="16">
        <v>9789500204446</v>
      </c>
      <c r="C1014" s="8">
        <v>471750</v>
      </c>
      <c r="D1014" s="25">
        <v>200</v>
      </c>
      <c r="E1014" s="9" t="s">
        <v>327</v>
      </c>
      <c r="F1014" s="116" t="s">
        <v>1722</v>
      </c>
      <c r="G1014" s="107">
        <v>36708</v>
      </c>
      <c r="H1014" s="108">
        <v>43525</v>
      </c>
      <c r="I1014" s="24">
        <v>10060</v>
      </c>
      <c r="J1014" s="28" t="s">
        <v>2136</v>
      </c>
      <c r="K1014" s="150">
        <v>43.26</v>
      </c>
      <c r="L1014" s="28">
        <v>12500</v>
      </c>
      <c r="M1014" s="112">
        <f t="shared" si="796"/>
        <v>1250</v>
      </c>
      <c r="N1014" s="9">
        <f t="shared" si="797"/>
        <v>6250</v>
      </c>
      <c r="O1014" s="9">
        <f t="shared" si="798"/>
        <v>4956.74</v>
      </c>
      <c r="P1014" s="9">
        <f t="shared" si="799"/>
        <v>1293.26</v>
      </c>
      <c r="Q1014" s="109">
        <f t="shared" si="800"/>
        <v>0.79307839999999996</v>
      </c>
      <c r="R1014" s="345">
        <v>12500</v>
      </c>
      <c r="S1014" s="359" t="s">
        <v>1948</v>
      </c>
      <c r="T1014" s="305">
        <v>0.79307839999999996</v>
      </c>
      <c r="U1014" s="144"/>
      <c r="V1014" s="100"/>
      <c r="W1014" s="110">
        <f t="shared" si="801"/>
        <v>12500</v>
      </c>
      <c r="X1014" s="110">
        <f t="shared" si="802"/>
        <v>43.26</v>
      </c>
      <c r="Y1014" s="110">
        <f t="shared" si="803"/>
        <v>1250</v>
      </c>
      <c r="Z1014" s="110">
        <f t="shared" si="804"/>
        <v>4956.74</v>
      </c>
      <c r="AA1014" s="260">
        <f t="shared" si="805"/>
        <v>0.79307839999999996</v>
      </c>
      <c r="AB1014" s="28">
        <f t="shared" si="806"/>
        <v>4.0999999999999996</v>
      </c>
      <c r="AC1014" s="261">
        <f t="shared" si="807"/>
        <v>0.79200180132365117</v>
      </c>
      <c r="AD1014" s="111">
        <f t="shared" si="808"/>
        <v>0.9</v>
      </c>
      <c r="AE1014" s="262">
        <f t="shared" si="809"/>
        <v>5.2452650474411208E-2</v>
      </c>
      <c r="AF1014" s="100"/>
      <c r="AG1014" s="111">
        <f t="shared" si="810"/>
        <v>1.4</v>
      </c>
      <c r="AH1014" s="262">
        <f t="shared" si="811"/>
        <v>0.39086241816212131</v>
      </c>
      <c r="AI1014" s="100"/>
      <c r="AJ1014" s="111">
        <f t="shared" si="812"/>
        <v>1.3</v>
      </c>
      <c r="AK1014" s="262">
        <f t="shared" si="813"/>
        <v>0.34400568109766927</v>
      </c>
      <c r="AL1014" s="100"/>
      <c r="AM1014" s="111">
        <f>+IFERROR(ROUND(($X1014+$Y1014)/(1-$AM$2)/$X$1,1),0)</f>
        <v>1.2</v>
      </c>
      <c r="AN1014" s="262">
        <f t="shared" si="814"/>
        <v>0.28933948785580832</v>
      </c>
      <c r="AO1014" s="100"/>
      <c r="AP1014" s="24" t="e">
        <f>VLOOKUP(C1014,#REF!,6,FALSE)</f>
        <v>#REF!</v>
      </c>
      <c r="AQ1014" s="24" t="e">
        <f>VLOOKUP(C1014,#REF!,7,FALSE)</f>
        <v>#REF!</v>
      </c>
      <c r="AR1014" s="24" t="e">
        <f>VLOOKUP(C1014,#REF!,12,FALSE)</f>
        <v>#REF!</v>
      </c>
      <c r="AS1014" s="24" t="e">
        <f>VLOOKUP(C1014,#REF!,13,FALSE)</f>
        <v>#REF!</v>
      </c>
      <c r="AT1014" s="100">
        <v>33</v>
      </c>
      <c r="AU1014" s="100"/>
      <c r="AV1014" s="100">
        <v>990</v>
      </c>
      <c r="AW1014" s="100"/>
      <c r="AY1014" s="28">
        <v>12500</v>
      </c>
    </row>
    <row r="1015" spans="1:51" s="2" customFormat="1" ht="12.75" customHeight="1" x14ac:dyDescent="0.2">
      <c r="A1015" s="7" t="s">
        <v>1723</v>
      </c>
      <c r="B1015" s="8">
        <v>9789500210362</v>
      </c>
      <c r="C1015" s="217">
        <v>672057</v>
      </c>
      <c r="D1015" s="25">
        <v>256</v>
      </c>
      <c r="E1015" s="9" t="s">
        <v>327</v>
      </c>
      <c r="F1015" s="7" t="s">
        <v>1724</v>
      </c>
      <c r="G1015" s="107">
        <v>43800</v>
      </c>
      <c r="H1015" s="108">
        <v>45809</v>
      </c>
      <c r="I1015" s="7">
        <v>10113</v>
      </c>
      <c r="J1015" s="28" t="s">
        <v>2136</v>
      </c>
      <c r="K1015" s="117">
        <v>1298.28</v>
      </c>
      <c r="L1015" s="28">
        <v>23500</v>
      </c>
      <c r="M1015" s="112">
        <f t="shared" si="796"/>
        <v>2350</v>
      </c>
      <c r="N1015" s="9">
        <f t="shared" si="797"/>
        <v>11750</v>
      </c>
      <c r="O1015" s="9">
        <f t="shared" si="798"/>
        <v>8101.72</v>
      </c>
      <c r="P1015" s="9">
        <f t="shared" si="799"/>
        <v>3648.2799999999997</v>
      </c>
      <c r="Q1015" s="109">
        <f t="shared" si="800"/>
        <v>0.68950808510638295</v>
      </c>
      <c r="R1015" s="345">
        <v>23500</v>
      </c>
      <c r="S1015" s="359" t="s">
        <v>1948</v>
      </c>
      <c r="T1015" s="305">
        <v>0.68950808510638295</v>
      </c>
      <c r="U1015" s="144"/>
      <c r="V1015" s="100"/>
      <c r="W1015" s="110">
        <f t="shared" si="801"/>
        <v>23500</v>
      </c>
      <c r="X1015" s="110">
        <f t="shared" si="802"/>
        <v>1298.28</v>
      </c>
      <c r="Y1015" s="110">
        <f t="shared" si="803"/>
        <v>2350</v>
      </c>
      <c r="Z1015" s="110">
        <f t="shared" si="804"/>
        <v>8101.7199999999993</v>
      </c>
      <c r="AA1015" s="260">
        <f t="shared" si="805"/>
        <v>0.68950808510638295</v>
      </c>
      <c r="AB1015" s="28">
        <f t="shared" si="806"/>
        <v>7.7</v>
      </c>
      <c r="AC1015" s="261">
        <f t="shared" si="807"/>
        <v>0.68756834988288995</v>
      </c>
      <c r="AD1015" s="111">
        <f t="shared" si="808"/>
        <v>2.5</v>
      </c>
      <c r="AE1015" s="262">
        <f t="shared" si="809"/>
        <v>3.771051763930109E-2</v>
      </c>
      <c r="AF1015" s="100"/>
      <c r="AG1015" s="111">
        <f t="shared" si="810"/>
        <v>4</v>
      </c>
      <c r="AH1015" s="262">
        <f t="shared" si="811"/>
        <v>0.39856907352456317</v>
      </c>
      <c r="AI1015" s="100"/>
      <c r="AJ1015" s="111">
        <f t="shared" si="812"/>
        <v>3.7</v>
      </c>
      <c r="AK1015" s="262">
        <f t="shared" si="813"/>
        <v>0.34980440381033862</v>
      </c>
      <c r="AL1015" s="100"/>
      <c r="AM1015" s="111">
        <v>4.4000000000000004</v>
      </c>
      <c r="AN1015" s="262">
        <f t="shared" si="814"/>
        <v>0.45324461229505747</v>
      </c>
      <c r="AO1015" s="100"/>
      <c r="AP1015" s="24" t="e">
        <f>VLOOKUP(C1015,#REF!,6,FALSE)</f>
        <v>#REF!</v>
      </c>
      <c r="AQ1015" s="24" t="e">
        <f>VLOOKUP(C1015,#REF!,7,FALSE)</f>
        <v>#REF!</v>
      </c>
      <c r="AR1015" s="24" t="e">
        <f>VLOOKUP(C1015,#REF!,12,FALSE)</f>
        <v>#REF!</v>
      </c>
      <c r="AS1015" s="24" t="e">
        <f>VLOOKUP(C1015,#REF!,13,FALSE)</f>
        <v>#REF!</v>
      </c>
      <c r="AT1015" s="100"/>
      <c r="AU1015" s="100"/>
      <c r="AV1015" s="100">
        <v>991</v>
      </c>
      <c r="AW1015" s="100"/>
      <c r="AY1015" s="28">
        <v>23500</v>
      </c>
    </row>
    <row r="1016" spans="1:51" s="2" customFormat="1" ht="12.75" customHeight="1" x14ac:dyDescent="0.2">
      <c r="A1016" s="7" t="s">
        <v>1523</v>
      </c>
      <c r="B1016" s="8">
        <v>9789500210133</v>
      </c>
      <c r="C1016" s="217">
        <v>668114</v>
      </c>
      <c r="D1016" s="25">
        <v>240</v>
      </c>
      <c r="E1016" s="9" t="s">
        <v>327</v>
      </c>
      <c r="F1016" s="7" t="s">
        <v>1725</v>
      </c>
      <c r="G1016" s="107">
        <v>43709</v>
      </c>
      <c r="H1016" s="107">
        <v>46082</v>
      </c>
      <c r="I1016" s="7">
        <v>3090</v>
      </c>
      <c r="J1016" s="28" t="s">
        <v>2136</v>
      </c>
      <c r="K1016" s="117">
        <v>2599.9</v>
      </c>
      <c r="L1016" s="28">
        <v>31900</v>
      </c>
      <c r="M1016" s="112">
        <f t="shared" si="796"/>
        <v>3190</v>
      </c>
      <c r="N1016" s="9">
        <f t="shared" si="797"/>
        <v>15950</v>
      </c>
      <c r="O1016" s="9">
        <f t="shared" si="798"/>
        <v>10160.1</v>
      </c>
      <c r="P1016" s="9">
        <f t="shared" si="799"/>
        <v>5789.9</v>
      </c>
      <c r="Q1016" s="109">
        <f t="shared" si="800"/>
        <v>0.63699686520376175</v>
      </c>
      <c r="R1016" s="345">
        <v>31900</v>
      </c>
      <c r="S1016" s="359" t="s">
        <v>1948</v>
      </c>
      <c r="T1016" s="305">
        <v>0.63699686520376175</v>
      </c>
      <c r="U1016" s="144"/>
      <c r="V1016" s="100"/>
      <c r="W1016" s="110">
        <f t="shared" si="801"/>
        <v>31900</v>
      </c>
      <c r="X1016" s="110">
        <f t="shared" si="802"/>
        <v>2599.9</v>
      </c>
      <c r="Y1016" s="110">
        <f t="shared" si="803"/>
        <v>3190</v>
      </c>
      <c r="Z1016" s="110">
        <f t="shared" si="804"/>
        <v>10160.1</v>
      </c>
      <c r="AA1016" s="260">
        <f t="shared" si="805"/>
        <v>0.63699686520376175</v>
      </c>
      <c r="AB1016" s="28">
        <f t="shared" si="806"/>
        <v>10.5</v>
      </c>
      <c r="AC1016" s="261">
        <f t="shared" si="807"/>
        <v>0.63638704410217761</v>
      </c>
      <c r="AD1016" s="111">
        <f t="shared" si="808"/>
        <v>4</v>
      </c>
      <c r="AE1016" s="262">
        <f t="shared" si="809"/>
        <v>4.5515990768216275E-2</v>
      </c>
      <c r="AF1016" s="100"/>
      <c r="AG1016" s="111">
        <f t="shared" si="810"/>
        <v>6.4</v>
      </c>
      <c r="AH1016" s="262">
        <f t="shared" si="811"/>
        <v>0.40344749423013526</v>
      </c>
      <c r="AI1016" s="100"/>
      <c r="AJ1016" s="111">
        <f t="shared" si="812"/>
        <v>5.9</v>
      </c>
      <c r="AK1016" s="262">
        <f t="shared" si="813"/>
        <v>0.35289219713099418</v>
      </c>
      <c r="AL1016" s="100"/>
      <c r="AM1016" s="111">
        <f t="shared" ref="AM1016:AM1023" si="815">+IFERROR(ROUND(($X1016+$Y1016)/(1-$AM$2)/$X$1,1),0)</f>
        <v>5.5</v>
      </c>
      <c r="AN1016" s="262">
        <f t="shared" si="814"/>
        <v>0.3058298114677937</v>
      </c>
      <c r="AO1016" s="100"/>
      <c r="AP1016" s="24" t="e">
        <f>VLOOKUP(C1016,#REF!,6,FALSE)</f>
        <v>#REF!</v>
      </c>
      <c r="AQ1016" s="24" t="e">
        <f>VLOOKUP(C1016,#REF!,7,FALSE)</f>
        <v>#REF!</v>
      </c>
      <c r="AR1016" s="24" t="e">
        <f>VLOOKUP(C1016,#REF!,12,FALSE)</f>
        <v>#REF!</v>
      </c>
      <c r="AS1016" s="24" t="e">
        <f>VLOOKUP(C1016,#REF!,13,FALSE)</f>
        <v>#REF!</v>
      </c>
      <c r="AT1016" s="100"/>
      <c r="AU1016" s="100"/>
      <c r="AV1016" s="100">
        <v>992</v>
      </c>
      <c r="AW1016" s="100"/>
      <c r="AY1016" s="28">
        <v>31900</v>
      </c>
    </row>
    <row r="1017" spans="1:51" s="2" customFormat="1" ht="12.75" customHeight="1" x14ac:dyDescent="0.2">
      <c r="A1017" s="7" t="s">
        <v>1726</v>
      </c>
      <c r="B1017" s="8">
        <v>9789500285322</v>
      </c>
      <c r="C1017" s="8">
        <v>106922</v>
      </c>
      <c r="D1017" s="25">
        <v>170</v>
      </c>
      <c r="E1017" s="7" t="s">
        <v>327</v>
      </c>
      <c r="F1017" s="116" t="s">
        <v>1727</v>
      </c>
      <c r="G1017" s="107">
        <v>36708</v>
      </c>
      <c r="H1017" s="108">
        <v>42705</v>
      </c>
      <c r="I1017" s="24">
        <v>1519</v>
      </c>
      <c r="J1017" s="28" t="s">
        <v>2136</v>
      </c>
      <c r="K1017" s="28">
        <v>32.409999999999997</v>
      </c>
      <c r="L1017" s="28">
        <v>14900</v>
      </c>
      <c r="M1017" s="112">
        <f t="shared" si="796"/>
        <v>1490</v>
      </c>
      <c r="N1017" s="9">
        <f t="shared" si="797"/>
        <v>7450</v>
      </c>
      <c r="O1017" s="9">
        <f t="shared" si="798"/>
        <v>5927.59</v>
      </c>
      <c r="P1017" s="9">
        <f t="shared" si="799"/>
        <v>1522.41</v>
      </c>
      <c r="Q1017" s="109">
        <f t="shared" si="800"/>
        <v>0.79564966442953022</v>
      </c>
      <c r="R1017" s="345">
        <v>14900</v>
      </c>
      <c r="S1017" s="359" t="s">
        <v>1948</v>
      </c>
      <c r="T1017" s="305">
        <v>0.79564966442953022</v>
      </c>
      <c r="U1017" s="9"/>
      <c r="V1017" s="100"/>
      <c r="W1017" s="110">
        <f t="shared" si="801"/>
        <v>14900</v>
      </c>
      <c r="X1017" s="110">
        <f t="shared" si="802"/>
        <v>32.409999999999997</v>
      </c>
      <c r="Y1017" s="110">
        <f t="shared" si="803"/>
        <v>1490</v>
      </c>
      <c r="Z1017" s="110">
        <f t="shared" si="804"/>
        <v>5927.59</v>
      </c>
      <c r="AA1017" s="260">
        <f t="shared" si="805"/>
        <v>0.79564966442953022</v>
      </c>
      <c r="AB1017" s="28">
        <f t="shared" si="806"/>
        <v>4.9000000000000004</v>
      </c>
      <c r="AC1017" s="261">
        <f t="shared" si="807"/>
        <v>0.79512303437695553</v>
      </c>
      <c r="AD1017" s="111">
        <f t="shared" si="808"/>
        <v>1.1000000000000001</v>
      </c>
      <c r="AE1017" s="262">
        <f t="shared" si="809"/>
        <v>8.736624404280191E-2</v>
      </c>
      <c r="AF1017" s="100"/>
      <c r="AG1017" s="111">
        <f t="shared" si="810"/>
        <v>1.7</v>
      </c>
      <c r="AH1017" s="262">
        <f t="shared" si="811"/>
        <v>0.40947227555710713</v>
      </c>
      <c r="AI1017" s="100"/>
      <c r="AJ1017" s="111">
        <f t="shared" si="812"/>
        <v>1.5</v>
      </c>
      <c r="AK1017" s="262">
        <f t="shared" si="813"/>
        <v>0.33073524563138812</v>
      </c>
      <c r="AL1017" s="100"/>
      <c r="AM1017" s="111">
        <f t="shared" si="815"/>
        <v>1.4</v>
      </c>
      <c r="AN1017" s="262">
        <f t="shared" si="814"/>
        <v>0.28293062031934441</v>
      </c>
      <c r="AO1017" s="100"/>
      <c r="AP1017" s="24" t="e">
        <f>VLOOKUP(C1017,#REF!,6,FALSE)</f>
        <v>#REF!</v>
      </c>
      <c r="AQ1017" s="24" t="e">
        <f>VLOOKUP(C1017,#REF!,7,FALSE)</f>
        <v>#REF!</v>
      </c>
      <c r="AR1017" s="24" t="e">
        <f>VLOOKUP(C1017,#REF!,12,FALSE)</f>
        <v>#REF!</v>
      </c>
      <c r="AS1017" s="24" t="e">
        <f>VLOOKUP(C1017,#REF!,13,FALSE)</f>
        <v>#REF!</v>
      </c>
      <c r="AT1017" s="100"/>
      <c r="AU1017" s="100"/>
      <c r="AV1017" s="100">
        <v>993</v>
      </c>
      <c r="AW1017" s="100"/>
      <c r="AY1017" s="28">
        <v>14900</v>
      </c>
    </row>
    <row r="1018" spans="1:51" s="2" customFormat="1" ht="12.75" customHeight="1" x14ac:dyDescent="0.2">
      <c r="A1018" s="7" t="s">
        <v>1728</v>
      </c>
      <c r="B1018" s="8">
        <v>9789500210522</v>
      </c>
      <c r="C1018" s="8">
        <v>674457</v>
      </c>
      <c r="D1018" s="25">
        <v>312</v>
      </c>
      <c r="E1018" s="7" t="s">
        <v>327</v>
      </c>
      <c r="F1018" s="116" t="s">
        <v>1729</v>
      </c>
      <c r="G1018" s="107">
        <v>43891</v>
      </c>
      <c r="H1018" s="108">
        <v>43891</v>
      </c>
      <c r="I1018" s="24">
        <v>2980</v>
      </c>
      <c r="J1018" s="28" t="s">
        <v>2136</v>
      </c>
      <c r="K1018" s="9">
        <v>75.63</v>
      </c>
      <c r="L1018" s="28">
        <v>16900</v>
      </c>
      <c r="M1018" s="112">
        <f t="shared" si="796"/>
        <v>1690</v>
      </c>
      <c r="N1018" s="9">
        <f t="shared" si="797"/>
        <v>8450</v>
      </c>
      <c r="O1018" s="9">
        <f t="shared" si="798"/>
        <v>6684.37</v>
      </c>
      <c r="P1018" s="9">
        <f t="shared" si="799"/>
        <v>1765.63</v>
      </c>
      <c r="Q1018" s="109">
        <f t="shared" si="800"/>
        <v>0.79104970414201181</v>
      </c>
      <c r="R1018" s="345">
        <v>16900</v>
      </c>
      <c r="S1018" s="359" t="s">
        <v>1948</v>
      </c>
      <c r="T1018" s="305">
        <v>0.79104970414201181</v>
      </c>
      <c r="U1018" s="9"/>
      <c r="V1018" s="100"/>
      <c r="W1018" s="110">
        <f t="shared" si="801"/>
        <v>16900</v>
      </c>
      <c r="X1018" s="110">
        <f t="shared" si="802"/>
        <v>75.63</v>
      </c>
      <c r="Y1018" s="110">
        <f t="shared" si="803"/>
        <v>1690</v>
      </c>
      <c r="Z1018" s="110">
        <f t="shared" si="804"/>
        <v>6684.3700000000008</v>
      </c>
      <c r="AA1018" s="260">
        <f t="shared" si="805"/>
        <v>0.79104970414201192</v>
      </c>
      <c r="AB1018" s="28">
        <f t="shared" si="806"/>
        <v>5.6</v>
      </c>
      <c r="AC1018" s="261">
        <f t="shared" si="807"/>
        <v>0.79209293014931004</v>
      </c>
      <c r="AD1018" s="111">
        <f t="shared" si="808"/>
        <v>1.2</v>
      </c>
      <c r="AE1018" s="262">
        <f t="shared" si="809"/>
        <v>2.9767007363446573E-2</v>
      </c>
      <c r="AF1018" s="100"/>
      <c r="AG1018" s="111">
        <f t="shared" si="810"/>
        <v>1.9</v>
      </c>
      <c r="AH1018" s="262">
        <f t="shared" si="811"/>
        <v>0.38722126780849248</v>
      </c>
      <c r="AI1018" s="100"/>
      <c r="AJ1018" s="111">
        <f t="shared" si="812"/>
        <v>1.8</v>
      </c>
      <c r="AK1018" s="262">
        <f t="shared" si="813"/>
        <v>0.35317800490896439</v>
      </c>
      <c r="AL1018" s="100"/>
      <c r="AM1018" s="111">
        <f t="shared" si="815"/>
        <v>1.7</v>
      </c>
      <c r="AN1018" s="262">
        <f t="shared" si="814"/>
        <v>0.31512965225655037</v>
      </c>
      <c r="AO1018" s="100"/>
      <c r="AP1018" s="24" t="e">
        <f>VLOOKUP(C1018,#REF!,6,FALSE)</f>
        <v>#REF!</v>
      </c>
      <c r="AQ1018" s="24" t="e">
        <f>VLOOKUP(C1018,#REF!,7,FALSE)</f>
        <v>#REF!</v>
      </c>
      <c r="AR1018" s="24" t="e">
        <f>VLOOKUP(C1018,#REF!,12,FALSE)</f>
        <v>#REF!</v>
      </c>
      <c r="AS1018" s="24" t="e">
        <f>VLOOKUP(C1018,#REF!,13,FALSE)</f>
        <v>#REF!</v>
      </c>
      <c r="AT1018" s="100"/>
      <c r="AU1018" s="100"/>
      <c r="AV1018" s="100">
        <v>994</v>
      </c>
      <c r="AW1018" s="100"/>
      <c r="AY1018" s="28">
        <v>16900</v>
      </c>
    </row>
    <row r="1019" spans="1:51" s="2" customFormat="1" ht="12.75" customHeight="1" x14ac:dyDescent="0.2">
      <c r="A1019" s="7" t="s">
        <v>1730</v>
      </c>
      <c r="B1019" s="8">
        <v>9789500285391</v>
      </c>
      <c r="C1019" s="8">
        <v>111751</v>
      </c>
      <c r="D1019" s="25">
        <v>206</v>
      </c>
      <c r="E1019" s="7" t="s">
        <v>327</v>
      </c>
      <c r="F1019" s="116" t="s">
        <v>2012</v>
      </c>
      <c r="G1019" s="107">
        <v>36708</v>
      </c>
      <c r="H1019" s="108">
        <v>43009</v>
      </c>
      <c r="I1019" s="24">
        <v>3014</v>
      </c>
      <c r="J1019" s="28" t="s">
        <v>2136</v>
      </c>
      <c r="K1019" s="28">
        <v>25.13</v>
      </c>
      <c r="L1019" s="28">
        <v>19900</v>
      </c>
      <c r="M1019" s="112">
        <f t="shared" si="796"/>
        <v>1990</v>
      </c>
      <c r="N1019" s="9">
        <f t="shared" si="797"/>
        <v>9950</v>
      </c>
      <c r="O1019" s="9">
        <f t="shared" si="798"/>
        <v>7934.87</v>
      </c>
      <c r="P1019" s="9">
        <f t="shared" si="799"/>
        <v>2015.13</v>
      </c>
      <c r="Q1019" s="109">
        <f t="shared" si="800"/>
        <v>0.79747437185929648</v>
      </c>
      <c r="R1019" s="345">
        <v>19900</v>
      </c>
      <c r="S1019" s="359" t="s">
        <v>1948</v>
      </c>
      <c r="T1019" s="305">
        <v>0.79747437185929648</v>
      </c>
      <c r="U1019" s="9"/>
      <c r="V1019" s="100"/>
      <c r="W1019" s="110">
        <f t="shared" si="801"/>
        <v>19900</v>
      </c>
      <c r="X1019" s="110">
        <f t="shared" si="802"/>
        <v>25.13</v>
      </c>
      <c r="Y1019" s="110">
        <f t="shared" si="803"/>
        <v>1990</v>
      </c>
      <c r="Z1019" s="110">
        <f t="shared" si="804"/>
        <v>7934.8700000000008</v>
      </c>
      <c r="AA1019" s="260">
        <f t="shared" si="805"/>
        <v>0.79747437185929659</v>
      </c>
      <c r="AB1019" s="28">
        <f t="shared" si="806"/>
        <v>6.6</v>
      </c>
      <c r="AC1019" s="261">
        <f t="shared" si="807"/>
        <v>0.79866618709348691</v>
      </c>
      <c r="AD1019" s="111">
        <f t="shared" si="808"/>
        <v>1.4</v>
      </c>
      <c r="AE1019" s="262">
        <f t="shared" si="809"/>
        <v>5.085488201215195E-2</v>
      </c>
      <c r="AF1019" s="100"/>
      <c r="AG1019" s="111">
        <f t="shared" si="810"/>
        <v>2.2000000000000002</v>
      </c>
      <c r="AH1019" s="262">
        <f t="shared" si="811"/>
        <v>0.3959985612804604</v>
      </c>
      <c r="AI1019" s="100"/>
      <c r="AJ1019" s="111">
        <f t="shared" si="812"/>
        <v>2</v>
      </c>
      <c r="AK1019" s="262">
        <f t="shared" si="813"/>
        <v>0.33559841740850638</v>
      </c>
      <c r="AL1019" s="100"/>
      <c r="AM1019" s="111">
        <f t="shared" si="815"/>
        <v>1.9</v>
      </c>
      <c r="AN1019" s="262">
        <f t="shared" si="814"/>
        <v>0.30062991306158565</v>
      </c>
      <c r="AO1019" s="100"/>
      <c r="AP1019" s="24" t="e">
        <f>VLOOKUP(C1019,#REF!,6,FALSE)</f>
        <v>#REF!</v>
      </c>
      <c r="AQ1019" s="24" t="e">
        <f>VLOOKUP(C1019,#REF!,7,FALSE)</f>
        <v>#REF!</v>
      </c>
      <c r="AR1019" s="24" t="e">
        <f>VLOOKUP(C1019,#REF!,12,FALSE)</f>
        <v>#REF!</v>
      </c>
      <c r="AS1019" s="24" t="e">
        <f>VLOOKUP(C1019,#REF!,13,FALSE)</f>
        <v>#REF!</v>
      </c>
      <c r="AT1019" s="100"/>
      <c r="AU1019" s="100"/>
      <c r="AV1019" s="100">
        <v>995</v>
      </c>
      <c r="AW1019" s="100"/>
      <c r="AY1019" s="28">
        <v>19900</v>
      </c>
    </row>
    <row r="1020" spans="1:51" s="2" customFormat="1" ht="12.75" customHeight="1" x14ac:dyDescent="0.2">
      <c r="A1020" s="7" t="s">
        <v>1731</v>
      </c>
      <c r="B1020" s="8">
        <v>9789500210386</v>
      </c>
      <c r="C1020" s="13">
        <v>672696</v>
      </c>
      <c r="D1020" s="25">
        <v>400</v>
      </c>
      <c r="E1020" s="7" t="s">
        <v>471</v>
      </c>
      <c r="F1020" s="116" t="s">
        <v>1732</v>
      </c>
      <c r="G1020" s="107">
        <v>43831</v>
      </c>
      <c r="H1020" s="108">
        <v>44470</v>
      </c>
      <c r="I1020" s="7">
        <v>5000</v>
      </c>
      <c r="J1020" s="28" t="s">
        <v>2136</v>
      </c>
      <c r="K1020" s="117">
        <v>114.03</v>
      </c>
      <c r="L1020" s="28">
        <v>22900</v>
      </c>
      <c r="M1020" s="112">
        <f t="shared" si="796"/>
        <v>2290</v>
      </c>
      <c r="N1020" s="9">
        <f t="shared" si="797"/>
        <v>11450</v>
      </c>
      <c r="O1020" s="9">
        <f t="shared" si="798"/>
        <v>9045.9699999999993</v>
      </c>
      <c r="P1020" s="9">
        <f t="shared" si="799"/>
        <v>2404.0300000000002</v>
      </c>
      <c r="Q1020" s="109">
        <f t="shared" si="800"/>
        <v>0.79004104803493447</v>
      </c>
      <c r="R1020" s="345">
        <v>22900</v>
      </c>
      <c r="S1020" s="359" t="s">
        <v>1948</v>
      </c>
      <c r="T1020" s="305">
        <v>0.79004104803493447</v>
      </c>
      <c r="U1020" s="9"/>
      <c r="V1020" s="100"/>
      <c r="W1020" s="110">
        <f t="shared" si="801"/>
        <v>22900</v>
      </c>
      <c r="X1020" s="110">
        <f t="shared" si="802"/>
        <v>114.03</v>
      </c>
      <c r="Y1020" s="110">
        <f t="shared" si="803"/>
        <v>2290</v>
      </c>
      <c r="Z1020" s="110">
        <f t="shared" si="804"/>
        <v>9045.9699999999993</v>
      </c>
      <c r="AA1020" s="260">
        <f t="shared" si="805"/>
        <v>0.79004104803493447</v>
      </c>
      <c r="AB1020" s="28">
        <f t="shared" si="806"/>
        <v>7.6</v>
      </c>
      <c r="AC1020" s="261">
        <f t="shared" si="807"/>
        <v>0.7914146146771478</v>
      </c>
      <c r="AD1020" s="111">
        <f t="shared" si="808"/>
        <v>1.7</v>
      </c>
      <c r="AE1020" s="262">
        <f t="shared" si="809"/>
        <v>6.7500630321366745E-2</v>
      </c>
      <c r="AF1020" s="100"/>
      <c r="AG1020" s="111">
        <f t="shared" si="810"/>
        <v>2.6</v>
      </c>
      <c r="AH1020" s="262">
        <f t="shared" si="811"/>
        <v>0.39028887367166293</v>
      </c>
      <c r="AI1020" s="100"/>
      <c r="AJ1020" s="111">
        <f t="shared" si="812"/>
        <v>2.4</v>
      </c>
      <c r="AK1020" s="262">
        <f t="shared" si="813"/>
        <v>0.33947961314430147</v>
      </c>
      <c r="AL1020" s="100"/>
      <c r="AM1020" s="111">
        <f t="shared" si="815"/>
        <v>2.2999999999999998</v>
      </c>
      <c r="AN1020" s="262">
        <f t="shared" si="814"/>
        <v>0.31076133545492329</v>
      </c>
      <c r="AO1020" s="100"/>
      <c r="AP1020" s="24" t="e">
        <f>VLOOKUP(C1020,#REF!,6,FALSE)</f>
        <v>#REF!</v>
      </c>
      <c r="AQ1020" s="24" t="e">
        <f>VLOOKUP(C1020,#REF!,7,FALSE)</f>
        <v>#REF!</v>
      </c>
      <c r="AR1020" s="24" t="e">
        <f>VLOOKUP(C1020,#REF!,12,FALSE)</f>
        <v>#REF!</v>
      </c>
      <c r="AS1020" s="24" t="e">
        <f>VLOOKUP(C1020,#REF!,13,FALSE)</f>
        <v>#REF!</v>
      </c>
      <c r="AT1020" s="100"/>
      <c r="AU1020" s="100"/>
      <c r="AV1020" s="100">
        <v>996</v>
      </c>
      <c r="AW1020" s="100"/>
      <c r="AY1020" s="28">
        <v>22900</v>
      </c>
    </row>
    <row r="1021" spans="1:51" s="2" customFormat="1" ht="12.75" customHeight="1" x14ac:dyDescent="0.2">
      <c r="A1021" s="7" t="s">
        <v>1733</v>
      </c>
      <c r="B1021" s="8">
        <v>9789500210300</v>
      </c>
      <c r="C1021" s="13">
        <v>671441</v>
      </c>
      <c r="D1021" s="25">
        <v>384</v>
      </c>
      <c r="E1021" s="7" t="s">
        <v>471</v>
      </c>
      <c r="F1021" s="116" t="s">
        <v>1734</v>
      </c>
      <c r="G1021" s="107">
        <v>43800</v>
      </c>
      <c r="H1021" s="108">
        <v>44896</v>
      </c>
      <c r="I1021" s="7">
        <v>3005</v>
      </c>
      <c r="J1021" s="28" t="s">
        <v>2136</v>
      </c>
      <c r="K1021" s="9">
        <v>788.06</v>
      </c>
      <c r="L1021" s="28">
        <v>31900</v>
      </c>
      <c r="M1021" s="112">
        <f t="shared" si="796"/>
        <v>3190</v>
      </c>
      <c r="N1021" s="9">
        <f t="shared" si="797"/>
        <v>15950</v>
      </c>
      <c r="O1021" s="9">
        <f t="shared" si="798"/>
        <v>11971.94</v>
      </c>
      <c r="P1021" s="9">
        <f t="shared" si="799"/>
        <v>3978.06</v>
      </c>
      <c r="Q1021" s="109">
        <f t="shared" si="800"/>
        <v>0.75059184952978064</v>
      </c>
      <c r="R1021" s="345">
        <v>31900</v>
      </c>
      <c r="S1021" s="359" t="s">
        <v>1948</v>
      </c>
      <c r="T1021" s="305">
        <v>0.75059184952978064</v>
      </c>
      <c r="U1021" s="9"/>
      <c r="V1021" s="100"/>
      <c r="W1021" s="110">
        <f t="shared" si="801"/>
        <v>31900</v>
      </c>
      <c r="X1021" s="110">
        <f t="shared" si="802"/>
        <v>788.06</v>
      </c>
      <c r="Y1021" s="110">
        <f t="shared" si="803"/>
        <v>3190</v>
      </c>
      <c r="Z1021" s="110">
        <f t="shared" si="804"/>
        <v>11971.94</v>
      </c>
      <c r="AA1021" s="260">
        <f t="shared" si="805"/>
        <v>0.75059184952978064</v>
      </c>
      <c r="AB1021" s="28">
        <f t="shared" si="806"/>
        <v>10.5</v>
      </c>
      <c r="AC1021" s="261">
        <f t="shared" si="807"/>
        <v>0.75017286043992282</v>
      </c>
      <c r="AD1021" s="111">
        <f t="shared" si="808"/>
        <v>2.8</v>
      </c>
      <c r="AE1021" s="262">
        <f t="shared" si="809"/>
        <v>6.3148226649710301E-2</v>
      </c>
      <c r="AF1021" s="100"/>
      <c r="AG1021" s="111">
        <f t="shared" si="810"/>
        <v>4.4000000000000004</v>
      </c>
      <c r="AH1021" s="262">
        <f t="shared" si="811"/>
        <v>0.40382159877708851</v>
      </c>
      <c r="AI1021" s="100"/>
      <c r="AJ1021" s="111">
        <f t="shared" si="812"/>
        <v>4</v>
      </c>
      <c r="AK1021" s="262">
        <f t="shared" si="813"/>
        <v>0.3442037586547973</v>
      </c>
      <c r="AL1021" s="100"/>
      <c r="AM1021" s="111">
        <f t="shared" si="815"/>
        <v>3.7</v>
      </c>
      <c r="AN1021" s="262">
        <f t="shared" si="814"/>
        <v>0.2910310904376186</v>
      </c>
      <c r="AO1021" s="100"/>
      <c r="AP1021" s="24" t="e">
        <f>VLOOKUP(C1021,#REF!,6,FALSE)</f>
        <v>#REF!</v>
      </c>
      <c r="AQ1021" s="24" t="e">
        <f>VLOOKUP(C1021,#REF!,7,FALSE)</f>
        <v>#REF!</v>
      </c>
      <c r="AR1021" s="24" t="e">
        <f>VLOOKUP(C1021,#REF!,12,FALSE)</f>
        <v>#REF!</v>
      </c>
      <c r="AS1021" s="24" t="e">
        <f>VLOOKUP(C1021,#REF!,13,FALSE)</f>
        <v>#REF!</v>
      </c>
      <c r="AT1021" s="100"/>
      <c r="AU1021" s="100"/>
      <c r="AV1021" s="100">
        <v>997</v>
      </c>
      <c r="AW1021" s="100"/>
      <c r="AY1021" s="28">
        <v>31900</v>
      </c>
    </row>
    <row r="1022" spans="1:51" s="2" customFormat="1" ht="12.75" customHeight="1" x14ac:dyDescent="0.2">
      <c r="A1022" s="7" t="s">
        <v>1735</v>
      </c>
      <c r="B1022" s="8">
        <v>9789500285384</v>
      </c>
      <c r="C1022" s="8">
        <v>112021</v>
      </c>
      <c r="D1022" s="25">
        <v>168</v>
      </c>
      <c r="E1022" s="7" t="s">
        <v>327</v>
      </c>
      <c r="F1022" s="218" t="s">
        <v>1736</v>
      </c>
      <c r="G1022" s="107">
        <v>36708</v>
      </c>
      <c r="H1022" s="108">
        <v>42705</v>
      </c>
      <c r="I1022" s="24">
        <v>3006</v>
      </c>
      <c r="J1022" s="28" t="s">
        <v>1946</v>
      </c>
      <c r="K1022" s="28">
        <v>18.14</v>
      </c>
      <c r="L1022" s="28">
        <v>13200</v>
      </c>
      <c r="M1022" s="112">
        <f t="shared" si="796"/>
        <v>1320</v>
      </c>
      <c r="N1022" s="9">
        <f t="shared" si="797"/>
        <v>6600</v>
      </c>
      <c r="O1022" s="9">
        <f t="shared" si="798"/>
        <v>5261.86</v>
      </c>
      <c r="P1022" s="9">
        <f t="shared" si="799"/>
        <v>1338.14</v>
      </c>
      <c r="Q1022" s="109">
        <f t="shared" si="800"/>
        <v>0.79725151515151516</v>
      </c>
      <c r="R1022" s="345">
        <v>13200</v>
      </c>
      <c r="S1022" s="359" t="s">
        <v>1948</v>
      </c>
      <c r="T1022" s="305">
        <v>0.79725151515151516</v>
      </c>
      <c r="U1022" s="9"/>
      <c r="V1022" s="100"/>
      <c r="W1022" s="110">
        <f t="shared" si="801"/>
        <v>13200</v>
      </c>
      <c r="X1022" s="110">
        <f t="shared" si="802"/>
        <v>18.14</v>
      </c>
      <c r="Y1022" s="110">
        <f t="shared" si="803"/>
        <v>1320</v>
      </c>
      <c r="Z1022" s="110">
        <f t="shared" si="804"/>
        <v>5261.86</v>
      </c>
      <c r="AA1022" s="260">
        <f t="shared" si="805"/>
        <v>0.79725151515151516</v>
      </c>
      <c r="AB1022" s="28">
        <f t="shared" si="806"/>
        <v>4.4000000000000004</v>
      </c>
      <c r="AC1022" s="261">
        <f t="shared" si="807"/>
        <v>0.79945748284027207</v>
      </c>
      <c r="AD1022" s="111">
        <f t="shared" si="808"/>
        <v>0.9</v>
      </c>
      <c r="AE1022" s="262">
        <f t="shared" si="809"/>
        <v>1.9569916107997239E-2</v>
      </c>
      <c r="AF1022" s="100"/>
      <c r="AG1022" s="111">
        <f t="shared" si="810"/>
        <v>1.5</v>
      </c>
      <c r="AH1022" s="262">
        <f t="shared" si="811"/>
        <v>0.41174194966479838</v>
      </c>
      <c r="AI1022" s="100"/>
      <c r="AJ1022" s="111">
        <f t="shared" si="812"/>
        <v>1.4</v>
      </c>
      <c r="AK1022" s="262">
        <f t="shared" si="813"/>
        <v>0.36972351749799826</v>
      </c>
      <c r="AL1022" s="100"/>
      <c r="AM1022" s="111">
        <f t="shared" si="815"/>
        <v>1.3</v>
      </c>
      <c r="AN1022" s="262">
        <f t="shared" si="814"/>
        <v>0.32124071115169034</v>
      </c>
      <c r="AO1022" s="100"/>
      <c r="AP1022" s="24" t="e">
        <f>VLOOKUP(C1022,#REF!,6,FALSE)</f>
        <v>#REF!</v>
      </c>
      <c r="AQ1022" s="24" t="e">
        <f>VLOOKUP(C1022,#REF!,7,FALSE)</f>
        <v>#REF!</v>
      </c>
      <c r="AR1022" s="24" t="e">
        <f>VLOOKUP(C1022,#REF!,12,FALSE)</f>
        <v>#REF!</v>
      </c>
      <c r="AS1022" s="24" t="e">
        <f>VLOOKUP(C1022,#REF!,13,FALSE)</f>
        <v>#REF!</v>
      </c>
      <c r="AT1022" s="100"/>
      <c r="AU1022" s="100"/>
      <c r="AV1022" s="100">
        <v>998</v>
      </c>
      <c r="AW1022" s="100"/>
      <c r="AY1022" s="28">
        <v>13200</v>
      </c>
    </row>
    <row r="1023" spans="1:51" s="2" customFormat="1" ht="12.75" customHeight="1" x14ac:dyDescent="0.2">
      <c r="A1023" s="7" t="s">
        <v>1737</v>
      </c>
      <c r="B1023" s="8">
        <v>9789500210539</v>
      </c>
      <c r="C1023" s="8">
        <v>674456</v>
      </c>
      <c r="D1023" s="25">
        <v>144</v>
      </c>
      <c r="E1023" s="7" t="s">
        <v>327</v>
      </c>
      <c r="F1023" s="116" t="s">
        <v>1738</v>
      </c>
      <c r="G1023" s="107">
        <v>43891</v>
      </c>
      <c r="H1023" s="108">
        <v>45231</v>
      </c>
      <c r="I1023" s="24">
        <v>2024</v>
      </c>
      <c r="J1023" s="28" t="s">
        <v>2136</v>
      </c>
      <c r="K1023" s="9">
        <v>686.69</v>
      </c>
      <c r="L1023" s="28">
        <v>16900</v>
      </c>
      <c r="M1023" s="112">
        <f t="shared" si="796"/>
        <v>1690</v>
      </c>
      <c r="N1023" s="9">
        <f t="shared" si="797"/>
        <v>8450</v>
      </c>
      <c r="O1023" s="9">
        <f t="shared" si="798"/>
        <v>6073.3099999999995</v>
      </c>
      <c r="P1023" s="9">
        <f t="shared" si="799"/>
        <v>2376.69</v>
      </c>
      <c r="Q1023" s="109">
        <f t="shared" si="800"/>
        <v>0.71873491124260347</v>
      </c>
      <c r="R1023" s="345">
        <v>16900</v>
      </c>
      <c r="S1023" s="359" t="s">
        <v>1948</v>
      </c>
      <c r="T1023" s="305">
        <v>0.71873491124260347</v>
      </c>
      <c r="U1023" s="9"/>
      <c r="V1023" s="100"/>
      <c r="W1023" s="110">
        <f t="shared" si="801"/>
        <v>16900</v>
      </c>
      <c r="X1023" s="110">
        <f t="shared" si="802"/>
        <v>686.69</v>
      </c>
      <c r="Y1023" s="110">
        <f t="shared" si="803"/>
        <v>1690</v>
      </c>
      <c r="Z1023" s="110">
        <f t="shared" si="804"/>
        <v>6073.3099999999995</v>
      </c>
      <c r="AA1023" s="260">
        <f t="shared" si="805"/>
        <v>0.71873491124260347</v>
      </c>
      <c r="AB1023" s="28">
        <f t="shared" si="806"/>
        <v>5.6</v>
      </c>
      <c r="AC1023" s="261">
        <f t="shared" si="807"/>
        <v>0.72013918326974702</v>
      </c>
      <c r="AD1023" s="111">
        <f t="shared" si="808"/>
        <v>1.6</v>
      </c>
      <c r="AE1023" s="262">
        <f t="shared" si="809"/>
        <v>2.0487141444114752E-2</v>
      </c>
      <c r="AF1023" s="100"/>
      <c r="AG1023" s="111">
        <f t="shared" si="810"/>
        <v>2.6</v>
      </c>
      <c r="AH1023" s="262">
        <f t="shared" si="811"/>
        <v>0.39722285627330139</v>
      </c>
      <c r="AI1023" s="100"/>
      <c r="AJ1023" s="111">
        <f t="shared" si="812"/>
        <v>2.4</v>
      </c>
      <c r="AK1023" s="262">
        <f t="shared" si="813"/>
        <v>0.34699142762940982</v>
      </c>
      <c r="AL1023" s="100"/>
      <c r="AM1023" s="111">
        <f t="shared" si="815"/>
        <v>2.2000000000000002</v>
      </c>
      <c r="AN1023" s="262">
        <f t="shared" si="814"/>
        <v>0.28762701195935619</v>
      </c>
      <c r="AO1023" s="100"/>
      <c r="AP1023" s="24" t="e">
        <f>VLOOKUP(C1023,#REF!,6,FALSE)</f>
        <v>#REF!</v>
      </c>
      <c r="AQ1023" s="24" t="e">
        <f>VLOOKUP(C1023,#REF!,7,FALSE)</f>
        <v>#REF!</v>
      </c>
      <c r="AR1023" s="24" t="e">
        <f>VLOOKUP(C1023,#REF!,12,FALSE)</f>
        <v>#REF!</v>
      </c>
      <c r="AS1023" s="24" t="e">
        <f>VLOOKUP(C1023,#REF!,13,FALSE)</f>
        <v>#REF!</v>
      </c>
      <c r="AT1023" s="100"/>
      <c r="AU1023" s="100"/>
      <c r="AV1023" s="100">
        <v>999</v>
      </c>
      <c r="AW1023" s="100"/>
      <c r="AY1023" s="28">
        <v>16900</v>
      </c>
    </row>
    <row r="1024" spans="1:51" s="2" customFormat="1" ht="12.75" customHeight="1" thickBot="1" x14ac:dyDescent="0.3">
      <c r="A1024" s="132"/>
      <c r="B1024" s="133"/>
      <c r="C1024" s="133"/>
      <c r="D1024" s="132"/>
      <c r="E1024" s="132"/>
      <c r="F1024" s="132"/>
      <c r="G1024" s="132"/>
      <c r="H1024" s="132"/>
      <c r="I1024" s="132"/>
      <c r="J1024" s="132"/>
      <c r="K1024" s="132"/>
      <c r="L1024" s="134"/>
      <c r="M1024" s="132"/>
      <c r="N1024" s="132"/>
      <c r="O1024" s="132"/>
      <c r="P1024" s="132"/>
      <c r="Q1024" s="132"/>
      <c r="R1024" s="371"/>
      <c r="S1024" s="360"/>
      <c r="T1024" s="307"/>
      <c r="U1024" s="135"/>
      <c r="V1024" s="100"/>
      <c r="W1024"/>
      <c r="X1024"/>
      <c r="Y1024"/>
      <c r="Z1024"/>
      <c r="AA1024"/>
      <c r="AB1024"/>
      <c r="AC1024"/>
      <c r="AD1024" s="263"/>
      <c r="AE1024"/>
      <c r="AF1024" s="100"/>
      <c r="AG1024" s="263"/>
      <c r="AH1024"/>
      <c r="AI1024" s="100"/>
      <c r="AJ1024" s="263"/>
      <c r="AK1024"/>
      <c r="AL1024" s="100"/>
      <c r="AM1024" s="263"/>
      <c r="AN1024"/>
      <c r="AO1024" s="100"/>
      <c r="AP1024" s="100"/>
      <c r="AQ1024" s="100"/>
      <c r="AR1024" s="100"/>
      <c r="AS1024" s="100"/>
      <c r="AT1024" s="100"/>
      <c r="AU1024" s="100"/>
      <c r="AV1024" s="100">
        <v>1000</v>
      </c>
      <c r="AW1024" s="100"/>
      <c r="AY1024" s="134"/>
    </row>
    <row r="1025" spans="1:51" s="132" customFormat="1" ht="12.75" customHeight="1" x14ac:dyDescent="0.25">
      <c r="B1025" s="133"/>
      <c r="C1025" s="133"/>
      <c r="E1025" s="155" t="s">
        <v>594</v>
      </c>
      <c r="F1025" s="156"/>
      <c r="L1025" s="134"/>
      <c r="R1025" s="371"/>
      <c r="S1025" s="360"/>
      <c r="T1025" s="307"/>
      <c r="U1025" s="135"/>
      <c r="V1025" s="100"/>
      <c r="W1025"/>
      <c r="X1025"/>
      <c r="Y1025"/>
      <c r="Z1025"/>
      <c r="AA1025"/>
      <c r="AB1025"/>
      <c r="AC1025"/>
      <c r="AD1025" s="263"/>
      <c r="AE1025"/>
      <c r="AF1025" s="100"/>
      <c r="AG1025" s="263"/>
      <c r="AH1025"/>
      <c r="AI1025" s="100"/>
      <c r="AJ1025" s="263"/>
      <c r="AK1025"/>
      <c r="AL1025" s="100"/>
      <c r="AM1025" s="263"/>
      <c r="AN1025"/>
      <c r="AO1025" s="100"/>
      <c r="AP1025" s="100"/>
      <c r="AQ1025" s="100"/>
      <c r="AR1025" s="100"/>
      <c r="AS1025" s="100"/>
      <c r="AT1025" s="100"/>
      <c r="AU1025" s="100"/>
      <c r="AV1025" s="100">
        <v>1001</v>
      </c>
      <c r="AW1025" s="100"/>
      <c r="AY1025" s="134"/>
    </row>
    <row r="1026" spans="1:51" s="132" customFormat="1" ht="12.75" customHeight="1" x14ac:dyDescent="0.2">
      <c r="A1026" s="6" t="s">
        <v>2008</v>
      </c>
      <c r="B1026" s="8">
        <v>9789500215770</v>
      </c>
      <c r="C1026" s="6">
        <v>728160</v>
      </c>
      <c r="D1026" s="41">
        <v>384</v>
      </c>
      <c r="E1026" s="6" t="s">
        <v>329</v>
      </c>
      <c r="F1026" s="6" t="s">
        <v>2009</v>
      </c>
      <c r="G1026" s="107">
        <v>45717</v>
      </c>
      <c r="H1026" s="107">
        <v>46235</v>
      </c>
      <c r="I1026" s="293">
        <v>10152</v>
      </c>
      <c r="J1026" s="6" t="s">
        <v>1762</v>
      </c>
      <c r="K1026" s="148">
        <v>1352.89</v>
      </c>
      <c r="L1026" s="295">
        <v>13900</v>
      </c>
      <c r="M1026" s="9"/>
      <c r="N1026" s="9">
        <f>+L1026/2</f>
        <v>6950</v>
      </c>
      <c r="O1026" s="9">
        <f>+N1026-M1026-K1026</f>
        <v>5597.11</v>
      </c>
      <c r="P1026" s="9">
        <f>+M1026+K1026</f>
        <v>1352.89</v>
      </c>
      <c r="Q1026" s="109">
        <f>+O1026/N1026</f>
        <v>0.80533956834532372</v>
      </c>
      <c r="R1026" s="345">
        <v>13900</v>
      </c>
      <c r="S1026" s="359" t="s">
        <v>1948</v>
      </c>
      <c r="T1026" s="305">
        <v>0.82562446043165472</v>
      </c>
      <c r="U1026" s="117"/>
      <c r="V1026" s="100"/>
      <c r="W1026" s="110">
        <f>+L1026</f>
        <v>13900</v>
      </c>
      <c r="X1026" s="110">
        <f>+K1026</f>
        <v>1352.89</v>
      </c>
      <c r="Y1026" s="110">
        <f>+M1026</f>
        <v>0</v>
      </c>
      <c r="Z1026" s="110">
        <f>+W1026/2-X1026-Y1026</f>
        <v>5597.11</v>
      </c>
      <c r="AA1026" s="260">
        <f>+Z1026/(W1026/2)</f>
        <v>0.80533956834532372</v>
      </c>
      <c r="AB1026" s="28">
        <f>ROUND($W1026/2/$X$1,1)</f>
        <v>4.5999999999999996</v>
      </c>
      <c r="AC1026" s="261">
        <f>+(AB1026*$X$1-$X1026-$Y1026)/(AB1026*$X$1)</f>
        <v>0.80606230020499137</v>
      </c>
      <c r="AD1026" s="111">
        <f>+IFERROR(ROUND(($X1026+$Y1026)/(1-$X$2)/$X$1,1),0)</f>
        <v>0.9</v>
      </c>
      <c r="AE1026" s="262">
        <f>+(AD1026*$X$1-$X1026-$Y1026)/(AD1026*$X$1)</f>
        <v>8.7628677144008758E-3</v>
      </c>
      <c r="AF1026" s="100"/>
      <c r="AG1026" s="111">
        <f>+IFERROR(ROUND(($X1026+$Y1026)/(1-$AG$2)/$X$1,1),0)</f>
        <v>1.5</v>
      </c>
      <c r="AH1026" s="262">
        <f>+(AG1026*$X$1-$X1026-$Y1026)/(AG1026*$X$1)</f>
        <v>0.40525772062864046</v>
      </c>
      <c r="AI1026" s="100"/>
      <c r="AJ1026" s="111">
        <f>+IFERROR(ROUND(($X1026+$Y1026)/(1-$AJ$2)/$X$1,1),0)</f>
        <v>1.4</v>
      </c>
      <c r="AK1026" s="262">
        <f>+(AJ1026*$X$1-$X1026-$Y1026)/(AJ1026*$X$1)</f>
        <v>0.36277612924497188</v>
      </c>
      <c r="AL1026" s="100"/>
      <c r="AM1026" s="111">
        <f>+IFERROR(ROUND(($X1026+$Y1026)/(1-$AM$2)/$X$1,1),0)</f>
        <v>1.3</v>
      </c>
      <c r="AN1026" s="262">
        <f>+(AM1026*$X$1-$X1026-$Y1026)/(AM1026*$X$1)</f>
        <v>0.31375890841766207</v>
      </c>
      <c r="AO1026" s="100"/>
      <c r="AP1026" s="24" t="e">
        <f>VLOOKUP(C1026,#REF!,6,FALSE)</f>
        <v>#REF!</v>
      </c>
      <c r="AQ1026" s="24" t="e">
        <f>VLOOKUP(C1026,#REF!,7,FALSE)</f>
        <v>#REF!</v>
      </c>
      <c r="AR1026" s="24" t="e">
        <f>VLOOKUP(C1026,#REF!,12,FALSE)</f>
        <v>#REF!</v>
      </c>
      <c r="AS1026" s="24" t="e">
        <f>VLOOKUP(C1026,#REF!,13,FALSE)</f>
        <v>#REF!</v>
      </c>
      <c r="AT1026" s="100"/>
      <c r="AU1026" s="100"/>
      <c r="AV1026" s="100">
        <v>1002</v>
      </c>
      <c r="AW1026" s="100"/>
      <c r="AY1026" s="295">
        <v>13900</v>
      </c>
    </row>
    <row r="1027" spans="1:51" s="132" customFormat="1" ht="12.75" customHeight="1" x14ac:dyDescent="0.2">
      <c r="A1027" s="7" t="s">
        <v>894</v>
      </c>
      <c r="B1027" s="8">
        <v>9789500210409</v>
      </c>
      <c r="C1027" s="8">
        <v>673649</v>
      </c>
      <c r="D1027" s="25">
        <v>368</v>
      </c>
      <c r="E1027" s="8" t="s">
        <v>329</v>
      </c>
      <c r="F1027" s="7" t="s">
        <v>602</v>
      </c>
      <c r="G1027" s="118">
        <v>43862</v>
      </c>
      <c r="H1027" s="108">
        <v>45292</v>
      </c>
      <c r="I1027" s="7">
        <v>15130</v>
      </c>
      <c r="J1027" s="7" t="s">
        <v>1894</v>
      </c>
      <c r="K1027" s="117">
        <v>157.11000000000001</v>
      </c>
      <c r="L1027" s="9">
        <v>8300</v>
      </c>
      <c r="M1027" s="9"/>
      <c r="N1027" s="9">
        <f>+L1027/2</f>
        <v>4150</v>
      </c>
      <c r="O1027" s="9">
        <f>+N1027-M1027-K1027</f>
        <v>3992.89</v>
      </c>
      <c r="P1027" s="9">
        <f>+M1027+K1027</f>
        <v>157.11000000000001</v>
      </c>
      <c r="Q1027" s="109">
        <f>+O1027/N1027</f>
        <v>0.96214216867469882</v>
      </c>
      <c r="R1027" s="345">
        <v>8300</v>
      </c>
      <c r="S1027" s="359" t="s">
        <v>1948</v>
      </c>
      <c r="T1027" s="305">
        <v>0.96214216867469882</v>
      </c>
      <c r="U1027" s="117"/>
      <c r="V1027" s="100"/>
      <c r="W1027" s="110">
        <f>+L1027</f>
        <v>8300</v>
      </c>
      <c r="X1027" s="110">
        <f>+K1027</f>
        <v>157.11000000000001</v>
      </c>
      <c r="Y1027" s="110">
        <f>+M1027</f>
        <v>0</v>
      </c>
      <c r="Z1027" s="110">
        <f>+W1027/2-X1027-Y1027</f>
        <v>3992.89</v>
      </c>
      <c r="AA1027" s="260">
        <f>+Z1027/(W1027/2)</f>
        <v>0.96214216867469882</v>
      </c>
      <c r="AB1027" s="28">
        <f>ROUND($W1027/2/$X$1,1)</f>
        <v>2.7</v>
      </c>
      <c r="AC1027" s="261">
        <f>+(AB1027*$X$1-$X1027-$Y1027)/(AB1027*$X$1)</f>
        <v>0.96162948309338014</v>
      </c>
      <c r="AD1027" s="111">
        <f>+IFERROR(ROUND(($X1027+$Y1027)/(1-$X$2)/$X$1,1),0)</f>
        <v>0.1</v>
      </c>
      <c r="AE1027" s="262">
        <f>+(AD1027*$X$1-$X1027-$Y1027)/(AD1027*$X$1)</f>
        <v>-3.600395647873398E-2</v>
      </c>
      <c r="AF1027" s="100"/>
      <c r="AG1027" s="111">
        <f>+IFERROR(ROUND(($X1027+$Y1027)/(1-$AG$2)/$X$1,1),0)</f>
        <v>0.2</v>
      </c>
      <c r="AH1027" s="262">
        <f>+(AG1027*$X$1-$X1027-$Y1027)/(AG1027*$X$1)</f>
        <v>0.481998021760633</v>
      </c>
      <c r="AI1027" s="100"/>
      <c r="AJ1027" s="111">
        <f>+IFERROR(ROUND(($X1027+$Y1027)/(1-$AJ$2)/$X$1,1),0)</f>
        <v>0.2</v>
      </c>
      <c r="AK1027" s="262">
        <f>+(AJ1027*$X$1-$X1027-$Y1027)/(AJ1027*$X$1)</f>
        <v>0.481998021760633</v>
      </c>
      <c r="AL1027" s="100"/>
      <c r="AM1027" s="111">
        <f>+IFERROR(ROUND(($X1027+$Y1027)/(1-$AM$2)/$X$1,1),0)</f>
        <v>0.1</v>
      </c>
      <c r="AN1027" s="262">
        <f>+(AM1027*$X$1-$X1027-$Y1027)/(AM1027*$X$1)</f>
        <v>-3.600395647873398E-2</v>
      </c>
      <c r="AO1027" s="100"/>
      <c r="AP1027" s="24" t="e">
        <f>VLOOKUP(C1027,#REF!,6,FALSE)</f>
        <v>#REF!</v>
      </c>
      <c r="AQ1027" s="24" t="e">
        <f>VLOOKUP(C1027,#REF!,7,FALSE)</f>
        <v>#REF!</v>
      </c>
      <c r="AR1027" s="24" t="e">
        <f>VLOOKUP(C1027,#REF!,12,FALSE)</f>
        <v>#REF!</v>
      </c>
      <c r="AS1027" s="24" t="e">
        <f>VLOOKUP(C1027,#REF!,13,FALSE)</f>
        <v>#REF!</v>
      </c>
      <c r="AT1027" s="100"/>
      <c r="AU1027" s="100"/>
      <c r="AV1027" s="100">
        <v>1003</v>
      </c>
      <c r="AW1027" s="100"/>
      <c r="AY1027" s="9">
        <v>8300</v>
      </c>
    </row>
    <row r="1028" spans="1:51" s="2" customFormat="1" ht="12.75" customHeight="1" x14ac:dyDescent="0.2">
      <c r="A1028" s="7" t="s">
        <v>1739</v>
      </c>
      <c r="B1028" s="8">
        <v>9789500253390</v>
      </c>
      <c r="C1028" s="8">
        <v>392614</v>
      </c>
      <c r="D1028" s="25">
        <v>642</v>
      </c>
      <c r="E1028" s="7" t="s">
        <v>329</v>
      </c>
      <c r="F1028" s="7" t="s">
        <v>2436</v>
      </c>
      <c r="G1028" s="107">
        <v>38292</v>
      </c>
      <c r="H1028" s="107">
        <v>46235</v>
      </c>
      <c r="I1028" s="7">
        <v>3027</v>
      </c>
      <c r="J1028" s="7" t="s">
        <v>1762</v>
      </c>
      <c r="K1028" s="148">
        <v>2746.18</v>
      </c>
      <c r="L1028" s="9">
        <v>13900</v>
      </c>
      <c r="M1028" s="112"/>
      <c r="N1028" s="9">
        <f>+L1028/2</f>
        <v>6950</v>
      </c>
      <c r="O1028" s="9">
        <f>+N1028-M1028-K1028</f>
        <v>4203.82</v>
      </c>
      <c r="P1028" s="9">
        <f>+M1028+K1028</f>
        <v>2746.18</v>
      </c>
      <c r="Q1028" s="109">
        <f>+O1028/N1028</f>
        <v>0.60486618705035966</v>
      </c>
      <c r="R1028" s="345">
        <v>13900</v>
      </c>
      <c r="S1028" s="359" t="s">
        <v>1948</v>
      </c>
      <c r="T1028" s="305">
        <v>0.68920143884892082</v>
      </c>
      <c r="U1028" s="117"/>
      <c r="V1028" s="100"/>
      <c r="W1028" s="110">
        <f>+L1028</f>
        <v>13900</v>
      </c>
      <c r="X1028" s="110">
        <f>+K1028</f>
        <v>2746.18</v>
      </c>
      <c r="Y1028" s="110">
        <f>+M1028</f>
        <v>0</v>
      </c>
      <c r="Z1028" s="110">
        <f>+W1028/2-X1028-Y1028</f>
        <v>4203.82</v>
      </c>
      <c r="AA1028" s="260">
        <f>+Z1028/(W1028/2)</f>
        <v>0.60486618705035966</v>
      </c>
      <c r="AB1028" s="28">
        <f>ROUND($W1028/2/$X$1,1)</f>
        <v>4.5999999999999996</v>
      </c>
      <c r="AC1028" s="261">
        <f>+(AB1028*$X$1-$X1028-$Y1028)/(AB1028*$X$1)</f>
        <v>0.60633323298785813</v>
      </c>
      <c r="AD1028" s="111">
        <f>+IFERROR(ROUND(($X1028+$Y1028)/(1-$X$2)/$X$1,1),0)</f>
        <v>1.9</v>
      </c>
      <c r="AE1028" s="262">
        <f>+(AD1028*$X$1-$X1028-$Y1028)/(AD1028*$X$1)</f>
        <v>4.6912037760077768E-2</v>
      </c>
      <c r="AF1028" s="100"/>
      <c r="AG1028" s="111">
        <f>+IFERROR(ROUND(($X1028+$Y1028)/(1-$AG$2)/$X$1,1),0)</f>
        <v>3</v>
      </c>
      <c r="AH1028" s="262">
        <f>+(AG1028*$X$1-$X1028-$Y1028)/(AG1028*$X$1)</f>
        <v>0.39637762391471593</v>
      </c>
      <c r="AI1028" s="100"/>
      <c r="AJ1028" s="111">
        <f>+IFERROR(ROUND(($X1028+$Y1028)/(1-$AJ$2)/$X$1,1),0)</f>
        <v>2.8</v>
      </c>
      <c r="AK1028" s="262">
        <f>+(AJ1028*$X$1-$X1028-$Y1028)/(AJ1028*$X$1)</f>
        <v>0.35326173990862419</v>
      </c>
      <c r="AL1028" s="100"/>
      <c r="AM1028" s="111">
        <f>+IFERROR(ROUND(($X1028+$Y1028)/(1-$AM$2)/$X$1,1),0)</f>
        <v>2.6</v>
      </c>
      <c r="AN1028" s="262">
        <f>+(AM1028*$X$1-$X1028-$Y1028)/(AM1028*$X$1)</f>
        <v>0.30351264297851843</v>
      </c>
      <c r="AO1028" s="100"/>
      <c r="AP1028" s="24" t="e">
        <f>VLOOKUP(C1028,#REF!,6,FALSE)</f>
        <v>#REF!</v>
      </c>
      <c r="AQ1028" s="24" t="e">
        <f>VLOOKUP(C1028,#REF!,7,FALSE)</f>
        <v>#REF!</v>
      </c>
      <c r="AR1028" s="24" t="e">
        <f>VLOOKUP(C1028,#REF!,12,FALSE)</f>
        <v>#REF!</v>
      </c>
      <c r="AS1028" s="24" t="e">
        <f>VLOOKUP(C1028,#REF!,13,FALSE)</f>
        <v>#REF!</v>
      </c>
      <c r="AT1028" s="100"/>
      <c r="AU1028" s="100"/>
      <c r="AV1028" s="100">
        <v>1004</v>
      </c>
      <c r="AW1028" s="100"/>
      <c r="AY1028" s="9">
        <v>13900</v>
      </c>
    </row>
    <row r="1029" spans="1:51" s="2" customFormat="1" ht="12.75" customHeight="1" x14ac:dyDescent="0.2">
      <c r="A1029" s="7" t="s">
        <v>1740</v>
      </c>
      <c r="B1029" s="8">
        <v>9789500253383</v>
      </c>
      <c r="C1029" s="8">
        <v>392615</v>
      </c>
      <c r="D1029" s="25">
        <v>448</v>
      </c>
      <c r="E1029" s="7" t="s">
        <v>329</v>
      </c>
      <c r="F1029" s="7" t="s">
        <v>1741</v>
      </c>
      <c r="G1029" s="107">
        <v>38292</v>
      </c>
      <c r="H1029" s="108">
        <v>44866</v>
      </c>
      <c r="I1029" s="7">
        <v>1876</v>
      </c>
      <c r="J1029" s="7" t="s">
        <v>1333</v>
      </c>
      <c r="K1029" s="117">
        <v>358.95</v>
      </c>
      <c r="L1029" s="9">
        <v>9200</v>
      </c>
      <c r="M1029" s="112"/>
      <c r="N1029" s="9">
        <f>+L1029/2</f>
        <v>4600</v>
      </c>
      <c r="O1029" s="9">
        <f>+N1029-M1029-K1029</f>
        <v>4241.05</v>
      </c>
      <c r="P1029" s="9">
        <f>+M1029+K1029</f>
        <v>358.95</v>
      </c>
      <c r="Q1029" s="109">
        <f>+O1029/N1029</f>
        <v>0.92196739130434791</v>
      </c>
      <c r="R1029" s="345">
        <v>9200</v>
      </c>
      <c r="S1029" s="359" t="s">
        <v>1948</v>
      </c>
      <c r="T1029" s="305">
        <v>0.92196739130434791</v>
      </c>
      <c r="U1029" s="117"/>
      <c r="V1029" s="100"/>
      <c r="W1029" s="110">
        <f>+L1029</f>
        <v>9200</v>
      </c>
      <c r="X1029" s="110">
        <f>+K1029</f>
        <v>358.95</v>
      </c>
      <c r="Y1029" s="110">
        <f>+M1029</f>
        <v>0</v>
      </c>
      <c r="Z1029" s="110">
        <f>+W1029/2-X1029-Y1029</f>
        <v>4241.05</v>
      </c>
      <c r="AA1029" s="260">
        <f>+Z1029/(W1029/2)</f>
        <v>0.92196739130434791</v>
      </c>
      <c r="AB1029" s="28">
        <f>ROUND($W1029/2/$X$1,1)</f>
        <v>3</v>
      </c>
      <c r="AC1029" s="261">
        <f>+(AB1029*$X$1-$X1029-$Y1029)/(AB1029*$X$1)</f>
        <v>0.92110121991427629</v>
      </c>
      <c r="AD1029" s="111">
        <f>+IFERROR(ROUND(($X1029+$Y1029)/(1-$X$2)/$X$1,1),0)</f>
        <v>0.2</v>
      </c>
      <c r="AE1029" s="262">
        <f>+(AD1029*$X$1-$X1029-$Y1029)/(AD1029*$X$1)</f>
        <v>-0.1834817012858555</v>
      </c>
      <c r="AF1029" s="100"/>
      <c r="AG1029" s="111">
        <f>+IFERROR(ROUND(($X1029+$Y1029)/(1-$AG$2)/$X$1,1),0)</f>
        <v>0.4</v>
      </c>
      <c r="AH1029" s="262">
        <f>+(AG1029*$X$1-$X1029-$Y1029)/(AG1029*$X$1)</f>
        <v>0.40825914935707225</v>
      </c>
      <c r="AI1029" s="100"/>
      <c r="AJ1029" s="111">
        <f>+IFERROR(ROUND(($X1029+$Y1029)/(1-$AJ$2)/$X$1,1),0)</f>
        <v>0.4</v>
      </c>
      <c r="AK1029" s="262">
        <f>+(AJ1029*$X$1-$X1029-$Y1029)/(AJ1029*$X$1)</f>
        <v>0.40825914935707225</v>
      </c>
      <c r="AL1029" s="100"/>
      <c r="AM1029" s="111">
        <f>+IFERROR(ROUND(($X1029+$Y1029)/(1-$AM$2)/$X$1,1),0)</f>
        <v>0.3</v>
      </c>
      <c r="AN1029" s="262">
        <f>+(AM1029*$X$1-$X1029-$Y1029)/(AM1029*$X$1)</f>
        <v>0.21101219914276295</v>
      </c>
      <c r="AO1029" s="100"/>
      <c r="AP1029" s="24" t="e">
        <f>VLOOKUP(C1029,#REF!,6,FALSE)</f>
        <v>#REF!</v>
      </c>
      <c r="AQ1029" s="24" t="e">
        <f>VLOOKUP(C1029,#REF!,7,FALSE)</f>
        <v>#REF!</v>
      </c>
      <c r="AR1029" s="24" t="e">
        <f>VLOOKUP(C1029,#REF!,12,FALSE)</f>
        <v>#REF!</v>
      </c>
      <c r="AS1029" s="24" t="e">
        <f>VLOOKUP(C1029,#REF!,13,FALSE)</f>
        <v>#REF!</v>
      </c>
      <c r="AT1029" s="100"/>
      <c r="AU1029" s="100"/>
      <c r="AV1029" s="100">
        <v>1005</v>
      </c>
      <c r="AW1029" s="100"/>
      <c r="AY1029" s="9">
        <v>9200</v>
      </c>
    </row>
    <row r="1030" spans="1:51" s="2" customFormat="1" ht="12.75" customHeight="1" thickBot="1" x14ac:dyDescent="0.3">
      <c r="A1030" s="68"/>
      <c r="B1030" s="333"/>
      <c r="C1030" s="333"/>
      <c r="D1030" s="68"/>
      <c r="E1030" s="68"/>
      <c r="F1030" s="68"/>
      <c r="G1030" s="132"/>
      <c r="H1030" s="132"/>
      <c r="I1030" s="132"/>
      <c r="J1030" s="132"/>
      <c r="K1030" s="132"/>
      <c r="L1030" s="197"/>
      <c r="M1030" s="132"/>
      <c r="N1030" s="132"/>
      <c r="O1030" s="132"/>
      <c r="P1030" s="132"/>
      <c r="Q1030" s="114"/>
      <c r="R1030" s="356"/>
      <c r="S1030" s="360"/>
      <c r="T1030" s="307"/>
      <c r="U1030" s="135"/>
      <c r="V1030" s="100"/>
      <c r="W1030"/>
      <c r="X1030"/>
      <c r="Y1030"/>
      <c r="Z1030"/>
      <c r="AA1030"/>
      <c r="AB1030"/>
      <c r="AC1030"/>
      <c r="AD1030" s="263"/>
      <c r="AE1030"/>
      <c r="AF1030" s="100"/>
      <c r="AG1030" s="263"/>
      <c r="AH1030"/>
      <c r="AI1030" s="100"/>
      <c r="AJ1030" s="263"/>
      <c r="AK1030"/>
      <c r="AL1030" s="100"/>
      <c r="AM1030" s="263"/>
      <c r="AN1030"/>
      <c r="AO1030" s="100"/>
      <c r="AP1030" s="100"/>
      <c r="AQ1030" s="100"/>
      <c r="AR1030" s="100"/>
      <c r="AS1030" s="100"/>
      <c r="AT1030" s="100"/>
      <c r="AU1030" s="100"/>
      <c r="AV1030" s="100">
        <v>1006</v>
      </c>
      <c r="AW1030" s="100"/>
      <c r="AY1030" s="197"/>
    </row>
    <row r="1031" spans="1:51" s="68" customFormat="1" ht="12.75" customHeight="1" x14ac:dyDescent="0.25">
      <c r="A1031" s="39" t="s">
        <v>1742</v>
      </c>
      <c r="B1031" s="133"/>
      <c r="C1031" s="133"/>
      <c r="D1031" s="132"/>
      <c r="E1031" s="155" t="s">
        <v>672</v>
      </c>
      <c r="F1031" s="156"/>
      <c r="G1031" s="132"/>
      <c r="H1031" s="132"/>
      <c r="I1031" s="132"/>
      <c r="J1031" s="132"/>
      <c r="K1031" s="132"/>
      <c r="L1031" s="134"/>
      <c r="M1031" s="132"/>
      <c r="N1031" s="132"/>
      <c r="O1031" s="132"/>
      <c r="P1031" s="132"/>
      <c r="Q1031" s="114"/>
      <c r="R1031" s="356"/>
      <c r="S1031" s="360"/>
      <c r="T1031" s="307"/>
      <c r="U1031" s="135"/>
      <c r="V1031" s="100"/>
      <c r="W1031"/>
      <c r="X1031"/>
      <c r="Y1031"/>
      <c r="Z1031"/>
      <c r="AA1031"/>
      <c r="AB1031"/>
      <c r="AC1031"/>
      <c r="AD1031" s="263"/>
      <c r="AE1031"/>
      <c r="AF1031" s="100"/>
      <c r="AG1031" s="263"/>
      <c r="AH1031"/>
      <c r="AI1031" s="100"/>
      <c r="AJ1031" s="263"/>
      <c r="AK1031"/>
      <c r="AL1031" s="100"/>
      <c r="AM1031" s="263"/>
      <c r="AN1031"/>
      <c r="AO1031" s="100"/>
      <c r="AP1031" s="100"/>
      <c r="AQ1031" s="100"/>
      <c r="AR1031" s="100"/>
      <c r="AS1031" s="100"/>
      <c r="AT1031" s="100"/>
      <c r="AU1031" s="100"/>
      <c r="AV1031" s="100">
        <v>1007</v>
      </c>
      <c r="AW1031" s="100"/>
      <c r="AY1031" s="134"/>
    </row>
    <row r="1032" spans="1:51" s="132" customFormat="1" ht="12.75" customHeight="1" x14ac:dyDescent="0.2">
      <c r="A1032" s="6" t="s">
        <v>2104</v>
      </c>
      <c r="B1032" s="279">
        <v>9789500216531</v>
      </c>
      <c r="C1032" s="6">
        <v>732725</v>
      </c>
      <c r="D1032" s="41">
        <v>524</v>
      </c>
      <c r="E1032" s="6" t="s">
        <v>2105</v>
      </c>
      <c r="F1032" s="6" t="s">
        <v>2106</v>
      </c>
      <c r="G1032" s="107">
        <v>45870</v>
      </c>
      <c r="H1032" s="108">
        <v>45839</v>
      </c>
      <c r="I1032" s="317">
        <v>2000</v>
      </c>
      <c r="J1032" s="176" t="s">
        <v>2219</v>
      </c>
      <c r="K1032" s="292">
        <v>28170</v>
      </c>
      <c r="L1032" s="9">
        <v>96900</v>
      </c>
      <c r="M1032" s="112">
        <f>+L1032*0.3</f>
        <v>29070</v>
      </c>
      <c r="N1032" s="9">
        <f t="shared" ref="N1032:N1040" si="816">+L1032/2</f>
        <v>48450</v>
      </c>
      <c r="O1032" s="9">
        <f t="shared" ref="O1032:O1040" si="817">+N1032-M1032-K1032</f>
        <v>-8790</v>
      </c>
      <c r="P1032" s="9">
        <f t="shared" ref="P1032:P1040" si="818">+M1032+K1032</f>
        <v>57240</v>
      </c>
      <c r="Q1032" s="109">
        <f t="shared" ref="Q1032:Q1040" si="819">+O1032/N1032</f>
        <v>-0.18142414860681114</v>
      </c>
      <c r="R1032" s="335">
        <v>96900</v>
      </c>
      <c r="S1032" s="359" t="s">
        <v>1948</v>
      </c>
      <c r="T1032" s="305">
        <v>-0.18142414860681114</v>
      </c>
      <c r="U1032" s="164" t="s">
        <v>1744</v>
      </c>
      <c r="V1032" s="100"/>
      <c r="W1032" s="110">
        <f t="shared" ref="W1032:W1040" si="820">+L1032</f>
        <v>96900</v>
      </c>
      <c r="X1032" s="110">
        <f t="shared" ref="X1032:X1040" si="821">+K1032</f>
        <v>28170</v>
      </c>
      <c r="Y1032" s="110">
        <f t="shared" ref="Y1032:Y1040" si="822">+M1032</f>
        <v>29070</v>
      </c>
      <c r="Z1032" s="110">
        <f t="shared" ref="Z1032:Z1040" si="823">+W1032/2-X1032-Y1032</f>
        <v>-8790</v>
      </c>
      <c r="AA1032" s="260">
        <f t="shared" ref="AA1032:AA1040" si="824">+Z1032/(W1032/2)</f>
        <v>-0.18142414860681114</v>
      </c>
      <c r="AB1032" s="28">
        <f t="shared" ref="AB1032:AB1040" si="825">ROUND($W1032/2/$X$1,1)</f>
        <v>31.9</v>
      </c>
      <c r="AC1032" s="261">
        <f t="shared" ref="AC1032:AC1040" si="826">+(AB1032*$X$1-$X1032-$Y1032)/(AB1032*$X$1)</f>
        <v>-0.18322279378249912</v>
      </c>
      <c r="AD1032" s="111">
        <f t="shared" ref="AD1032:AD1040" si="827">+IFERROR(ROUND(($X1032+$Y1032)/(1-$X$2)/$X$1,1),0)</f>
        <v>39.700000000000003</v>
      </c>
      <c r="AE1032" s="262">
        <f t="shared" ref="AE1032:AE1040" si="828">+(AD1032*$X$1-$X1032-$Y1032)/(AD1032*$X$1)</f>
        <v>4.9249190890133014E-2</v>
      </c>
      <c r="AF1032" s="100"/>
      <c r="AG1032" s="111">
        <f t="shared" ref="AG1032:AG1040" si="829">+IFERROR(ROUND(($X1032+$Y1032)/(1-$AG$2)/$X$1,1),0)</f>
        <v>62.9</v>
      </c>
      <c r="AH1032" s="262">
        <f t="shared" ref="AH1032:AH1040" si="830">+(AG1032*$X$1-$X1032-$Y1032)/(AG1032*$X$1)</f>
        <v>0.39992357517230964</v>
      </c>
      <c r="AI1032" s="100"/>
      <c r="AJ1032" s="111">
        <f t="shared" ref="AJ1032:AJ1040" si="831">+IFERROR(ROUND(($X1032+$Y1032)/(1-$AJ$2)/$X$1,1),0)</f>
        <v>58.1</v>
      </c>
      <c r="AK1032" s="262">
        <f t="shared" ref="AK1032:AK1040" si="832">+(AJ1032*$X$1-$X1032-$Y1032)/(AJ1032*$X$1)</f>
        <v>0.35034755384403238</v>
      </c>
      <c r="AL1032" s="100"/>
      <c r="AM1032" s="111">
        <f t="shared" ref="AM1032:AM1040" si="833">+IFERROR(ROUND(($X1032+$Y1032)/(1-$AM$2)/$X$1,1),0)</f>
        <v>53.9</v>
      </c>
      <c r="AN1032" s="262">
        <f t="shared" ref="AN1032:AN1040" si="834">+(AM1032*$X$1-$X1032-$Y1032)/(AM1032*$X$1)</f>
        <v>0.29972528531239845</v>
      </c>
      <c r="AO1032" s="100"/>
      <c r="AP1032" s="24" t="e">
        <f>VLOOKUP(C1032,#REF!,6,FALSE)</f>
        <v>#REF!</v>
      </c>
      <c r="AQ1032" s="24" t="e">
        <f>VLOOKUP(C1032,#REF!,7,FALSE)</f>
        <v>#REF!</v>
      </c>
      <c r="AR1032" s="24" t="e">
        <f>VLOOKUP(C1032,#REF!,12,FALSE)</f>
        <v>#REF!</v>
      </c>
      <c r="AS1032" s="24" t="e">
        <f>VLOOKUP(C1032,#REF!,13,FALSE)</f>
        <v>#REF!</v>
      </c>
      <c r="AT1032" s="100"/>
      <c r="AU1032" s="100"/>
      <c r="AV1032" s="100">
        <v>1008</v>
      </c>
      <c r="AW1032" s="100"/>
      <c r="AY1032" s="9">
        <v>96900</v>
      </c>
    </row>
    <row r="1033" spans="1:51" s="132" customFormat="1" ht="12.75" customHeight="1" x14ac:dyDescent="0.2">
      <c r="A1033" s="7" t="s">
        <v>1743</v>
      </c>
      <c r="B1033" s="8">
        <v>9789500210720</v>
      </c>
      <c r="C1033" s="8">
        <v>676168</v>
      </c>
      <c r="D1033" s="25">
        <v>296</v>
      </c>
      <c r="E1033" s="7" t="s">
        <v>489</v>
      </c>
      <c r="F1033" s="7" t="s">
        <v>490</v>
      </c>
      <c r="G1033" s="107">
        <v>43983</v>
      </c>
      <c r="H1033" s="107">
        <v>44440</v>
      </c>
      <c r="I1033" s="7">
        <v>3030</v>
      </c>
      <c r="J1033" s="28" t="s">
        <v>1762</v>
      </c>
      <c r="K1033" s="28"/>
      <c r="L1033" s="112">
        <v>25000</v>
      </c>
      <c r="M1033" s="112">
        <f>+L1033*0.3</f>
        <v>7500</v>
      </c>
      <c r="N1033" s="9">
        <f t="shared" si="816"/>
        <v>12500</v>
      </c>
      <c r="O1033" s="9">
        <f t="shared" si="817"/>
        <v>5000</v>
      </c>
      <c r="P1033" s="9">
        <f t="shared" si="818"/>
        <v>7500</v>
      </c>
      <c r="Q1033" s="109">
        <f t="shared" si="819"/>
        <v>0.4</v>
      </c>
      <c r="R1033" s="335">
        <v>25000</v>
      </c>
      <c r="S1033" s="359" t="s">
        <v>1948</v>
      </c>
      <c r="T1033" s="305">
        <v>0.4</v>
      </c>
      <c r="U1033" s="164" t="s">
        <v>1744</v>
      </c>
      <c r="V1033" s="100"/>
      <c r="W1033" s="110">
        <f t="shared" si="820"/>
        <v>25000</v>
      </c>
      <c r="X1033" s="110">
        <f t="shared" si="821"/>
        <v>0</v>
      </c>
      <c r="Y1033" s="110">
        <f t="shared" si="822"/>
        <v>7500</v>
      </c>
      <c r="Z1033" s="110">
        <f t="shared" si="823"/>
        <v>5000</v>
      </c>
      <c r="AA1033" s="260">
        <f t="shared" si="824"/>
        <v>0.4</v>
      </c>
      <c r="AB1033" s="28">
        <f t="shared" si="825"/>
        <v>8.1999999999999993</v>
      </c>
      <c r="AC1033" s="261">
        <f t="shared" si="826"/>
        <v>0.39687824177945041</v>
      </c>
      <c r="AD1033" s="111">
        <f t="shared" si="827"/>
        <v>5.2</v>
      </c>
      <c r="AE1033" s="262">
        <f t="shared" si="828"/>
        <v>4.8923381267594941E-2</v>
      </c>
      <c r="AF1033" s="100"/>
      <c r="AG1033" s="111">
        <f t="shared" si="829"/>
        <v>8.1999999999999993</v>
      </c>
      <c r="AH1033" s="262">
        <f t="shared" si="830"/>
        <v>0.39687824177945041</v>
      </c>
      <c r="AI1033" s="100"/>
      <c r="AJ1033" s="111">
        <f t="shared" si="831"/>
        <v>7.6</v>
      </c>
      <c r="AK1033" s="262">
        <f t="shared" si="832"/>
        <v>0.34926336613045966</v>
      </c>
      <c r="AL1033" s="100"/>
      <c r="AM1033" s="111">
        <f t="shared" si="833"/>
        <v>7.1</v>
      </c>
      <c r="AN1033" s="262">
        <f t="shared" si="834"/>
        <v>0.30343684261852022</v>
      </c>
      <c r="AO1033" s="100"/>
      <c r="AP1033" s="24" t="e">
        <f>VLOOKUP(C1033,#REF!,6,FALSE)</f>
        <v>#REF!</v>
      </c>
      <c r="AQ1033" s="24" t="e">
        <f>VLOOKUP(C1033,#REF!,7,FALSE)</f>
        <v>#REF!</v>
      </c>
      <c r="AR1033" s="24" t="e">
        <f>VLOOKUP(C1033,#REF!,12,FALSE)</f>
        <v>#REF!</v>
      </c>
      <c r="AS1033" s="24" t="e">
        <f>VLOOKUP(C1033,#REF!,13,FALSE)</f>
        <v>#REF!</v>
      </c>
      <c r="AT1033" s="100"/>
      <c r="AU1033" s="100"/>
      <c r="AV1033" s="100">
        <v>1009</v>
      </c>
      <c r="AW1033" s="100"/>
      <c r="AY1033" s="112">
        <v>25000</v>
      </c>
    </row>
    <row r="1034" spans="1:51" s="2" customFormat="1" ht="12.75" customHeight="1" x14ac:dyDescent="0.2">
      <c r="A1034" s="6" t="s">
        <v>1745</v>
      </c>
      <c r="B1034" s="219">
        <v>9789878816647</v>
      </c>
      <c r="C1034" s="220">
        <v>689236</v>
      </c>
      <c r="D1034" s="2">
        <v>36</v>
      </c>
      <c r="E1034" s="7" t="s">
        <v>379</v>
      </c>
      <c r="F1034" s="20" t="s">
        <v>620</v>
      </c>
      <c r="G1034" s="107"/>
      <c r="H1034" s="108">
        <v>44531</v>
      </c>
      <c r="I1034" s="24">
        <v>3000</v>
      </c>
      <c r="J1034" s="28" t="s">
        <v>1333</v>
      </c>
      <c r="K1034" s="28"/>
      <c r="L1034" s="304">
        <v>29900</v>
      </c>
      <c r="M1034" s="112">
        <f>+L1034*0.3</f>
        <v>8970</v>
      </c>
      <c r="N1034" s="9">
        <f t="shared" si="816"/>
        <v>14950</v>
      </c>
      <c r="O1034" s="9">
        <f t="shared" si="817"/>
        <v>5980</v>
      </c>
      <c r="P1034" s="9">
        <f t="shared" si="818"/>
        <v>8970</v>
      </c>
      <c r="Q1034" s="109">
        <f t="shared" si="819"/>
        <v>0.4</v>
      </c>
      <c r="R1034" s="335">
        <v>29900</v>
      </c>
      <c r="S1034" s="359" t="s">
        <v>1948</v>
      </c>
      <c r="T1034" s="305">
        <v>0.4</v>
      </c>
      <c r="U1034" s="164" t="s">
        <v>1746</v>
      </c>
      <c r="V1034" s="100"/>
      <c r="W1034" s="110">
        <f t="shared" si="820"/>
        <v>29900</v>
      </c>
      <c r="X1034" s="110">
        <f t="shared" si="821"/>
        <v>0</v>
      </c>
      <c r="Y1034" s="110">
        <f t="shared" si="822"/>
        <v>8970</v>
      </c>
      <c r="Z1034" s="110">
        <f t="shared" si="823"/>
        <v>5980</v>
      </c>
      <c r="AA1034" s="260">
        <f t="shared" si="824"/>
        <v>0.4</v>
      </c>
      <c r="AB1034" s="28">
        <f t="shared" si="825"/>
        <v>9.9</v>
      </c>
      <c r="AC1034" s="261">
        <f t="shared" si="826"/>
        <v>0.4025317467453966</v>
      </c>
      <c r="AD1034" s="111">
        <f t="shared" si="827"/>
        <v>6.2</v>
      </c>
      <c r="AE1034" s="262">
        <f t="shared" si="828"/>
        <v>4.597811173861726E-2</v>
      </c>
      <c r="AF1034" s="100"/>
      <c r="AG1034" s="111">
        <f t="shared" si="829"/>
        <v>9.9</v>
      </c>
      <c r="AH1034" s="262">
        <f t="shared" si="830"/>
        <v>0.4025317467453966</v>
      </c>
      <c r="AI1034" s="100"/>
      <c r="AJ1034" s="111">
        <f t="shared" si="831"/>
        <v>9.1</v>
      </c>
      <c r="AK1034" s="262">
        <f t="shared" si="832"/>
        <v>0.35000706514059626</v>
      </c>
      <c r="AL1034" s="100"/>
      <c r="AM1034" s="111">
        <f t="shared" si="833"/>
        <v>8.4</v>
      </c>
      <c r="AN1034" s="262">
        <f t="shared" si="834"/>
        <v>0.295840987235646</v>
      </c>
      <c r="AO1034" s="100"/>
      <c r="AP1034" s="24" t="e">
        <f>VLOOKUP(C1034,#REF!,6,FALSE)</f>
        <v>#REF!</v>
      </c>
      <c r="AQ1034" s="24" t="e">
        <f>VLOOKUP(C1034,#REF!,7,FALSE)</f>
        <v>#REF!</v>
      </c>
      <c r="AR1034" s="24" t="e">
        <f>VLOOKUP(C1034,#REF!,12,FALSE)</f>
        <v>#REF!</v>
      </c>
      <c r="AS1034" s="24" t="e">
        <f>VLOOKUP(C1034,#REF!,13,FALSE)</f>
        <v>#REF!</v>
      </c>
      <c r="AT1034" s="100"/>
      <c r="AU1034" s="100"/>
      <c r="AV1034" s="100">
        <v>1010</v>
      </c>
      <c r="AW1034" s="100"/>
      <c r="AY1034" s="304">
        <v>29900</v>
      </c>
    </row>
    <row r="1035" spans="1:51" s="2" customFormat="1" ht="12.75" customHeight="1" x14ac:dyDescent="0.2">
      <c r="A1035" s="7" t="s">
        <v>1747</v>
      </c>
      <c r="B1035" s="8">
        <v>9789878661735</v>
      </c>
      <c r="C1035" s="8">
        <v>679580</v>
      </c>
      <c r="D1035" s="25">
        <v>38</v>
      </c>
      <c r="E1035" s="7" t="s">
        <v>448</v>
      </c>
      <c r="F1035" s="7" t="s">
        <v>517</v>
      </c>
      <c r="G1035" s="107">
        <v>44166</v>
      </c>
      <c r="H1035" s="108" t="s">
        <v>1882</v>
      </c>
      <c r="I1035" s="7">
        <v>3000</v>
      </c>
      <c r="J1035" s="28" t="s">
        <v>1333</v>
      </c>
      <c r="K1035" s="9"/>
      <c r="L1035" s="304">
        <v>29900</v>
      </c>
      <c r="M1035" s="112">
        <f>+L1035*0.3</f>
        <v>8970</v>
      </c>
      <c r="N1035" s="9">
        <f t="shared" si="816"/>
        <v>14950</v>
      </c>
      <c r="O1035" s="9">
        <f t="shared" si="817"/>
        <v>5980</v>
      </c>
      <c r="P1035" s="9">
        <f t="shared" si="818"/>
        <v>8970</v>
      </c>
      <c r="Q1035" s="109">
        <f t="shared" si="819"/>
        <v>0.4</v>
      </c>
      <c r="R1035" s="335">
        <v>29900</v>
      </c>
      <c r="S1035" s="359" t="s">
        <v>1948</v>
      </c>
      <c r="T1035" s="305">
        <v>0.4</v>
      </c>
      <c r="U1035" s="164" t="s">
        <v>1748</v>
      </c>
      <c r="V1035" s="100"/>
      <c r="W1035" s="110">
        <f t="shared" si="820"/>
        <v>29900</v>
      </c>
      <c r="X1035" s="110">
        <f t="shared" si="821"/>
        <v>0</v>
      </c>
      <c r="Y1035" s="110">
        <f t="shared" si="822"/>
        <v>8970</v>
      </c>
      <c r="Z1035" s="110">
        <f t="shared" si="823"/>
        <v>5980</v>
      </c>
      <c r="AA1035" s="260">
        <f t="shared" si="824"/>
        <v>0.4</v>
      </c>
      <c r="AB1035" s="28">
        <f t="shared" si="825"/>
        <v>9.9</v>
      </c>
      <c r="AC1035" s="261">
        <f t="shared" si="826"/>
        <v>0.4025317467453966</v>
      </c>
      <c r="AD1035" s="111">
        <f t="shared" si="827"/>
        <v>6.2</v>
      </c>
      <c r="AE1035" s="262">
        <f t="shared" si="828"/>
        <v>4.597811173861726E-2</v>
      </c>
      <c r="AF1035" s="100"/>
      <c r="AG1035" s="111">
        <f t="shared" si="829"/>
        <v>9.9</v>
      </c>
      <c r="AH1035" s="262">
        <f t="shared" si="830"/>
        <v>0.4025317467453966</v>
      </c>
      <c r="AI1035" s="100"/>
      <c r="AJ1035" s="111">
        <f t="shared" si="831"/>
        <v>9.1</v>
      </c>
      <c r="AK1035" s="262">
        <f t="shared" si="832"/>
        <v>0.35000706514059626</v>
      </c>
      <c r="AL1035" s="100"/>
      <c r="AM1035" s="111">
        <f t="shared" si="833"/>
        <v>8.4</v>
      </c>
      <c r="AN1035" s="262">
        <f t="shared" si="834"/>
        <v>0.295840987235646</v>
      </c>
      <c r="AO1035" s="100"/>
      <c r="AP1035" s="24" t="e">
        <f>VLOOKUP(C1035,#REF!,6,FALSE)</f>
        <v>#REF!</v>
      </c>
      <c r="AQ1035" s="24" t="e">
        <f>VLOOKUP(C1035,#REF!,7,FALSE)</f>
        <v>#REF!</v>
      </c>
      <c r="AR1035" s="24" t="e">
        <f>VLOOKUP(C1035,#REF!,12,FALSE)</f>
        <v>#REF!</v>
      </c>
      <c r="AS1035" s="24" t="e">
        <f>VLOOKUP(C1035,#REF!,13,FALSE)</f>
        <v>#REF!</v>
      </c>
      <c r="AT1035" s="100"/>
      <c r="AU1035" s="100"/>
      <c r="AV1035" s="100">
        <v>1011</v>
      </c>
      <c r="AW1035" s="100"/>
      <c r="AY1035" s="304">
        <v>29900</v>
      </c>
    </row>
    <row r="1036" spans="1:51" s="2" customFormat="1" ht="12.75" customHeight="1" x14ac:dyDescent="0.2">
      <c r="A1036" s="6" t="s">
        <v>1749</v>
      </c>
      <c r="B1036" s="8">
        <v>9789874270047</v>
      </c>
      <c r="C1036" s="6">
        <v>649061</v>
      </c>
      <c r="D1036" s="7">
        <v>36</v>
      </c>
      <c r="E1036" s="7" t="s">
        <v>379</v>
      </c>
      <c r="F1036" s="7" t="s">
        <v>380</v>
      </c>
      <c r="G1036" s="107"/>
      <c r="H1036" s="108">
        <v>44166</v>
      </c>
      <c r="I1036" s="24">
        <v>3000</v>
      </c>
      <c r="J1036" s="28" t="s">
        <v>1333</v>
      </c>
      <c r="K1036" s="28"/>
      <c r="L1036" s="304">
        <v>29900</v>
      </c>
      <c r="M1036" s="112">
        <f>+L1036*0.35</f>
        <v>10465</v>
      </c>
      <c r="N1036" s="9">
        <f t="shared" si="816"/>
        <v>14950</v>
      </c>
      <c r="O1036" s="9">
        <f t="shared" si="817"/>
        <v>4485</v>
      </c>
      <c r="P1036" s="9">
        <f t="shared" si="818"/>
        <v>10465</v>
      </c>
      <c r="Q1036" s="109">
        <f t="shared" si="819"/>
        <v>0.3</v>
      </c>
      <c r="R1036" s="335">
        <v>29900</v>
      </c>
      <c r="S1036" s="359" t="s">
        <v>1948</v>
      </c>
      <c r="T1036" s="305">
        <v>0.3</v>
      </c>
      <c r="U1036" s="164" t="s">
        <v>1750</v>
      </c>
      <c r="V1036" s="100"/>
      <c r="W1036" s="110">
        <f t="shared" si="820"/>
        <v>29900</v>
      </c>
      <c r="X1036" s="110">
        <f t="shared" si="821"/>
        <v>0</v>
      </c>
      <c r="Y1036" s="110">
        <f t="shared" si="822"/>
        <v>10465</v>
      </c>
      <c r="Z1036" s="110">
        <f t="shared" si="823"/>
        <v>4485</v>
      </c>
      <c r="AA1036" s="260">
        <f t="shared" si="824"/>
        <v>0.3</v>
      </c>
      <c r="AB1036" s="28">
        <f t="shared" si="825"/>
        <v>9.9</v>
      </c>
      <c r="AC1036" s="261">
        <f t="shared" si="826"/>
        <v>0.30295370453629605</v>
      </c>
      <c r="AD1036" s="111">
        <f t="shared" si="827"/>
        <v>7.3</v>
      </c>
      <c r="AE1036" s="262">
        <f t="shared" si="828"/>
        <v>5.4690640398538361E-2</v>
      </c>
      <c r="AF1036" s="100"/>
      <c r="AG1036" s="111">
        <f t="shared" si="829"/>
        <v>11.5</v>
      </c>
      <c r="AH1036" s="262">
        <f t="shared" si="830"/>
        <v>0.39993405868776788</v>
      </c>
      <c r="AI1036" s="100"/>
      <c r="AJ1036" s="111">
        <f t="shared" si="831"/>
        <v>10.6</v>
      </c>
      <c r="AK1036" s="262">
        <f t="shared" si="832"/>
        <v>0.34898506367069154</v>
      </c>
      <c r="AL1036" s="100"/>
      <c r="AM1036" s="111">
        <f t="shared" si="833"/>
        <v>9.9</v>
      </c>
      <c r="AN1036" s="262">
        <f t="shared" si="834"/>
        <v>0.30295370453629605</v>
      </c>
      <c r="AO1036" s="100"/>
      <c r="AP1036" s="24" t="e">
        <f>VLOOKUP(C1036,#REF!,6,FALSE)</f>
        <v>#REF!</v>
      </c>
      <c r="AQ1036" s="24" t="e">
        <f>VLOOKUP(C1036,#REF!,7,FALSE)</f>
        <v>#REF!</v>
      </c>
      <c r="AR1036" s="24" t="e">
        <f>VLOOKUP(C1036,#REF!,12,FALSE)</f>
        <v>#REF!</v>
      </c>
      <c r="AS1036" s="24" t="e">
        <f>VLOOKUP(C1036,#REF!,13,FALSE)</f>
        <v>#REF!</v>
      </c>
      <c r="AT1036" s="100"/>
      <c r="AU1036" s="100"/>
      <c r="AV1036" s="100">
        <v>1012</v>
      </c>
      <c r="AW1036" s="100"/>
      <c r="AY1036" s="304">
        <v>29900</v>
      </c>
    </row>
    <row r="1037" spans="1:51" s="2" customFormat="1" ht="12.75" customHeight="1" x14ac:dyDescent="0.2">
      <c r="A1037" s="7" t="s">
        <v>1751</v>
      </c>
      <c r="B1037" s="25">
        <v>9789500211024</v>
      </c>
      <c r="C1037" s="8">
        <v>678079</v>
      </c>
      <c r="D1037" s="25">
        <v>344</v>
      </c>
      <c r="E1037" s="7" t="s">
        <v>502</v>
      </c>
      <c r="F1037" s="7" t="s">
        <v>1752</v>
      </c>
      <c r="G1037" s="107">
        <v>44105</v>
      </c>
      <c r="H1037" s="107">
        <v>44075</v>
      </c>
      <c r="I1037" s="7">
        <v>2000</v>
      </c>
      <c r="J1037" s="28" t="s">
        <v>1762</v>
      </c>
      <c r="K1037" s="28"/>
      <c r="L1037" s="112">
        <v>77900</v>
      </c>
      <c r="M1037" s="112">
        <f>+L1037*0.3</f>
        <v>23370</v>
      </c>
      <c r="N1037" s="9">
        <f t="shared" si="816"/>
        <v>38950</v>
      </c>
      <c r="O1037" s="9">
        <f t="shared" si="817"/>
        <v>15580</v>
      </c>
      <c r="P1037" s="9">
        <f t="shared" si="818"/>
        <v>23370</v>
      </c>
      <c r="Q1037" s="109">
        <f t="shared" si="819"/>
        <v>0.4</v>
      </c>
      <c r="R1037" s="335">
        <v>77900</v>
      </c>
      <c r="S1037" s="359" t="s">
        <v>1948</v>
      </c>
      <c r="T1037" s="305">
        <v>0.4</v>
      </c>
      <c r="U1037" s="164" t="s">
        <v>1753</v>
      </c>
      <c r="V1037" s="100"/>
      <c r="W1037" s="110">
        <f t="shared" si="820"/>
        <v>77900</v>
      </c>
      <c r="X1037" s="110">
        <f t="shared" si="821"/>
        <v>0</v>
      </c>
      <c r="Y1037" s="110">
        <f t="shared" si="822"/>
        <v>23370</v>
      </c>
      <c r="Z1037" s="110">
        <f t="shared" si="823"/>
        <v>15580</v>
      </c>
      <c r="AA1037" s="260">
        <f t="shared" si="824"/>
        <v>0.4</v>
      </c>
      <c r="AB1037" s="28">
        <f t="shared" si="825"/>
        <v>25.7</v>
      </c>
      <c r="AC1037" s="261">
        <f t="shared" si="826"/>
        <v>0.40037024635622925</v>
      </c>
      <c r="AD1037" s="111">
        <f t="shared" si="827"/>
        <v>16.2</v>
      </c>
      <c r="AE1037" s="262">
        <f t="shared" si="828"/>
        <v>4.8735514281178609E-2</v>
      </c>
      <c r="AF1037" s="100"/>
      <c r="AG1037" s="111">
        <f t="shared" si="829"/>
        <v>25.7</v>
      </c>
      <c r="AH1037" s="262">
        <f t="shared" si="830"/>
        <v>0.40037024635622925</v>
      </c>
      <c r="AI1037" s="100"/>
      <c r="AJ1037" s="111">
        <f t="shared" si="831"/>
        <v>23.7</v>
      </c>
      <c r="AK1037" s="262">
        <f t="shared" si="832"/>
        <v>0.3497685793820714</v>
      </c>
      <c r="AL1037" s="100"/>
      <c r="AM1037" s="111">
        <f t="shared" si="833"/>
        <v>22</v>
      </c>
      <c r="AN1037" s="262">
        <f t="shared" si="834"/>
        <v>0.29952342415250427</v>
      </c>
      <c r="AO1037" s="100"/>
      <c r="AP1037" s="24" t="e">
        <f>VLOOKUP(C1037,#REF!,6,FALSE)</f>
        <v>#REF!</v>
      </c>
      <c r="AQ1037" s="24" t="e">
        <f>VLOOKUP(C1037,#REF!,7,FALSE)</f>
        <v>#REF!</v>
      </c>
      <c r="AR1037" s="24" t="e">
        <f>VLOOKUP(C1037,#REF!,12,FALSE)</f>
        <v>#REF!</v>
      </c>
      <c r="AS1037" s="24" t="e">
        <f>VLOOKUP(C1037,#REF!,13,FALSE)</f>
        <v>#REF!</v>
      </c>
      <c r="AT1037" s="100"/>
      <c r="AU1037" s="100"/>
      <c r="AV1037" s="100">
        <v>1013</v>
      </c>
      <c r="AW1037" s="100"/>
      <c r="AY1037" s="112">
        <v>77900</v>
      </c>
    </row>
    <row r="1038" spans="1:51" s="2" customFormat="1" ht="12.75" customHeight="1" x14ac:dyDescent="0.2">
      <c r="A1038" s="221" t="s">
        <v>1754</v>
      </c>
      <c r="B1038" s="222">
        <v>9789874394408</v>
      </c>
      <c r="C1038" s="222">
        <v>411349</v>
      </c>
      <c r="D1038" s="7"/>
      <c r="E1038" s="223" t="s">
        <v>217</v>
      </c>
      <c r="F1038" s="224" t="s">
        <v>219</v>
      </c>
      <c r="G1038" s="107"/>
      <c r="H1038" s="209"/>
      <c r="I1038" s="209"/>
      <c r="J1038" s="28" t="s">
        <v>1762</v>
      </c>
      <c r="K1038" s="209"/>
      <c r="L1038" s="112">
        <v>26900</v>
      </c>
      <c r="M1038" s="112">
        <f>+L1038*0.3</f>
        <v>8070</v>
      </c>
      <c r="N1038" s="9">
        <f t="shared" si="816"/>
        <v>13450</v>
      </c>
      <c r="O1038" s="9">
        <f t="shared" si="817"/>
        <v>5380</v>
      </c>
      <c r="P1038" s="9">
        <f t="shared" si="818"/>
        <v>8070</v>
      </c>
      <c r="Q1038" s="109">
        <f t="shared" si="819"/>
        <v>0.4</v>
      </c>
      <c r="R1038" s="335">
        <v>26900</v>
      </c>
      <c r="S1038" s="359" t="s">
        <v>1948</v>
      </c>
      <c r="T1038" s="305">
        <v>0.4</v>
      </c>
      <c r="U1038" s="164" t="s">
        <v>1755</v>
      </c>
      <c r="V1038" s="100"/>
      <c r="W1038" s="110">
        <f t="shared" si="820"/>
        <v>26900</v>
      </c>
      <c r="X1038" s="110">
        <f t="shared" si="821"/>
        <v>0</v>
      </c>
      <c r="Y1038" s="110">
        <f t="shared" si="822"/>
        <v>8070</v>
      </c>
      <c r="Z1038" s="110">
        <f t="shared" si="823"/>
        <v>5380</v>
      </c>
      <c r="AA1038" s="260">
        <f t="shared" si="824"/>
        <v>0.4</v>
      </c>
      <c r="AB1038" s="28">
        <f t="shared" si="825"/>
        <v>8.9</v>
      </c>
      <c r="AC1038" s="261">
        <f t="shared" si="826"/>
        <v>0.402082708187466</v>
      </c>
      <c r="AD1038" s="111">
        <f t="shared" si="827"/>
        <v>5.6</v>
      </c>
      <c r="AE1038" s="262">
        <f t="shared" si="828"/>
        <v>4.9738589797936938E-2</v>
      </c>
      <c r="AF1038" s="100"/>
      <c r="AG1038" s="111">
        <f t="shared" si="829"/>
        <v>8.9</v>
      </c>
      <c r="AH1038" s="262">
        <f t="shared" si="830"/>
        <v>0.402082708187466</v>
      </c>
      <c r="AI1038" s="100"/>
      <c r="AJ1038" s="111">
        <f t="shared" si="831"/>
        <v>8.1999999999999993</v>
      </c>
      <c r="AK1038" s="262">
        <f t="shared" si="832"/>
        <v>0.35104098815468865</v>
      </c>
      <c r="AL1038" s="100"/>
      <c r="AM1038" s="111">
        <f t="shared" si="833"/>
        <v>7.6</v>
      </c>
      <c r="AN1038" s="262">
        <f t="shared" si="834"/>
        <v>0.29980738195637457</v>
      </c>
      <c r="AO1038" s="100"/>
      <c r="AP1038" s="24" t="e">
        <f>VLOOKUP(C1038,#REF!,6,FALSE)</f>
        <v>#REF!</v>
      </c>
      <c r="AQ1038" s="24" t="e">
        <f>VLOOKUP(C1038,#REF!,7,FALSE)</f>
        <v>#REF!</v>
      </c>
      <c r="AR1038" s="24" t="e">
        <f>VLOOKUP(C1038,#REF!,12,FALSE)</f>
        <v>#REF!</v>
      </c>
      <c r="AS1038" s="24" t="e">
        <f>VLOOKUP(C1038,#REF!,13,FALSE)</f>
        <v>#REF!</v>
      </c>
      <c r="AT1038" s="100"/>
      <c r="AU1038" s="100"/>
      <c r="AV1038" s="100">
        <v>1014</v>
      </c>
      <c r="AW1038" s="100"/>
      <c r="AY1038" s="112">
        <v>26900</v>
      </c>
    </row>
    <row r="1039" spans="1:51" s="2" customFormat="1" ht="12.75" customHeight="1" x14ac:dyDescent="0.2">
      <c r="A1039" s="4" t="s">
        <v>1756</v>
      </c>
      <c r="B1039" s="5">
        <v>9789500207324</v>
      </c>
      <c r="C1039" s="5">
        <v>564886</v>
      </c>
      <c r="D1039" s="7"/>
      <c r="E1039" s="225" t="s">
        <v>225</v>
      </c>
      <c r="F1039" s="7" t="s">
        <v>1757</v>
      </c>
      <c r="G1039" s="107"/>
      <c r="H1039" s="209"/>
      <c r="I1039" s="209"/>
      <c r="J1039" s="28" t="s">
        <v>1762</v>
      </c>
      <c r="K1039" s="209"/>
      <c r="L1039" s="112">
        <v>14900</v>
      </c>
      <c r="M1039" s="112">
        <f>+L1039*0.3</f>
        <v>4470</v>
      </c>
      <c r="N1039" s="9">
        <f t="shared" si="816"/>
        <v>7450</v>
      </c>
      <c r="O1039" s="9">
        <f t="shared" si="817"/>
        <v>2980</v>
      </c>
      <c r="P1039" s="9">
        <f t="shared" si="818"/>
        <v>4470</v>
      </c>
      <c r="Q1039" s="109">
        <f t="shared" si="819"/>
        <v>0.4</v>
      </c>
      <c r="R1039" s="335">
        <v>14900</v>
      </c>
      <c r="S1039" s="359" t="s">
        <v>1948</v>
      </c>
      <c r="T1039" s="305">
        <v>0.4</v>
      </c>
      <c r="U1039" s="164" t="s">
        <v>1758</v>
      </c>
      <c r="V1039" s="100"/>
      <c r="W1039" s="110">
        <f t="shared" si="820"/>
        <v>14900</v>
      </c>
      <c r="X1039" s="110">
        <f t="shared" si="821"/>
        <v>0</v>
      </c>
      <c r="Y1039" s="110">
        <f t="shared" si="822"/>
        <v>4470</v>
      </c>
      <c r="Z1039" s="110">
        <f t="shared" si="823"/>
        <v>2980</v>
      </c>
      <c r="AA1039" s="260">
        <f t="shared" si="824"/>
        <v>0.4</v>
      </c>
      <c r="AB1039" s="28">
        <f t="shared" si="825"/>
        <v>4.9000000000000004</v>
      </c>
      <c r="AC1039" s="261">
        <f t="shared" si="826"/>
        <v>0.39845374351521029</v>
      </c>
      <c r="AD1039" s="111">
        <f t="shared" si="827"/>
        <v>3.1</v>
      </c>
      <c r="AE1039" s="262">
        <f t="shared" si="828"/>
        <v>4.9168820395009839E-2</v>
      </c>
      <c r="AF1039" s="100"/>
      <c r="AG1039" s="111">
        <f t="shared" si="829"/>
        <v>4.9000000000000004</v>
      </c>
      <c r="AH1039" s="262">
        <f t="shared" si="830"/>
        <v>0.39845374351521029</v>
      </c>
      <c r="AI1039" s="100"/>
      <c r="AJ1039" s="111">
        <f t="shared" si="831"/>
        <v>4.5</v>
      </c>
      <c r="AK1039" s="262">
        <f t="shared" si="832"/>
        <v>0.34498296516100668</v>
      </c>
      <c r="AL1039" s="100"/>
      <c r="AM1039" s="111">
        <f t="shared" si="833"/>
        <v>4.2</v>
      </c>
      <c r="AN1039" s="262">
        <f t="shared" si="834"/>
        <v>0.29819603410107864</v>
      </c>
      <c r="AO1039" s="100"/>
      <c r="AP1039" s="24" t="e">
        <f>VLOOKUP(C1039,#REF!,6,FALSE)</f>
        <v>#REF!</v>
      </c>
      <c r="AQ1039" s="24" t="e">
        <f>VLOOKUP(C1039,#REF!,7,FALSE)</f>
        <v>#REF!</v>
      </c>
      <c r="AR1039" s="24" t="e">
        <f>VLOOKUP(C1039,#REF!,12,FALSE)</f>
        <v>#REF!</v>
      </c>
      <c r="AS1039" s="24" t="e">
        <f>VLOOKUP(C1039,#REF!,13,FALSE)</f>
        <v>#REF!</v>
      </c>
      <c r="AT1039" s="100"/>
      <c r="AU1039" s="100"/>
      <c r="AV1039" s="100">
        <v>1015</v>
      </c>
      <c r="AW1039" s="100"/>
      <c r="AY1039" s="112">
        <v>14900</v>
      </c>
    </row>
    <row r="1040" spans="1:51" s="2" customFormat="1" ht="12.75" customHeight="1" x14ac:dyDescent="0.2">
      <c r="A1040" s="6" t="s">
        <v>1759</v>
      </c>
      <c r="B1040" s="8">
        <v>9789500212557</v>
      </c>
      <c r="C1040" s="8">
        <v>692883</v>
      </c>
      <c r="D1040" s="41">
        <v>280</v>
      </c>
      <c r="E1040" s="7" t="s">
        <v>684</v>
      </c>
      <c r="F1040" s="226" t="s">
        <v>685</v>
      </c>
      <c r="G1040" s="107">
        <v>44652</v>
      </c>
      <c r="H1040" s="108">
        <v>44621</v>
      </c>
      <c r="I1040" s="24"/>
      <c r="J1040" s="28" t="s">
        <v>1762</v>
      </c>
      <c r="K1040" s="9">
        <v>550</v>
      </c>
      <c r="L1040" s="112">
        <v>59900</v>
      </c>
      <c r="M1040" s="112"/>
      <c r="N1040" s="9">
        <f t="shared" si="816"/>
        <v>29950</v>
      </c>
      <c r="O1040" s="9">
        <f t="shared" si="817"/>
        <v>29400</v>
      </c>
      <c r="P1040" s="9">
        <f t="shared" si="818"/>
        <v>550</v>
      </c>
      <c r="Q1040" s="109">
        <f t="shared" si="819"/>
        <v>0.98163606010016691</v>
      </c>
      <c r="R1040" s="335">
        <v>59900</v>
      </c>
      <c r="S1040" s="359" t="s">
        <v>1948</v>
      </c>
      <c r="T1040" s="305">
        <v>0.98163606010016691</v>
      </c>
      <c r="U1040" s="164" t="s">
        <v>1760</v>
      </c>
      <c r="V1040" s="100"/>
      <c r="W1040" s="110">
        <f t="shared" si="820"/>
        <v>59900</v>
      </c>
      <c r="X1040" s="110">
        <f t="shared" si="821"/>
        <v>550</v>
      </c>
      <c r="Y1040" s="110">
        <f t="shared" si="822"/>
        <v>0</v>
      </c>
      <c r="Z1040" s="110">
        <f t="shared" si="823"/>
        <v>29400</v>
      </c>
      <c r="AA1040" s="260">
        <f t="shared" si="824"/>
        <v>0.98163606010016691</v>
      </c>
      <c r="AB1040" s="28">
        <f t="shared" si="825"/>
        <v>19.7</v>
      </c>
      <c r="AC1040" s="261">
        <f t="shared" si="826"/>
        <v>0.9815899889707298</v>
      </c>
      <c r="AD1040" s="111">
        <f t="shared" si="827"/>
        <v>0.4</v>
      </c>
      <c r="AE1040" s="262">
        <f t="shared" si="828"/>
        <v>9.3306956808440519E-2</v>
      </c>
      <c r="AF1040" s="100"/>
      <c r="AG1040" s="111">
        <f t="shared" si="829"/>
        <v>0.6</v>
      </c>
      <c r="AH1040" s="262">
        <f t="shared" si="830"/>
        <v>0.395537971205627</v>
      </c>
      <c r="AI1040" s="100"/>
      <c r="AJ1040" s="111">
        <f t="shared" si="831"/>
        <v>0.6</v>
      </c>
      <c r="AK1040" s="262">
        <f t="shared" si="832"/>
        <v>0.395537971205627</v>
      </c>
      <c r="AL1040" s="100"/>
      <c r="AM1040" s="111">
        <f t="shared" si="833"/>
        <v>0.5</v>
      </c>
      <c r="AN1040" s="262">
        <f t="shared" si="834"/>
        <v>0.27464556544675239</v>
      </c>
      <c r="AO1040" s="100"/>
      <c r="AP1040" s="24" t="e">
        <f>VLOOKUP(C1040,#REF!,6,FALSE)</f>
        <v>#REF!</v>
      </c>
      <c r="AQ1040" s="24" t="e">
        <f>VLOOKUP(C1040,#REF!,7,FALSE)</f>
        <v>#REF!</v>
      </c>
      <c r="AR1040" s="24" t="e">
        <f>VLOOKUP(C1040,#REF!,12,FALSE)</f>
        <v>#REF!</v>
      </c>
      <c r="AS1040" s="24" t="e">
        <f>VLOOKUP(C1040,#REF!,13,FALSE)</f>
        <v>#REF!</v>
      </c>
      <c r="AT1040" s="100"/>
      <c r="AU1040" s="100"/>
      <c r="AV1040" s="100">
        <v>1016</v>
      </c>
      <c r="AW1040" s="100"/>
      <c r="AY1040" s="112">
        <v>59900</v>
      </c>
    </row>
    <row r="1041" spans="1:51" s="2" customFormat="1" ht="12.75" customHeight="1" x14ac:dyDescent="0.25">
      <c r="A1041" s="114"/>
      <c r="B1041" s="114"/>
      <c r="C1041" s="114"/>
      <c r="D1041" s="114"/>
      <c r="E1041" s="114"/>
      <c r="F1041" s="114"/>
      <c r="G1041" s="114"/>
      <c r="H1041" s="114"/>
      <c r="I1041" s="114"/>
      <c r="J1041" s="114"/>
      <c r="K1041" s="114"/>
      <c r="L1041" s="114"/>
      <c r="M1041" s="114"/>
      <c r="N1041" s="114"/>
      <c r="O1041" s="114"/>
      <c r="P1041" s="114"/>
      <c r="Q1041" s="114"/>
      <c r="R1041" s="356"/>
      <c r="S1041" s="360"/>
      <c r="T1041" s="307"/>
      <c r="U1041" s="135"/>
      <c r="V1041" s="100"/>
      <c r="W1041"/>
      <c r="X1041"/>
      <c r="Y1041"/>
      <c r="Z1041"/>
      <c r="AA1041"/>
      <c r="AB1041"/>
      <c r="AC1041"/>
      <c r="AD1041" s="263"/>
      <c r="AE1041"/>
      <c r="AF1041" s="100"/>
      <c r="AG1041" s="263"/>
      <c r="AH1041"/>
      <c r="AI1041" s="100"/>
      <c r="AJ1041" s="263"/>
      <c r="AK1041"/>
      <c r="AL1041" s="100"/>
      <c r="AM1041" s="263"/>
      <c r="AN1041"/>
      <c r="AO1041" s="100"/>
      <c r="AP1041" s="100"/>
      <c r="AQ1041" s="100"/>
      <c r="AR1041" s="100"/>
      <c r="AS1041" s="100"/>
      <c r="AT1041" s="100"/>
      <c r="AU1041" s="100"/>
      <c r="AV1041" s="100">
        <v>1017</v>
      </c>
      <c r="AW1041" s="100"/>
      <c r="AY1041" s="114"/>
    </row>
    <row r="1042" spans="1:51" s="2" customFormat="1" ht="12.75" customHeight="1" x14ac:dyDescent="0.25">
      <c r="A1042" s="228" t="s">
        <v>1761</v>
      </c>
      <c r="B1042" s="114"/>
      <c r="C1042" s="114"/>
      <c r="D1042" s="114"/>
      <c r="E1042" s="114"/>
      <c r="F1042" s="114"/>
      <c r="G1042" s="114"/>
      <c r="H1042" s="114"/>
      <c r="I1042" s="114"/>
      <c r="J1042" s="114"/>
      <c r="K1042" s="114"/>
      <c r="L1042" s="114"/>
      <c r="M1042" s="114"/>
      <c r="N1042" s="114"/>
      <c r="O1042" s="114"/>
      <c r="P1042" s="114"/>
      <c r="Q1042" s="114"/>
      <c r="R1042" s="356"/>
      <c r="S1042" s="360"/>
      <c r="T1042" s="307"/>
      <c r="U1042" s="135"/>
      <c r="V1042" s="100"/>
      <c r="W1042"/>
      <c r="X1042"/>
      <c r="Y1042"/>
      <c r="Z1042"/>
      <c r="AA1042"/>
      <c r="AB1042"/>
      <c r="AC1042"/>
      <c r="AD1042" s="263"/>
      <c r="AE1042"/>
      <c r="AF1042" s="100"/>
      <c r="AG1042" s="263"/>
      <c r="AH1042"/>
      <c r="AI1042" s="100"/>
      <c r="AJ1042" s="263"/>
      <c r="AK1042"/>
      <c r="AL1042" s="100"/>
      <c r="AM1042" s="263"/>
      <c r="AN1042"/>
      <c r="AO1042" s="100"/>
      <c r="AP1042" s="100"/>
      <c r="AQ1042" s="100"/>
      <c r="AR1042" s="100"/>
      <c r="AS1042" s="100"/>
      <c r="AT1042" s="100"/>
      <c r="AU1042" s="100"/>
      <c r="AV1042" s="100">
        <v>1018</v>
      </c>
      <c r="AW1042" s="100"/>
      <c r="AY1042" s="114"/>
    </row>
    <row r="1043" spans="1:51" s="68" customFormat="1" ht="12.75" customHeight="1" x14ac:dyDescent="0.2">
      <c r="A1043" s="7" t="s">
        <v>1763</v>
      </c>
      <c r="B1043" s="25" t="s">
        <v>1764</v>
      </c>
      <c r="C1043" s="8">
        <v>678137</v>
      </c>
      <c r="D1043" s="25">
        <v>224</v>
      </c>
      <c r="E1043" s="7" t="s">
        <v>634</v>
      </c>
      <c r="F1043" s="7" t="s">
        <v>607</v>
      </c>
      <c r="G1043" s="107">
        <v>44105</v>
      </c>
      <c r="H1043" s="107">
        <v>44075</v>
      </c>
      <c r="I1043" s="7"/>
      <c r="J1043" s="28" t="s">
        <v>1422</v>
      </c>
      <c r="K1043" s="28"/>
      <c r="L1043" s="128">
        <v>16000</v>
      </c>
      <c r="M1043" s="112">
        <f>+L1043*0.3</f>
        <v>4800</v>
      </c>
      <c r="N1043" s="9">
        <f t="shared" ref="N1043:N1047" si="835">+L1043/2</f>
        <v>8000</v>
      </c>
      <c r="O1043" s="9">
        <f t="shared" ref="O1043:O1047" si="836">+N1043-M1043-K1043</f>
        <v>3200</v>
      </c>
      <c r="P1043" s="9">
        <f t="shared" ref="P1043:P1047" si="837">+M1043+K1043</f>
        <v>4800</v>
      </c>
      <c r="Q1043" s="109">
        <f t="shared" ref="Q1043:Q1047" si="838">+O1043/N1043</f>
        <v>0.4</v>
      </c>
      <c r="R1043" s="373">
        <v>16000</v>
      </c>
      <c r="S1043" s="359" t="s">
        <v>1948</v>
      </c>
      <c r="T1043" s="305">
        <v>0.4</v>
      </c>
      <c r="U1043" s="164" t="s">
        <v>1744</v>
      </c>
      <c r="V1043" s="100"/>
      <c r="W1043" s="110">
        <f>+L1043</f>
        <v>16000</v>
      </c>
      <c r="X1043" s="110">
        <f>+K1043</f>
        <v>0</v>
      </c>
      <c r="Y1043" s="110">
        <f>+M1043</f>
        <v>4800</v>
      </c>
      <c r="Z1043" s="110">
        <f t="shared" ref="Z1043:Z1047" si="839">+W1043/2-X1043-Y1043</f>
        <v>3200</v>
      </c>
      <c r="AA1043" s="260">
        <f t="shared" ref="AA1043:AA1047" si="840">+Z1043/(W1043/2)</f>
        <v>0.4</v>
      </c>
      <c r="AB1043" s="28">
        <f t="shared" ref="AB1043:AB1047" si="841">ROUND($W1043/2/$X$1,1)</f>
        <v>5.3</v>
      </c>
      <c r="AC1043" s="261">
        <f t="shared" ref="AC1043:AC1047" si="842">+(AB1043*$X$1-$X1043-$Y1043)/(AB1043*$X$1)</f>
        <v>0.4027956628035011</v>
      </c>
      <c r="AD1043" s="111">
        <f t="shared" ref="AD1043:AD1047" si="843">+IFERROR(ROUND(($X1043+$Y1043)/(1-$X$2)/$X$1,1),0)</f>
        <v>3.3</v>
      </c>
      <c r="AE1043" s="262">
        <f t="shared" ref="AE1043:AE1047" si="844">+(AD1043*$X$1-$X1043-$Y1043)/(AD1043*$X$1)</f>
        <v>4.0853640260168418E-2</v>
      </c>
      <c r="AF1043" s="100"/>
      <c r="AG1043" s="111">
        <f t="shared" ref="AG1043:AG1047" si="845">+IFERROR(ROUND(($X1043+$Y1043)/(1-$AG$2)/$X$1,1),0)</f>
        <v>5.3</v>
      </c>
      <c r="AH1043" s="262">
        <f t="shared" ref="AH1043:AH1047" si="846">+(AG1043*$X$1-$X1043-$Y1043)/(AG1043*$X$1)</f>
        <v>0.4027956628035011</v>
      </c>
      <c r="AI1043" s="100"/>
      <c r="AJ1043" s="111">
        <f t="shared" ref="AJ1043:AJ1047" si="847">+IFERROR(ROUND(($X1043+$Y1043)/(1-$AJ$2)/$X$1,1),0)</f>
        <v>4.9000000000000004</v>
      </c>
      <c r="AK1043" s="262">
        <f t="shared" ref="AK1043:AK1047" si="848">+(AJ1043*$X$1-$X1043-$Y1043)/(AJ1043*$X$1)</f>
        <v>0.35404428833848084</v>
      </c>
      <c r="AL1043" s="100"/>
      <c r="AM1043" s="111">
        <f t="shared" ref="AM1043:AM1047" si="849">+IFERROR(ROUND(($X1043+$Y1043)/(1-$AM$2)/$X$1,1),0)</f>
        <v>4.5</v>
      </c>
      <c r="AN1043" s="262">
        <f t="shared" ref="AN1043:AN1047" si="850">+(AM1043*$X$1-$X1043-$Y1043)/(AM1043*$X$1)</f>
        <v>0.29662600285745688</v>
      </c>
      <c r="AO1043" s="100"/>
      <c r="AP1043" s="24" t="e">
        <f>VLOOKUP(C1043,#REF!,6,FALSE)</f>
        <v>#REF!</v>
      </c>
      <c r="AQ1043" s="24" t="e">
        <f>VLOOKUP(C1043,#REF!,7,FALSE)</f>
        <v>#REF!</v>
      </c>
      <c r="AR1043" s="24" t="e">
        <f>VLOOKUP(C1043,#REF!,12,FALSE)</f>
        <v>#REF!</v>
      </c>
      <c r="AS1043" s="24" t="e">
        <f>VLOOKUP(C1043,#REF!,13,FALSE)</f>
        <v>#REF!</v>
      </c>
      <c r="AT1043" s="100"/>
      <c r="AU1043" s="100"/>
      <c r="AV1043" s="100">
        <v>1019</v>
      </c>
      <c r="AY1043" s="128">
        <v>16000</v>
      </c>
    </row>
    <row r="1044" spans="1:51" s="2" customFormat="1" ht="12.75" customHeight="1" x14ac:dyDescent="0.25">
      <c r="A1044" s="7" t="s">
        <v>1765</v>
      </c>
      <c r="B1044" s="21">
        <v>9789500212267</v>
      </c>
      <c r="C1044" s="20">
        <v>688429</v>
      </c>
      <c r="D1044" s="229">
        <v>248</v>
      </c>
      <c r="E1044" s="20" t="s">
        <v>635</v>
      </c>
      <c r="F1044" s="273" t="s">
        <v>603</v>
      </c>
      <c r="G1044" s="107">
        <v>44501</v>
      </c>
      <c r="H1044" s="230"/>
      <c r="I1044" s="230"/>
      <c r="J1044" s="6" t="s">
        <v>1762</v>
      </c>
      <c r="K1044" s="230"/>
      <c r="L1044" s="284">
        <v>7900</v>
      </c>
      <c r="M1044" s="112">
        <f>+L1044*0.3</f>
        <v>2370</v>
      </c>
      <c r="N1044" s="9">
        <f t="shared" si="835"/>
        <v>3950</v>
      </c>
      <c r="O1044" s="9">
        <f t="shared" si="836"/>
        <v>1580</v>
      </c>
      <c r="P1044" s="9">
        <f t="shared" si="837"/>
        <v>2370</v>
      </c>
      <c r="Q1044" s="109">
        <f t="shared" si="838"/>
        <v>0.4</v>
      </c>
      <c r="R1044" s="373">
        <v>7900</v>
      </c>
      <c r="S1044" s="359" t="s">
        <v>1948</v>
      </c>
      <c r="T1044" s="305">
        <v>0.4</v>
      </c>
      <c r="U1044" s="164" t="s">
        <v>1744</v>
      </c>
      <c r="V1044" s="100"/>
      <c r="W1044" s="110">
        <f>+L1044</f>
        <v>7900</v>
      </c>
      <c r="X1044" s="110">
        <f>+K1044</f>
        <v>0</v>
      </c>
      <c r="Y1044" s="110">
        <f>+M1044</f>
        <v>2370</v>
      </c>
      <c r="Z1044" s="110">
        <f t="shared" si="839"/>
        <v>1580</v>
      </c>
      <c r="AA1044" s="260">
        <f t="shared" si="840"/>
        <v>0.4</v>
      </c>
      <c r="AB1044" s="28">
        <f t="shared" si="841"/>
        <v>2.6</v>
      </c>
      <c r="AC1044" s="261">
        <f t="shared" si="842"/>
        <v>0.39891957696112001</v>
      </c>
      <c r="AD1044" s="111">
        <f t="shared" si="843"/>
        <v>1.6</v>
      </c>
      <c r="AE1044" s="262">
        <f t="shared" si="844"/>
        <v>2.3244312561820017E-2</v>
      </c>
      <c r="AF1044" s="100"/>
      <c r="AG1044" s="111">
        <f t="shared" si="845"/>
        <v>2.6</v>
      </c>
      <c r="AH1044" s="262">
        <f t="shared" si="846"/>
        <v>0.39891957696112001</v>
      </c>
      <c r="AI1044" s="100"/>
      <c r="AJ1044" s="111">
        <f t="shared" si="847"/>
        <v>2.4</v>
      </c>
      <c r="AK1044" s="262">
        <f t="shared" si="848"/>
        <v>0.34882954170788</v>
      </c>
      <c r="AL1044" s="100"/>
      <c r="AM1044" s="111">
        <f t="shared" si="849"/>
        <v>2.2000000000000002</v>
      </c>
      <c r="AN1044" s="262">
        <f t="shared" si="850"/>
        <v>0.28963222731768729</v>
      </c>
      <c r="AO1044" s="100"/>
      <c r="AP1044" s="24" t="e">
        <f>VLOOKUP(C1044,#REF!,6,FALSE)</f>
        <v>#REF!</v>
      </c>
      <c r="AQ1044" s="24" t="e">
        <f>VLOOKUP(C1044,#REF!,7,FALSE)</f>
        <v>#REF!</v>
      </c>
      <c r="AR1044" s="24" t="e">
        <f>VLOOKUP(C1044,#REF!,12,FALSE)</f>
        <v>#REF!</v>
      </c>
      <c r="AS1044" s="24" t="e">
        <f>VLOOKUP(C1044,#REF!,13,FALSE)</f>
        <v>#REF!</v>
      </c>
      <c r="AT1044" s="100"/>
      <c r="AU1044" s="100"/>
      <c r="AV1044" s="100">
        <v>1020</v>
      </c>
      <c r="AY1044" s="284">
        <v>7900</v>
      </c>
    </row>
    <row r="1045" spans="1:51" s="68" customFormat="1" ht="12.75" customHeight="1" x14ac:dyDescent="0.25">
      <c r="A1045" s="7"/>
      <c r="B1045" s="21">
        <v>9789874295019</v>
      </c>
      <c r="C1045" s="20">
        <v>659030</v>
      </c>
      <c r="D1045" s="229">
        <v>190</v>
      </c>
      <c r="E1045" s="20" t="s">
        <v>836</v>
      </c>
      <c r="F1045" s="20" t="s">
        <v>645</v>
      </c>
      <c r="G1045" s="107">
        <v>43435</v>
      </c>
      <c r="H1045" s="231" t="s">
        <v>1767</v>
      </c>
      <c r="I1045" s="230"/>
      <c r="J1045" s="230" t="s">
        <v>1422</v>
      </c>
      <c r="K1045" s="230"/>
      <c r="L1045" s="284">
        <v>12000</v>
      </c>
      <c r="M1045" s="112">
        <f>+L1045*0.3</f>
        <v>3600</v>
      </c>
      <c r="N1045" s="9">
        <f t="shared" si="835"/>
        <v>6000</v>
      </c>
      <c r="O1045" s="9">
        <f t="shared" si="836"/>
        <v>2400</v>
      </c>
      <c r="P1045" s="9">
        <f t="shared" si="837"/>
        <v>3600</v>
      </c>
      <c r="Q1045" s="109">
        <f t="shared" si="838"/>
        <v>0.4</v>
      </c>
      <c r="R1045" s="373">
        <v>12000</v>
      </c>
      <c r="S1045" s="359" t="s">
        <v>1948</v>
      </c>
      <c r="T1045" s="305">
        <v>0.4</v>
      </c>
      <c r="U1045" s="164"/>
      <c r="V1045" s="100"/>
      <c r="W1045" s="110">
        <f>+L1045</f>
        <v>12000</v>
      </c>
      <c r="X1045" s="110">
        <f>+K1045</f>
        <v>0</v>
      </c>
      <c r="Y1045" s="110">
        <f>+M1045</f>
        <v>3600</v>
      </c>
      <c r="Z1045" s="110">
        <f t="shared" si="839"/>
        <v>2400</v>
      </c>
      <c r="AA1045" s="260">
        <f t="shared" si="840"/>
        <v>0.4</v>
      </c>
      <c r="AB1045" s="28">
        <f t="shared" si="841"/>
        <v>4</v>
      </c>
      <c r="AC1045" s="261">
        <f t="shared" si="842"/>
        <v>0.40652818991097922</v>
      </c>
      <c r="AD1045" s="111">
        <f t="shared" si="843"/>
        <v>2.5</v>
      </c>
      <c r="AE1045" s="262">
        <f t="shared" si="844"/>
        <v>5.0445103857566766E-2</v>
      </c>
      <c r="AF1045" s="100"/>
      <c r="AG1045" s="111">
        <f t="shared" si="845"/>
        <v>4</v>
      </c>
      <c r="AH1045" s="262">
        <f t="shared" si="846"/>
        <v>0.40652818991097922</v>
      </c>
      <c r="AI1045" s="100"/>
      <c r="AJ1045" s="111">
        <f t="shared" si="847"/>
        <v>3.7</v>
      </c>
      <c r="AK1045" s="262">
        <f t="shared" si="848"/>
        <v>0.35840885395781541</v>
      </c>
      <c r="AL1045" s="100"/>
      <c r="AM1045" s="111">
        <f t="shared" si="849"/>
        <v>3.4</v>
      </c>
      <c r="AN1045" s="262">
        <f t="shared" si="850"/>
        <v>0.30179787048350493</v>
      </c>
      <c r="AO1045" s="100"/>
      <c r="AP1045" s="24" t="e">
        <f>VLOOKUP(C1045,#REF!,6,FALSE)</f>
        <v>#REF!</v>
      </c>
      <c r="AQ1045" s="24" t="e">
        <f>VLOOKUP(C1045,#REF!,7,FALSE)</f>
        <v>#REF!</v>
      </c>
      <c r="AR1045" s="24" t="e">
        <f>VLOOKUP(C1045,#REF!,12,FALSE)</f>
        <v>#REF!</v>
      </c>
      <c r="AS1045" s="24" t="e">
        <f>VLOOKUP(C1045,#REF!,13,FALSE)</f>
        <v>#REF!</v>
      </c>
      <c r="AT1045" s="100"/>
      <c r="AU1045" s="100"/>
      <c r="AV1045" s="100">
        <v>1021</v>
      </c>
      <c r="AY1045" s="284">
        <v>12000</v>
      </c>
    </row>
    <row r="1046" spans="1:51" s="68" customFormat="1" ht="12.75" customHeight="1" x14ac:dyDescent="0.25">
      <c r="A1046" s="7"/>
      <c r="B1046" s="8">
        <v>9789878860664</v>
      </c>
      <c r="C1046" s="23">
        <v>701367</v>
      </c>
      <c r="D1046" s="7">
        <v>1050</v>
      </c>
      <c r="E1046" s="6" t="s">
        <v>852</v>
      </c>
      <c r="F1046" s="7" t="s">
        <v>842</v>
      </c>
      <c r="G1046" s="107"/>
      <c r="H1046" s="231"/>
      <c r="I1046" s="230"/>
      <c r="J1046" s="6" t="s">
        <v>1762</v>
      </c>
      <c r="K1046" s="230"/>
      <c r="L1046" s="284">
        <v>24200</v>
      </c>
      <c r="M1046" s="112">
        <f>+L1046*0.3</f>
        <v>7260</v>
      </c>
      <c r="N1046" s="9">
        <f t="shared" si="835"/>
        <v>12100</v>
      </c>
      <c r="O1046" s="9">
        <f t="shared" si="836"/>
        <v>4840</v>
      </c>
      <c r="P1046" s="9">
        <f t="shared" si="837"/>
        <v>7260</v>
      </c>
      <c r="Q1046" s="109">
        <f t="shared" si="838"/>
        <v>0.4</v>
      </c>
      <c r="R1046" s="373">
        <v>24200</v>
      </c>
      <c r="S1046" s="359" t="s">
        <v>1948</v>
      </c>
      <c r="T1046" s="305">
        <v>0.4</v>
      </c>
      <c r="U1046" s="164"/>
      <c r="V1046" s="100"/>
      <c r="W1046" s="110">
        <f>+L1046</f>
        <v>24200</v>
      </c>
      <c r="X1046" s="110">
        <f>+K1046</f>
        <v>0</v>
      </c>
      <c r="Y1046" s="110">
        <f>+M1046</f>
        <v>7260</v>
      </c>
      <c r="Z1046" s="110">
        <f t="shared" si="839"/>
        <v>4840</v>
      </c>
      <c r="AA1046" s="260">
        <f t="shared" si="840"/>
        <v>0.4</v>
      </c>
      <c r="AB1046" s="28">
        <f t="shared" si="841"/>
        <v>8</v>
      </c>
      <c r="AC1046" s="261">
        <f t="shared" si="842"/>
        <v>0.40158259149357073</v>
      </c>
      <c r="AD1046" s="111">
        <f t="shared" si="843"/>
        <v>5</v>
      </c>
      <c r="AE1046" s="262">
        <f t="shared" si="844"/>
        <v>4.2532146389713157E-2</v>
      </c>
      <c r="AF1046" s="100"/>
      <c r="AG1046" s="111">
        <f t="shared" si="845"/>
        <v>8</v>
      </c>
      <c r="AH1046" s="262">
        <f t="shared" si="846"/>
        <v>0.40158259149357073</v>
      </c>
      <c r="AI1046" s="100"/>
      <c r="AJ1046" s="111">
        <f t="shared" si="847"/>
        <v>7.4</v>
      </c>
      <c r="AK1046" s="262">
        <f t="shared" si="848"/>
        <v>0.35306226107413052</v>
      </c>
      <c r="AL1046" s="100"/>
      <c r="AM1046" s="111">
        <f t="shared" si="849"/>
        <v>6.8</v>
      </c>
      <c r="AN1046" s="262">
        <f t="shared" si="850"/>
        <v>0.29597951940420075</v>
      </c>
      <c r="AO1046" s="100"/>
      <c r="AP1046" s="24" t="e">
        <f>VLOOKUP(C1046,#REF!,6,FALSE)</f>
        <v>#REF!</v>
      </c>
      <c r="AQ1046" s="24" t="e">
        <f>VLOOKUP(C1046,#REF!,7,FALSE)</f>
        <v>#REF!</v>
      </c>
      <c r="AR1046" s="24" t="e">
        <f>VLOOKUP(C1046,#REF!,12,FALSE)</f>
        <v>#REF!</v>
      </c>
      <c r="AS1046" s="24" t="e">
        <f>VLOOKUP(C1046,#REF!,13,FALSE)</f>
        <v>#REF!</v>
      </c>
      <c r="AT1046" s="100"/>
      <c r="AU1046" s="100"/>
      <c r="AV1046" s="100">
        <v>1022</v>
      </c>
      <c r="AY1046" s="284">
        <v>24200</v>
      </c>
    </row>
    <row r="1047" spans="1:51" s="68" customFormat="1" ht="12.75" customHeight="1" x14ac:dyDescent="0.25">
      <c r="A1047" s="7"/>
      <c r="B1047" s="21">
        <v>9789500213011</v>
      </c>
      <c r="C1047" s="20">
        <v>466540</v>
      </c>
      <c r="D1047" s="229">
        <v>886</v>
      </c>
      <c r="E1047" s="20" t="s">
        <v>837</v>
      </c>
      <c r="F1047" s="20" t="s">
        <v>838</v>
      </c>
      <c r="G1047" s="107">
        <v>39479</v>
      </c>
      <c r="H1047" s="231" t="s">
        <v>1766</v>
      </c>
      <c r="I1047" s="230"/>
      <c r="J1047" s="230"/>
      <c r="K1047" s="230"/>
      <c r="L1047" s="284">
        <v>79.843680000000006</v>
      </c>
      <c r="M1047" s="112">
        <f>+L1047*0.3</f>
        <v>23.953104</v>
      </c>
      <c r="N1047" s="9">
        <f t="shared" si="835"/>
        <v>39.921840000000003</v>
      </c>
      <c r="O1047" s="9">
        <f t="shared" si="836"/>
        <v>15.968736000000003</v>
      </c>
      <c r="P1047" s="9">
        <f t="shared" si="837"/>
        <v>23.953104</v>
      </c>
      <c r="Q1047" s="109">
        <f t="shared" si="838"/>
        <v>0.40000000000000008</v>
      </c>
      <c r="R1047" s="373">
        <v>79.843680000000006</v>
      </c>
      <c r="S1047" s="359" t="s">
        <v>1948</v>
      </c>
      <c r="T1047" s="305">
        <v>0.40000000000000008</v>
      </c>
      <c r="U1047" s="164"/>
      <c r="V1047" s="100"/>
      <c r="W1047" s="110">
        <f>+L1047</f>
        <v>79.843680000000006</v>
      </c>
      <c r="X1047" s="110">
        <f>+K1047</f>
        <v>0</v>
      </c>
      <c r="Y1047" s="110">
        <f>+M1047</f>
        <v>23.953104</v>
      </c>
      <c r="Z1047" s="110">
        <f t="shared" si="839"/>
        <v>15.968736000000003</v>
      </c>
      <c r="AA1047" s="260">
        <f t="shared" si="840"/>
        <v>0.40000000000000008</v>
      </c>
      <c r="AB1047" s="28">
        <f t="shared" si="841"/>
        <v>0</v>
      </c>
      <c r="AC1047" s="261" t="e">
        <f t="shared" si="842"/>
        <v>#DIV/0!</v>
      </c>
      <c r="AD1047" s="111">
        <f t="shared" si="843"/>
        <v>0</v>
      </c>
      <c r="AE1047" s="262" t="e">
        <f t="shared" si="844"/>
        <v>#DIV/0!</v>
      </c>
      <c r="AF1047" s="100"/>
      <c r="AG1047" s="111">
        <f t="shared" si="845"/>
        <v>0</v>
      </c>
      <c r="AH1047" s="262" t="e">
        <f t="shared" si="846"/>
        <v>#DIV/0!</v>
      </c>
      <c r="AI1047" s="100"/>
      <c r="AJ1047" s="111">
        <f t="shared" si="847"/>
        <v>0</v>
      </c>
      <c r="AK1047" s="262" t="e">
        <f t="shared" si="848"/>
        <v>#DIV/0!</v>
      </c>
      <c r="AL1047" s="100"/>
      <c r="AM1047" s="111">
        <f t="shared" si="849"/>
        <v>0</v>
      </c>
      <c r="AN1047" s="262" t="e">
        <f t="shared" si="850"/>
        <v>#DIV/0!</v>
      </c>
      <c r="AO1047" s="100"/>
      <c r="AP1047" s="24" t="e">
        <f>VLOOKUP(C1047,#REF!,6,FALSE)</f>
        <v>#REF!</v>
      </c>
      <c r="AQ1047" s="24">
        <v>324</v>
      </c>
      <c r="AR1047" s="24" t="e">
        <f>VLOOKUP(C1047,#REF!,12,FALSE)</f>
        <v>#REF!</v>
      </c>
      <c r="AS1047" s="24" t="e">
        <f>VLOOKUP(C1047,#REF!,13,FALSE)</f>
        <v>#REF!</v>
      </c>
      <c r="AT1047" s="100" t="s">
        <v>2278</v>
      </c>
      <c r="AU1047" s="100"/>
      <c r="AV1047" s="100">
        <v>1023</v>
      </c>
      <c r="AY1047" s="284">
        <v>79.843680000000006</v>
      </c>
    </row>
    <row r="1048" spans="1:51" s="68" customFormat="1" ht="12.75" customHeight="1" x14ac:dyDescent="0.25">
      <c r="A1048" s="114"/>
      <c r="B1048" s="114"/>
      <c r="C1048" s="114"/>
      <c r="D1048" s="114"/>
      <c r="E1048" s="114"/>
      <c r="F1048" s="114"/>
      <c r="G1048" s="114"/>
      <c r="H1048" s="114"/>
      <c r="I1048" s="114"/>
      <c r="J1048" s="114"/>
      <c r="K1048" s="114"/>
      <c r="L1048" s="114"/>
      <c r="M1048" s="114"/>
      <c r="N1048" s="114"/>
      <c r="O1048" s="114"/>
      <c r="P1048" s="114"/>
      <c r="Q1048" s="114"/>
      <c r="R1048" s="356"/>
      <c r="S1048" s="327"/>
      <c r="T1048" s="306"/>
      <c r="U1048" s="114"/>
      <c r="V1048" s="100"/>
      <c r="W1048" s="250"/>
      <c r="X1048" s="250"/>
      <c r="Y1048" s="250"/>
      <c r="Z1048" s="250"/>
      <c r="AA1048" s="268"/>
      <c r="AB1048"/>
      <c r="AC1048" s="269"/>
      <c r="AD1048" s="114"/>
      <c r="AE1048" s="270"/>
      <c r="AF1048" s="227"/>
      <c r="AG1048" s="250"/>
      <c r="AH1048" s="250"/>
      <c r="AI1048" s="250"/>
      <c r="AJ1048" s="250"/>
      <c r="AK1048" s="250"/>
      <c r="AL1048" s="250"/>
      <c r="AM1048" s="250"/>
      <c r="AN1048" s="250"/>
      <c r="AO1048" s="250"/>
      <c r="AP1048" s="100"/>
      <c r="AQ1048" s="100"/>
      <c r="AR1048" s="100"/>
      <c r="AS1048" s="100"/>
      <c r="AT1048" s="100"/>
      <c r="AU1048" s="100"/>
      <c r="AV1048" s="100">
        <v>1024</v>
      </c>
      <c r="AW1048" s="100"/>
      <c r="AY1048" s="114"/>
    </row>
    <row r="1049" spans="1:51" s="68" customFormat="1" ht="12.75" customHeight="1" x14ac:dyDescent="0.25">
      <c r="A1049" s="114"/>
      <c r="B1049" s="114"/>
      <c r="C1049" s="114"/>
      <c r="D1049" s="114"/>
      <c r="E1049" s="114"/>
      <c r="F1049" s="232"/>
      <c r="G1049" s="114"/>
      <c r="H1049" s="114"/>
      <c r="I1049" s="114"/>
      <c r="J1049" s="114"/>
      <c r="K1049" s="114"/>
      <c r="L1049" s="114"/>
      <c r="M1049" s="114"/>
      <c r="N1049" s="114"/>
      <c r="O1049" s="114"/>
      <c r="P1049" s="114"/>
      <c r="Q1049" s="114"/>
      <c r="R1049" s="356"/>
      <c r="S1049" s="327"/>
      <c r="T1049" s="306"/>
      <c r="U1049" s="114"/>
      <c r="V1049" s="100"/>
      <c r="W1049" s="250"/>
      <c r="X1049" s="250"/>
      <c r="Y1049" s="250"/>
      <c r="Z1049" s="250"/>
      <c r="AA1049" s="268"/>
      <c r="AB1049"/>
      <c r="AC1049" s="269"/>
      <c r="AD1049" s="114"/>
      <c r="AE1049" s="270"/>
      <c r="AF1049" s="227"/>
      <c r="AG1049" s="250"/>
      <c r="AH1049" s="250"/>
      <c r="AI1049" s="250"/>
      <c r="AJ1049" s="250"/>
      <c r="AK1049" s="250"/>
      <c r="AL1049" s="250"/>
      <c r="AM1049" s="250"/>
      <c r="AN1049" s="250"/>
      <c r="AO1049" s="250"/>
      <c r="AP1049" s="100"/>
      <c r="AQ1049" s="100"/>
      <c r="AR1049" s="100"/>
      <c r="AS1049" s="100"/>
      <c r="AT1049" s="100"/>
      <c r="AU1049" s="100"/>
      <c r="AV1049" s="100">
        <v>1025</v>
      </c>
      <c r="AW1049" s="100"/>
      <c r="AY1049" s="114"/>
    </row>
    <row r="1050" spans="1:51" s="68" customFormat="1" ht="12.75" customHeight="1" x14ac:dyDescent="0.25">
      <c r="A1050" s="114"/>
      <c r="B1050" s="114"/>
      <c r="C1050" s="114"/>
      <c r="D1050" s="114"/>
      <c r="E1050" s="114"/>
      <c r="F1050" s="114"/>
      <c r="G1050" s="114"/>
      <c r="H1050" s="114"/>
      <c r="I1050" s="114"/>
      <c r="J1050" s="114"/>
      <c r="K1050" s="114"/>
      <c r="L1050" s="114"/>
      <c r="M1050" s="114"/>
      <c r="N1050" s="114"/>
      <c r="O1050" s="114"/>
      <c r="P1050" s="114"/>
      <c r="Q1050" s="114"/>
      <c r="R1050" s="356"/>
      <c r="S1050" s="327"/>
      <c r="T1050" s="306"/>
      <c r="U1050" s="114"/>
      <c r="V1050" s="100"/>
      <c r="W1050" s="250"/>
      <c r="X1050" s="250"/>
      <c r="Y1050" s="250"/>
      <c r="Z1050" s="250"/>
      <c r="AA1050" s="268"/>
      <c r="AB1050"/>
      <c r="AC1050" s="269"/>
      <c r="AD1050" s="114"/>
      <c r="AE1050" s="270"/>
      <c r="AF1050" s="227"/>
      <c r="AG1050" s="250"/>
      <c r="AH1050" s="250"/>
      <c r="AI1050" s="250"/>
      <c r="AJ1050" s="250"/>
      <c r="AK1050" s="250"/>
      <c r="AL1050" s="250"/>
      <c r="AM1050" s="250"/>
      <c r="AN1050" s="250"/>
      <c r="AO1050" s="250"/>
      <c r="AP1050" s="100"/>
      <c r="AQ1050" s="100"/>
      <c r="AR1050" s="100"/>
      <c r="AS1050" s="100"/>
      <c r="AT1050" s="100"/>
      <c r="AU1050" s="100"/>
      <c r="AV1050" s="100">
        <v>1026</v>
      </c>
      <c r="AW1050" s="100"/>
      <c r="AY1050" s="114"/>
    </row>
    <row r="1051" spans="1:51" s="68" customFormat="1" ht="12.75" customHeight="1" x14ac:dyDescent="0.25">
      <c r="A1051" s="114"/>
      <c r="B1051" s="114"/>
      <c r="C1051" s="114"/>
      <c r="D1051" s="114"/>
      <c r="E1051" s="114"/>
      <c r="F1051" s="114"/>
      <c r="G1051" s="114"/>
      <c r="H1051" s="114"/>
      <c r="I1051" s="114"/>
      <c r="J1051" s="114"/>
      <c r="K1051" s="114"/>
      <c r="L1051" s="114"/>
      <c r="M1051" s="114"/>
      <c r="N1051" s="114"/>
      <c r="O1051" s="114"/>
      <c r="P1051" s="114"/>
      <c r="Q1051" s="114"/>
      <c r="R1051" s="356"/>
      <c r="S1051" s="327"/>
      <c r="T1051" s="306"/>
      <c r="U1051" s="114"/>
      <c r="V1051" s="100"/>
      <c r="W1051" s="250"/>
      <c r="X1051" s="250"/>
      <c r="Y1051" s="250"/>
      <c r="Z1051" s="250"/>
      <c r="AA1051" s="268"/>
      <c r="AB1051"/>
      <c r="AC1051" s="269"/>
      <c r="AD1051" s="114"/>
      <c r="AE1051" s="270"/>
      <c r="AF1051" s="227"/>
      <c r="AG1051" s="250"/>
      <c r="AH1051" s="250"/>
      <c r="AI1051" s="250"/>
      <c r="AJ1051" s="250"/>
      <c r="AK1051" s="250"/>
      <c r="AL1051" s="250"/>
      <c r="AM1051" s="250"/>
      <c r="AN1051" s="250"/>
      <c r="AO1051" s="250"/>
      <c r="AP1051" s="100"/>
      <c r="AQ1051" s="100"/>
      <c r="AR1051" s="100"/>
      <c r="AS1051" s="100"/>
      <c r="AT1051" s="100"/>
      <c r="AU1051" s="100"/>
      <c r="AV1051" s="100">
        <v>1027</v>
      </c>
      <c r="AW1051" s="100"/>
      <c r="AY1051" s="114"/>
    </row>
    <row r="1052" spans="1:51" s="68" customFormat="1" ht="12.75" customHeight="1" x14ac:dyDescent="0.25">
      <c r="A1052" s="114"/>
      <c r="B1052" s="114"/>
      <c r="C1052" s="114"/>
      <c r="D1052" s="114"/>
      <c r="E1052" s="114"/>
      <c r="F1052" s="114"/>
      <c r="G1052" s="114"/>
      <c r="H1052" s="114"/>
      <c r="I1052" s="114"/>
      <c r="J1052" s="114"/>
      <c r="K1052" s="114"/>
      <c r="L1052" s="114"/>
      <c r="M1052" s="114"/>
      <c r="N1052" s="114"/>
      <c r="O1052" s="114"/>
      <c r="P1052" s="114"/>
      <c r="Q1052" s="114"/>
      <c r="R1052" s="356"/>
      <c r="S1052" s="327"/>
      <c r="T1052" s="306"/>
      <c r="U1052" s="114"/>
      <c r="V1052" s="100"/>
      <c r="W1052" s="250"/>
      <c r="X1052" s="250"/>
      <c r="Y1052" s="250"/>
      <c r="Z1052" s="250"/>
      <c r="AA1052" s="268"/>
      <c r="AB1052"/>
      <c r="AC1052" s="269"/>
      <c r="AD1052" s="114"/>
      <c r="AE1052" s="270"/>
      <c r="AF1052" s="227"/>
      <c r="AG1052" s="250"/>
      <c r="AH1052" s="250"/>
      <c r="AI1052" s="250"/>
      <c r="AJ1052" s="250"/>
      <c r="AK1052" s="250"/>
      <c r="AL1052" s="250"/>
      <c r="AM1052" s="250"/>
      <c r="AN1052" s="250"/>
      <c r="AO1052" s="250"/>
      <c r="AP1052" s="100"/>
      <c r="AQ1052" s="100"/>
      <c r="AR1052" s="100"/>
      <c r="AS1052" s="100"/>
      <c r="AT1052" s="100"/>
      <c r="AU1052" s="100"/>
      <c r="AV1052" s="100">
        <v>1028</v>
      </c>
      <c r="AW1052" s="100"/>
      <c r="AY1052" s="114"/>
    </row>
    <row r="1053" spans="1:51" s="68" customFormat="1" ht="12.75" customHeight="1" x14ac:dyDescent="0.25">
      <c r="A1053" s="114"/>
      <c r="B1053" s="114"/>
      <c r="C1053" s="114"/>
      <c r="D1053" s="114"/>
      <c r="E1053" s="114"/>
      <c r="F1053" s="114"/>
      <c r="G1053" s="114"/>
      <c r="H1053" s="114"/>
      <c r="I1053" s="114"/>
      <c r="J1053" s="114"/>
      <c r="K1053" s="114"/>
      <c r="L1053" s="114"/>
      <c r="M1053" s="114"/>
      <c r="N1053" s="114"/>
      <c r="O1053" s="114"/>
      <c r="P1053" s="114"/>
      <c r="Q1053" s="114"/>
      <c r="R1053" s="356"/>
      <c r="S1053" s="327"/>
      <c r="T1053" s="306"/>
      <c r="U1053" s="114"/>
      <c r="V1053" s="100"/>
      <c r="W1053" s="250"/>
      <c r="X1053" s="250"/>
      <c r="Y1053" s="250"/>
      <c r="Z1053" s="250"/>
      <c r="AA1053" s="268"/>
      <c r="AB1053"/>
      <c r="AC1053" s="269"/>
      <c r="AD1053" s="114"/>
      <c r="AE1053" s="270"/>
      <c r="AF1053" s="227"/>
      <c r="AG1053" s="250"/>
      <c r="AH1053" s="250"/>
      <c r="AI1053" s="250"/>
      <c r="AJ1053" s="250"/>
      <c r="AK1053" s="250"/>
      <c r="AL1053" s="250"/>
      <c r="AM1053" s="250"/>
      <c r="AN1053" s="250"/>
      <c r="AO1053" s="250"/>
      <c r="AP1053" s="100"/>
      <c r="AQ1053" s="100"/>
      <c r="AR1053" s="100"/>
      <c r="AS1053" s="100"/>
      <c r="AT1053" s="100"/>
      <c r="AU1053" s="100"/>
      <c r="AV1053" s="100">
        <v>1029</v>
      </c>
      <c r="AW1053" s="100"/>
      <c r="AY1053" s="114"/>
    </row>
    <row r="1054" spans="1:51" s="68" customFormat="1" ht="12.75" customHeight="1" x14ac:dyDescent="0.25">
      <c r="A1054" s="114"/>
      <c r="B1054" s="114"/>
      <c r="C1054" s="114"/>
      <c r="D1054" s="114"/>
      <c r="E1054" s="114"/>
      <c r="F1054" s="114"/>
      <c r="G1054" s="114"/>
      <c r="H1054" s="114"/>
      <c r="I1054" s="114"/>
      <c r="J1054" s="114"/>
      <c r="K1054" s="114"/>
      <c r="L1054" s="114"/>
      <c r="M1054" s="114"/>
      <c r="N1054" s="114"/>
      <c r="O1054" s="114"/>
      <c r="P1054" s="114"/>
      <c r="Q1054" s="114"/>
      <c r="R1054" s="356"/>
      <c r="S1054" s="327"/>
      <c r="T1054" s="306"/>
      <c r="U1054" s="114"/>
      <c r="V1054" s="100"/>
      <c r="W1054" s="250"/>
      <c r="X1054" s="250"/>
      <c r="Y1054" s="250"/>
      <c r="Z1054" s="250"/>
      <c r="AA1054" s="268"/>
      <c r="AB1054"/>
      <c r="AC1054" s="269"/>
      <c r="AD1054" s="114"/>
      <c r="AE1054" s="270"/>
      <c r="AF1054" s="227"/>
      <c r="AG1054" s="250"/>
      <c r="AH1054" s="250"/>
      <c r="AI1054" s="250"/>
      <c r="AJ1054" s="250"/>
      <c r="AK1054" s="250"/>
      <c r="AL1054" s="250"/>
      <c r="AM1054" s="250"/>
      <c r="AN1054" s="250"/>
      <c r="AO1054" s="250"/>
      <c r="AP1054" s="100"/>
      <c r="AQ1054" s="100"/>
      <c r="AR1054" s="100"/>
      <c r="AS1054" s="100"/>
      <c r="AT1054" s="100"/>
      <c r="AU1054" s="100"/>
      <c r="AV1054" s="100">
        <v>1030</v>
      </c>
      <c r="AW1054" s="100"/>
      <c r="AY1054" s="114"/>
    </row>
    <row r="1055" spans="1:51" s="68" customFormat="1" ht="12.75" customHeight="1" x14ac:dyDescent="0.25">
      <c r="A1055" s="114"/>
      <c r="B1055" s="114"/>
      <c r="C1055" s="114"/>
      <c r="D1055" s="114"/>
      <c r="E1055" s="114"/>
      <c r="F1055" s="114"/>
      <c r="G1055" s="114"/>
      <c r="H1055" s="114"/>
      <c r="I1055" s="114"/>
      <c r="J1055" s="114"/>
      <c r="K1055" s="114"/>
      <c r="L1055" s="114"/>
      <c r="M1055" s="114"/>
      <c r="N1055" s="114"/>
      <c r="O1055" s="114"/>
      <c r="P1055" s="114"/>
      <c r="Q1055" s="114"/>
      <c r="R1055" s="356"/>
      <c r="S1055" s="327"/>
      <c r="T1055" s="306"/>
      <c r="U1055" s="114"/>
      <c r="V1055" s="100"/>
      <c r="W1055" s="250"/>
      <c r="X1055" s="250"/>
      <c r="Y1055" s="250"/>
      <c r="Z1055" s="250"/>
      <c r="AA1055" s="268"/>
      <c r="AB1055"/>
      <c r="AC1055" s="269"/>
      <c r="AD1055" s="114"/>
      <c r="AE1055" s="270"/>
      <c r="AF1055" s="227"/>
      <c r="AG1055" s="250"/>
      <c r="AH1055" s="250"/>
      <c r="AI1055" s="250"/>
      <c r="AJ1055" s="250"/>
      <c r="AK1055" s="250"/>
      <c r="AL1055" s="250"/>
      <c r="AM1055" s="250"/>
      <c r="AN1055" s="250"/>
      <c r="AO1055" s="250"/>
      <c r="AP1055" s="100"/>
      <c r="AQ1055" s="100"/>
      <c r="AR1055" s="100"/>
      <c r="AS1055" s="100"/>
      <c r="AT1055" s="100"/>
      <c r="AU1055" s="100"/>
      <c r="AV1055" s="100">
        <v>1031</v>
      </c>
      <c r="AW1055" s="100"/>
      <c r="AY1055" s="114"/>
    </row>
    <row r="1056" spans="1:51" s="68" customFormat="1" ht="12.75" customHeight="1" x14ac:dyDescent="0.25">
      <c r="A1056" s="114"/>
      <c r="B1056" s="114"/>
      <c r="C1056" s="114"/>
      <c r="D1056" s="114"/>
      <c r="E1056" s="114"/>
      <c r="F1056" s="114"/>
      <c r="G1056" s="114"/>
      <c r="H1056" s="114"/>
      <c r="I1056" s="114"/>
      <c r="J1056" s="114"/>
      <c r="K1056" s="114"/>
      <c r="L1056" s="114"/>
      <c r="M1056" s="114"/>
      <c r="N1056" s="114"/>
      <c r="O1056" s="114"/>
      <c r="P1056" s="114"/>
      <c r="Q1056" s="114"/>
      <c r="R1056" s="356"/>
      <c r="S1056" s="327"/>
      <c r="T1056" s="306"/>
      <c r="U1056" s="114"/>
      <c r="V1056" s="100"/>
      <c r="W1056" s="250"/>
      <c r="X1056" s="250"/>
      <c r="Y1056" s="250"/>
      <c r="Z1056" s="250"/>
      <c r="AA1056" s="268"/>
      <c r="AB1056"/>
      <c r="AC1056" s="269"/>
      <c r="AD1056" s="114"/>
      <c r="AE1056" s="270"/>
      <c r="AF1056" s="227"/>
      <c r="AG1056" s="250"/>
      <c r="AH1056" s="250"/>
      <c r="AI1056" s="250"/>
      <c r="AJ1056" s="250"/>
      <c r="AK1056" s="250"/>
      <c r="AL1056" s="250"/>
      <c r="AM1056" s="250"/>
      <c r="AN1056" s="250"/>
      <c r="AO1056" s="250"/>
      <c r="AP1056" s="100"/>
      <c r="AQ1056" s="100"/>
      <c r="AR1056" s="100"/>
      <c r="AS1056" s="100"/>
      <c r="AT1056" s="100"/>
      <c r="AU1056" s="100"/>
      <c r="AV1056" s="100">
        <v>1032</v>
      </c>
      <c r="AW1056" s="100"/>
      <c r="AY1056" s="114"/>
    </row>
    <row r="1057" spans="1:51" s="68" customFormat="1" ht="27.75" customHeight="1" x14ac:dyDescent="0.4">
      <c r="A1057" s="233" t="s">
        <v>1768</v>
      </c>
      <c r="B1057" s="234"/>
      <c r="C1057" s="234"/>
      <c r="D1057" s="235"/>
      <c r="E1057" s="235"/>
      <c r="F1057" s="235"/>
      <c r="G1057" s="132"/>
      <c r="H1057" s="132"/>
      <c r="I1057" s="132"/>
      <c r="J1057" s="132"/>
      <c r="K1057" s="114"/>
      <c r="L1057" s="114"/>
      <c r="M1057" s="114"/>
      <c r="N1057" s="114"/>
      <c r="O1057" s="114"/>
      <c r="P1057" s="114"/>
      <c r="Q1057" s="114"/>
      <c r="R1057" s="356"/>
      <c r="S1057" s="327"/>
      <c r="T1057" s="306"/>
      <c r="U1057" s="114"/>
      <c r="V1057" s="100"/>
      <c r="W1057" s="250"/>
      <c r="X1057" s="250"/>
      <c r="Y1057" s="250"/>
      <c r="Z1057" s="250"/>
      <c r="AA1057" s="268"/>
      <c r="AB1057"/>
      <c r="AC1057" s="269"/>
      <c r="AD1057" s="114"/>
      <c r="AE1057" s="270"/>
      <c r="AF1057" s="227"/>
      <c r="AG1057" s="250"/>
      <c r="AH1057" s="250"/>
      <c r="AI1057" s="250"/>
      <c r="AJ1057" s="250"/>
      <c r="AK1057" s="250"/>
      <c r="AL1057" s="250"/>
      <c r="AM1057" s="250"/>
      <c r="AN1057" s="250"/>
      <c r="AO1057" s="250"/>
      <c r="AP1057" s="100"/>
      <c r="AQ1057" s="100"/>
      <c r="AR1057" s="100"/>
      <c r="AS1057" s="100"/>
      <c r="AT1057" s="100"/>
      <c r="AU1057" s="100"/>
      <c r="AV1057" s="100">
        <v>1033</v>
      </c>
      <c r="AW1057" s="100"/>
      <c r="AY1057" s="114"/>
    </row>
    <row r="1058" spans="1:51" s="235" customFormat="1" ht="9.75" customHeight="1" x14ac:dyDescent="0.35">
      <c r="A1058" s="2"/>
      <c r="B1058" s="3"/>
      <c r="C1058" s="3"/>
      <c r="D1058" s="2"/>
      <c r="E1058" s="2"/>
      <c r="F1058" s="2"/>
      <c r="G1058" s="2"/>
      <c r="H1058" s="132"/>
      <c r="I1058" s="132"/>
      <c r="J1058" s="132"/>
      <c r="K1058" s="114"/>
      <c r="L1058" s="114"/>
      <c r="M1058" s="114"/>
      <c r="N1058" s="114"/>
      <c r="O1058" s="114"/>
      <c r="P1058" s="114"/>
      <c r="Q1058" s="114"/>
      <c r="R1058" s="356"/>
      <c r="S1058" s="327"/>
      <c r="T1058" s="306"/>
      <c r="U1058" s="114"/>
      <c r="V1058" s="100"/>
      <c r="W1058" s="250"/>
      <c r="X1058" s="250"/>
      <c r="Y1058" s="250"/>
      <c r="Z1058" s="250"/>
      <c r="AA1058" s="268"/>
      <c r="AB1058"/>
      <c r="AC1058" s="269"/>
      <c r="AD1058" s="114"/>
      <c r="AE1058" s="270"/>
      <c r="AF1058" s="227"/>
      <c r="AG1058" s="250"/>
      <c r="AH1058" s="250"/>
      <c r="AI1058" s="250"/>
      <c r="AJ1058" s="250"/>
      <c r="AK1058" s="250"/>
      <c r="AL1058" s="250"/>
      <c r="AM1058" s="250"/>
      <c r="AN1058" s="250"/>
      <c r="AO1058" s="250"/>
      <c r="AP1058" s="100"/>
      <c r="AQ1058" s="100"/>
      <c r="AR1058" s="100"/>
      <c r="AS1058" s="100"/>
      <c r="AT1058" s="100"/>
      <c r="AU1058" s="100"/>
      <c r="AV1058" s="100">
        <v>1034</v>
      </c>
      <c r="AW1058" s="100"/>
      <c r="AY1058" s="114"/>
    </row>
    <row r="1059" spans="1:51" s="2" customFormat="1" ht="12.75" customHeight="1" x14ac:dyDescent="0.25">
      <c r="A1059" s="236" t="s">
        <v>1803</v>
      </c>
      <c r="B1059" s="3"/>
      <c r="C1059" s="3"/>
      <c r="H1059" s="132"/>
      <c r="I1059" s="132"/>
      <c r="J1059" s="132"/>
      <c r="K1059" s="114"/>
      <c r="L1059" s="114"/>
      <c r="M1059" s="114"/>
      <c r="N1059" s="114"/>
      <c r="O1059" s="114"/>
      <c r="P1059" s="114"/>
      <c r="Q1059" s="114"/>
      <c r="R1059" s="356"/>
      <c r="S1059" s="327"/>
      <c r="T1059" s="306"/>
      <c r="U1059" s="114"/>
      <c r="V1059" s="100"/>
      <c r="W1059" s="250"/>
      <c r="X1059" s="250"/>
      <c r="Y1059" s="250"/>
      <c r="Z1059" s="250"/>
      <c r="AA1059" s="268"/>
      <c r="AB1059"/>
      <c r="AC1059" s="269"/>
      <c r="AD1059" s="114"/>
      <c r="AE1059" s="270"/>
      <c r="AF1059" s="227"/>
      <c r="AG1059" s="250"/>
      <c r="AH1059" s="250"/>
      <c r="AI1059" s="250"/>
      <c r="AJ1059" s="250"/>
      <c r="AK1059" s="250"/>
      <c r="AL1059" s="250"/>
      <c r="AM1059" s="250"/>
      <c r="AN1059" s="250"/>
      <c r="AO1059" s="250"/>
      <c r="AP1059" s="100"/>
      <c r="AQ1059" s="100"/>
      <c r="AR1059" s="100"/>
      <c r="AS1059" s="100"/>
      <c r="AT1059" s="100"/>
      <c r="AU1059" s="100"/>
      <c r="AV1059" s="100">
        <v>1035</v>
      </c>
      <c r="AW1059" s="100"/>
      <c r="AY1059" s="114"/>
    </row>
    <row r="1060" spans="1:51" s="2" customFormat="1" ht="12.75" customHeight="1" x14ac:dyDescent="0.2">
      <c r="A1060" s="6" t="s">
        <v>1770</v>
      </c>
      <c r="B1060" s="8">
        <v>9789500208147</v>
      </c>
      <c r="C1060" s="21">
        <v>582182</v>
      </c>
      <c r="D1060" s="25">
        <v>272</v>
      </c>
      <c r="E1060" s="22" t="s">
        <v>93</v>
      </c>
      <c r="F1060" s="310" t="s">
        <v>94</v>
      </c>
      <c r="G1060" s="107">
        <v>41883</v>
      </c>
      <c r="H1060" s="118">
        <v>41852</v>
      </c>
      <c r="I1060" s="237">
        <v>3086</v>
      </c>
      <c r="J1060" s="28" t="s">
        <v>1946</v>
      </c>
      <c r="K1060" s="9">
        <v>23.62</v>
      </c>
      <c r="L1060" s="128"/>
      <c r="M1060" s="112">
        <f>+L1060*0.08</f>
        <v>0</v>
      </c>
      <c r="N1060" s="9">
        <f t="shared" ref="N1060:N1064" si="851">+L1060/2</f>
        <v>0</v>
      </c>
      <c r="O1060" s="9">
        <f t="shared" ref="O1060:O1064" si="852">+N1060-M1060-K1060</f>
        <v>-23.62</v>
      </c>
      <c r="P1060" s="9">
        <f t="shared" ref="P1060:P1064" si="853">+M1060+K1060</f>
        <v>23.62</v>
      </c>
      <c r="Q1060" s="109" t="e">
        <f t="shared" ref="Q1060:Q1064" si="854">+O1060/N1060</f>
        <v>#DIV/0!</v>
      </c>
      <c r="R1060" s="335">
        <v>0</v>
      </c>
      <c r="S1060" s="359" t="s">
        <v>1882</v>
      </c>
      <c r="T1060" s="305" t="e">
        <v>#DIV/0!</v>
      </c>
      <c r="U1060" s="142" t="s">
        <v>1192</v>
      </c>
      <c r="V1060" s="100"/>
      <c r="W1060" s="110">
        <f>+L1060</f>
        <v>0</v>
      </c>
      <c r="X1060" s="110">
        <f>+K1060</f>
        <v>23.62</v>
      </c>
      <c r="Y1060" s="110">
        <f>+M1060</f>
        <v>0</v>
      </c>
      <c r="Z1060" s="110">
        <f t="shared" ref="Z1060:Z1064" si="855">+W1060/2-X1060-Y1060</f>
        <v>-23.62</v>
      </c>
      <c r="AA1060" s="260" t="e">
        <f t="shared" ref="AA1060:AA1064" si="856">+Z1060/(W1060/2)</f>
        <v>#DIV/0!</v>
      </c>
      <c r="AB1060" s="28">
        <f t="shared" ref="AB1060:AB1064" si="857">ROUND($W1060/2/$X$1,1)</f>
        <v>0</v>
      </c>
      <c r="AC1060" s="261" t="e">
        <f t="shared" ref="AC1060:AC1064" si="858">+(AB1060*$X$1-$X1060-$Y1060)/(AB1060*$X$1)</f>
        <v>#DIV/0!</v>
      </c>
      <c r="AD1060" s="111">
        <f t="shared" ref="AD1060:AD1064" si="859">+IFERROR(ROUND(($X1060+$Y1060)/(1-$X$2)/$X$1,1),0)</f>
        <v>0</v>
      </c>
      <c r="AE1060" s="262" t="e">
        <f t="shared" ref="AE1060:AE1064" si="860">+(AD1060*$X$1-$X1060-$Y1060)/(AD1060*$X$1)</f>
        <v>#DIV/0!</v>
      </c>
      <c r="AF1060" s="100"/>
      <c r="AG1060" s="111">
        <f t="shared" ref="AG1060:AG1064" si="861">+IFERROR(ROUND(($X1060+$Y1060)/(1-$AG$2)/$X$1,1),0)</f>
        <v>0</v>
      </c>
      <c r="AH1060" s="262" t="e">
        <f t="shared" ref="AH1060:AH1064" si="862">+(AG1060*$X$1-$X1060-$Y1060)/(AG1060*$X$1)</f>
        <v>#DIV/0!</v>
      </c>
      <c r="AI1060" s="100"/>
      <c r="AJ1060" s="111">
        <f t="shared" ref="AJ1060:AJ1064" si="863">+IFERROR(ROUND(($X1060+$Y1060)/(1-$AJ$2)/$X$1,1),0)</f>
        <v>0</v>
      </c>
      <c r="AK1060" s="262" t="e">
        <f t="shared" ref="AK1060:AK1064" si="864">+(AJ1060*$X$1-$X1060-$Y1060)/(AJ1060*$X$1)</f>
        <v>#DIV/0!</v>
      </c>
      <c r="AL1060" s="100"/>
      <c r="AM1060" s="111">
        <f t="shared" ref="AM1060:AM1064" si="865">+IFERROR(ROUND(($X1060+$Y1060)/(1-$AM$2)/$X$1,1),0)</f>
        <v>0</v>
      </c>
      <c r="AN1060" s="262" t="e">
        <f t="shared" ref="AN1060:AN1064" si="866">+(AM1060*$X$1-$X1060-$Y1060)/(AM1060*$X$1)</f>
        <v>#DIV/0!</v>
      </c>
      <c r="AO1060" s="100"/>
      <c r="AP1060" s="24" t="e">
        <f>VLOOKUP(C1060,#REF!,6,FALSE)</f>
        <v>#REF!</v>
      </c>
      <c r="AQ1060" s="24" t="e">
        <f>VLOOKUP(C1060,#REF!,7,FALSE)</f>
        <v>#REF!</v>
      </c>
      <c r="AR1060" s="24" t="e">
        <f>VLOOKUP(C1060,#REF!,12,FALSE)</f>
        <v>#REF!</v>
      </c>
      <c r="AS1060" s="24" t="e">
        <f>VLOOKUP(C1060,#REF!,13,FALSE)</f>
        <v>#REF!</v>
      </c>
      <c r="AT1060" s="100"/>
      <c r="AU1060" s="100"/>
      <c r="AV1060" s="100">
        <v>1036</v>
      </c>
      <c r="AW1060" s="100"/>
      <c r="AY1060" s="128"/>
    </row>
    <row r="1061" spans="1:51" s="2" customFormat="1" ht="12.75" customHeight="1" x14ac:dyDescent="0.2">
      <c r="A1061" s="7" t="s">
        <v>1771</v>
      </c>
      <c r="B1061" s="8">
        <v>9789500207676</v>
      </c>
      <c r="C1061" s="21">
        <v>571763</v>
      </c>
      <c r="D1061" s="25">
        <v>560</v>
      </c>
      <c r="E1061" s="22" t="s">
        <v>87</v>
      </c>
      <c r="F1061" s="310" t="s">
        <v>610</v>
      </c>
      <c r="G1061" s="107">
        <v>41671</v>
      </c>
      <c r="H1061" s="118">
        <v>42095</v>
      </c>
      <c r="I1061" s="237">
        <v>2053</v>
      </c>
      <c r="J1061" s="28" t="s">
        <v>1946</v>
      </c>
      <c r="K1061" s="9">
        <v>33.01</v>
      </c>
      <c r="L1061" s="128"/>
      <c r="M1061" s="9">
        <f>+L1061*0.13</f>
        <v>0</v>
      </c>
      <c r="N1061" s="9">
        <f t="shared" si="851"/>
        <v>0</v>
      </c>
      <c r="O1061" s="9">
        <f t="shared" si="852"/>
        <v>-33.01</v>
      </c>
      <c r="P1061" s="9">
        <f t="shared" si="853"/>
        <v>33.01</v>
      </c>
      <c r="Q1061" s="109" t="e">
        <f t="shared" si="854"/>
        <v>#DIV/0!</v>
      </c>
      <c r="R1061" s="335">
        <v>0</v>
      </c>
      <c r="S1061" s="359" t="s">
        <v>1882</v>
      </c>
      <c r="T1061" s="305" t="e">
        <v>#DIV/0!</v>
      </c>
      <c r="U1061" s="142" t="s">
        <v>1192</v>
      </c>
      <c r="V1061" s="100"/>
      <c r="W1061" s="110">
        <f>+L1061</f>
        <v>0</v>
      </c>
      <c r="X1061" s="110">
        <f>+K1061</f>
        <v>33.01</v>
      </c>
      <c r="Y1061" s="110">
        <f>+M1061</f>
        <v>0</v>
      </c>
      <c r="Z1061" s="110">
        <f t="shared" si="855"/>
        <v>-33.01</v>
      </c>
      <c r="AA1061" s="260" t="e">
        <f t="shared" si="856"/>
        <v>#DIV/0!</v>
      </c>
      <c r="AB1061" s="28">
        <f t="shared" si="857"/>
        <v>0</v>
      </c>
      <c r="AC1061" s="261" t="e">
        <f t="shared" si="858"/>
        <v>#DIV/0!</v>
      </c>
      <c r="AD1061" s="111">
        <f t="shared" si="859"/>
        <v>0</v>
      </c>
      <c r="AE1061" s="262" t="e">
        <f t="shared" si="860"/>
        <v>#DIV/0!</v>
      </c>
      <c r="AF1061" s="100"/>
      <c r="AG1061" s="111">
        <f t="shared" si="861"/>
        <v>0</v>
      </c>
      <c r="AH1061" s="262" t="e">
        <f t="shared" si="862"/>
        <v>#DIV/0!</v>
      </c>
      <c r="AI1061" s="100"/>
      <c r="AJ1061" s="111">
        <f t="shared" si="863"/>
        <v>0</v>
      </c>
      <c r="AK1061" s="262" t="e">
        <f t="shared" si="864"/>
        <v>#DIV/0!</v>
      </c>
      <c r="AL1061" s="100"/>
      <c r="AM1061" s="111">
        <f t="shared" si="865"/>
        <v>0</v>
      </c>
      <c r="AN1061" s="262" t="e">
        <f t="shared" si="866"/>
        <v>#DIV/0!</v>
      </c>
      <c r="AO1061" s="100"/>
      <c r="AP1061" s="24" t="e">
        <f>VLOOKUP(C1061,#REF!,6,FALSE)</f>
        <v>#REF!</v>
      </c>
      <c r="AQ1061" s="24" t="e">
        <f>VLOOKUP(C1061,#REF!,7,FALSE)</f>
        <v>#REF!</v>
      </c>
      <c r="AR1061" s="24" t="e">
        <f>VLOOKUP(C1061,#REF!,12,FALSE)</f>
        <v>#REF!</v>
      </c>
      <c r="AS1061" s="24" t="e">
        <f>VLOOKUP(C1061,#REF!,13,FALSE)</f>
        <v>#REF!</v>
      </c>
      <c r="AT1061" s="100"/>
      <c r="AU1061" s="100"/>
      <c r="AV1061" s="100">
        <v>1037</v>
      </c>
      <c r="AW1061" s="100"/>
      <c r="AY1061" s="128"/>
    </row>
    <row r="1062" spans="1:51" s="2" customFormat="1" ht="12.75" customHeight="1" x14ac:dyDescent="0.2">
      <c r="A1062" s="7" t="s">
        <v>1772</v>
      </c>
      <c r="B1062" s="8">
        <v>9789500207102</v>
      </c>
      <c r="C1062" s="3">
        <v>562240</v>
      </c>
      <c r="D1062" s="25">
        <v>180</v>
      </c>
      <c r="E1062" s="9" t="s">
        <v>189</v>
      </c>
      <c r="F1062" s="311" t="s">
        <v>1773</v>
      </c>
      <c r="G1062" s="107">
        <v>41334</v>
      </c>
      <c r="H1062" s="118">
        <v>41306</v>
      </c>
      <c r="I1062" s="237">
        <v>1677</v>
      </c>
      <c r="J1062" s="28" t="s">
        <v>1946</v>
      </c>
      <c r="K1062" s="9">
        <v>13.23</v>
      </c>
      <c r="L1062" s="112"/>
      <c r="M1062" s="112">
        <f>+L1062*0.08</f>
        <v>0</v>
      </c>
      <c r="N1062" s="9">
        <f t="shared" si="851"/>
        <v>0</v>
      </c>
      <c r="O1062" s="9">
        <f t="shared" si="852"/>
        <v>-13.23</v>
      </c>
      <c r="P1062" s="9">
        <f t="shared" si="853"/>
        <v>13.23</v>
      </c>
      <c r="Q1062" s="109" t="e">
        <f t="shared" si="854"/>
        <v>#DIV/0!</v>
      </c>
      <c r="R1062" s="335">
        <v>0</v>
      </c>
      <c r="S1062" s="359" t="s">
        <v>1882</v>
      </c>
      <c r="T1062" s="305" t="e">
        <v>#DIV/0!</v>
      </c>
      <c r="U1062" s="142" t="s">
        <v>1192</v>
      </c>
      <c r="V1062" s="100"/>
      <c r="W1062" s="110">
        <f>+L1062</f>
        <v>0</v>
      </c>
      <c r="X1062" s="110">
        <f>+K1062</f>
        <v>13.23</v>
      </c>
      <c r="Y1062" s="110">
        <f>+M1062</f>
        <v>0</v>
      </c>
      <c r="Z1062" s="110">
        <f t="shared" si="855"/>
        <v>-13.23</v>
      </c>
      <c r="AA1062" s="260" t="e">
        <f t="shared" si="856"/>
        <v>#DIV/0!</v>
      </c>
      <c r="AB1062" s="28">
        <f t="shared" si="857"/>
        <v>0</v>
      </c>
      <c r="AC1062" s="261" t="e">
        <f t="shared" si="858"/>
        <v>#DIV/0!</v>
      </c>
      <c r="AD1062" s="111">
        <f t="shared" si="859"/>
        <v>0</v>
      </c>
      <c r="AE1062" s="262" t="e">
        <f t="shared" si="860"/>
        <v>#DIV/0!</v>
      </c>
      <c r="AF1062" s="100"/>
      <c r="AG1062" s="111">
        <f t="shared" si="861"/>
        <v>0</v>
      </c>
      <c r="AH1062" s="262" t="e">
        <f t="shared" si="862"/>
        <v>#DIV/0!</v>
      </c>
      <c r="AI1062" s="100"/>
      <c r="AJ1062" s="111">
        <f t="shared" si="863"/>
        <v>0</v>
      </c>
      <c r="AK1062" s="262" t="e">
        <f t="shared" si="864"/>
        <v>#DIV/0!</v>
      </c>
      <c r="AL1062" s="100"/>
      <c r="AM1062" s="111">
        <f t="shared" si="865"/>
        <v>0</v>
      </c>
      <c r="AN1062" s="262" t="e">
        <f t="shared" si="866"/>
        <v>#DIV/0!</v>
      </c>
      <c r="AO1062" s="100"/>
      <c r="AP1062" s="24" t="e">
        <f>VLOOKUP(C1062,#REF!,6,FALSE)</f>
        <v>#REF!</v>
      </c>
      <c r="AQ1062" s="24" t="e">
        <f>VLOOKUP(C1062,#REF!,7,FALSE)</f>
        <v>#REF!</v>
      </c>
      <c r="AR1062" s="24" t="e">
        <f>VLOOKUP(C1062,#REF!,12,FALSE)</f>
        <v>#REF!</v>
      </c>
      <c r="AS1062" s="24" t="e">
        <f>VLOOKUP(C1062,#REF!,13,FALSE)</f>
        <v>#REF!</v>
      </c>
      <c r="AT1062" s="100"/>
      <c r="AU1062" s="100"/>
      <c r="AV1062" s="100">
        <v>1038</v>
      </c>
      <c r="AW1062" s="100"/>
      <c r="AY1062" s="112"/>
    </row>
    <row r="1063" spans="1:51" s="2" customFormat="1" ht="12.75" customHeight="1" x14ac:dyDescent="0.2">
      <c r="A1063" s="6" t="s">
        <v>1774</v>
      </c>
      <c r="B1063" s="8">
        <v>9789500207683</v>
      </c>
      <c r="C1063" s="8">
        <v>584955</v>
      </c>
      <c r="D1063" s="25">
        <v>216</v>
      </c>
      <c r="E1063" s="22" t="s">
        <v>1775</v>
      </c>
      <c r="F1063" s="310" t="s">
        <v>1776</v>
      </c>
      <c r="G1063" s="107">
        <v>41944</v>
      </c>
      <c r="H1063" s="118">
        <v>41913</v>
      </c>
      <c r="I1063" s="237">
        <v>3991</v>
      </c>
      <c r="J1063" s="28" t="s">
        <v>1946</v>
      </c>
      <c r="K1063" s="9">
        <v>47.16</v>
      </c>
      <c r="L1063" s="128"/>
      <c r="M1063" s="9">
        <f>+L1063*0.07</f>
        <v>0</v>
      </c>
      <c r="N1063" s="9">
        <f t="shared" si="851"/>
        <v>0</v>
      </c>
      <c r="O1063" s="9">
        <f t="shared" si="852"/>
        <v>-47.16</v>
      </c>
      <c r="P1063" s="9">
        <f t="shared" si="853"/>
        <v>47.16</v>
      </c>
      <c r="Q1063" s="109" t="e">
        <f t="shared" si="854"/>
        <v>#DIV/0!</v>
      </c>
      <c r="R1063" s="335">
        <v>0</v>
      </c>
      <c r="S1063" s="359" t="s">
        <v>1882</v>
      </c>
      <c r="T1063" s="305" t="e">
        <v>#DIV/0!</v>
      </c>
      <c r="U1063" s="142" t="s">
        <v>1192</v>
      </c>
      <c r="V1063" s="100"/>
      <c r="W1063" s="110">
        <f>+L1063</f>
        <v>0</v>
      </c>
      <c r="X1063" s="110">
        <f>+K1063</f>
        <v>47.16</v>
      </c>
      <c r="Y1063" s="110">
        <f>+M1063</f>
        <v>0</v>
      </c>
      <c r="Z1063" s="110">
        <f t="shared" si="855"/>
        <v>-47.16</v>
      </c>
      <c r="AA1063" s="260" t="e">
        <f t="shared" si="856"/>
        <v>#DIV/0!</v>
      </c>
      <c r="AB1063" s="28">
        <f t="shared" si="857"/>
        <v>0</v>
      </c>
      <c r="AC1063" s="261" t="e">
        <f t="shared" si="858"/>
        <v>#DIV/0!</v>
      </c>
      <c r="AD1063" s="111">
        <f t="shared" si="859"/>
        <v>0</v>
      </c>
      <c r="AE1063" s="262" t="e">
        <f t="shared" si="860"/>
        <v>#DIV/0!</v>
      </c>
      <c r="AF1063" s="100"/>
      <c r="AG1063" s="111">
        <f t="shared" si="861"/>
        <v>0.1</v>
      </c>
      <c r="AH1063" s="262">
        <f t="shared" si="862"/>
        <v>0.68902077151335317</v>
      </c>
      <c r="AI1063" s="100"/>
      <c r="AJ1063" s="111">
        <f t="shared" si="863"/>
        <v>0</v>
      </c>
      <c r="AK1063" s="262" t="e">
        <f t="shared" si="864"/>
        <v>#DIV/0!</v>
      </c>
      <c r="AL1063" s="100"/>
      <c r="AM1063" s="111">
        <f t="shared" si="865"/>
        <v>0</v>
      </c>
      <c r="AN1063" s="262" t="e">
        <f t="shared" si="866"/>
        <v>#DIV/0!</v>
      </c>
      <c r="AO1063" s="100"/>
      <c r="AP1063" s="24" t="e">
        <f>VLOOKUP(C1063,#REF!,6,FALSE)</f>
        <v>#REF!</v>
      </c>
      <c r="AQ1063" s="24" t="e">
        <f>VLOOKUP(C1063,#REF!,7,FALSE)</f>
        <v>#REF!</v>
      </c>
      <c r="AR1063" s="24" t="e">
        <f>VLOOKUP(C1063,#REF!,12,FALSE)</f>
        <v>#REF!</v>
      </c>
      <c r="AS1063" s="24" t="e">
        <f>VLOOKUP(C1063,#REF!,13,FALSE)</f>
        <v>#REF!</v>
      </c>
      <c r="AT1063" s="100"/>
      <c r="AU1063" s="100"/>
      <c r="AV1063" s="100">
        <v>1039</v>
      </c>
      <c r="AW1063" s="100"/>
      <c r="AY1063" s="128"/>
    </row>
    <row r="1064" spans="1:51" s="2" customFormat="1" ht="12.75" customHeight="1" x14ac:dyDescent="0.2">
      <c r="A1064" s="7" t="s">
        <v>1777</v>
      </c>
      <c r="B1064" s="8">
        <v>9789500206907</v>
      </c>
      <c r="C1064" s="8">
        <v>558907</v>
      </c>
      <c r="D1064" s="7">
        <v>192</v>
      </c>
      <c r="E1064" s="7" t="s">
        <v>156</v>
      </c>
      <c r="F1064" s="311" t="s">
        <v>665</v>
      </c>
      <c r="G1064" s="107">
        <v>41244</v>
      </c>
      <c r="H1064" s="118">
        <v>41244</v>
      </c>
      <c r="I1064" s="237">
        <v>2134</v>
      </c>
      <c r="J1064" s="28" t="s">
        <v>1946</v>
      </c>
      <c r="K1064" s="9">
        <v>7.36</v>
      </c>
      <c r="L1064" s="112"/>
      <c r="M1064" s="112">
        <f>+L1064*0.07</f>
        <v>0</v>
      </c>
      <c r="N1064" s="9">
        <f t="shared" si="851"/>
        <v>0</v>
      </c>
      <c r="O1064" s="9">
        <f t="shared" si="852"/>
        <v>-7.36</v>
      </c>
      <c r="P1064" s="9">
        <f t="shared" si="853"/>
        <v>7.36</v>
      </c>
      <c r="Q1064" s="109" t="e">
        <f t="shared" si="854"/>
        <v>#DIV/0!</v>
      </c>
      <c r="R1064" s="335">
        <v>0</v>
      </c>
      <c r="S1064" s="359" t="s">
        <v>1882</v>
      </c>
      <c r="T1064" s="305" t="e">
        <v>#DIV/0!</v>
      </c>
      <c r="U1064" s="144" t="s">
        <v>1769</v>
      </c>
      <c r="V1064" s="100"/>
      <c r="W1064" s="110">
        <f>+L1064</f>
        <v>0</v>
      </c>
      <c r="X1064" s="110">
        <f>+K1064</f>
        <v>7.36</v>
      </c>
      <c r="Y1064" s="110">
        <f>+M1064</f>
        <v>0</v>
      </c>
      <c r="Z1064" s="110">
        <f t="shared" si="855"/>
        <v>-7.36</v>
      </c>
      <c r="AA1064" s="260" t="e">
        <f t="shared" si="856"/>
        <v>#DIV/0!</v>
      </c>
      <c r="AB1064" s="28">
        <f t="shared" si="857"/>
        <v>0</v>
      </c>
      <c r="AC1064" s="261" t="e">
        <f t="shared" si="858"/>
        <v>#DIV/0!</v>
      </c>
      <c r="AD1064" s="111">
        <f t="shared" si="859"/>
        <v>0</v>
      </c>
      <c r="AE1064" s="262" t="e">
        <f t="shared" si="860"/>
        <v>#DIV/0!</v>
      </c>
      <c r="AF1064" s="100"/>
      <c r="AG1064" s="111">
        <f t="shared" si="861"/>
        <v>0</v>
      </c>
      <c r="AH1064" s="262" t="e">
        <f t="shared" si="862"/>
        <v>#DIV/0!</v>
      </c>
      <c r="AI1064" s="100"/>
      <c r="AJ1064" s="111">
        <f t="shared" si="863"/>
        <v>0</v>
      </c>
      <c r="AK1064" s="262" t="e">
        <f t="shared" si="864"/>
        <v>#DIV/0!</v>
      </c>
      <c r="AL1064" s="100"/>
      <c r="AM1064" s="111">
        <f t="shared" si="865"/>
        <v>0</v>
      </c>
      <c r="AN1064" s="262" t="e">
        <f t="shared" si="866"/>
        <v>#DIV/0!</v>
      </c>
      <c r="AO1064" s="100"/>
      <c r="AP1064" s="24" t="e">
        <f>VLOOKUP(C1064,#REF!,6,FALSE)</f>
        <v>#REF!</v>
      </c>
      <c r="AQ1064" s="24" t="e">
        <f>VLOOKUP(C1064,#REF!,7,FALSE)</f>
        <v>#REF!</v>
      </c>
      <c r="AR1064" s="24" t="e">
        <f>VLOOKUP(C1064,#REF!,12,FALSE)</f>
        <v>#REF!</v>
      </c>
      <c r="AS1064" s="24" t="e">
        <f>VLOOKUP(C1064,#REF!,13,FALSE)</f>
        <v>#REF!</v>
      </c>
      <c r="AT1064" s="100"/>
      <c r="AU1064" s="100"/>
      <c r="AV1064" s="100">
        <v>1040</v>
      </c>
      <c r="AW1064" s="100"/>
      <c r="AY1064" s="112"/>
    </row>
    <row r="1065" spans="1:51" x14ac:dyDescent="0.25">
      <c r="V1065"/>
      <c r="AV1065" s="100"/>
    </row>
    <row r="1066" spans="1:51" x14ac:dyDescent="0.25">
      <c r="V1066"/>
      <c r="AV1066" s="100"/>
    </row>
    <row r="1067" spans="1:51" x14ac:dyDescent="0.25">
      <c r="V1067"/>
      <c r="AV1067" s="100"/>
    </row>
    <row r="1068" spans="1:51" x14ac:dyDescent="0.25">
      <c r="V1068"/>
      <c r="AV1068" s="100"/>
    </row>
    <row r="1069" spans="1:51" x14ac:dyDescent="0.25">
      <c r="V1069"/>
      <c r="AV1069" s="100"/>
    </row>
    <row r="1070" spans="1:51" x14ac:dyDescent="0.25">
      <c r="V1070"/>
      <c r="AV1070" s="100"/>
    </row>
    <row r="1071" spans="1:51" x14ac:dyDescent="0.25">
      <c r="V1071"/>
      <c r="AV1071" s="100"/>
    </row>
    <row r="1072" spans="1:51" x14ac:dyDescent="0.25">
      <c r="V1072"/>
      <c r="AV1072" s="100"/>
    </row>
    <row r="1073" spans="22:48" x14ac:dyDescent="0.25">
      <c r="V1073"/>
      <c r="AV1073" s="100"/>
    </row>
    <row r="1074" spans="22:48" x14ac:dyDescent="0.25">
      <c r="V1074"/>
      <c r="AV1074" s="100"/>
    </row>
    <row r="1075" spans="22:48" x14ac:dyDescent="0.25">
      <c r="V1075"/>
      <c r="AV1075" s="100"/>
    </row>
    <row r="1076" spans="22:48" x14ac:dyDescent="0.25">
      <c r="V1076"/>
      <c r="AV1076" s="100"/>
    </row>
    <row r="1077" spans="22:48" x14ac:dyDescent="0.25">
      <c r="V1077"/>
      <c r="AV1077" s="100"/>
    </row>
    <row r="1078" spans="22:48" x14ac:dyDescent="0.25">
      <c r="V1078"/>
      <c r="AV1078" s="100"/>
    </row>
    <row r="1079" spans="22:48" x14ac:dyDescent="0.25">
      <c r="V1079"/>
      <c r="AV1079" s="100"/>
    </row>
    <row r="1080" spans="22:48" x14ac:dyDescent="0.25">
      <c r="V1080"/>
      <c r="AV1080" s="100"/>
    </row>
    <row r="1081" spans="22:48" x14ac:dyDescent="0.25">
      <c r="V1081"/>
      <c r="AV1081" s="100"/>
    </row>
    <row r="1082" spans="22:48" x14ac:dyDescent="0.25">
      <c r="V1082"/>
      <c r="AV1082" s="100"/>
    </row>
    <row r="1083" spans="22:48" x14ac:dyDescent="0.25">
      <c r="V1083"/>
      <c r="AV1083" s="100"/>
    </row>
    <row r="1084" spans="22:48" x14ac:dyDescent="0.25">
      <c r="V1084"/>
      <c r="AV1084" s="100"/>
    </row>
    <row r="1085" spans="22:48" x14ac:dyDescent="0.25">
      <c r="V1085"/>
      <c r="AV1085" s="100"/>
    </row>
    <row r="1086" spans="22:48" x14ac:dyDescent="0.25">
      <c r="V1086"/>
      <c r="AV1086" s="100"/>
    </row>
    <row r="1087" spans="22:48" x14ac:dyDescent="0.25">
      <c r="V1087"/>
      <c r="AV1087" s="100"/>
    </row>
    <row r="1088" spans="22:48" x14ac:dyDescent="0.25">
      <c r="V1088"/>
      <c r="AV1088" s="100"/>
    </row>
    <row r="1089" spans="22:48" x14ac:dyDescent="0.25">
      <c r="V1089"/>
      <c r="AV1089" s="100"/>
    </row>
    <row r="1090" spans="22:48" x14ac:dyDescent="0.25">
      <c r="V1090"/>
      <c r="AV1090" s="100"/>
    </row>
    <row r="1091" spans="22:48" x14ac:dyDescent="0.25">
      <c r="V1091"/>
      <c r="AV1091" s="100"/>
    </row>
    <row r="1092" spans="22:48" x14ac:dyDescent="0.25">
      <c r="V1092"/>
      <c r="AV1092" s="100"/>
    </row>
    <row r="1093" spans="22:48" x14ac:dyDescent="0.25">
      <c r="V1093"/>
      <c r="AV1093" s="100"/>
    </row>
    <row r="1094" spans="22:48" x14ac:dyDescent="0.25">
      <c r="V1094"/>
      <c r="AV1094" s="100"/>
    </row>
    <row r="1095" spans="22:48" x14ac:dyDescent="0.25">
      <c r="V1095"/>
      <c r="AV1095" s="100"/>
    </row>
    <row r="1096" spans="22:48" x14ac:dyDescent="0.25">
      <c r="V1096"/>
      <c r="AV1096" s="100"/>
    </row>
    <row r="1097" spans="22:48" x14ac:dyDescent="0.25">
      <c r="V1097"/>
      <c r="AV1097" s="100"/>
    </row>
    <row r="1098" spans="22:48" x14ac:dyDescent="0.25">
      <c r="V1098"/>
      <c r="AV1098" s="100"/>
    </row>
    <row r="1099" spans="22:48" x14ac:dyDescent="0.25">
      <c r="V1099"/>
      <c r="AV1099" s="100"/>
    </row>
    <row r="1100" spans="22:48" x14ac:dyDescent="0.25">
      <c r="V1100"/>
      <c r="AV1100" s="100"/>
    </row>
    <row r="1101" spans="22:48" x14ac:dyDescent="0.25">
      <c r="V1101"/>
      <c r="AV1101" s="100"/>
    </row>
    <row r="1102" spans="22:48" x14ac:dyDescent="0.25">
      <c r="V1102"/>
      <c r="AV1102" s="100"/>
    </row>
    <row r="1103" spans="22:48" x14ac:dyDescent="0.25">
      <c r="V1103"/>
      <c r="AV1103" s="100"/>
    </row>
    <row r="1104" spans="22:48" x14ac:dyDescent="0.25">
      <c r="V1104"/>
      <c r="AV1104" s="100"/>
    </row>
    <row r="1105" spans="22:48" x14ac:dyDescent="0.25">
      <c r="V1105"/>
      <c r="AV1105" s="100"/>
    </row>
    <row r="1106" spans="22:48" x14ac:dyDescent="0.25">
      <c r="V1106"/>
      <c r="AV1106" s="100"/>
    </row>
    <row r="1107" spans="22:48" x14ac:dyDescent="0.25">
      <c r="V1107"/>
      <c r="AV1107" s="100"/>
    </row>
    <row r="1108" spans="22:48" x14ac:dyDescent="0.25">
      <c r="V1108"/>
      <c r="AV1108" s="100"/>
    </row>
    <row r="1109" spans="22:48" x14ac:dyDescent="0.25">
      <c r="V1109"/>
      <c r="AV1109" s="100"/>
    </row>
    <row r="1110" spans="22:48" x14ac:dyDescent="0.25">
      <c r="V1110"/>
      <c r="AV1110" s="100"/>
    </row>
    <row r="1111" spans="22:48" x14ac:dyDescent="0.25">
      <c r="V1111"/>
      <c r="AV1111" s="100"/>
    </row>
    <row r="1112" spans="22:48" x14ac:dyDescent="0.25">
      <c r="V1112"/>
      <c r="AV1112" s="100"/>
    </row>
    <row r="1113" spans="22:48" x14ac:dyDescent="0.25">
      <c r="V1113"/>
      <c r="AV1113" s="100"/>
    </row>
    <row r="1114" spans="22:48" x14ac:dyDescent="0.25">
      <c r="V1114"/>
      <c r="AV1114" s="100"/>
    </row>
    <row r="1115" spans="22:48" x14ac:dyDescent="0.25">
      <c r="V1115"/>
      <c r="AV1115" s="100"/>
    </row>
    <row r="1116" spans="22:48" x14ac:dyDescent="0.25">
      <c r="V1116"/>
      <c r="AV1116" s="100"/>
    </row>
    <row r="1117" spans="22:48" x14ac:dyDescent="0.25">
      <c r="V1117"/>
      <c r="AV1117" s="100"/>
    </row>
    <row r="1118" spans="22:48" x14ac:dyDescent="0.25">
      <c r="V1118"/>
      <c r="AV1118" s="100"/>
    </row>
    <row r="1119" spans="22:48" x14ac:dyDescent="0.25">
      <c r="V1119"/>
      <c r="AV1119" s="100"/>
    </row>
    <row r="1120" spans="22:48" x14ac:dyDescent="0.25">
      <c r="V1120"/>
      <c r="AV1120" s="100"/>
    </row>
    <row r="1121" spans="22:48" x14ac:dyDescent="0.25">
      <c r="V1121"/>
      <c r="AV1121" s="100"/>
    </row>
    <row r="1122" spans="22:48" x14ac:dyDescent="0.25">
      <c r="V1122"/>
      <c r="AV1122" s="100"/>
    </row>
    <row r="1123" spans="22:48" x14ac:dyDescent="0.25">
      <c r="V1123"/>
      <c r="AV1123" s="100"/>
    </row>
    <row r="1124" spans="22:48" x14ac:dyDescent="0.25">
      <c r="V1124"/>
      <c r="AV1124" s="100"/>
    </row>
    <row r="1125" spans="22:48" x14ac:dyDescent="0.25">
      <c r="V1125"/>
      <c r="AV1125" s="100"/>
    </row>
    <row r="1126" spans="22:48" x14ac:dyDescent="0.25">
      <c r="V1126"/>
      <c r="AV1126" s="100"/>
    </row>
    <row r="1127" spans="22:48" x14ac:dyDescent="0.25">
      <c r="V1127"/>
      <c r="AV1127" s="100"/>
    </row>
    <row r="1128" spans="22:48" x14ac:dyDescent="0.25">
      <c r="V1128"/>
      <c r="AV1128" s="100"/>
    </row>
    <row r="1129" spans="22:48" x14ac:dyDescent="0.25">
      <c r="V1129"/>
      <c r="AV1129" s="100"/>
    </row>
    <row r="1130" spans="22:48" x14ac:dyDescent="0.25">
      <c r="V1130"/>
      <c r="AV1130" s="100"/>
    </row>
    <row r="1131" spans="22:48" x14ac:dyDescent="0.25">
      <c r="V1131"/>
      <c r="AV1131" s="100"/>
    </row>
    <row r="1132" spans="22:48" x14ac:dyDescent="0.25">
      <c r="V1132"/>
      <c r="AV1132" s="100"/>
    </row>
    <row r="1133" spans="22:48" x14ac:dyDescent="0.25">
      <c r="V1133"/>
      <c r="AV1133" s="100"/>
    </row>
    <row r="1134" spans="22:48" x14ac:dyDescent="0.25">
      <c r="V1134"/>
      <c r="AV1134" s="100"/>
    </row>
    <row r="1135" spans="22:48" x14ac:dyDescent="0.25">
      <c r="V1135"/>
      <c r="AV1135" s="100"/>
    </row>
    <row r="1136" spans="22:48" x14ac:dyDescent="0.25">
      <c r="V1136"/>
      <c r="AV1136" s="100"/>
    </row>
    <row r="1137" spans="22:48" x14ac:dyDescent="0.25">
      <c r="V1137"/>
      <c r="AV1137" s="100"/>
    </row>
    <row r="1138" spans="22:48" x14ac:dyDescent="0.25">
      <c r="V1138"/>
      <c r="AV1138" s="100"/>
    </row>
    <row r="1139" spans="22:48" x14ac:dyDescent="0.25">
      <c r="V1139"/>
      <c r="AV1139" s="100"/>
    </row>
    <row r="1140" spans="22:48" x14ac:dyDescent="0.25">
      <c r="V1140"/>
      <c r="AV1140" s="100"/>
    </row>
    <row r="1141" spans="22:48" x14ac:dyDescent="0.25">
      <c r="V1141"/>
      <c r="AV1141" s="100"/>
    </row>
    <row r="1142" spans="22:48" x14ac:dyDescent="0.25">
      <c r="V1142"/>
      <c r="AV1142" s="100"/>
    </row>
    <row r="1143" spans="22:48" x14ac:dyDescent="0.25">
      <c r="V1143"/>
      <c r="AV1143" s="100"/>
    </row>
    <row r="1144" spans="22:48" x14ac:dyDescent="0.25">
      <c r="V1144"/>
      <c r="AV1144" s="100"/>
    </row>
    <row r="1145" spans="22:48" x14ac:dyDescent="0.25">
      <c r="V1145"/>
      <c r="AV1145" s="100"/>
    </row>
    <row r="1146" spans="22:48" x14ac:dyDescent="0.25">
      <c r="V1146"/>
      <c r="AV1146" s="100"/>
    </row>
    <row r="1147" spans="22:48" x14ac:dyDescent="0.25">
      <c r="V1147"/>
      <c r="AV1147" s="100"/>
    </row>
    <row r="1148" spans="22:48" x14ac:dyDescent="0.25">
      <c r="V1148"/>
      <c r="AV1148" s="100"/>
    </row>
    <row r="1149" spans="22:48" x14ac:dyDescent="0.25">
      <c r="V1149"/>
      <c r="AV1149" s="100"/>
    </row>
    <row r="1150" spans="22:48" x14ac:dyDescent="0.25">
      <c r="V1150"/>
      <c r="AV1150" s="100"/>
    </row>
    <row r="1151" spans="22:48" x14ac:dyDescent="0.25">
      <c r="V1151"/>
      <c r="AV1151" s="100"/>
    </row>
    <row r="1152" spans="22:48" x14ac:dyDescent="0.25">
      <c r="V1152"/>
      <c r="AV1152" s="100"/>
    </row>
    <row r="1153" spans="22:48" x14ac:dyDescent="0.25">
      <c r="V1153"/>
      <c r="AV1153" s="100"/>
    </row>
    <row r="1154" spans="22:48" x14ac:dyDescent="0.25">
      <c r="V1154"/>
      <c r="AV1154" s="100"/>
    </row>
    <row r="1155" spans="22:48" x14ac:dyDescent="0.25">
      <c r="V1155"/>
      <c r="AV1155" s="100"/>
    </row>
    <row r="1156" spans="22:48" x14ac:dyDescent="0.25">
      <c r="V1156"/>
      <c r="AV1156" s="100"/>
    </row>
    <row r="1157" spans="22:48" x14ac:dyDescent="0.25">
      <c r="V1157"/>
      <c r="AV1157" s="100"/>
    </row>
    <row r="1158" spans="22:48" x14ac:dyDescent="0.25">
      <c r="V1158"/>
      <c r="AV1158" s="100"/>
    </row>
    <row r="1159" spans="22:48" x14ac:dyDescent="0.25">
      <c r="V1159"/>
      <c r="AV1159" s="100"/>
    </row>
    <row r="1160" spans="22:48" x14ac:dyDescent="0.25">
      <c r="V1160"/>
      <c r="AV1160" s="100"/>
    </row>
    <row r="1161" spans="22:48" x14ac:dyDescent="0.25">
      <c r="V1161"/>
      <c r="AV1161" s="100"/>
    </row>
    <row r="1162" spans="22:48" x14ac:dyDescent="0.25">
      <c r="V1162"/>
      <c r="AV1162" s="100"/>
    </row>
    <row r="1163" spans="22:48" x14ac:dyDescent="0.25">
      <c r="V1163"/>
      <c r="AV1163" s="100"/>
    </row>
    <row r="1164" spans="22:48" x14ac:dyDescent="0.25">
      <c r="V1164"/>
      <c r="AV1164" s="100"/>
    </row>
    <row r="1165" spans="22:48" x14ac:dyDescent="0.25">
      <c r="V1165"/>
      <c r="AV1165" s="100"/>
    </row>
    <row r="1166" spans="22:48" x14ac:dyDescent="0.25">
      <c r="V1166"/>
      <c r="AV1166" s="100"/>
    </row>
    <row r="1167" spans="22:48" x14ac:dyDescent="0.25">
      <c r="V1167"/>
      <c r="AV1167" s="100"/>
    </row>
    <row r="1168" spans="22:48" x14ac:dyDescent="0.25">
      <c r="V1168"/>
      <c r="AV1168" s="100"/>
    </row>
    <row r="1169" spans="22:48" x14ac:dyDescent="0.25">
      <c r="V1169"/>
      <c r="AV1169" s="100"/>
    </row>
    <row r="1170" spans="22:48" x14ac:dyDescent="0.25">
      <c r="V1170"/>
      <c r="AV1170" s="100"/>
    </row>
    <row r="1171" spans="22:48" x14ac:dyDescent="0.25">
      <c r="V1171"/>
      <c r="AV1171" s="100"/>
    </row>
    <row r="1172" spans="22:48" x14ac:dyDescent="0.25">
      <c r="V1172"/>
      <c r="AV1172" s="100"/>
    </row>
    <row r="1173" spans="22:48" x14ac:dyDescent="0.25">
      <c r="V1173"/>
      <c r="AV1173" s="100"/>
    </row>
    <row r="1174" spans="22:48" x14ac:dyDescent="0.25">
      <c r="V1174"/>
      <c r="AV1174" s="100"/>
    </row>
    <row r="1175" spans="22:48" x14ac:dyDescent="0.25">
      <c r="V1175"/>
      <c r="AV1175" s="100"/>
    </row>
    <row r="1176" spans="22:48" x14ac:dyDescent="0.25">
      <c r="V1176"/>
      <c r="AV1176" s="100"/>
    </row>
    <row r="1177" spans="22:48" x14ac:dyDescent="0.25">
      <c r="V1177"/>
      <c r="AV1177" s="100"/>
    </row>
    <row r="1178" spans="22:48" x14ac:dyDescent="0.25">
      <c r="V1178"/>
      <c r="AV1178" s="100"/>
    </row>
    <row r="1179" spans="22:48" x14ac:dyDescent="0.25">
      <c r="V1179"/>
      <c r="AV1179" s="100"/>
    </row>
    <row r="1180" spans="22:48" x14ac:dyDescent="0.25">
      <c r="V1180"/>
      <c r="AV1180" s="100"/>
    </row>
    <row r="1181" spans="22:48" x14ac:dyDescent="0.25">
      <c r="V1181"/>
      <c r="AV1181" s="100"/>
    </row>
    <row r="1182" spans="22:48" x14ac:dyDescent="0.25">
      <c r="V1182"/>
      <c r="AV1182" s="100"/>
    </row>
    <row r="1183" spans="22:48" x14ac:dyDescent="0.25">
      <c r="V1183"/>
      <c r="AV1183" s="100"/>
    </row>
    <row r="1184" spans="22:48" x14ac:dyDescent="0.25">
      <c r="V1184"/>
      <c r="AV1184" s="100"/>
    </row>
    <row r="1185" spans="22:48" x14ac:dyDescent="0.25">
      <c r="V1185"/>
      <c r="AV1185" s="100"/>
    </row>
    <row r="1186" spans="22:48" x14ac:dyDescent="0.25">
      <c r="V1186"/>
      <c r="AV1186" s="100"/>
    </row>
    <row r="1187" spans="22:48" x14ac:dyDescent="0.25">
      <c r="V1187"/>
      <c r="AV1187" s="100"/>
    </row>
    <row r="1188" spans="22:48" x14ac:dyDescent="0.25">
      <c r="V1188"/>
      <c r="AV1188" s="100"/>
    </row>
    <row r="1189" spans="22:48" x14ac:dyDescent="0.25">
      <c r="V1189"/>
      <c r="AV1189" s="100"/>
    </row>
    <row r="1190" spans="22:48" x14ac:dyDescent="0.25">
      <c r="V1190"/>
      <c r="AV1190" s="100"/>
    </row>
    <row r="1191" spans="22:48" x14ac:dyDescent="0.25">
      <c r="V1191"/>
      <c r="AV1191" s="100"/>
    </row>
    <row r="1192" spans="22:48" x14ac:dyDescent="0.25">
      <c r="V1192"/>
      <c r="AV1192" s="100"/>
    </row>
    <row r="1193" spans="22:48" x14ac:dyDescent="0.25">
      <c r="V1193"/>
      <c r="AV1193" s="100"/>
    </row>
    <row r="1194" spans="22:48" x14ac:dyDescent="0.25">
      <c r="V1194"/>
      <c r="AV1194" s="100"/>
    </row>
    <row r="1195" spans="22:48" x14ac:dyDescent="0.25">
      <c r="V1195"/>
      <c r="AV1195" s="100"/>
    </row>
    <row r="1196" spans="22:48" x14ac:dyDescent="0.25">
      <c r="V1196"/>
      <c r="AV1196" s="100"/>
    </row>
    <row r="1197" spans="22:48" x14ac:dyDescent="0.25">
      <c r="V1197"/>
      <c r="AV1197" s="100"/>
    </row>
    <row r="1198" spans="22:48" x14ac:dyDescent="0.25">
      <c r="V1198"/>
      <c r="AV1198" s="100"/>
    </row>
    <row r="1199" spans="22:48" x14ac:dyDescent="0.25">
      <c r="V1199"/>
      <c r="AV1199" s="100"/>
    </row>
    <row r="1200" spans="22:48" x14ac:dyDescent="0.25">
      <c r="V1200"/>
      <c r="AV1200" s="100"/>
    </row>
    <row r="1201" spans="22:48" x14ac:dyDescent="0.25">
      <c r="V1201"/>
      <c r="AV1201" s="100"/>
    </row>
    <row r="1202" spans="22:48" x14ac:dyDescent="0.25">
      <c r="V1202"/>
      <c r="AV1202" s="100"/>
    </row>
    <row r="1203" spans="22:48" x14ac:dyDescent="0.25">
      <c r="V1203"/>
      <c r="AV1203" s="100"/>
    </row>
    <row r="1204" spans="22:48" x14ac:dyDescent="0.25">
      <c r="V1204"/>
      <c r="AV1204" s="100"/>
    </row>
    <row r="1205" spans="22:48" x14ac:dyDescent="0.25">
      <c r="V1205"/>
      <c r="AV1205" s="100"/>
    </row>
    <row r="1206" spans="22:48" x14ac:dyDescent="0.25">
      <c r="V1206"/>
      <c r="AV1206" s="100"/>
    </row>
    <row r="1207" spans="22:48" x14ac:dyDescent="0.25">
      <c r="V1207"/>
      <c r="AV1207" s="100"/>
    </row>
    <row r="1208" spans="22:48" x14ac:dyDescent="0.25">
      <c r="V1208"/>
      <c r="AV1208" s="100"/>
    </row>
    <row r="1209" spans="22:48" x14ac:dyDescent="0.25">
      <c r="V1209"/>
      <c r="AV1209" s="100"/>
    </row>
    <row r="1210" spans="22:48" x14ac:dyDescent="0.25">
      <c r="V1210"/>
      <c r="AV1210" s="100"/>
    </row>
    <row r="1211" spans="22:48" x14ac:dyDescent="0.25">
      <c r="V1211"/>
      <c r="AV1211" s="100"/>
    </row>
    <row r="1212" spans="22:48" x14ac:dyDescent="0.25">
      <c r="V1212"/>
      <c r="AV1212" s="100"/>
    </row>
    <row r="1213" spans="22:48" x14ac:dyDescent="0.25">
      <c r="V1213"/>
      <c r="AV1213" s="100"/>
    </row>
    <row r="1214" spans="22:48" x14ac:dyDescent="0.25">
      <c r="V1214"/>
      <c r="AV1214" s="100"/>
    </row>
    <row r="1215" spans="22:48" x14ac:dyDescent="0.25">
      <c r="V1215"/>
      <c r="AV1215" s="100"/>
    </row>
    <row r="1216" spans="22:48" x14ac:dyDescent="0.25">
      <c r="V1216"/>
      <c r="AV1216" s="100"/>
    </row>
    <row r="1217" spans="22:48" x14ac:dyDescent="0.25">
      <c r="V1217"/>
      <c r="AV1217" s="100"/>
    </row>
    <row r="1218" spans="22:48" x14ac:dyDescent="0.25">
      <c r="V1218"/>
      <c r="AV1218" s="100"/>
    </row>
    <row r="1219" spans="22:48" x14ac:dyDescent="0.25">
      <c r="V1219"/>
      <c r="AV1219" s="100"/>
    </row>
    <row r="1220" spans="22:48" x14ac:dyDescent="0.25">
      <c r="V1220"/>
      <c r="AV1220" s="100"/>
    </row>
    <row r="1221" spans="22:48" x14ac:dyDescent="0.25">
      <c r="V1221"/>
      <c r="AV1221" s="100"/>
    </row>
    <row r="1222" spans="22:48" x14ac:dyDescent="0.25">
      <c r="V1222"/>
      <c r="AV1222" s="100"/>
    </row>
    <row r="1223" spans="22:48" x14ac:dyDescent="0.25">
      <c r="V1223"/>
      <c r="AV1223" s="100"/>
    </row>
    <row r="1224" spans="22:48" x14ac:dyDescent="0.25">
      <c r="V1224"/>
      <c r="AV1224" s="100"/>
    </row>
    <row r="1225" spans="22:48" x14ac:dyDescent="0.25">
      <c r="V1225"/>
      <c r="AV1225" s="100"/>
    </row>
    <row r="1226" spans="22:48" x14ac:dyDescent="0.25">
      <c r="V1226"/>
      <c r="AV1226" s="100"/>
    </row>
    <row r="1227" spans="22:48" x14ac:dyDescent="0.25">
      <c r="V1227"/>
      <c r="AV1227" s="100"/>
    </row>
    <row r="1228" spans="22:48" x14ac:dyDescent="0.25">
      <c r="V1228"/>
      <c r="AV1228" s="100"/>
    </row>
    <row r="1229" spans="22:48" x14ac:dyDescent="0.25">
      <c r="V1229"/>
      <c r="AV1229" s="100"/>
    </row>
    <row r="1230" spans="22:48" x14ac:dyDescent="0.25">
      <c r="V1230"/>
      <c r="AV1230" s="100"/>
    </row>
    <row r="1231" spans="22:48" x14ac:dyDescent="0.25">
      <c r="V1231"/>
      <c r="AV1231" s="100"/>
    </row>
    <row r="1232" spans="22:48" x14ac:dyDescent="0.25">
      <c r="V1232"/>
      <c r="AV1232" s="100"/>
    </row>
    <row r="1233" spans="22:48" x14ac:dyDescent="0.25">
      <c r="V1233"/>
      <c r="AV1233" s="100"/>
    </row>
    <row r="1234" spans="22:48" x14ac:dyDescent="0.25">
      <c r="V1234"/>
      <c r="AV1234" s="100"/>
    </row>
    <row r="1235" spans="22:48" x14ac:dyDescent="0.25">
      <c r="V1235"/>
      <c r="AV1235" s="100"/>
    </row>
    <row r="1236" spans="22:48" x14ac:dyDescent="0.25">
      <c r="V1236"/>
      <c r="AV1236" s="100"/>
    </row>
    <row r="1237" spans="22:48" x14ac:dyDescent="0.25">
      <c r="V1237"/>
      <c r="AV1237" s="100"/>
    </row>
    <row r="1238" spans="22:48" x14ac:dyDescent="0.25">
      <c r="V1238"/>
      <c r="AV1238" s="100"/>
    </row>
    <row r="1239" spans="22:48" x14ac:dyDescent="0.25">
      <c r="V1239"/>
      <c r="AV1239" s="100"/>
    </row>
    <row r="1240" spans="22:48" x14ac:dyDescent="0.25">
      <c r="V1240"/>
      <c r="AV1240" s="100"/>
    </row>
    <row r="1241" spans="22:48" x14ac:dyDescent="0.25">
      <c r="V1241"/>
      <c r="AV1241" s="100"/>
    </row>
    <row r="1242" spans="22:48" x14ac:dyDescent="0.25">
      <c r="V1242"/>
      <c r="AV1242" s="100"/>
    </row>
    <row r="1243" spans="22:48" x14ac:dyDescent="0.25">
      <c r="V1243"/>
      <c r="AV1243" s="100"/>
    </row>
    <row r="1244" spans="22:48" x14ac:dyDescent="0.25">
      <c r="V1244"/>
      <c r="AV1244" s="100"/>
    </row>
    <row r="1245" spans="22:48" x14ac:dyDescent="0.25">
      <c r="V1245"/>
      <c r="AV1245" s="100"/>
    </row>
    <row r="1246" spans="22:48" x14ac:dyDescent="0.25">
      <c r="V1246"/>
      <c r="AV1246" s="100"/>
    </row>
    <row r="1247" spans="22:48" x14ac:dyDescent="0.25">
      <c r="V1247"/>
      <c r="AV1247" s="100"/>
    </row>
    <row r="1248" spans="22:48" x14ac:dyDescent="0.25">
      <c r="V1248"/>
      <c r="AV1248" s="100"/>
    </row>
    <row r="1249" spans="22:48" x14ac:dyDescent="0.25">
      <c r="V1249"/>
      <c r="AV1249" s="100"/>
    </row>
    <row r="1250" spans="22:48" x14ac:dyDescent="0.25">
      <c r="V1250"/>
      <c r="AV1250" s="100"/>
    </row>
    <row r="1251" spans="22:48" x14ac:dyDescent="0.25">
      <c r="V1251"/>
      <c r="AV1251" s="100"/>
    </row>
    <row r="1252" spans="22:48" x14ac:dyDescent="0.25">
      <c r="V1252"/>
      <c r="AV1252" s="100"/>
    </row>
    <row r="1253" spans="22:48" x14ac:dyDescent="0.25">
      <c r="V1253"/>
      <c r="AV1253" s="100"/>
    </row>
    <row r="1254" spans="22:48" x14ac:dyDescent="0.25">
      <c r="V1254"/>
      <c r="AV1254" s="100"/>
    </row>
    <row r="1255" spans="22:48" x14ac:dyDescent="0.25">
      <c r="V1255"/>
      <c r="AV1255" s="100"/>
    </row>
    <row r="1256" spans="22:48" x14ac:dyDescent="0.25">
      <c r="V1256"/>
      <c r="AV1256" s="100"/>
    </row>
    <row r="1257" spans="22:48" x14ac:dyDescent="0.25">
      <c r="V1257"/>
      <c r="AV1257" s="100"/>
    </row>
    <row r="1258" spans="22:48" x14ac:dyDescent="0.25">
      <c r="V1258"/>
      <c r="AV1258" s="100"/>
    </row>
    <row r="1259" spans="22:48" x14ac:dyDescent="0.25">
      <c r="V1259"/>
      <c r="AV1259" s="100"/>
    </row>
    <row r="1260" spans="22:48" x14ac:dyDescent="0.25">
      <c r="V1260"/>
      <c r="AV1260" s="100"/>
    </row>
    <row r="1261" spans="22:48" x14ac:dyDescent="0.25">
      <c r="V1261"/>
      <c r="AV1261" s="100"/>
    </row>
    <row r="1262" spans="22:48" x14ac:dyDescent="0.25">
      <c r="V1262"/>
      <c r="AV1262" s="100"/>
    </row>
    <row r="1263" spans="22:48" x14ac:dyDescent="0.25">
      <c r="V1263"/>
      <c r="AV1263" s="100"/>
    </row>
    <row r="1264" spans="22:48" x14ac:dyDescent="0.25">
      <c r="V1264"/>
      <c r="AV1264" s="100"/>
    </row>
    <row r="1265" spans="22:48" x14ac:dyDescent="0.25">
      <c r="V1265"/>
      <c r="AV1265" s="100"/>
    </row>
    <row r="1266" spans="22:48" x14ac:dyDescent="0.25">
      <c r="V1266"/>
      <c r="AV1266" s="100"/>
    </row>
    <row r="1267" spans="22:48" x14ac:dyDescent="0.25">
      <c r="V1267"/>
      <c r="AV1267" s="100"/>
    </row>
    <row r="1268" spans="22:48" x14ac:dyDescent="0.25">
      <c r="V1268"/>
      <c r="AV1268" s="100"/>
    </row>
    <row r="1269" spans="22:48" x14ac:dyDescent="0.25">
      <c r="V1269"/>
      <c r="AV1269" s="100"/>
    </row>
    <row r="1270" spans="22:48" x14ac:dyDescent="0.25">
      <c r="V1270"/>
      <c r="AV1270" s="100"/>
    </row>
    <row r="1271" spans="22:48" x14ac:dyDescent="0.25">
      <c r="V1271"/>
      <c r="AV1271" s="100"/>
    </row>
    <row r="1272" spans="22:48" x14ac:dyDescent="0.25">
      <c r="V1272"/>
      <c r="AV1272" s="100"/>
    </row>
    <row r="1273" spans="22:48" x14ac:dyDescent="0.25">
      <c r="V1273"/>
      <c r="AV1273" s="100"/>
    </row>
    <row r="1274" spans="22:48" x14ac:dyDescent="0.25">
      <c r="V1274"/>
      <c r="AV1274" s="100"/>
    </row>
    <row r="1275" spans="22:48" x14ac:dyDescent="0.25">
      <c r="V1275"/>
      <c r="AV1275" s="100"/>
    </row>
    <row r="1276" spans="22:48" x14ac:dyDescent="0.25">
      <c r="V1276"/>
      <c r="AV1276" s="100"/>
    </row>
    <row r="1277" spans="22:48" x14ac:dyDescent="0.25">
      <c r="V1277"/>
      <c r="AV1277" s="100"/>
    </row>
    <row r="1278" spans="22:48" x14ac:dyDescent="0.25">
      <c r="V1278"/>
      <c r="AV1278" s="100"/>
    </row>
    <row r="1279" spans="22:48" x14ac:dyDescent="0.25">
      <c r="V1279"/>
      <c r="AV1279" s="100"/>
    </row>
    <row r="1280" spans="22:48" x14ac:dyDescent="0.25">
      <c r="V1280"/>
      <c r="AV1280" s="100"/>
    </row>
    <row r="1281" spans="22:48" x14ac:dyDescent="0.25">
      <c r="V1281"/>
      <c r="AV1281" s="100"/>
    </row>
    <row r="1282" spans="22:48" x14ac:dyDescent="0.25">
      <c r="V1282"/>
      <c r="AV1282" s="100"/>
    </row>
    <row r="1283" spans="22:48" x14ac:dyDescent="0.25">
      <c r="V1283"/>
      <c r="AV1283" s="100"/>
    </row>
    <row r="1284" spans="22:48" x14ac:dyDescent="0.25">
      <c r="V1284"/>
      <c r="AV1284" s="100"/>
    </row>
    <row r="1285" spans="22:48" x14ac:dyDescent="0.25">
      <c r="V1285"/>
      <c r="AV1285" s="100"/>
    </row>
    <row r="1286" spans="22:48" x14ac:dyDescent="0.25">
      <c r="V1286"/>
      <c r="AV1286" s="100"/>
    </row>
    <row r="1287" spans="22:48" x14ac:dyDescent="0.25">
      <c r="V1287"/>
      <c r="AV1287" s="100"/>
    </row>
    <row r="1288" spans="22:48" x14ac:dyDescent="0.25">
      <c r="V1288"/>
      <c r="AV1288" s="100"/>
    </row>
    <row r="1289" spans="22:48" x14ac:dyDescent="0.25">
      <c r="V1289"/>
      <c r="AV1289" s="100"/>
    </row>
    <row r="1290" spans="22:48" x14ac:dyDescent="0.25">
      <c r="V1290"/>
      <c r="AV1290" s="100"/>
    </row>
    <row r="1291" spans="22:48" x14ac:dyDescent="0.25">
      <c r="V1291"/>
      <c r="AV1291" s="100"/>
    </row>
    <row r="1292" spans="22:48" x14ac:dyDescent="0.25">
      <c r="V1292"/>
      <c r="AV1292" s="100"/>
    </row>
    <row r="1293" spans="22:48" x14ac:dyDescent="0.25">
      <c r="V1293"/>
      <c r="AV1293" s="100"/>
    </row>
    <row r="1294" spans="22:48" x14ac:dyDescent="0.25">
      <c r="V1294"/>
      <c r="AV1294" s="100"/>
    </row>
    <row r="1295" spans="22:48" x14ac:dyDescent="0.25">
      <c r="AV1295" s="100"/>
    </row>
    <row r="1296" spans="22:48" x14ac:dyDescent="0.25">
      <c r="AV1296" s="100"/>
    </row>
    <row r="1297" spans="48:48" x14ac:dyDescent="0.25">
      <c r="AV1297" s="100"/>
    </row>
    <row r="1298" spans="48:48" x14ac:dyDescent="0.25">
      <c r="AV1298" s="100"/>
    </row>
    <row r="1299" spans="48:48" x14ac:dyDescent="0.25">
      <c r="AV1299" s="100"/>
    </row>
    <row r="1300" spans="48:48" x14ac:dyDescent="0.25">
      <c r="AV1300" s="100"/>
    </row>
    <row r="1301" spans="48:48" x14ac:dyDescent="0.25">
      <c r="AV1301" s="100"/>
    </row>
    <row r="1302" spans="48:48" x14ac:dyDescent="0.25">
      <c r="AV1302" s="100"/>
    </row>
    <row r="1303" spans="48:48" x14ac:dyDescent="0.25">
      <c r="AV1303" s="100"/>
    </row>
    <row r="1304" spans="48:48" x14ac:dyDescent="0.25">
      <c r="AV1304" s="100"/>
    </row>
    <row r="1305" spans="48:48" x14ac:dyDescent="0.25">
      <c r="AV1305" s="100"/>
    </row>
    <row r="1306" spans="48:48" x14ac:dyDescent="0.25">
      <c r="AV1306" s="100"/>
    </row>
    <row r="1307" spans="48:48" x14ac:dyDescent="0.25">
      <c r="AV1307" s="100"/>
    </row>
    <row r="1308" spans="48:48" x14ac:dyDescent="0.25">
      <c r="AV1308" s="100"/>
    </row>
    <row r="1309" spans="48:48" x14ac:dyDescent="0.25">
      <c r="AV1309" s="100"/>
    </row>
    <row r="1310" spans="48:48" x14ac:dyDescent="0.25">
      <c r="AV1310" s="100"/>
    </row>
    <row r="1311" spans="48:48" x14ac:dyDescent="0.25">
      <c r="AV1311" s="100"/>
    </row>
    <row r="1312" spans="48:48" x14ac:dyDescent="0.25">
      <c r="AV1312" s="100"/>
    </row>
    <row r="1313" spans="48:48" x14ac:dyDescent="0.25">
      <c r="AV1313" s="100"/>
    </row>
    <row r="1314" spans="48:48" x14ac:dyDescent="0.25">
      <c r="AV1314" s="100"/>
    </row>
    <row r="1315" spans="48:48" x14ac:dyDescent="0.25">
      <c r="AV1315" s="100"/>
    </row>
    <row r="1316" spans="48:48" x14ac:dyDescent="0.25">
      <c r="AV1316" s="100"/>
    </row>
    <row r="1317" spans="48:48" x14ac:dyDescent="0.25">
      <c r="AV1317" s="100"/>
    </row>
    <row r="1318" spans="48:48" x14ac:dyDescent="0.25">
      <c r="AV1318" s="100"/>
    </row>
    <row r="1319" spans="48:48" x14ac:dyDescent="0.25">
      <c r="AV1319" s="100"/>
    </row>
    <row r="1320" spans="48:48" x14ac:dyDescent="0.25">
      <c r="AV1320" s="100"/>
    </row>
    <row r="1321" spans="48:48" x14ac:dyDescent="0.25">
      <c r="AV1321" s="100"/>
    </row>
    <row r="1322" spans="48:48" x14ac:dyDescent="0.25">
      <c r="AV1322" s="100"/>
    </row>
    <row r="1323" spans="48:48" x14ac:dyDescent="0.25">
      <c r="AV1323" s="100"/>
    </row>
    <row r="1324" spans="48:48" x14ac:dyDescent="0.25">
      <c r="AV1324" s="100"/>
    </row>
    <row r="1325" spans="48:48" x14ac:dyDescent="0.25">
      <c r="AV1325" s="100"/>
    </row>
    <row r="1326" spans="48:48" x14ac:dyDescent="0.25">
      <c r="AV1326" s="100"/>
    </row>
    <row r="1327" spans="48:48" x14ac:dyDescent="0.25">
      <c r="AV1327" s="100"/>
    </row>
    <row r="1328" spans="48:48" x14ac:dyDescent="0.25">
      <c r="AV1328" s="100"/>
    </row>
    <row r="1329" spans="48:48" x14ac:dyDescent="0.25">
      <c r="AV1329" s="100"/>
    </row>
    <row r="1330" spans="48:48" x14ac:dyDescent="0.25">
      <c r="AV1330" s="100"/>
    </row>
    <row r="1331" spans="48:48" x14ac:dyDescent="0.25">
      <c r="AV1331" s="100"/>
    </row>
    <row r="1332" spans="48:48" x14ac:dyDescent="0.25">
      <c r="AV1332" s="100"/>
    </row>
    <row r="1333" spans="48:48" x14ac:dyDescent="0.25">
      <c r="AV1333" s="100"/>
    </row>
    <row r="1334" spans="48:48" x14ac:dyDescent="0.25">
      <c r="AV1334" s="100"/>
    </row>
    <row r="1335" spans="48:48" x14ac:dyDescent="0.25">
      <c r="AV1335" s="100"/>
    </row>
    <row r="1336" spans="48:48" x14ac:dyDescent="0.25">
      <c r="AV1336" s="100"/>
    </row>
    <row r="1337" spans="48:48" x14ac:dyDescent="0.25">
      <c r="AV1337" s="100"/>
    </row>
    <row r="1338" spans="48:48" x14ac:dyDescent="0.25">
      <c r="AV1338" s="100"/>
    </row>
    <row r="1339" spans="48:48" x14ac:dyDescent="0.25">
      <c r="AV1339" s="100"/>
    </row>
    <row r="1340" spans="48:48" x14ac:dyDescent="0.25">
      <c r="AV1340" s="100"/>
    </row>
    <row r="1341" spans="48:48" x14ac:dyDescent="0.25">
      <c r="AV1341" s="100"/>
    </row>
    <row r="1342" spans="48:48" x14ac:dyDescent="0.25">
      <c r="AV1342" s="100"/>
    </row>
    <row r="1343" spans="48:48" x14ac:dyDescent="0.25">
      <c r="AV1343" s="100"/>
    </row>
    <row r="1344" spans="48:48" x14ac:dyDescent="0.25">
      <c r="AV1344" s="100"/>
    </row>
    <row r="1345" spans="48:48" x14ac:dyDescent="0.25">
      <c r="AV1345" s="100"/>
    </row>
    <row r="1346" spans="48:48" x14ac:dyDescent="0.25">
      <c r="AV1346" s="100"/>
    </row>
    <row r="1347" spans="48:48" x14ac:dyDescent="0.25">
      <c r="AV1347" s="100"/>
    </row>
    <row r="1348" spans="48:48" x14ac:dyDescent="0.25">
      <c r="AV1348" s="100"/>
    </row>
    <row r="1349" spans="48:48" x14ac:dyDescent="0.25">
      <c r="AV1349" s="100"/>
    </row>
    <row r="1350" spans="48:48" x14ac:dyDescent="0.25">
      <c r="AV1350" s="100"/>
    </row>
    <row r="1351" spans="48:48" x14ac:dyDescent="0.25">
      <c r="AV1351" s="100"/>
    </row>
    <row r="1352" spans="48:48" x14ac:dyDescent="0.25">
      <c r="AV1352" s="100"/>
    </row>
    <row r="1353" spans="48:48" x14ac:dyDescent="0.25">
      <c r="AV1353" s="100"/>
    </row>
    <row r="1354" spans="48:48" x14ac:dyDescent="0.25">
      <c r="AV1354" s="100"/>
    </row>
    <row r="1355" spans="48:48" x14ac:dyDescent="0.25">
      <c r="AV1355" s="100"/>
    </row>
    <row r="1356" spans="48:48" x14ac:dyDescent="0.25">
      <c r="AV1356" s="100"/>
    </row>
    <row r="1357" spans="48:48" x14ac:dyDescent="0.25">
      <c r="AV1357" s="100"/>
    </row>
    <row r="1358" spans="48:48" x14ac:dyDescent="0.25">
      <c r="AV1358" s="100"/>
    </row>
    <row r="1359" spans="48:48" x14ac:dyDescent="0.25">
      <c r="AV1359" s="100"/>
    </row>
    <row r="1360" spans="48:48" x14ac:dyDescent="0.25">
      <c r="AV1360" s="100"/>
    </row>
    <row r="1361" spans="48:48" x14ac:dyDescent="0.25">
      <c r="AV1361" s="100"/>
    </row>
    <row r="1362" spans="48:48" x14ac:dyDescent="0.25">
      <c r="AV1362" s="100"/>
    </row>
    <row r="1363" spans="48:48" x14ac:dyDescent="0.25">
      <c r="AV1363" s="100"/>
    </row>
    <row r="1364" spans="48:48" x14ac:dyDescent="0.25">
      <c r="AV1364" s="100"/>
    </row>
    <row r="1365" spans="48:48" x14ac:dyDescent="0.25">
      <c r="AV1365" s="100"/>
    </row>
    <row r="1366" spans="48:48" x14ac:dyDescent="0.25">
      <c r="AV1366" s="100"/>
    </row>
    <row r="1367" spans="48:48" x14ac:dyDescent="0.25">
      <c r="AV1367" s="100"/>
    </row>
    <row r="1368" spans="48:48" x14ac:dyDescent="0.25">
      <c r="AV1368" s="100"/>
    </row>
    <row r="1369" spans="48:48" x14ac:dyDescent="0.25">
      <c r="AV1369" s="100"/>
    </row>
    <row r="1370" spans="48:48" x14ac:dyDescent="0.25">
      <c r="AV1370" s="100"/>
    </row>
    <row r="1371" spans="48:48" x14ac:dyDescent="0.25">
      <c r="AV1371" s="100"/>
    </row>
    <row r="1372" spans="48:48" x14ac:dyDescent="0.25">
      <c r="AV1372" s="100"/>
    </row>
    <row r="1373" spans="48:48" x14ac:dyDescent="0.25">
      <c r="AV1373" s="100"/>
    </row>
    <row r="1374" spans="48:48" x14ac:dyDescent="0.25">
      <c r="AV1374" s="100"/>
    </row>
    <row r="1375" spans="48:48" x14ac:dyDescent="0.25">
      <c r="AV1375" s="100"/>
    </row>
    <row r="1376" spans="48:48" x14ac:dyDescent="0.25">
      <c r="AV1376" s="100"/>
    </row>
    <row r="1377" spans="48:48" x14ac:dyDescent="0.25">
      <c r="AV1377" s="100"/>
    </row>
    <row r="1378" spans="48:48" x14ac:dyDescent="0.25">
      <c r="AV1378" s="100"/>
    </row>
    <row r="1379" spans="48:48" x14ac:dyDescent="0.25">
      <c r="AV1379" s="100"/>
    </row>
    <row r="1380" spans="48:48" x14ac:dyDescent="0.25">
      <c r="AV1380" s="100"/>
    </row>
    <row r="1381" spans="48:48" x14ac:dyDescent="0.25">
      <c r="AV1381" s="100"/>
    </row>
    <row r="1382" spans="48:48" x14ac:dyDescent="0.25">
      <c r="AV1382" s="100"/>
    </row>
    <row r="1383" spans="48:48" x14ac:dyDescent="0.25">
      <c r="AV1383" s="100"/>
    </row>
    <row r="1384" spans="48:48" x14ac:dyDescent="0.25">
      <c r="AV1384" s="100"/>
    </row>
    <row r="1385" spans="48:48" x14ac:dyDescent="0.25">
      <c r="AV1385" s="100"/>
    </row>
    <row r="1386" spans="48:48" x14ac:dyDescent="0.25">
      <c r="AV1386" s="100"/>
    </row>
    <row r="1387" spans="48:48" x14ac:dyDescent="0.25">
      <c r="AV1387" s="100"/>
    </row>
    <row r="1388" spans="48:48" x14ac:dyDescent="0.25">
      <c r="AV1388" s="100"/>
    </row>
    <row r="1389" spans="48:48" x14ac:dyDescent="0.25">
      <c r="AV1389" s="100"/>
    </row>
    <row r="1390" spans="48:48" x14ac:dyDescent="0.25">
      <c r="AV1390" s="100"/>
    </row>
    <row r="1391" spans="48:48" x14ac:dyDescent="0.25">
      <c r="AV1391" s="100"/>
    </row>
    <row r="1392" spans="48:48" x14ac:dyDescent="0.25">
      <c r="AV1392" s="100"/>
    </row>
    <row r="1393" spans="48:48" x14ac:dyDescent="0.25">
      <c r="AV1393" s="100"/>
    </row>
    <row r="1394" spans="48:48" x14ac:dyDescent="0.25">
      <c r="AV1394" s="100"/>
    </row>
    <row r="1395" spans="48:48" x14ac:dyDescent="0.25">
      <c r="AV1395" s="100"/>
    </row>
    <row r="1396" spans="48:48" x14ac:dyDescent="0.25">
      <c r="AV1396" s="100"/>
    </row>
    <row r="1397" spans="48:48" x14ac:dyDescent="0.25">
      <c r="AV1397" s="100"/>
    </row>
    <row r="1398" spans="48:48" x14ac:dyDescent="0.25">
      <c r="AV1398" s="100"/>
    </row>
    <row r="1399" spans="48:48" x14ac:dyDescent="0.25">
      <c r="AV1399" s="100"/>
    </row>
    <row r="1400" spans="48:48" x14ac:dyDescent="0.25">
      <c r="AV1400" s="100"/>
    </row>
    <row r="1401" spans="48:48" x14ac:dyDescent="0.25">
      <c r="AV1401" s="100"/>
    </row>
    <row r="1402" spans="48:48" x14ac:dyDescent="0.25">
      <c r="AV1402" s="100"/>
    </row>
    <row r="1403" spans="48:48" x14ac:dyDescent="0.25">
      <c r="AV1403" s="100"/>
    </row>
    <row r="1404" spans="48:48" x14ac:dyDescent="0.25">
      <c r="AV1404" s="100"/>
    </row>
    <row r="1405" spans="48:48" x14ac:dyDescent="0.25">
      <c r="AV1405" s="100"/>
    </row>
    <row r="1406" spans="48:48" x14ac:dyDescent="0.25">
      <c r="AV1406" s="100"/>
    </row>
    <row r="1407" spans="48:48" x14ac:dyDescent="0.25">
      <c r="AV1407" s="100"/>
    </row>
    <row r="1408" spans="48:48" x14ac:dyDescent="0.25">
      <c r="AV1408" s="100"/>
    </row>
    <row r="1409" spans="48:48" x14ac:dyDescent="0.25">
      <c r="AV1409" s="100"/>
    </row>
    <row r="1410" spans="48:48" x14ac:dyDescent="0.25">
      <c r="AV1410" s="100"/>
    </row>
    <row r="1411" spans="48:48" x14ac:dyDescent="0.25">
      <c r="AV1411" s="100"/>
    </row>
    <row r="1412" spans="48:48" x14ac:dyDescent="0.25">
      <c r="AV1412" s="100"/>
    </row>
    <row r="1413" spans="48:48" x14ac:dyDescent="0.25">
      <c r="AV1413" s="100"/>
    </row>
    <row r="1414" spans="48:48" x14ac:dyDescent="0.25">
      <c r="AV1414" s="100"/>
    </row>
    <row r="1415" spans="48:48" x14ac:dyDescent="0.25">
      <c r="AV1415" s="100"/>
    </row>
    <row r="1416" spans="48:48" x14ac:dyDescent="0.25">
      <c r="AV1416" s="100"/>
    </row>
    <row r="1417" spans="48:48" x14ac:dyDescent="0.25">
      <c r="AV1417" s="100"/>
    </row>
    <row r="1418" spans="48:48" x14ac:dyDescent="0.25">
      <c r="AV1418" s="100"/>
    </row>
    <row r="1419" spans="48:48" x14ac:dyDescent="0.25">
      <c r="AV1419" s="100"/>
    </row>
    <row r="1420" spans="48:48" x14ac:dyDescent="0.25">
      <c r="AV1420" s="100"/>
    </row>
    <row r="1421" spans="48:48" x14ac:dyDescent="0.25">
      <c r="AV1421" s="100"/>
    </row>
    <row r="1422" spans="48:48" x14ac:dyDescent="0.25">
      <c r="AV1422" s="100"/>
    </row>
    <row r="1423" spans="48:48" x14ac:dyDescent="0.25">
      <c r="AV1423" s="100"/>
    </row>
    <row r="1424" spans="48:48" x14ac:dyDescent="0.25">
      <c r="AV1424" s="100"/>
    </row>
    <row r="1425" spans="48:48" x14ac:dyDescent="0.25">
      <c r="AV1425" s="100"/>
    </row>
    <row r="1426" spans="48:48" x14ac:dyDescent="0.25">
      <c r="AV1426" s="100"/>
    </row>
    <row r="1427" spans="48:48" x14ac:dyDescent="0.25">
      <c r="AV1427" s="100"/>
    </row>
    <row r="1428" spans="48:48" x14ac:dyDescent="0.25">
      <c r="AV1428" s="100"/>
    </row>
    <row r="1429" spans="48:48" x14ac:dyDescent="0.25">
      <c r="AV1429" s="100"/>
    </row>
    <row r="1430" spans="48:48" x14ac:dyDescent="0.25">
      <c r="AV1430" s="100"/>
    </row>
    <row r="1431" spans="48:48" x14ac:dyDescent="0.25">
      <c r="AV1431" s="100"/>
    </row>
    <row r="1432" spans="48:48" x14ac:dyDescent="0.25">
      <c r="AV1432" s="100"/>
    </row>
    <row r="1433" spans="48:48" x14ac:dyDescent="0.25">
      <c r="AV1433" s="100"/>
    </row>
    <row r="1434" spans="48:48" x14ac:dyDescent="0.25">
      <c r="AV1434" s="100"/>
    </row>
    <row r="1435" spans="48:48" x14ac:dyDescent="0.25">
      <c r="AV1435" s="100"/>
    </row>
    <row r="1436" spans="48:48" x14ac:dyDescent="0.25">
      <c r="AV1436" s="100"/>
    </row>
    <row r="1437" spans="48:48" x14ac:dyDescent="0.25">
      <c r="AV1437" s="100"/>
    </row>
    <row r="1438" spans="48:48" x14ac:dyDescent="0.25">
      <c r="AV1438" s="100"/>
    </row>
    <row r="1439" spans="48:48" x14ac:dyDescent="0.25">
      <c r="AV1439" s="100"/>
    </row>
    <row r="1440" spans="48:48" x14ac:dyDescent="0.25">
      <c r="AV1440" s="100"/>
    </row>
    <row r="1441" spans="48:48" x14ac:dyDescent="0.25">
      <c r="AV1441" s="100"/>
    </row>
    <row r="1442" spans="48:48" x14ac:dyDescent="0.25">
      <c r="AV1442" s="100"/>
    </row>
    <row r="1443" spans="48:48" x14ac:dyDescent="0.25">
      <c r="AV1443" s="100"/>
    </row>
    <row r="1444" spans="48:48" x14ac:dyDescent="0.25">
      <c r="AV1444" s="100"/>
    </row>
    <row r="1445" spans="48:48" x14ac:dyDescent="0.25">
      <c r="AV1445" s="100"/>
    </row>
    <row r="1446" spans="48:48" x14ac:dyDescent="0.25">
      <c r="AV1446" s="100"/>
    </row>
    <row r="1447" spans="48:48" x14ac:dyDescent="0.25">
      <c r="AV1447" s="100"/>
    </row>
    <row r="1448" spans="48:48" x14ac:dyDescent="0.25">
      <c r="AV1448" s="100"/>
    </row>
    <row r="1449" spans="48:48" x14ac:dyDescent="0.25">
      <c r="AV1449" s="100"/>
    </row>
    <row r="1450" spans="48:48" x14ac:dyDescent="0.25">
      <c r="AV1450" s="100"/>
    </row>
    <row r="1451" spans="48:48" x14ac:dyDescent="0.25">
      <c r="AV1451" s="100"/>
    </row>
    <row r="1452" spans="48:48" x14ac:dyDescent="0.25">
      <c r="AV1452" s="100"/>
    </row>
    <row r="1453" spans="48:48" x14ac:dyDescent="0.25">
      <c r="AV1453" s="100"/>
    </row>
    <row r="1454" spans="48:48" x14ac:dyDescent="0.25">
      <c r="AV1454" s="100"/>
    </row>
    <row r="1455" spans="48:48" x14ac:dyDescent="0.25">
      <c r="AV1455" s="100"/>
    </row>
    <row r="1456" spans="48:48" x14ac:dyDescent="0.25">
      <c r="AV1456" s="100"/>
    </row>
    <row r="1457" spans="48:48" x14ac:dyDescent="0.25">
      <c r="AV1457" s="100"/>
    </row>
    <row r="1458" spans="48:48" x14ac:dyDescent="0.25">
      <c r="AV1458" s="100"/>
    </row>
    <row r="1459" spans="48:48" x14ac:dyDescent="0.25">
      <c r="AV1459" s="100"/>
    </row>
    <row r="1460" spans="48:48" x14ac:dyDescent="0.25">
      <c r="AV1460" s="100"/>
    </row>
    <row r="1461" spans="48:48" x14ac:dyDescent="0.25">
      <c r="AV1461" s="100"/>
    </row>
    <row r="1462" spans="48:48" x14ac:dyDescent="0.25">
      <c r="AV1462" s="100"/>
    </row>
    <row r="1463" spans="48:48" x14ac:dyDescent="0.25">
      <c r="AV1463" s="100"/>
    </row>
    <row r="1464" spans="48:48" x14ac:dyDescent="0.25">
      <c r="AV1464" s="100"/>
    </row>
    <row r="1465" spans="48:48" x14ac:dyDescent="0.25">
      <c r="AV1465" s="100"/>
    </row>
    <row r="1466" spans="48:48" x14ac:dyDescent="0.25">
      <c r="AV1466" s="100"/>
    </row>
    <row r="1467" spans="48:48" x14ac:dyDescent="0.25">
      <c r="AV1467" s="100"/>
    </row>
    <row r="1468" spans="48:48" x14ac:dyDescent="0.25">
      <c r="AV1468" s="100"/>
    </row>
    <row r="1469" spans="48:48" x14ac:dyDescent="0.25">
      <c r="AV1469" s="100"/>
    </row>
    <row r="1470" spans="48:48" x14ac:dyDescent="0.25">
      <c r="AV1470" s="100"/>
    </row>
    <row r="1471" spans="48:48" x14ac:dyDescent="0.25">
      <c r="AV1471" s="100"/>
    </row>
    <row r="1472" spans="48:48" x14ac:dyDescent="0.25">
      <c r="AV1472" s="100"/>
    </row>
    <row r="1473" spans="48:48" x14ac:dyDescent="0.25">
      <c r="AV1473" s="100"/>
    </row>
    <row r="1474" spans="48:48" x14ac:dyDescent="0.25">
      <c r="AV1474" s="100"/>
    </row>
    <row r="1475" spans="48:48" x14ac:dyDescent="0.25">
      <c r="AV1475" s="100"/>
    </row>
    <row r="1476" spans="48:48" x14ac:dyDescent="0.25">
      <c r="AV1476" s="100"/>
    </row>
    <row r="1477" spans="48:48" x14ac:dyDescent="0.25">
      <c r="AV1477" s="100"/>
    </row>
    <row r="1478" spans="48:48" x14ac:dyDescent="0.25">
      <c r="AV1478" s="100"/>
    </row>
    <row r="1479" spans="48:48" x14ac:dyDescent="0.25">
      <c r="AV1479" s="100"/>
    </row>
    <row r="1480" spans="48:48" x14ac:dyDescent="0.25">
      <c r="AV1480" s="100"/>
    </row>
    <row r="1481" spans="48:48" x14ac:dyDescent="0.25">
      <c r="AV1481" s="100"/>
    </row>
    <row r="1482" spans="48:48" x14ac:dyDescent="0.25">
      <c r="AV1482" s="100"/>
    </row>
    <row r="1483" spans="48:48" x14ac:dyDescent="0.25">
      <c r="AV1483" s="100"/>
    </row>
    <row r="1484" spans="48:48" x14ac:dyDescent="0.25">
      <c r="AV1484" s="100"/>
    </row>
    <row r="1485" spans="48:48" x14ac:dyDescent="0.25">
      <c r="AV1485" s="100"/>
    </row>
    <row r="1486" spans="48:48" x14ac:dyDescent="0.25">
      <c r="AV1486" s="100"/>
    </row>
    <row r="1487" spans="48:48" x14ac:dyDescent="0.25">
      <c r="AV1487" s="100"/>
    </row>
    <row r="1488" spans="48:48" x14ac:dyDescent="0.25">
      <c r="AV1488" s="100"/>
    </row>
    <row r="1489" spans="48:48" x14ac:dyDescent="0.25">
      <c r="AV1489" s="100"/>
    </row>
    <row r="1490" spans="48:48" x14ac:dyDescent="0.25">
      <c r="AV1490" s="100"/>
    </row>
    <row r="1491" spans="48:48" x14ac:dyDescent="0.25">
      <c r="AV1491" s="100"/>
    </row>
    <row r="1492" spans="48:48" x14ac:dyDescent="0.25">
      <c r="AV1492" s="100"/>
    </row>
    <row r="1493" spans="48:48" x14ac:dyDescent="0.25">
      <c r="AV1493" s="100"/>
    </row>
    <row r="1494" spans="48:48" x14ac:dyDescent="0.25">
      <c r="AV1494" s="100"/>
    </row>
    <row r="1495" spans="48:48" x14ac:dyDescent="0.25">
      <c r="AV1495" s="100"/>
    </row>
    <row r="1496" spans="48:48" x14ac:dyDescent="0.25">
      <c r="AV1496" s="100"/>
    </row>
    <row r="1497" spans="48:48" x14ac:dyDescent="0.25">
      <c r="AV1497" s="100"/>
    </row>
    <row r="1498" spans="48:48" x14ac:dyDescent="0.25">
      <c r="AV1498" s="100"/>
    </row>
    <row r="1499" spans="48:48" x14ac:dyDescent="0.25">
      <c r="AV1499" s="100"/>
    </row>
    <row r="1500" spans="48:48" x14ac:dyDescent="0.25">
      <c r="AV1500" s="100"/>
    </row>
    <row r="1501" spans="48:48" x14ac:dyDescent="0.25">
      <c r="AV1501" s="100"/>
    </row>
    <row r="1502" spans="48:48" x14ac:dyDescent="0.25">
      <c r="AV1502" s="100"/>
    </row>
    <row r="1503" spans="48:48" x14ac:dyDescent="0.25">
      <c r="AV1503" s="100"/>
    </row>
    <row r="1504" spans="48:48" x14ac:dyDescent="0.25">
      <c r="AV1504" s="100"/>
    </row>
    <row r="1505" spans="48:48" x14ac:dyDescent="0.25">
      <c r="AV1505" s="100"/>
    </row>
    <row r="1506" spans="48:48" x14ac:dyDescent="0.25">
      <c r="AV1506" s="100"/>
    </row>
    <row r="1507" spans="48:48" x14ac:dyDescent="0.25">
      <c r="AV1507" s="100"/>
    </row>
    <row r="1508" spans="48:48" x14ac:dyDescent="0.25">
      <c r="AV1508" s="100"/>
    </row>
    <row r="1509" spans="48:48" x14ac:dyDescent="0.25">
      <c r="AV1509" s="100"/>
    </row>
    <row r="1510" spans="48:48" x14ac:dyDescent="0.25">
      <c r="AV1510" s="100"/>
    </row>
    <row r="1511" spans="48:48" x14ac:dyDescent="0.25">
      <c r="AV1511" s="100"/>
    </row>
    <row r="1512" spans="48:48" x14ac:dyDescent="0.25">
      <c r="AV1512" s="100"/>
    </row>
    <row r="1513" spans="48:48" x14ac:dyDescent="0.25">
      <c r="AV1513" s="100"/>
    </row>
    <row r="1514" spans="48:48" x14ac:dyDescent="0.25">
      <c r="AV1514" s="100"/>
    </row>
    <row r="1515" spans="48:48" x14ac:dyDescent="0.25">
      <c r="AV1515" s="100"/>
    </row>
    <row r="1516" spans="48:48" x14ac:dyDescent="0.25">
      <c r="AV1516" s="100"/>
    </row>
    <row r="1517" spans="48:48" x14ac:dyDescent="0.25">
      <c r="AV1517" s="100"/>
    </row>
    <row r="1518" spans="48:48" x14ac:dyDescent="0.25">
      <c r="AV1518" s="100"/>
    </row>
    <row r="1519" spans="48:48" x14ac:dyDescent="0.25">
      <c r="AV1519" s="100"/>
    </row>
    <row r="1520" spans="48:48" x14ac:dyDescent="0.25">
      <c r="AV1520" s="100"/>
    </row>
    <row r="1521" spans="48:48" x14ac:dyDescent="0.25">
      <c r="AV1521" s="100"/>
    </row>
    <row r="1522" spans="48:48" x14ac:dyDescent="0.25">
      <c r="AV1522" s="100"/>
    </row>
    <row r="1523" spans="48:48" x14ac:dyDescent="0.25">
      <c r="AV1523" s="100"/>
    </row>
    <row r="1524" spans="48:48" x14ac:dyDescent="0.25">
      <c r="AV1524" s="100"/>
    </row>
    <row r="1525" spans="48:48" x14ac:dyDescent="0.25">
      <c r="AV1525" s="100"/>
    </row>
    <row r="1526" spans="48:48" x14ac:dyDescent="0.25">
      <c r="AV1526" s="100"/>
    </row>
    <row r="1527" spans="48:48" x14ac:dyDescent="0.25">
      <c r="AV1527" s="100"/>
    </row>
    <row r="1528" spans="48:48" x14ac:dyDescent="0.25">
      <c r="AV1528" s="100"/>
    </row>
    <row r="1529" spans="48:48" x14ac:dyDescent="0.25">
      <c r="AV1529" s="100"/>
    </row>
    <row r="1530" spans="48:48" x14ac:dyDescent="0.25">
      <c r="AV1530" s="100"/>
    </row>
    <row r="1531" spans="48:48" x14ac:dyDescent="0.25">
      <c r="AV1531" s="100"/>
    </row>
    <row r="1532" spans="48:48" x14ac:dyDescent="0.25">
      <c r="AV1532" s="100"/>
    </row>
    <row r="1533" spans="48:48" x14ac:dyDescent="0.25">
      <c r="AV1533" s="100"/>
    </row>
    <row r="1534" spans="48:48" x14ac:dyDescent="0.25">
      <c r="AV1534" s="100"/>
    </row>
    <row r="1535" spans="48:48" x14ac:dyDescent="0.25">
      <c r="AV1535" s="100"/>
    </row>
    <row r="1536" spans="48:48" x14ac:dyDescent="0.25">
      <c r="AV1536" s="100"/>
    </row>
    <row r="1537" spans="48:48" x14ac:dyDescent="0.25">
      <c r="AV1537" s="100"/>
    </row>
    <row r="1538" spans="48:48" x14ac:dyDescent="0.25">
      <c r="AV1538" s="100"/>
    </row>
    <row r="1539" spans="48:48" x14ac:dyDescent="0.25">
      <c r="AV1539" s="100"/>
    </row>
    <row r="1540" spans="48:48" x14ac:dyDescent="0.25">
      <c r="AV1540" s="100"/>
    </row>
    <row r="1541" spans="48:48" x14ac:dyDescent="0.25">
      <c r="AV1541" s="100"/>
    </row>
    <row r="1542" spans="48:48" x14ac:dyDescent="0.25">
      <c r="AV1542" s="100"/>
    </row>
    <row r="1543" spans="48:48" x14ac:dyDescent="0.25">
      <c r="AV1543" s="100"/>
    </row>
    <row r="1544" spans="48:48" x14ac:dyDescent="0.25">
      <c r="AV1544" s="100"/>
    </row>
    <row r="1545" spans="48:48" x14ac:dyDescent="0.25">
      <c r="AV1545" s="100"/>
    </row>
    <row r="1546" spans="48:48" x14ac:dyDescent="0.25">
      <c r="AV1546" s="100"/>
    </row>
    <row r="1547" spans="48:48" x14ac:dyDescent="0.25">
      <c r="AV1547" s="100"/>
    </row>
    <row r="1548" spans="48:48" x14ac:dyDescent="0.25">
      <c r="AV1548" s="100"/>
    </row>
    <row r="1549" spans="48:48" x14ac:dyDescent="0.25">
      <c r="AV1549" s="100"/>
    </row>
    <row r="1550" spans="48:48" x14ac:dyDescent="0.25">
      <c r="AV1550" s="100"/>
    </row>
    <row r="1551" spans="48:48" x14ac:dyDescent="0.25">
      <c r="AV1551" s="100"/>
    </row>
    <row r="1552" spans="48:48" x14ac:dyDescent="0.25">
      <c r="AV1552" s="100"/>
    </row>
    <row r="1553" spans="48:48" x14ac:dyDescent="0.25">
      <c r="AV1553" s="100"/>
    </row>
    <row r="1554" spans="48:48" x14ac:dyDescent="0.25">
      <c r="AV1554" s="100"/>
    </row>
    <row r="1555" spans="48:48" x14ac:dyDescent="0.25">
      <c r="AV1555" s="100"/>
    </row>
    <row r="1556" spans="48:48" x14ac:dyDescent="0.25">
      <c r="AV1556" s="100"/>
    </row>
    <row r="1557" spans="48:48" x14ac:dyDescent="0.25">
      <c r="AV1557" s="100"/>
    </row>
    <row r="1558" spans="48:48" x14ac:dyDescent="0.25">
      <c r="AV1558" s="100"/>
    </row>
    <row r="1559" spans="48:48" x14ac:dyDescent="0.25">
      <c r="AV1559" s="100"/>
    </row>
    <row r="1560" spans="48:48" x14ac:dyDescent="0.25">
      <c r="AV1560" s="100"/>
    </row>
    <row r="1561" spans="48:48" x14ac:dyDescent="0.25">
      <c r="AV1561" s="100"/>
    </row>
    <row r="1562" spans="48:48" x14ac:dyDescent="0.25">
      <c r="AV1562" s="100"/>
    </row>
    <row r="1563" spans="48:48" x14ac:dyDescent="0.25">
      <c r="AV1563" s="100"/>
    </row>
    <row r="1564" spans="48:48" x14ac:dyDescent="0.25">
      <c r="AV1564" s="100"/>
    </row>
    <row r="1565" spans="48:48" x14ac:dyDescent="0.25">
      <c r="AV1565" s="100"/>
    </row>
    <row r="1566" spans="48:48" x14ac:dyDescent="0.25">
      <c r="AV1566" s="100"/>
    </row>
    <row r="1567" spans="48:48" x14ac:dyDescent="0.25">
      <c r="AV1567" s="100"/>
    </row>
    <row r="1568" spans="48:48" x14ac:dyDescent="0.25">
      <c r="AV1568" s="100"/>
    </row>
    <row r="1569" spans="48:48" x14ac:dyDescent="0.25">
      <c r="AV1569" s="100"/>
    </row>
    <row r="1570" spans="48:48" x14ac:dyDescent="0.25">
      <c r="AV1570" s="100"/>
    </row>
    <row r="1571" spans="48:48" x14ac:dyDescent="0.25">
      <c r="AV1571" s="100"/>
    </row>
    <row r="1572" spans="48:48" x14ac:dyDescent="0.25">
      <c r="AV1572" s="100"/>
    </row>
    <row r="1573" spans="48:48" x14ac:dyDescent="0.25">
      <c r="AV1573" s="100"/>
    </row>
    <row r="1574" spans="48:48" x14ac:dyDescent="0.25">
      <c r="AV1574" s="100"/>
    </row>
    <row r="1575" spans="48:48" x14ac:dyDescent="0.25">
      <c r="AV1575" s="100"/>
    </row>
    <row r="1576" spans="48:48" x14ac:dyDescent="0.25">
      <c r="AV1576" s="100"/>
    </row>
    <row r="1577" spans="48:48" x14ac:dyDescent="0.25">
      <c r="AV1577" s="100"/>
    </row>
    <row r="1578" spans="48:48" x14ac:dyDescent="0.25">
      <c r="AV1578" s="100"/>
    </row>
    <row r="1579" spans="48:48" x14ac:dyDescent="0.25">
      <c r="AV1579" s="100"/>
    </row>
    <row r="1580" spans="48:48" x14ac:dyDescent="0.25">
      <c r="AV1580" s="100"/>
    </row>
    <row r="1581" spans="48:48" x14ac:dyDescent="0.25">
      <c r="AV1581" s="100"/>
    </row>
    <row r="1582" spans="48:48" x14ac:dyDescent="0.25">
      <c r="AV1582" s="100"/>
    </row>
    <row r="1583" spans="48:48" x14ac:dyDescent="0.25">
      <c r="AV1583" s="100"/>
    </row>
    <row r="1584" spans="48:48" x14ac:dyDescent="0.25">
      <c r="AV1584" s="100"/>
    </row>
    <row r="1585" spans="48:48" x14ac:dyDescent="0.25">
      <c r="AV1585" s="100"/>
    </row>
    <row r="1586" spans="48:48" x14ac:dyDescent="0.25">
      <c r="AV1586" s="100"/>
    </row>
    <row r="1587" spans="48:48" x14ac:dyDescent="0.25">
      <c r="AV1587" s="100"/>
    </row>
    <row r="1588" spans="48:48" x14ac:dyDescent="0.25">
      <c r="AV1588" s="100"/>
    </row>
    <row r="1589" spans="48:48" x14ac:dyDescent="0.25">
      <c r="AV1589" s="100"/>
    </row>
    <row r="1590" spans="48:48" x14ac:dyDescent="0.25">
      <c r="AV1590" s="100"/>
    </row>
    <row r="1591" spans="48:48" x14ac:dyDescent="0.25">
      <c r="AV1591" s="100"/>
    </row>
    <row r="1592" spans="48:48" x14ac:dyDescent="0.25">
      <c r="AV1592" s="100"/>
    </row>
    <row r="1593" spans="48:48" x14ac:dyDescent="0.25">
      <c r="AV1593" s="100"/>
    </row>
    <row r="1594" spans="48:48" x14ac:dyDescent="0.25">
      <c r="AV1594" s="100"/>
    </row>
    <row r="1595" spans="48:48" x14ac:dyDescent="0.25">
      <c r="AV1595" s="100"/>
    </row>
  </sheetData>
  <sortState xmlns:xlrd2="http://schemas.microsoft.com/office/spreadsheetml/2017/richdata2" ref="A11:AY1023">
    <sortCondition ref="AV11:AV1023"/>
  </sortState>
  <pageMargins left="0.39370078740157483" right="0" top="0.39370078740157483" bottom="0" header="0" footer="0"/>
  <pageSetup paperSize="9" scale="9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5AAF-5175-4E57-A80B-D77A4650418A}">
  <dimension ref="A1:V1033"/>
  <sheetViews>
    <sheetView workbookViewId="0">
      <selection sqref="A1:XFD4"/>
    </sheetView>
  </sheetViews>
  <sheetFormatPr baseColWidth="10" defaultRowHeight="15" x14ac:dyDescent="0.25"/>
  <cols>
    <col min="1" max="1" width="2.7109375" customWidth="1"/>
    <col min="2" max="2" width="12.28515625" style="238" customWidth="1"/>
    <col min="3" max="3" width="7.140625" style="76" customWidth="1"/>
    <col min="4" max="4" width="4.85546875" customWidth="1"/>
    <col min="5" max="5" width="14.28515625" customWidth="1"/>
    <col min="6" max="6" width="39.85546875" customWidth="1"/>
    <col min="7" max="7" width="6" style="76" customWidth="1"/>
    <col min="8" max="8" width="6.140625" style="76" customWidth="1"/>
    <col min="9" max="9" width="5.28515625" style="1" customWidth="1"/>
    <col min="10" max="10" width="4.140625" style="2" customWidth="1"/>
    <col min="11" max="11" width="7.42578125" style="2" customWidth="1"/>
    <col min="12" max="12" width="8.5703125" customWidth="1"/>
    <col min="13" max="13" width="7.42578125" customWidth="1"/>
    <col min="14" max="14" width="7.7109375" style="2" hidden="1" customWidth="1"/>
    <col min="15" max="15" width="7.42578125" style="2" hidden="1" customWidth="1"/>
    <col min="16" max="16" width="8.42578125" style="2" hidden="1" customWidth="1"/>
    <col min="17" max="17" width="8.42578125" style="2" customWidth="1"/>
    <col min="18" max="18" width="13" style="17" customWidth="1"/>
    <col min="19" max="19" width="5" customWidth="1"/>
    <col min="20" max="21" width="5.140625" customWidth="1"/>
    <col min="22" max="22" width="5.28515625" customWidth="1"/>
  </cols>
  <sheetData>
    <row r="1" spans="1:22" ht="25.5" thickBot="1" x14ac:dyDescent="0.3">
      <c r="A1" s="320"/>
      <c r="B1" s="321" t="s">
        <v>2141</v>
      </c>
      <c r="C1" s="60"/>
      <c r="D1" s="322"/>
      <c r="E1" s="60" t="s">
        <v>2142</v>
      </c>
      <c r="F1" s="54"/>
      <c r="G1" s="62"/>
      <c r="H1" s="62"/>
      <c r="I1" s="62"/>
      <c r="J1" s="39"/>
      <c r="K1" s="63">
        <v>1</v>
      </c>
      <c r="L1" s="64" t="s">
        <v>898</v>
      </c>
      <c r="M1" s="64" t="s">
        <v>899</v>
      </c>
      <c r="N1" s="65" t="s">
        <v>900</v>
      </c>
      <c r="O1" s="66" t="s">
        <v>901</v>
      </c>
      <c r="P1" s="66" t="s">
        <v>811</v>
      </c>
      <c r="Q1" s="65" t="s">
        <v>902</v>
      </c>
      <c r="R1" s="390"/>
      <c r="S1" s="68"/>
      <c r="T1" s="26" t="s">
        <v>1806</v>
      </c>
      <c r="U1" s="245" t="s">
        <v>2473</v>
      </c>
      <c r="V1" s="68"/>
    </row>
    <row r="2" spans="1:22" ht="15.75" thickBot="1" x14ac:dyDescent="0.3">
      <c r="A2" s="323"/>
      <c r="B2" s="324" t="s">
        <v>2143</v>
      </c>
      <c r="C2" s="62"/>
      <c r="D2" s="318"/>
      <c r="E2" s="54" t="s">
        <v>2144</v>
      </c>
      <c r="F2" s="61"/>
      <c r="G2" s="62"/>
      <c r="H2" s="69" t="s">
        <v>903</v>
      </c>
      <c r="I2" s="70"/>
      <c r="J2" s="71" t="s">
        <v>904</v>
      </c>
      <c r="K2" s="72" t="s">
        <v>811</v>
      </c>
      <c r="L2" s="73" t="s">
        <v>905</v>
      </c>
      <c r="M2" s="73" t="s">
        <v>906</v>
      </c>
      <c r="N2" s="73" t="s">
        <v>886</v>
      </c>
      <c r="O2" s="73" t="s">
        <v>907</v>
      </c>
      <c r="P2" s="73" t="s">
        <v>908</v>
      </c>
      <c r="Q2" s="74" t="s">
        <v>909</v>
      </c>
      <c r="R2" s="391"/>
      <c r="S2" s="68"/>
      <c r="T2" s="2"/>
      <c r="U2" s="246"/>
      <c r="V2" s="68"/>
    </row>
    <row r="3" spans="1:22" ht="15.75" thickBot="1" x14ac:dyDescent="0.3">
      <c r="A3" s="54"/>
      <c r="B3" s="3"/>
      <c r="D3" s="2"/>
      <c r="E3" s="44"/>
      <c r="F3" s="77"/>
      <c r="G3" s="78" t="s">
        <v>913</v>
      </c>
      <c r="H3" s="79" t="s">
        <v>914</v>
      </c>
      <c r="I3" s="79" t="s">
        <v>915</v>
      </c>
      <c r="J3" s="79" t="s">
        <v>916</v>
      </c>
      <c r="K3" s="80" t="s">
        <v>917</v>
      </c>
      <c r="L3" s="81" t="s">
        <v>2470</v>
      </c>
      <c r="M3" s="72" t="s">
        <v>883</v>
      </c>
      <c r="N3" s="72" t="s">
        <v>884</v>
      </c>
      <c r="O3" s="72" t="s">
        <v>918</v>
      </c>
      <c r="P3" s="72" t="s">
        <v>919</v>
      </c>
      <c r="Q3" s="72" t="s">
        <v>887</v>
      </c>
      <c r="R3" s="392"/>
    </row>
    <row r="4" spans="1:22" ht="15.75" thickBot="1" x14ac:dyDescent="0.3">
      <c r="A4" s="83" t="s">
        <v>924</v>
      </c>
      <c r="B4" s="84" t="s">
        <v>7</v>
      </c>
      <c r="C4" s="85" t="s">
        <v>882</v>
      </c>
      <c r="D4" s="86" t="s">
        <v>925</v>
      </c>
      <c r="E4" s="87" t="s">
        <v>8</v>
      </c>
      <c r="F4" s="88" t="s">
        <v>9</v>
      </c>
      <c r="G4" s="89" t="s">
        <v>904</v>
      </c>
      <c r="H4" s="90" t="s">
        <v>923</v>
      </c>
      <c r="I4" s="90" t="s">
        <v>926</v>
      </c>
      <c r="J4" s="91" t="s">
        <v>820</v>
      </c>
      <c r="K4" s="92" t="s">
        <v>922</v>
      </c>
      <c r="L4" s="93" t="s">
        <v>922</v>
      </c>
      <c r="M4" s="93" t="s">
        <v>922</v>
      </c>
      <c r="N4" s="92" t="s">
        <v>922</v>
      </c>
      <c r="O4" s="92" t="s">
        <v>922</v>
      </c>
      <c r="P4" s="92" t="s">
        <v>922</v>
      </c>
      <c r="Q4" s="93" t="s">
        <v>912</v>
      </c>
      <c r="R4" s="393" t="s">
        <v>2475</v>
      </c>
      <c r="S4" s="247" t="s">
        <v>1807</v>
      </c>
      <c r="T4" s="248" t="s">
        <v>1808</v>
      </c>
      <c r="U4" s="248" t="s">
        <v>1809</v>
      </c>
      <c r="V4" s="249" t="s">
        <v>851</v>
      </c>
    </row>
    <row r="5" spans="1:22" x14ac:dyDescent="0.25">
      <c r="A5" s="259"/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/>
      <c r="S5" s="3">
        <v>41</v>
      </c>
      <c r="T5" s="3">
        <v>42</v>
      </c>
      <c r="U5" s="3">
        <v>43</v>
      </c>
      <c r="V5" s="3">
        <v>44</v>
      </c>
    </row>
    <row r="6" spans="1:22" ht="15.75" thickBot="1" x14ac:dyDescent="0.3">
      <c r="A6" s="95"/>
      <c r="B6" s="3"/>
      <c r="C6" s="59"/>
      <c r="D6" s="96"/>
      <c r="E6" s="59"/>
      <c r="F6" s="96"/>
      <c r="G6" s="59"/>
      <c r="H6" s="96"/>
      <c r="I6" s="59"/>
      <c r="J6" s="96"/>
      <c r="K6" s="59"/>
      <c r="L6" s="96"/>
      <c r="M6" s="59"/>
      <c r="N6" s="96"/>
      <c r="O6" s="59"/>
      <c r="P6" s="96"/>
      <c r="Q6" s="59"/>
      <c r="R6" s="394"/>
      <c r="S6" s="24" t="s">
        <v>1810</v>
      </c>
      <c r="T6" s="24" t="s">
        <v>1811</v>
      </c>
      <c r="U6" s="24" t="s">
        <v>1812</v>
      </c>
      <c r="V6" s="24" t="s">
        <v>1813</v>
      </c>
    </row>
    <row r="7" spans="1:22" x14ac:dyDescent="0.25">
      <c r="A7" s="132"/>
      <c r="B7" s="133"/>
      <c r="C7" s="133"/>
      <c r="D7" s="132"/>
      <c r="E7" s="136" t="s">
        <v>627</v>
      </c>
      <c r="F7" s="137"/>
      <c r="G7" s="132"/>
      <c r="H7" s="132"/>
      <c r="I7" s="132"/>
      <c r="J7" s="209"/>
      <c r="K7" s="132"/>
      <c r="L7" s="134"/>
      <c r="M7" s="132"/>
      <c r="N7" s="132"/>
      <c r="O7" s="132"/>
      <c r="P7" s="132"/>
      <c r="Q7" s="132"/>
      <c r="R7" s="154"/>
      <c r="S7" s="100"/>
      <c r="T7" s="100"/>
      <c r="U7" s="100"/>
      <c r="V7" s="100"/>
    </row>
    <row r="8" spans="1:22" x14ac:dyDescent="0.25">
      <c r="A8" s="7" t="s">
        <v>2385</v>
      </c>
      <c r="B8" s="8">
        <v>9789500218061</v>
      </c>
      <c r="C8" s="8">
        <v>748661</v>
      </c>
      <c r="D8" s="7">
        <v>224</v>
      </c>
      <c r="E8" s="7" t="s">
        <v>2386</v>
      </c>
      <c r="F8" s="7" t="s">
        <v>2387</v>
      </c>
      <c r="G8" s="107">
        <v>46235</v>
      </c>
      <c r="H8" s="108">
        <v>46204</v>
      </c>
      <c r="I8" s="116">
        <v>3100</v>
      </c>
      <c r="J8" s="7" t="s">
        <v>1894</v>
      </c>
      <c r="K8" s="148">
        <v>3284.6</v>
      </c>
      <c r="L8" s="9">
        <v>31500</v>
      </c>
      <c r="M8" s="9">
        <f>+L8*0.08</f>
        <v>2520</v>
      </c>
      <c r="N8" s="9">
        <f t="shared" ref="N8:N62" si="0">+L8/2</f>
        <v>15750</v>
      </c>
      <c r="O8" s="9">
        <f t="shared" ref="O8:O62" si="1">+N8-M8-K8</f>
        <v>9945.4</v>
      </c>
      <c r="P8" s="9">
        <f t="shared" ref="P8:P62" si="2">+M8+K8</f>
        <v>5804.6</v>
      </c>
      <c r="Q8" s="139">
        <f t="shared" ref="Q8:Q62" si="3">+O8/N8</f>
        <v>0.63145396825396827</v>
      </c>
      <c r="R8" s="395">
        <f>VLOOKUP(C8,'[1]ORIGINAL (2)'!$A:$C,3,FALSE)</f>
        <v>151</v>
      </c>
      <c r="S8" s="24" t="e">
        <f>VLOOKUP(C8,#REF!,6,FALSE)</f>
        <v>#REF!</v>
      </c>
      <c r="T8" s="24" t="e">
        <f>VLOOKUP(C8,#REF!,7,FALSE)</f>
        <v>#REF!</v>
      </c>
      <c r="U8" s="24" t="e">
        <f>VLOOKUP(C8,#REF!,12,FALSE)</f>
        <v>#REF!</v>
      </c>
      <c r="V8" s="24" t="e">
        <f>VLOOKUP(C8,#REF!,13,FALSE)</f>
        <v>#REF!</v>
      </c>
    </row>
    <row r="9" spans="1:22" x14ac:dyDescent="0.25">
      <c r="A9" s="6" t="s">
        <v>2246</v>
      </c>
      <c r="B9" s="153">
        <v>9789500217385</v>
      </c>
      <c r="C9" s="6">
        <v>741692</v>
      </c>
      <c r="D9" s="41">
        <v>216</v>
      </c>
      <c r="E9" s="316" t="s">
        <v>541</v>
      </c>
      <c r="F9" s="6" t="s">
        <v>2247</v>
      </c>
      <c r="G9" s="107">
        <v>46082</v>
      </c>
      <c r="H9" s="108">
        <v>46054</v>
      </c>
      <c r="I9" s="7">
        <v>3000</v>
      </c>
      <c r="J9" s="7" t="s">
        <v>1762</v>
      </c>
      <c r="K9" s="148">
        <v>2386.19</v>
      </c>
      <c r="L9" s="9">
        <v>27900</v>
      </c>
      <c r="M9" s="9">
        <f>+L9*0.1</f>
        <v>2790</v>
      </c>
      <c r="N9" s="9">
        <f t="shared" si="0"/>
        <v>13950</v>
      </c>
      <c r="O9" s="9">
        <f t="shared" si="1"/>
        <v>8773.81</v>
      </c>
      <c r="P9" s="9">
        <f t="shared" si="2"/>
        <v>5176.1900000000005</v>
      </c>
      <c r="Q9" s="139">
        <f t="shared" si="3"/>
        <v>0.62894695340501794</v>
      </c>
      <c r="R9" s="395">
        <f>VLOOKUP(C9,'[1]ORIGINAL (2)'!$A:$C,3,FALSE)</f>
        <v>450</v>
      </c>
      <c r="S9" s="24" t="e">
        <f>VLOOKUP(C9,#REF!,6,FALSE)</f>
        <v>#REF!</v>
      </c>
      <c r="T9" s="24" t="e">
        <f>VLOOKUP(C9,#REF!,7,FALSE)</f>
        <v>#REF!</v>
      </c>
      <c r="U9" s="24" t="e">
        <f>VLOOKUP(C9,#REF!,12,FALSE)</f>
        <v>#REF!</v>
      </c>
      <c r="V9" s="24" t="e">
        <f>VLOOKUP(C9,#REF!,13,FALSE)</f>
        <v>#REF!</v>
      </c>
    </row>
    <row r="10" spans="1:22" x14ac:dyDescent="0.25">
      <c r="A10" s="6" t="s">
        <v>2223</v>
      </c>
      <c r="B10" s="153">
        <v>9789500217286</v>
      </c>
      <c r="C10" s="6">
        <v>740757</v>
      </c>
      <c r="D10" s="41">
        <v>192</v>
      </c>
      <c r="E10" s="316" t="s">
        <v>2224</v>
      </c>
      <c r="F10" s="6" t="s">
        <v>2225</v>
      </c>
      <c r="G10" s="107">
        <v>46054</v>
      </c>
      <c r="H10" s="108">
        <v>46023</v>
      </c>
      <c r="I10" s="7">
        <v>4060</v>
      </c>
      <c r="J10" s="7" t="s">
        <v>1762</v>
      </c>
      <c r="K10" s="148">
        <v>2249.59</v>
      </c>
      <c r="L10" s="9">
        <v>25900</v>
      </c>
      <c r="M10" s="9">
        <f>+L10*0.1</f>
        <v>2590</v>
      </c>
      <c r="N10" s="9">
        <f t="shared" si="0"/>
        <v>12950</v>
      </c>
      <c r="O10" s="9">
        <f t="shared" si="1"/>
        <v>8110.41</v>
      </c>
      <c r="P10" s="9">
        <f t="shared" si="2"/>
        <v>4839.59</v>
      </c>
      <c r="Q10" s="139">
        <f t="shared" si="3"/>
        <v>0.62628648648648644</v>
      </c>
      <c r="R10" s="395">
        <f>VLOOKUP(C10,'[1]ORIGINAL (2)'!$A:$C,3,FALSE)</f>
        <v>344</v>
      </c>
      <c r="S10" s="24" t="e">
        <f>VLOOKUP(C10,#REF!,6,FALSE)</f>
        <v>#REF!</v>
      </c>
      <c r="T10" s="24" t="e">
        <f>VLOOKUP(C10,#REF!,7,FALSE)</f>
        <v>#REF!</v>
      </c>
      <c r="U10" s="24" t="e">
        <f>VLOOKUP(C10,#REF!,12,FALSE)</f>
        <v>#REF!</v>
      </c>
      <c r="V10" s="24" t="e">
        <f>VLOOKUP(C10,#REF!,13,FALSE)</f>
        <v>#REF!</v>
      </c>
    </row>
    <row r="11" spans="1:22" x14ac:dyDescent="0.25">
      <c r="A11" s="6" t="s">
        <v>2202</v>
      </c>
      <c r="B11" s="153">
        <v>9789500217194</v>
      </c>
      <c r="C11" s="6">
        <v>740153</v>
      </c>
      <c r="D11" s="41">
        <v>176</v>
      </c>
      <c r="E11" s="316" t="s">
        <v>2203</v>
      </c>
      <c r="F11" s="316" t="s">
        <v>2218</v>
      </c>
      <c r="G11" s="107">
        <v>46023</v>
      </c>
      <c r="H11" s="108">
        <v>45992</v>
      </c>
      <c r="I11" s="7">
        <v>4014</v>
      </c>
      <c r="J11" s="7" t="s">
        <v>1762</v>
      </c>
      <c r="K11" s="292">
        <v>1591.48</v>
      </c>
      <c r="L11" s="9">
        <v>24900</v>
      </c>
      <c r="M11" s="112"/>
      <c r="N11" s="9">
        <f t="shared" si="0"/>
        <v>12450</v>
      </c>
      <c r="O11" s="9">
        <f t="shared" si="1"/>
        <v>10858.52</v>
      </c>
      <c r="P11" s="9">
        <f t="shared" si="2"/>
        <v>1591.48</v>
      </c>
      <c r="Q11" s="139">
        <f t="shared" si="3"/>
        <v>0.87217028112449801</v>
      </c>
      <c r="R11" s="395">
        <f>VLOOKUP(C11,'[1]ORIGINAL (2)'!$A:$C,3,FALSE)</f>
        <v>708</v>
      </c>
      <c r="S11" s="24" t="e">
        <f>VLOOKUP(C11,#REF!,6,FALSE)</f>
        <v>#REF!</v>
      </c>
      <c r="T11" s="24" t="e">
        <f>VLOOKUP(C11,#REF!,7,FALSE)</f>
        <v>#REF!</v>
      </c>
      <c r="U11" s="24" t="e">
        <f>VLOOKUP(C11,#REF!,12,FALSE)</f>
        <v>#REF!</v>
      </c>
      <c r="V11" s="24" t="e">
        <f>VLOOKUP(C11,#REF!,13,FALSE)</f>
        <v>#REF!</v>
      </c>
    </row>
    <row r="12" spans="1:22" x14ac:dyDescent="0.25">
      <c r="A12" s="6" t="s">
        <v>2199</v>
      </c>
      <c r="B12" s="153">
        <v>9789500217200</v>
      </c>
      <c r="C12" s="6">
        <v>740155</v>
      </c>
      <c r="D12" s="41">
        <v>256</v>
      </c>
      <c r="E12" s="6" t="s">
        <v>2200</v>
      </c>
      <c r="F12" s="6" t="s">
        <v>2201</v>
      </c>
      <c r="G12" s="107">
        <v>46023</v>
      </c>
      <c r="H12" s="108">
        <v>45992</v>
      </c>
      <c r="I12" s="7">
        <v>4091</v>
      </c>
      <c r="J12" s="7" t="s">
        <v>1762</v>
      </c>
      <c r="K12" s="7">
        <v>2277.37</v>
      </c>
      <c r="L12" s="9">
        <v>23900</v>
      </c>
      <c r="M12" s="112">
        <f>+L12*0.08</f>
        <v>1912</v>
      </c>
      <c r="N12" s="9">
        <f t="shared" si="0"/>
        <v>11950</v>
      </c>
      <c r="O12" s="9">
        <f t="shared" si="1"/>
        <v>7760.63</v>
      </c>
      <c r="P12" s="9">
        <f t="shared" si="2"/>
        <v>4189.37</v>
      </c>
      <c r="Q12" s="139">
        <f t="shared" si="3"/>
        <v>0.64942510460251046</v>
      </c>
      <c r="R12" s="395">
        <f>VLOOKUP(C12,'[1]ORIGINAL (2)'!$A:$C,3,FALSE)</f>
        <v>268</v>
      </c>
      <c r="S12" s="24" t="e">
        <f>VLOOKUP(C12,#REF!,6,FALSE)</f>
        <v>#REF!</v>
      </c>
      <c r="T12" s="24" t="e">
        <f>VLOOKUP(C12,#REF!,7,FALSE)</f>
        <v>#REF!</v>
      </c>
      <c r="U12" s="24" t="e">
        <f>VLOOKUP(C12,#REF!,12,FALSE)</f>
        <v>#REF!</v>
      </c>
      <c r="V12" s="24" t="e">
        <f>VLOOKUP(C12,#REF!,13,FALSE)</f>
        <v>#REF!</v>
      </c>
    </row>
    <row r="13" spans="1:22" x14ac:dyDescent="0.25">
      <c r="A13" s="6" t="s">
        <v>2146</v>
      </c>
      <c r="B13" s="153">
        <v>9789500216722</v>
      </c>
      <c r="C13" s="6">
        <v>735110</v>
      </c>
      <c r="D13" s="41">
        <v>240</v>
      </c>
      <c r="E13" s="6" t="s">
        <v>1782</v>
      </c>
      <c r="F13" s="6" t="s">
        <v>2147</v>
      </c>
      <c r="G13" s="107">
        <v>45931</v>
      </c>
      <c r="H13" s="108">
        <v>46023</v>
      </c>
      <c r="I13" s="7">
        <v>2077</v>
      </c>
      <c r="J13" s="7" t="s">
        <v>1762</v>
      </c>
      <c r="K13" s="148">
        <v>2136.94</v>
      </c>
      <c r="L13" s="9">
        <v>26900</v>
      </c>
      <c r="M13" s="112">
        <f>+L13*0.08</f>
        <v>2152</v>
      </c>
      <c r="N13" s="9">
        <f t="shared" si="0"/>
        <v>13450</v>
      </c>
      <c r="O13" s="9">
        <f t="shared" si="1"/>
        <v>9161.06</v>
      </c>
      <c r="P13" s="9">
        <f t="shared" si="2"/>
        <v>4288.9400000000005</v>
      </c>
      <c r="Q13" s="139">
        <f t="shared" si="3"/>
        <v>0.68111970260223043</v>
      </c>
      <c r="R13" s="395">
        <f>VLOOKUP(C13,'[1]ORIGINAL (2)'!$A:$C,3,FALSE)</f>
        <v>1259</v>
      </c>
      <c r="S13" s="24" t="e">
        <f>VLOOKUP(C13,#REF!,6,FALSE)</f>
        <v>#REF!</v>
      </c>
      <c r="T13" s="24" t="e">
        <f>VLOOKUP(C13,#REF!,7,FALSE)</f>
        <v>#REF!</v>
      </c>
      <c r="U13" s="24" t="e">
        <f>VLOOKUP(C13,#REF!,12,FALSE)</f>
        <v>#REF!</v>
      </c>
      <c r="V13" s="24" t="e">
        <f>VLOOKUP(C13,#REF!,13,FALSE)</f>
        <v>#REF!</v>
      </c>
    </row>
    <row r="14" spans="1:22" x14ac:dyDescent="0.25">
      <c r="A14" s="6" t="s">
        <v>2055</v>
      </c>
      <c r="B14" s="279">
        <v>9789500216340</v>
      </c>
      <c r="C14" s="6">
        <v>730436</v>
      </c>
      <c r="D14" s="41">
        <v>224</v>
      </c>
      <c r="E14" s="6" t="s">
        <v>2056</v>
      </c>
      <c r="F14" s="6" t="s">
        <v>2065</v>
      </c>
      <c r="G14" s="108">
        <v>45809</v>
      </c>
      <c r="H14" s="108">
        <v>46023</v>
      </c>
      <c r="I14" s="264">
        <v>2096</v>
      </c>
      <c r="J14" s="6" t="s">
        <v>2136</v>
      </c>
      <c r="K14" s="292">
        <v>1396.54</v>
      </c>
      <c r="L14" s="9">
        <v>27600</v>
      </c>
      <c r="M14" s="112">
        <f>+L14*0.08</f>
        <v>2208</v>
      </c>
      <c r="N14" s="9">
        <f t="shared" si="0"/>
        <v>13800</v>
      </c>
      <c r="O14" s="9">
        <f t="shared" si="1"/>
        <v>10195.459999999999</v>
      </c>
      <c r="P14" s="9">
        <f t="shared" si="2"/>
        <v>3604.54</v>
      </c>
      <c r="Q14" s="139">
        <f t="shared" si="3"/>
        <v>0.73880144927536229</v>
      </c>
      <c r="R14" s="395">
        <f>VLOOKUP(C14,'[1]ORIGINAL (2)'!$A:$C,3,FALSE)</f>
        <v>181</v>
      </c>
      <c r="S14" s="24" t="e">
        <f>VLOOKUP(C14,#REF!,6,FALSE)</f>
        <v>#REF!</v>
      </c>
      <c r="T14" s="24" t="e">
        <f>VLOOKUP(C14,#REF!,7,FALSE)</f>
        <v>#REF!</v>
      </c>
      <c r="U14" s="24" t="e">
        <f>VLOOKUP(C14,#REF!,12,FALSE)</f>
        <v>#REF!</v>
      </c>
      <c r="V14" s="24" t="e">
        <f>VLOOKUP(C14,#REF!,13,FALSE)</f>
        <v>#REF!</v>
      </c>
    </row>
    <row r="15" spans="1:22" x14ac:dyDescent="0.25">
      <c r="A15" s="7" t="s">
        <v>1928</v>
      </c>
      <c r="B15" s="282">
        <v>9789500215626</v>
      </c>
      <c r="C15" s="8">
        <v>722600</v>
      </c>
      <c r="D15" s="25">
        <v>192</v>
      </c>
      <c r="E15" s="278" t="s">
        <v>1929</v>
      </c>
      <c r="F15" s="278" t="s">
        <v>1930</v>
      </c>
      <c r="G15" s="107">
        <v>45597</v>
      </c>
      <c r="H15" s="108">
        <v>45566</v>
      </c>
      <c r="I15" s="264">
        <v>5133</v>
      </c>
      <c r="J15" s="28" t="s">
        <v>2136</v>
      </c>
      <c r="K15" s="148">
        <v>1613.05</v>
      </c>
      <c r="L15" s="9">
        <v>30300</v>
      </c>
      <c r="M15" s="112">
        <f>+L15*0.1</f>
        <v>3030</v>
      </c>
      <c r="N15" s="9">
        <f t="shared" si="0"/>
        <v>15150</v>
      </c>
      <c r="O15" s="9">
        <f t="shared" si="1"/>
        <v>10506.95</v>
      </c>
      <c r="P15" s="9">
        <f t="shared" si="2"/>
        <v>4643.05</v>
      </c>
      <c r="Q15" s="139">
        <f t="shared" si="3"/>
        <v>0.69352805280528063</v>
      </c>
      <c r="R15" s="395">
        <f>VLOOKUP(C15,'[1]ORIGINAL (2)'!$A:$C,3,FALSE)</f>
        <v>315</v>
      </c>
      <c r="S15" s="24" t="e">
        <f>VLOOKUP(C15,#REF!,6,FALSE)</f>
        <v>#REF!</v>
      </c>
      <c r="T15" s="24" t="e">
        <f>VLOOKUP(C15,#REF!,7,FALSE)</f>
        <v>#REF!</v>
      </c>
      <c r="U15" s="24" t="e">
        <f>VLOOKUP(C15,#REF!,12,FALSE)</f>
        <v>#REF!</v>
      </c>
      <c r="V15" s="24" t="e">
        <f>VLOOKUP(C15,#REF!,13,FALSE)</f>
        <v>#REF!</v>
      </c>
    </row>
    <row r="16" spans="1:22" x14ac:dyDescent="0.25">
      <c r="A16" s="7" t="s">
        <v>1931</v>
      </c>
      <c r="B16" s="282">
        <v>9789500215145</v>
      </c>
      <c r="C16" s="8">
        <v>722601</v>
      </c>
      <c r="D16" s="25">
        <v>288</v>
      </c>
      <c r="E16" s="278" t="s">
        <v>1932</v>
      </c>
      <c r="F16" s="278" t="s">
        <v>1933</v>
      </c>
      <c r="G16" s="107">
        <v>45597</v>
      </c>
      <c r="H16" s="108">
        <v>45566</v>
      </c>
      <c r="I16" s="264">
        <v>2065</v>
      </c>
      <c r="J16" s="28" t="s">
        <v>2136</v>
      </c>
      <c r="K16" s="148">
        <v>2455.67</v>
      </c>
      <c r="L16" s="9">
        <v>29900</v>
      </c>
      <c r="M16" s="112">
        <f>+L16*0.08</f>
        <v>2392</v>
      </c>
      <c r="N16" s="9">
        <f t="shared" si="0"/>
        <v>14950</v>
      </c>
      <c r="O16" s="9">
        <f t="shared" si="1"/>
        <v>10102.33</v>
      </c>
      <c r="P16" s="9">
        <f t="shared" si="2"/>
        <v>4847.67</v>
      </c>
      <c r="Q16" s="139">
        <f t="shared" si="3"/>
        <v>0.67574113712374584</v>
      </c>
      <c r="R16" s="395">
        <f>VLOOKUP(C16,'[1]ORIGINAL (2)'!$A:$C,3,FALSE)</f>
        <v>12</v>
      </c>
      <c r="S16" s="24" t="e">
        <f>VLOOKUP(C16,#REF!,6,FALSE)</f>
        <v>#REF!</v>
      </c>
      <c r="T16" s="24" t="e">
        <f>VLOOKUP(C16,#REF!,7,FALSE)</f>
        <v>#REF!</v>
      </c>
      <c r="U16" s="24" t="e">
        <f>VLOOKUP(C16,#REF!,12,FALSE)</f>
        <v>#REF!</v>
      </c>
      <c r="V16" s="24" t="e">
        <f>VLOOKUP(C16,#REF!,13,FALSE)</f>
        <v>#REF!</v>
      </c>
    </row>
    <row r="17" spans="1:22" x14ac:dyDescent="0.25">
      <c r="A17" s="6" t="s">
        <v>1884</v>
      </c>
      <c r="B17" s="8">
        <v>9789500215411</v>
      </c>
      <c r="C17" s="8">
        <v>718922</v>
      </c>
      <c r="D17" s="41">
        <v>288</v>
      </c>
      <c r="E17" s="7" t="s">
        <v>1885</v>
      </c>
      <c r="F17" s="7" t="s">
        <v>1886</v>
      </c>
      <c r="G17" s="107">
        <v>45505</v>
      </c>
      <c r="H17" s="107">
        <v>45597</v>
      </c>
      <c r="I17" s="264">
        <v>2065</v>
      </c>
      <c r="J17" s="28" t="s">
        <v>1762</v>
      </c>
      <c r="K17" s="9">
        <v>2300.6999999999998</v>
      </c>
      <c r="L17" s="9">
        <v>33900</v>
      </c>
      <c r="M17" s="112"/>
      <c r="N17" s="9">
        <f t="shared" si="0"/>
        <v>16950</v>
      </c>
      <c r="O17" s="9">
        <f t="shared" si="1"/>
        <v>14649.3</v>
      </c>
      <c r="P17" s="9">
        <f t="shared" si="2"/>
        <v>2300.6999999999998</v>
      </c>
      <c r="Q17" s="139">
        <f t="shared" si="3"/>
        <v>0.86426548672566372</v>
      </c>
      <c r="R17" s="395">
        <f>VLOOKUP(C17,'[1]ORIGINAL (2)'!$A:$C,3,FALSE)</f>
        <v>387</v>
      </c>
      <c r="S17" s="24" t="e">
        <f>VLOOKUP(C17,#REF!,6,FALSE)</f>
        <v>#REF!</v>
      </c>
      <c r="T17" s="24" t="e">
        <f>VLOOKUP(C17,#REF!,7,FALSE)</f>
        <v>#REF!</v>
      </c>
      <c r="U17" s="24" t="e">
        <f>VLOOKUP(C17,#REF!,12,FALSE)</f>
        <v>#REF!</v>
      </c>
      <c r="V17" s="24" t="e">
        <f>VLOOKUP(C17,#REF!,13,FALSE)</f>
        <v>#REF!</v>
      </c>
    </row>
    <row r="18" spans="1:22" x14ac:dyDescent="0.25">
      <c r="A18" s="6" t="s">
        <v>1781</v>
      </c>
      <c r="B18" s="8">
        <v>9789500214971</v>
      </c>
      <c r="C18" s="8">
        <v>714587</v>
      </c>
      <c r="D18" s="41">
        <v>272</v>
      </c>
      <c r="E18" s="25" t="s">
        <v>1782</v>
      </c>
      <c r="F18" s="25" t="s">
        <v>1783</v>
      </c>
      <c r="G18" s="107">
        <v>45383</v>
      </c>
      <c r="H18" s="108">
        <v>45566</v>
      </c>
      <c r="I18" s="7">
        <v>2117</v>
      </c>
      <c r="J18" s="28" t="s">
        <v>1946</v>
      </c>
      <c r="K18" s="148">
        <v>2446.7399999999998</v>
      </c>
      <c r="L18" s="9">
        <v>20500</v>
      </c>
      <c r="M18" s="112">
        <f>+L18*0.08</f>
        <v>1640</v>
      </c>
      <c r="N18" s="9">
        <f t="shared" si="0"/>
        <v>10250</v>
      </c>
      <c r="O18" s="9">
        <f t="shared" si="1"/>
        <v>6163.26</v>
      </c>
      <c r="P18" s="9">
        <f t="shared" si="2"/>
        <v>4086.74</v>
      </c>
      <c r="Q18" s="139">
        <f t="shared" si="3"/>
        <v>0.60129365853658534</v>
      </c>
      <c r="R18" s="395">
        <f>VLOOKUP(C18,'[1]ORIGINAL (2)'!$A:$C,3,FALSE)</f>
        <v>63</v>
      </c>
      <c r="S18" s="24" t="e">
        <f>VLOOKUP(C18,#REF!,6,FALSE)</f>
        <v>#REF!</v>
      </c>
      <c r="T18" s="24" t="e">
        <f>VLOOKUP(C18,#REF!,7,FALSE)</f>
        <v>#REF!</v>
      </c>
      <c r="U18" s="24" t="e">
        <f>VLOOKUP(C18,#REF!,12,FALSE)</f>
        <v>#REF!</v>
      </c>
      <c r="V18" s="24" t="e">
        <f>VLOOKUP(C18,#REF!,13,FALSE)</f>
        <v>#REF!</v>
      </c>
    </row>
    <row r="19" spans="1:22" x14ac:dyDescent="0.25">
      <c r="A19" s="6" t="s">
        <v>973</v>
      </c>
      <c r="B19" s="8">
        <v>9789500213813</v>
      </c>
      <c r="C19" s="6">
        <v>706235</v>
      </c>
      <c r="D19" s="41">
        <v>288</v>
      </c>
      <c r="E19" s="7" t="s">
        <v>541</v>
      </c>
      <c r="F19" s="7" t="s">
        <v>776</v>
      </c>
      <c r="G19" s="107">
        <v>45078</v>
      </c>
      <c r="H19" s="108">
        <v>45139</v>
      </c>
      <c r="I19" s="7">
        <v>2143</v>
      </c>
      <c r="J19" s="28" t="s">
        <v>1762</v>
      </c>
      <c r="K19" s="9">
        <v>733.73</v>
      </c>
      <c r="L19" s="9">
        <v>31700</v>
      </c>
      <c r="M19" s="112">
        <f>+L19*0.1</f>
        <v>3170</v>
      </c>
      <c r="N19" s="9">
        <f t="shared" si="0"/>
        <v>15850</v>
      </c>
      <c r="O19" s="9">
        <f t="shared" si="1"/>
        <v>11946.27</v>
      </c>
      <c r="P19" s="9">
        <f t="shared" si="2"/>
        <v>3903.73</v>
      </c>
      <c r="Q19" s="139">
        <f t="shared" si="3"/>
        <v>0.75370788643533126</v>
      </c>
      <c r="R19" s="395">
        <f>VLOOKUP(C19,'[1]ORIGINAL (2)'!$A:$C,3,FALSE)</f>
        <v>23</v>
      </c>
      <c r="S19" s="24" t="e">
        <f>VLOOKUP(C19,#REF!,6,FALSE)</f>
        <v>#REF!</v>
      </c>
      <c r="T19" s="24" t="e">
        <f>VLOOKUP(C19,#REF!,7,FALSE)</f>
        <v>#REF!</v>
      </c>
      <c r="U19" s="24" t="e">
        <f>VLOOKUP(C19,#REF!,12,FALSE)</f>
        <v>#REF!</v>
      </c>
      <c r="V19" s="24" t="e">
        <f>VLOOKUP(C19,#REF!,13,FALSE)</f>
        <v>#REF!</v>
      </c>
    </row>
    <row r="20" spans="1:22" x14ac:dyDescent="0.25">
      <c r="A20" s="6" t="s">
        <v>974</v>
      </c>
      <c r="B20" s="8">
        <v>9789500214087</v>
      </c>
      <c r="C20" s="6">
        <v>709127</v>
      </c>
      <c r="D20" s="41">
        <v>368</v>
      </c>
      <c r="E20" s="7" t="s">
        <v>812</v>
      </c>
      <c r="F20" s="7" t="s">
        <v>813</v>
      </c>
      <c r="G20" s="107">
        <v>45170</v>
      </c>
      <c r="H20" s="108">
        <v>45139</v>
      </c>
      <c r="I20" s="7">
        <v>3096</v>
      </c>
      <c r="J20" s="28" t="s">
        <v>1762</v>
      </c>
      <c r="K20" s="9">
        <v>1002.86</v>
      </c>
      <c r="L20" s="9">
        <v>31700</v>
      </c>
      <c r="M20" s="112">
        <f t="shared" ref="M20:M28" si="4">+L20*0.08</f>
        <v>2536</v>
      </c>
      <c r="N20" s="9">
        <f t="shared" si="0"/>
        <v>15850</v>
      </c>
      <c r="O20" s="9">
        <f t="shared" si="1"/>
        <v>12311.14</v>
      </c>
      <c r="P20" s="9">
        <f t="shared" si="2"/>
        <v>3538.86</v>
      </c>
      <c r="Q20" s="139">
        <f t="shared" si="3"/>
        <v>0.7767280757097792</v>
      </c>
      <c r="R20" s="395">
        <f>VLOOKUP(C20,'[1]ORIGINAL (2)'!$A:$C,3,FALSE)</f>
        <v>27</v>
      </c>
      <c r="S20" s="24" t="e">
        <f>VLOOKUP(C20,#REF!,6,FALSE)</f>
        <v>#REF!</v>
      </c>
      <c r="T20" s="24" t="e">
        <f>VLOOKUP(C20,#REF!,7,FALSE)</f>
        <v>#REF!</v>
      </c>
      <c r="U20" s="24" t="e">
        <f>VLOOKUP(C20,#REF!,12,FALSE)</f>
        <v>#REF!</v>
      </c>
      <c r="V20" s="24" t="e">
        <f>VLOOKUP(C20,#REF!,13,FALSE)</f>
        <v>#REF!</v>
      </c>
    </row>
    <row r="21" spans="1:22" x14ac:dyDescent="0.25">
      <c r="A21" s="6" t="s">
        <v>975</v>
      </c>
      <c r="B21" s="8">
        <v>9789500213608</v>
      </c>
      <c r="C21" s="8">
        <v>704433</v>
      </c>
      <c r="D21" s="41">
        <v>208</v>
      </c>
      <c r="E21" s="7" t="s">
        <v>769</v>
      </c>
      <c r="F21" s="7" t="s">
        <v>767</v>
      </c>
      <c r="G21" s="107">
        <v>45017</v>
      </c>
      <c r="H21" s="108">
        <v>44986</v>
      </c>
      <c r="I21" s="7">
        <v>3061</v>
      </c>
      <c r="J21" s="28" t="s">
        <v>2136</v>
      </c>
      <c r="K21" s="9">
        <v>485.89</v>
      </c>
      <c r="L21" s="112">
        <v>21900</v>
      </c>
      <c r="M21" s="112">
        <f t="shared" si="4"/>
        <v>1752</v>
      </c>
      <c r="N21" s="9">
        <f t="shared" si="0"/>
        <v>10950</v>
      </c>
      <c r="O21" s="9">
        <f t="shared" si="1"/>
        <v>8712.11</v>
      </c>
      <c r="P21" s="9">
        <f t="shared" si="2"/>
        <v>2237.89</v>
      </c>
      <c r="Q21" s="139">
        <f t="shared" si="3"/>
        <v>0.79562648401826486</v>
      </c>
      <c r="R21" s="395">
        <f>VLOOKUP(C21,'[1]ORIGINAL (2)'!$A:$C,3,FALSE)</f>
        <v>9</v>
      </c>
      <c r="S21" s="24" t="e">
        <f>VLOOKUP(C21,#REF!,6,FALSE)</f>
        <v>#REF!</v>
      </c>
      <c r="T21" s="24" t="e">
        <f>VLOOKUP(C21,#REF!,7,FALSE)</f>
        <v>#REF!</v>
      </c>
      <c r="U21" s="24" t="e">
        <f>VLOOKUP(C21,#REF!,12,FALSE)</f>
        <v>#REF!</v>
      </c>
      <c r="V21" s="24" t="e">
        <f>VLOOKUP(C21,#REF!,13,FALSE)</f>
        <v>#REF!</v>
      </c>
    </row>
    <row r="22" spans="1:22" x14ac:dyDescent="0.25">
      <c r="A22" s="6" t="s">
        <v>976</v>
      </c>
      <c r="B22" s="8">
        <v>9789500213394</v>
      </c>
      <c r="C22" s="8">
        <v>703395</v>
      </c>
      <c r="D22" s="41">
        <v>272</v>
      </c>
      <c r="E22" s="7" t="s">
        <v>759</v>
      </c>
      <c r="F22" s="7" t="s">
        <v>760</v>
      </c>
      <c r="G22" s="107">
        <v>44986</v>
      </c>
      <c r="H22" s="108">
        <v>45536</v>
      </c>
      <c r="I22" s="7">
        <v>2070</v>
      </c>
      <c r="J22" s="28" t="s">
        <v>1762</v>
      </c>
      <c r="K22" s="9">
        <v>2269.34</v>
      </c>
      <c r="L22" s="9">
        <v>39900</v>
      </c>
      <c r="M22" s="112">
        <f t="shared" si="4"/>
        <v>3192</v>
      </c>
      <c r="N22" s="9">
        <f t="shared" si="0"/>
        <v>19950</v>
      </c>
      <c r="O22" s="9">
        <f t="shared" si="1"/>
        <v>14488.66</v>
      </c>
      <c r="P22" s="9">
        <f t="shared" si="2"/>
        <v>5461.34</v>
      </c>
      <c r="Q22" s="139">
        <f t="shared" si="3"/>
        <v>0.7262486215538847</v>
      </c>
      <c r="R22" s="395">
        <f>VLOOKUP(C22,'[1]ORIGINAL (2)'!$A:$C,3,FALSE)</f>
        <v>155</v>
      </c>
      <c r="S22" s="24" t="e">
        <f>VLOOKUP(C22,#REF!,6,FALSE)</f>
        <v>#REF!</v>
      </c>
      <c r="T22" s="24" t="e">
        <f>VLOOKUP(C22,#REF!,7,FALSE)</f>
        <v>#REF!</v>
      </c>
      <c r="U22" s="24" t="e">
        <f>VLOOKUP(C22,#REF!,12,FALSE)</f>
        <v>#REF!</v>
      </c>
      <c r="V22" s="24" t="e">
        <f>VLOOKUP(C22,#REF!,13,FALSE)</f>
        <v>#REF!</v>
      </c>
    </row>
    <row r="23" spans="1:22" x14ac:dyDescent="0.25">
      <c r="A23" s="6" t="s">
        <v>977</v>
      </c>
      <c r="B23" s="8">
        <v>9789500213523</v>
      </c>
      <c r="C23" s="6">
        <v>703396</v>
      </c>
      <c r="D23" s="41">
        <v>240</v>
      </c>
      <c r="E23" s="7" t="s">
        <v>761</v>
      </c>
      <c r="F23" s="7" t="s">
        <v>762</v>
      </c>
      <c r="G23" s="107">
        <v>44986</v>
      </c>
      <c r="H23" s="108">
        <v>45139</v>
      </c>
      <c r="I23" s="7">
        <v>2056</v>
      </c>
      <c r="J23" s="28" t="s">
        <v>2136</v>
      </c>
      <c r="K23" s="9">
        <v>782.86</v>
      </c>
      <c r="L23" s="9">
        <v>26200</v>
      </c>
      <c r="M23" s="112">
        <f t="shared" si="4"/>
        <v>2096</v>
      </c>
      <c r="N23" s="9">
        <f t="shared" si="0"/>
        <v>13100</v>
      </c>
      <c r="O23" s="9">
        <f t="shared" si="1"/>
        <v>10221.14</v>
      </c>
      <c r="P23" s="9">
        <f t="shared" si="2"/>
        <v>2878.86</v>
      </c>
      <c r="Q23" s="139">
        <f t="shared" si="3"/>
        <v>0.78023969465648846</v>
      </c>
      <c r="R23" s="395">
        <f>VLOOKUP(C23,'[1]ORIGINAL (2)'!$A:$C,3,FALSE)</f>
        <v>418</v>
      </c>
      <c r="S23" s="24" t="e">
        <f>VLOOKUP(C23,#REF!,6,FALSE)</f>
        <v>#REF!</v>
      </c>
      <c r="T23" s="24" t="e">
        <f>VLOOKUP(C23,#REF!,7,FALSE)</f>
        <v>#REF!</v>
      </c>
      <c r="U23" s="24" t="e">
        <f>VLOOKUP(C23,#REF!,12,FALSE)</f>
        <v>#REF!</v>
      </c>
      <c r="V23" s="24" t="e">
        <f>VLOOKUP(C23,#REF!,13,FALSE)</f>
        <v>#REF!</v>
      </c>
    </row>
    <row r="24" spans="1:22" x14ac:dyDescent="0.25">
      <c r="A24" s="6" t="s">
        <v>978</v>
      </c>
      <c r="B24" s="8">
        <v>9789500213516</v>
      </c>
      <c r="C24" s="8">
        <v>703702</v>
      </c>
      <c r="D24" s="41">
        <v>272</v>
      </c>
      <c r="E24" s="7" t="s">
        <v>763</v>
      </c>
      <c r="F24" s="6" t="s">
        <v>764</v>
      </c>
      <c r="G24" s="107">
        <v>44986</v>
      </c>
      <c r="H24" s="108">
        <v>44986</v>
      </c>
      <c r="I24" s="7">
        <v>3055</v>
      </c>
      <c r="J24" s="28" t="s">
        <v>1762</v>
      </c>
      <c r="K24" s="117">
        <v>1239.3499999999999</v>
      </c>
      <c r="L24" s="112">
        <v>39900</v>
      </c>
      <c r="M24" s="112">
        <f t="shared" si="4"/>
        <v>3192</v>
      </c>
      <c r="N24" s="9">
        <f t="shared" si="0"/>
        <v>19950</v>
      </c>
      <c r="O24" s="9">
        <f t="shared" si="1"/>
        <v>15518.65</v>
      </c>
      <c r="P24" s="9">
        <f t="shared" si="2"/>
        <v>4431.3500000000004</v>
      </c>
      <c r="Q24" s="139">
        <f t="shared" si="3"/>
        <v>0.77787719298245617</v>
      </c>
      <c r="R24" s="395">
        <f>VLOOKUP(C24,'[1]ORIGINAL (2)'!$A:$C,3,FALSE)</f>
        <v>318</v>
      </c>
      <c r="S24" s="24" t="e">
        <f>VLOOKUP(C24,#REF!,6,FALSE)</f>
        <v>#REF!</v>
      </c>
      <c r="T24" s="24" t="e">
        <f>VLOOKUP(C24,#REF!,7,FALSE)</f>
        <v>#REF!</v>
      </c>
      <c r="U24" s="24" t="e">
        <f>VLOOKUP(C24,#REF!,12,FALSE)</f>
        <v>#REF!</v>
      </c>
      <c r="V24" s="24" t="e">
        <f>VLOOKUP(C24,#REF!,13,FALSE)</f>
        <v>#REF!</v>
      </c>
    </row>
    <row r="25" spans="1:22" x14ac:dyDescent="0.25">
      <c r="A25" s="6" t="s">
        <v>979</v>
      </c>
      <c r="B25" s="8">
        <v>9789500213264</v>
      </c>
      <c r="C25" s="6">
        <v>700536</v>
      </c>
      <c r="D25" s="41">
        <v>256</v>
      </c>
      <c r="E25" s="7" t="s">
        <v>738</v>
      </c>
      <c r="F25" s="7" t="s">
        <v>739</v>
      </c>
      <c r="G25" s="107">
        <v>43862</v>
      </c>
      <c r="H25" s="108">
        <v>44470</v>
      </c>
      <c r="I25" s="7">
        <v>3106</v>
      </c>
      <c r="J25" s="7" t="s">
        <v>1762</v>
      </c>
      <c r="K25" s="9">
        <v>425.53</v>
      </c>
      <c r="L25" s="112">
        <v>29900</v>
      </c>
      <c r="M25" s="112">
        <f t="shared" si="4"/>
        <v>2392</v>
      </c>
      <c r="N25" s="9">
        <f t="shared" si="0"/>
        <v>14950</v>
      </c>
      <c r="O25" s="9">
        <f t="shared" si="1"/>
        <v>12132.47</v>
      </c>
      <c r="P25" s="9">
        <f t="shared" si="2"/>
        <v>2817.5299999999997</v>
      </c>
      <c r="Q25" s="139">
        <f t="shared" si="3"/>
        <v>0.81153645484949832</v>
      </c>
      <c r="R25" s="395">
        <f>VLOOKUP(C25,'[1]ORIGINAL (2)'!$A:$C,3,FALSE)</f>
        <v>245</v>
      </c>
      <c r="S25" s="24" t="e">
        <f>VLOOKUP(C25,#REF!,6,FALSE)</f>
        <v>#REF!</v>
      </c>
      <c r="T25" s="24" t="e">
        <f>VLOOKUP(C25,#REF!,7,FALSE)</f>
        <v>#REF!</v>
      </c>
      <c r="U25" s="24" t="e">
        <f>VLOOKUP(C25,#REF!,12,FALSE)</f>
        <v>#REF!</v>
      </c>
      <c r="V25" s="24" t="e">
        <f>VLOOKUP(C25,#REF!,13,FALSE)</f>
        <v>#REF!</v>
      </c>
    </row>
    <row r="26" spans="1:22" x14ac:dyDescent="0.25">
      <c r="A26" s="6" t="s">
        <v>980</v>
      </c>
      <c r="B26" s="8">
        <v>9789500212830</v>
      </c>
      <c r="C26" s="8">
        <v>696630</v>
      </c>
      <c r="D26" s="7">
        <v>432</v>
      </c>
      <c r="E26" s="31" t="s">
        <v>705</v>
      </c>
      <c r="F26" s="32" t="s">
        <v>981</v>
      </c>
      <c r="G26" s="107">
        <v>44774</v>
      </c>
      <c r="H26" s="108">
        <v>44743</v>
      </c>
      <c r="I26" s="7">
        <v>2578</v>
      </c>
      <c r="J26" s="28" t="s">
        <v>1946</v>
      </c>
      <c r="K26" s="28">
        <v>485.45</v>
      </c>
      <c r="L26" s="128">
        <v>29200</v>
      </c>
      <c r="M26" s="141">
        <f t="shared" si="4"/>
        <v>2336</v>
      </c>
      <c r="N26" s="142">
        <f t="shared" si="0"/>
        <v>14600</v>
      </c>
      <c r="O26" s="142">
        <f t="shared" si="1"/>
        <v>11778.55</v>
      </c>
      <c r="P26" s="142">
        <f t="shared" si="2"/>
        <v>2821.45</v>
      </c>
      <c r="Q26" s="139">
        <f t="shared" si="3"/>
        <v>0.80674999999999997</v>
      </c>
      <c r="R26" s="395">
        <f>VLOOKUP(C26,'[1]ORIGINAL (2)'!$A:$C,3,FALSE)</f>
        <v>7</v>
      </c>
      <c r="S26" s="24" t="e">
        <f>VLOOKUP(C26,#REF!,6,FALSE)</f>
        <v>#REF!</v>
      </c>
      <c r="T26" s="24" t="e">
        <f>VLOOKUP(C26,#REF!,7,FALSE)</f>
        <v>#REF!</v>
      </c>
      <c r="U26" s="24" t="e">
        <f>VLOOKUP(C26,#REF!,12,FALSE)</f>
        <v>#REF!</v>
      </c>
      <c r="V26" s="24" t="e">
        <f>VLOOKUP(C26,#REF!,13,FALSE)</f>
        <v>#REF!</v>
      </c>
    </row>
    <row r="27" spans="1:22" x14ac:dyDescent="0.25">
      <c r="A27" s="7" t="s">
        <v>983</v>
      </c>
      <c r="B27" s="8">
        <v>9789500212335</v>
      </c>
      <c r="C27" s="8">
        <v>689370</v>
      </c>
      <c r="D27" s="25">
        <v>280</v>
      </c>
      <c r="E27" s="9" t="s">
        <v>625</v>
      </c>
      <c r="F27" s="7" t="s">
        <v>622</v>
      </c>
      <c r="G27" s="107">
        <v>44531</v>
      </c>
      <c r="H27" s="108">
        <v>44501</v>
      </c>
      <c r="I27" s="7">
        <v>4102</v>
      </c>
      <c r="J27" s="28" t="s">
        <v>1946</v>
      </c>
      <c r="K27" s="117">
        <v>266.89</v>
      </c>
      <c r="L27" s="112">
        <v>24800</v>
      </c>
      <c r="M27" s="141">
        <f t="shared" si="4"/>
        <v>1984</v>
      </c>
      <c r="N27" s="142">
        <f t="shared" si="0"/>
        <v>12400</v>
      </c>
      <c r="O27" s="142">
        <f t="shared" si="1"/>
        <v>10149.11</v>
      </c>
      <c r="P27" s="142">
        <f t="shared" si="2"/>
        <v>2250.89</v>
      </c>
      <c r="Q27" s="139">
        <f t="shared" si="3"/>
        <v>0.81847661290322582</v>
      </c>
      <c r="R27" s="395">
        <f>VLOOKUP(C27,'[1]ORIGINAL (2)'!$A:$C,3,FALSE)</f>
        <v>7</v>
      </c>
      <c r="S27" s="24" t="e">
        <f>VLOOKUP(C27,#REF!,6,FALSE)</f>
        <v>#REF!</v>
      </c>
      <c r="T27" s="24" t="e">
        <f>VLOOKUP(C27,#REF!,7,FALSE)</f>
        <v>#REF!</v>
      </c>
      <c r="U27" s="24" t="e">
        <f>VLOOKUP(C27,#REF!,12,FALSE)</f>
        <v>#REF!</v>
      </c>
      <c r="V27" s="24" t="e">
        <f>VLOOKUP(C27,#REF!,13,FALSE)</f>
        <v>#REF!</v>
      </c>
    </row>
    <row r="28" spans="1:22" x14ac:dyDescent="0.25">
      <c r="A28" s="6" t="s">
        <v>984</v>
      </c>
      <c r="B28" s="8">
        <v>9789500208581</v>
      </c>
      <c r="C28" s="21">
        <v>591833</v>
      </c>
      <c r="D28" s="7">
        <v>352</v>
      </c>
      <c r="E28" s="7" t="s">
        <v>985</v>
      </c>
      <c r="F28" s="7" t="s">
        <v>40</v>
      </c>
      <c r="G28" s="107">
        <v>42125</v>
      </c>
      <c r="H28" s="108">
        <v>42095</v>
      </c>
      <c r="I28" s="24">
        <v>3036</v>
      </c>
      <c r="J28" s="28" t="s">
        <v>1894</v>
      </c>
      <c r="K28" s="28">
        <v>31.92</v>
      </c>
      <c r="L28" s="112">
        <v>22600</v>
      </c>
      <c r="M28" s="141">
        <f t="shared" si="4"/>
        <v>1808</v>
      </c>
      <c r="N28" s="9">
        <f t="shared" si="0"/>
        <v>11300</v>
      </c>
      <c r="O28" s="9">
        <f t="shared" si="1"/>
        <v>9460.08</v>
      </c>
      <c r="P28" s="9">
        <f t="shared" si="2"/>
        <v>1839.92</v>
      </c>
      <c r="Q28" s="139">
        <f t="shared" si="3"/>
        <v>0.83717522123893806</v>
      </c>
      <c r="R28" s="395" t="e">
        <f>VLOOKUP(C28,'[1]ORIGINAL (2)'!$A:$C,3,FALSE)</f>
        <v>#N/A</v>
      </c>
      <c r="S28" s="24" t="e">
        <f>VLOOKUP(C28,#REF!,6,FALSE)</f>
        <v>#REF!</v>
      </c>
      <c r="T28" s="24" t="e">
        <f>VLOOKUP(C28,#REF!,7,FALSE)</f>
        <v>#REF!</v>
      </c>
      <c r="U28" s="24" t="e">
        <f>VLOOKUP(C28,#REF!,12,FALSE)</f>
        <v>#REF!</v>
      </c>
      <c r="V28" s="24" t="e">
        <f>VLOOKUP(C28,#REF!,13,FALSE)</f>
        <v>#REF!</v>
      </c>
    </row>
    <row r="29" spans="1:22" x14ac:dyDescent="0.25">
      <c r="A29" s="6" t="s">
        <v>986</v>
      </c>
      <c r="B29" s="143">
        <v>9789500209533</v>
      </c>
      <c r="C29" s="6">
        <v>645343</v>
      </c>
      <c r="D29" s="7">
        <v>576</v>
      </c>
      <c r="E29" s="7" t="s">
        <v>345</v>
      </c>
      <c r="F29" s="11" t="s">
        <v>346</v>
      </c>
      <c r="G29" s="107">
        <v>43160</v>
      </c>
      <c r="H29" s="108">
        <v>43132</v>
      </c>
      <c r="I29" s="24">
        <v>2851</v>
      </c>
      <c r="J29" s="28" t="s">
        <v>1946</v>
      </c>
      <c r="K29" s="28">
        <v>73.73</v>
      </c>
      <c r="L29" s="112">
        <v>39800</v>
      </c>
      <c r="M29" s="141">
        <f>+L29*0.1</f>
        <v>3980</v>
      </c>
      <c r="N29" s="142">
        <f t="shared" si="0"/>
        <v>19900</v>
      </c>
      <c r="O29" s="142">
        <f t="shared" si="1"/>
        <v>15846.27</v>
      </c>
      <c r="P29" s="142">
        <f t="shared" si="2"/>
        <v>4053.73</v>
      </c>
      <c r="Q29" s="139">
        <f t="shared" si="3"/>
        <v>0.79629497487437184</v>
      </c>
      <c r="R29" s="395">
        <f>VLOOKUP(C29,'[1]ORIGINAL (2)'!$A:$C,3,FALSE)</f>
        <v>9</v>
      </c>
      <c r="S29" s="24" t="e">
        <f>VLOOKUP(C29,#REF!,6,FALSE)</f>
        <v>#REF!</v>
      </c>
      <c r="T29" s="24" t="e">
        <f>VLOOKUP(C29,#REF!,7,FALSE)</f>
        <v>#REF!</v>
      </c>
      <c r="U29" s="24" t="e">
        <f>VLOOKUP(C29,#REF!,12,FALSE)</f>
        <v>#REF!</v>
      </c>
      <c r="V29" s="24" t="e">
        <f>VLOOKUP(C29,#REF!,13,FALSE)</f>
        <v>#REF!</v>
      </c>
    </row>
    <row r="30" spans="1:22" x14ac:dyDescent="0.25">
      <c r="A30" s="6" t="s">
        <v>987</v>
      </c>
      <c r="B30" s="8">
        <v>9789500208642</v>
      </c>
      <c r="C30" s="8">
        <v>594407</v>
      </c>
      <c r="D30" s="7">
        <v>304</v>
      </c>
      <c r="E30" s="7" t="s">
        <v>988</v>
      </c>
      <c r="F30" s="6" t="s">
        <v>30</v>
      </c>
      <c r="G30" s="107">
        <v>42217</v>
      </c>
      <c r="H30" s="108">
        <v>42795</v>
      </c>
      <c r="I30" s="24">
        <v>1535</v>
      </c>
      <c r="J30" s="28" t="s">
        <v>1894</v>
      </c>
      <c r="K30" s="28">
        <v>39.770000000000003</v>
      </c>
      <c r="L30" s="128">
        <v>16800</v>
      </c>
      <c r="M30" s="141">
        <f>+L30*0.1</f>
        <v>1680</v>
      </c>
      <c r="N30" s="142">
        <f t="shared" si="0"/>
        <v>8400</v>
      </c>
      <c r="O30" s="142">
        <f t="shared" si="1"/>
        <v>6680.23</v>
      </c>
      <c r="P30" s="142">
        <f t="shared" si="2"/>
        <v>1719.77</v>
      </c>
      <c r="Q30" s="139">
        <f t="shared" si="3"/>
        <v>0.79526547619047616</v>
      </c>
      <c r="R30" s="395">
        <f>VLOOKUP(C30,'[1]ORIGINAL (2)'!$A:$C,3,FALSE)</f>
        <v>4</v>
      </c>
      <c r="S30" s="24" t="e">
        <f>VLOOKUP(C30,#REF!,6,FALSE)</f>
        <v>#REF!</v>
      </c>
      <c r="T30" s="24" t="e">
        <f>VLOOKUP(C30,#REF!,7,FALSE)</f>
        <v>#REF!</v>
      </c>
      <c r="U30" s="24" t="e">
        <f>VLOOKUP(C30,#REF!,12,FALSE)</f>
        <v>#REF!</v>
      </c>
      <c r="V30" s="24" t="e">
        <f>VLOOKUP(C30,#REF!,13,FALSE)</f>
        <v>#REF!</v>
      </c>
    </row>
    <row r="31" spans="1:22" x14ac:dyDescent="0.25">
      <c r="A31" s="6" t="s">
        <v>989</v>
      </c>
      <c r="B31" s="8">
        <v>9789500208475</v>
      </c>
      <c r="C31" s="21">
        <v>590779</v>
      </c>
      <c r="D31" s="7">
        <v>416</v>
      </c>
      <c r="E31" s="7" t="s">
        <v>990</v>
      </c>
      <c r="F31" s="7" t="s">
        <v>991</v>
      </c>
      <c r="G31" s="107">
        <v>42095</v>
      </c>
      <c r="H31" s="108">
        <v>42064</v>
      </c>
      <c r="I31" s="24">
        <v>3073</v>
      </c>
      <c r="J31" s="28" t="s">
        <v>1894</v>
      </c>
      <c r="K31" s="28">
        <v>26.49</v>
      </c>
      <c r="L31" s="128">
        <v>24500</v>
      </c>
      <c r="M31" s="12">
        <f>+L31*0.1</f>
        <v>2450</v>
      </c>
      <c r="N31" s="142">
        <f t="shared" si="0"/>
        <v>12250</v>
      </c>
      <c r="O31" s="142">
        <f t="shared" si="1"/>
        <v>9773.51</v>
      </c>
      <c r="P31" s="142">
        <f t="shared" si="2"/>
        <v>2476.4899999999998</v>
      </c>
      <c r="Q31" s="139">
        <f t="shared" si="3"/>
        <v>0.79783755102040821</v>
      </c>
      <c r="R31" s="395" t="e">
        <f>VLOOKUP(C31,'[1]ORIGINAL (2)'!$A:$C,3,FALSE)</f>
        <v>#N/A</v>
      </c>
      <c r="S31" s="24" t="e">
        <f>VLOOKUP(C31,#REF!,6,FALSE)</f>
        <v>#REF!</v>
      </c>
      <c r="T31" s="24" t="e">
        <f>VLOOKUP(C31,#REF!,7,FALSE)</f>
        <v>#REF!</v>
      </c>
      <c r="U31" s="24" t="e">
        <f>VLOOKUP(C31,#REF!,12,FALSE)</f>
        <v>#REF!</v>
      </c>
      <c r="V31" s="24" t="e">
        <f>VLOOKUP(C31,#REF!,13,FALSE)</f>
        <v>#REF!</v>
      </c>
    </row>
    <row r="32" spans="1:22" x14ac:dyDescent="0.25">
      <c r="A32" s="6" t="s">
        <v>992</v>
      </c>
      <c r="B32" s="8">
        <v>9789500298643</v>
      </c>
      <c r="C32" s="8">
        <v>599836</v>
      </c>
      <c r="D32" s="25">
        <v>488</v>
      </c>
      <c r="E32" s="22" t="s">
        <v>993</v>
      </c>
      <c r="F32" s="6" t="s">
        <v>55</v>
      </c>
      <c r="G32" s="107">
        <v>42339</v>
      </c>
      <c r="H32" s="108">
        <v>44287</v>
      </c>
      <c r="I32" s="7">
        <v>2003</v>
      </c>
      <c r="J32" s="28" t="s">
        <v>1762</v>
      </c>
      <c r="K32" s="9">
        <v>206.44</v>
      </c>
      <c r="L32" s="112">
        <v>49900</v>
      </c>
      <c r="M32" s="141">
        <f>+L32*0.15</f>
        <v>7485</v>
      </c>
      <c r="N32" s="9">
        <f t="shared" si="0"/>
        <v>24950</v>
      </c>
      <c r="O32" s="9">
        <f t="shared" si="1"/>
        <v>17258.560000000001</v>
      </c>
      <c r="P32" s="9">
        <f t="shared" si="2"/>
        <v>7691.44</v>
      </c>
      <c r="Q32" s="139">
        <f t="shared" si="3"/>
        <v>0.69172585170340684</v>
      </c>
      <c r="R32" s="395">
        <f>VLOOKUP(C32,'[1]ORIGINAL (2)'!$A:$C,3,FALSE)</f>
        <v>6</v>
      </c>
      <c r="S32" s="24" t="e">
        <f>VLOOKUP(C32,#REF!,6,FALSE)</f>
        <v>#REF!</v>
      </c>
      <c r="T32" s="24" t="e">
        <f>VLOOKUP(C32,#REF!,7,FALSE)</f>
        <v>#REF!</v>
      </c>
      <c r="U32" s="24" t="e">
        <f>VLOOKUP(C32,#REF!,12,FALSE)</f>
        <v>#REF!</v>
      </c>
      <c r="V32" s="24" t="e">
        <f>VLOOKUP(C32,#REF!,13,FALSE)</f>
        <v>#REF!</v>
      </c>
    </row>
    <row r="33" spans="1:22" x14ac:dyDescent="0.25">
      <c r="A33" s="6" t="s">
        <v>994</v>
      </c>
      <c r="B33" s="8">
        <v>9789500208635</v>
      </c>
      <c r="C33" s="8">
        <v>613393</v>
      </c>
      <c r="D33" s="25">
        <v>288</v>
      </c>
      <c r="E33" s="7" t="s">
        <v>53</v>
      </c>
      <c r="F33" s="7" t="s">
        <v>54</v>
      </c>
      <c r="G33" s="107">
        <v>42491</v>
      </c>
      <c r="H33" s="108">
        <v>42461</v>
      </c>
      <c r="I33" s="24">
        <v>3018</v>
      </c>
      <c r="J33" s="28" t="s">
        <v>1894</v>
      </c>
      <c r="K33" s="28">
        <v>38.08</v>
      </c>
      <c r="L33" s="128">
        <v>19300</v>
      </c>
      <c r="M33" s="141">
        <f>+L33*0.08</f>
        <v>1544</v>
      </c>
      <c r="N33" s="142">
        <f t="shared" si="0"/>
        <v>9650</v>
      </c>
      <c r="O33" s="142">
        <f t="shared" si="1"/>
        <v>8067.92</v>
      </c>
      <c r="P33" s="142">
        <f t="shared" si="2"/>
        <v>1582.08</v>
      </c>
      <c r="Q33" s="139">
        <f t="shared" si="3"/>
        <v>0.83605388601036268</v>
      </c>
      <c r="R33" s="395" t="e">
        <f>VLOOKUP(C33,'[1]ORIGINAL (2)'!$A:$C,3,FALSE)</f>
        <v>#N/A</v>
      </c>
      <c r="S33" s="24" t="e">
        <f>VLOOKUP(C33,#REF!,6,FALSE)</f>
        <v>#REF!</v>
      </c>
      <c r="T33" s="24" t="e">
        <f>VLOOKUP(C33,#REF!,7,FALSE)</f>
        <v>#REF!</v>
      </c>
      <c r="U33" s="24" t="e">
        <f>VLOOKUP(C33,#REF!,12,FALSE)</f>
        <v>#REF!</v>
      </c>
      <c r="V33" s="24" t="e">
        <f>VLOOKUP(C33,#REF!,13,FALSE)</f>
        <v>#REF!</v>
      </c>
    </row>
    <row r="34" spans="1:22" x14ac:dyDescent="0.25">
      <c r="A34" s="6" t="s">
        <v>982</v>
      </c>
      <c r="B34" s="8">
        <v>9789500208604</v>
      </c>
      <c r="C34" s="8">
        <v>593815</v>
      </c>
      <c r="D34" s="7">
        <v>272</v>
      </c>
      <c r="E34" s="7" t="s">
        <v>995</v>
      </c>
      <c r="F34" s="7" t="s">
        <v>41</v>
      </c>
      <c r="G34" s="107">
        <v>42186</v>
      </c>
      <c r="H34" s="108">
        <v>42156</v>
      </c>
      <c r="I34" s="24">
        <v>3019</v>
      </c>
      <c r="J34" s="28" t="s">
        <v>1946</v>
      </c>
      <c r="K34" s="28">
        <v>27.05</v>
      </c>
      <c r="L34" s="128">
        <v>21200</v>
      </c>
      <c r="M34" s="141">
        <f>+L34*0.08</f>
        <v>1696</v>
      </c>
      <c r="N34" s="142">
        <f t="shared" si="0"/>
        <v>10600</v>
      </c>
      <c r="O34" s="142">
        <f t="shared" si="1"/>
        <v>8876.9500000000007</v>
      </c>
      <c r="P34" s="142">
        <f t="shared" si="2"/>
        <v>1723.05</v>
      </c>
      <c r="Q34" s="139">
        <f t="shared" si="3"/>
        <v>0.8374481132075472</v>
      </c>
      <c r="R34" s="395">
        <f>VLOOKUP(C34,'[1]ORIGINAL (2)'!$A:$C,3,FALSE)</f>
        <v>9</v>
      </c>
      <c r="S34" s="24" t="e">
        <f>VLOOKUP(C34,#REF!,6,FALSE)</f>
        <v>#REF!</v>
      </c>
      <c r="T34" s="24" t="e">
        <f>VLOOKUP(C34,#REF!,7,FALSE)</f>
        <v>#REF!</v>
      </c>
      <c r="U34" s="24" t="e">
        <f>VLOOKUP(C34,#REF!,12,FALSE)</f>
        <v>#REF!</v>
      </c>
      <c r="V34" s="24" t="e">
        <f>VLOOKUP(C34,#REF!,13,FALSE)</f>
        <v>#REF!</v>
      </c>
    </row>
    <row r="35" spans="1:22" x14ac:dyDescent="0.25">
      <c r="A35" s="7" t="s">
        <v>996</v>
      </c>
      <c r="B35" s="8">
        <v>9789500207188</v>
      </c>
      <c r="C35" s="8">
        <v>578530</v>
      </c>
      <c r="D35" s="7">
        <v>352</v>
      </c>
      <c r="E35" s="7" t="s">
        <v>52</v>
      </c>
      <c r="F35" s="7" t="s">
        <v>997</v>
      </c>
      <c r="G35" s="107">
        <v>41791</v>
      </c>
      <c r="H35" s="108">
        <v>41760</v>
      </c>
      <c r="I35" s="24">
        <v>3066</v>
      </c>
      <c r="J35" s="28" t="s">
        <v>1894</v>
      </c>
      <c r="K35" s="28">
        <v>21.08</v>
      </c>
      <c r="L35" s="128">
        <v>22600</v>
      </c>
      <c r="M35" s="141">
        <f>+L35*0.1</f>
        <v>2260</v>
      </c>
      <c r="N35" s="142">
        <f t="shared" si="0"/>
        <v>11300</v>
      </c>
      <c r="O35" s="142">
        <f t="shared" si="1"/>
        <v>9018.92</v>
      </c>
      <c r="P35" s="142">
        <f t="shared" si="2"/>
        <v>2281.08</v>
      </c>
      <c r="Q35" s="139">
        <f t="shared" si="3"/>
        <v>0.79813451327433627</v>
      </c>
      <c r="R35" s="395" t="e">
        <f>VLOOKUP(C35,'[1]ORIGINAL (2)'!$A:$C,3,FALSE)</f>
        <v>#N/A</v>
      </c>
      <c r="S35" s="24" t="e">
        <f>VLOOKUP(C35,#REF!,6,FALSE)</f>
        <v>#REF!</v>
      </c>
      <c r="T35" s="24" t="e">
        <f>VLOOKUP(C35,#REF!,7,FALSE)</f>
        <v>#REF!</v>
      </c>
      <c r="U35" s="24" t="e">
        <f>VLOOKUP(C35,#REF!,12,FALSE)</f>
        <v>#REF!</v>
      </c>
      <c r="V35" s="24" t="e">
        <f>VLOOKUP(C35,#REF!,13,FALSE)</f>
        <v>#REF!</v>
      </c>
    </row>
    <row r="36" spans="1:22" x14ac:dyDescent="0.25">
      <c r="A36" s="6" t="s">
        <v>998</v>
      </c>
      <c r="B36" s="8">
        <v>9789500298841</v>
      </c>
      <c r="C36" s="3">
        <v>614585</v>
      </c>
      <c r="D36" s="7">
        <v>384</v>
      </c>
      <c r="E36" s="31" t="s">
        <v>58</v>
      </c>
      <c r="F36" s="32" t="s">
        <v>59</v>
      </c>
      <c r="G36" s="107">
        <v>42522</v>
      </c>
      <c r="H36" s="108">
        <v>42491</v>
      </c>
      <c r="I36" s="24">
        <v>3005</v>
      </c>
      <c r="J36" s="28" t="s">
        <v>1894</v>
      </c>
      <c r="K36" s="28">
        <v>45.51</v>
      </c>
      <c r="L36" s="112">
        <v>25600</v>
      </c>
      <c r="M36" s="141">
        <f>+L36*0.08</f>
        <v>2048</v>
      </c>
      <c r="N36" s="142">
        <f t="shared" si="0"/>
        <v>12800</v>
      </c>
      <c r="O36" s="142">
        <f t="shared" si="1"/>
        <v>10706.49</v>
      </c>
      <c r="P36" s="142">
        <f t="shared" si="2"/>
        <v>2093.5100000000002</v>
      </c>
      <c r="Q36" s="139">
        <f t="shared" si="3"/>
        <v>0.83644453124999996</v>
      </c>
      <c r="R36" s="395" t="e">
        <f>VLOOKUP(C36,'[1]ORIGINAL (2)'!$A:$C,3,FALSE)</f>
        <v>#N/A</v>
      </c>
      <c r="S36" s="24" t="e">
        <f>VLOOKUP(C36,#REF!,6,FALSE)</f>
        <v>#REF!</v>
      </c>
      <c r="T36" s="24" t="e">
        <f>VLOOKUP(C36,#REF!,7,FALSE)</f>
        <v>#REF!</v>
      </c>
      <c r="U36" s="24" t="e">
        <f>VLOOKUP(C36,#REF!,12,FALSE)</f>
        <v>#REF!</v>
      </c>
      <c r="V36" s="24" t="e">
        <f>VLOOKUP(C36,#REF!,13,FALSE)</f>
        <v>#REF!</v>
      </c>
    </row>
    <row r="37" spans="1:22" x14ac:dyDescent="0.25">
      <c r="A37" s="6" t="s">
        <v>999</v>
      </c>
      <c r="B37" s="8">
        <v>9789500208574</v>
      </c>
      <c r="C37" s="8">
        <v>592798</v>
      </c>
      <c r="D37" s="7">
        <v>400</v>
      </c>
      <c r="E37" s="7" t="s">
        <v>1000</v>
      </c>
      <c r="F37" s="7" t="s">
        <v>51</v>
      </c>
      <c r="G37" s="107">
        <v>42156</v>
      </c>
      <c r="H37" s="108">
        <v>42856</v>
      </c>
      <c r="I37" s="24">
        <v>3080</v>
      </c>
      <c r="J37" s="28" t="s">
        <v>1894</v>
      </c>
      <c r="K37" s="28">
        <v>25.3</v>
      </c>
      <c r="L37" s="112">
        <v>25600</v>
      </c>
      <c r="M37" s="141">
        <f>+L37*0.1</f>
        <v>2560</v>
      </c>
      <c r="N37" s="9">
        <f t="shared" si="0"/>
        <v>12800</v>
      </c>
      <c r="O37" s="9">
        <f t="shared" si="1"/>
        <v>10214.700000000001</v>
      </c>
      <c r="P37" s="9">
        <f t="shared" si="2"/>
        <v>2585.3000000000002</v>
      </c>
      <c r="Q37" s="139">
        <f t="shared" si="3"/>
        <v>0.79802343750000004</v>
      </c>
      <c r="R37" s="395" t="e">
        <f>VLOOKUP(C37,'[1]ORIGINAL (2)'!$A:$C,3,FALSE)</f>
        <v>#N/A</v>
      </c>
      <c r="S37" s="24" t="e">
        <f>VLOOKUP(C37,#REF!,6,FALSE)</f>
        <v>#REF!</v>
      </c>
      <c r="T37" s="24" t="e">
        <f>VLOOKUP(C37,#REF!,7,FALSE)</f>
        <v>#REF!</v>
      </c>
      <c r="U37" s="24" t="e">
        <f>VLOOKUP(C37,#REF!,12,FALSE)</f>
        <v>#REF!</v>
      </c>
      <c r="V37" s="24" t="e">
        <f>VLOOKUP(C37,#REF!,13,FALSE)</f>
        <v>#REF!</v>
      </c>
    </row>
    <row r="38" spans="1:22" x14ac:dyDescent="0.25">
      <c r="A38" s="11" t="s">
        <v>1001</v>
      </c>
      <c r="B38" s="13">
        <v>9789500299855</v>
      </c>
      <c r="C38" s="6">
        <v>639248</v>
      </c>
      <c r="D38" s="7">
        <v>416</v>
      </c>
      <c r="E38" s="11" t="s">
        <v>333</v>
      </c>
      <c r="F38" s="11" t="s">
        <v>1002</v>
      </c>
      <c r="G38" s="107">
        <v>43040</v>
      </c>
      <c r="H38" s="108">
        <v>43009</v>
      </c>
      <c r="I38" s="24">
        <v>2950</v>
      </c>
      <c r="J38" s="28" t="s">
        <v>1946</v>
      </c>
      <c r="K38" s="28">
        <v>74.08</v>
      </c>
      <c r="L38" s="128">
        <v>24800</v>
      </c>
      <c r="M38" s="141">
        <f>+L38*0.08</f>
        <v>1984</v>
      </c>
      <c r="N38" s="142">
        <f t="shared" si="0"/>
        <v>12400</v>
      </c>
      <c r="O38" s="142">
        <f t="shared" si="1"/>
        <v>10341.92</v>
      </c>
      <c r="P38" s="142">
        <f t="shared" si="2"/>
        <v>2058.08</v>
      </c>
      <c r="Q38" s="139">
        <f t="shared" si="3"/>
        <v>0.83402580645161295</v>
      </c>
      <c r="R38" s="395">
        <f>VLOOKUP(C38,'[1]ORIGINAL (2)'!$A:$C,3,FALSE)</f>
        <v>7</v>
      </c>
      <c r="S38" s="24" t="e">
        <f>VLOOKUP(C38,#REF!,6,FALSE)</f>
        <v>#REF!</v>
      </c>
      <c r="T38" s="24" t="e">
        <f>VLOOKUP(C38,#REF!,7,FALSE)</f>
        <v>#REF!</v>
      </c>
      <c r="U38" s="24" t="e">
        <f>VLOOKUP(C38,#REF!,12,FALSE)</f>
        <v>#REF!</v>
      </c>
      <c r="V38" s="24" t="e">
        <f>VLOOKUP(C38,#REF!,13,FALSE)</f>
        <v>#REF!</v>
      </c>
    </row>
    <row r="39" spans="1:22" x14ac:dyDescent="0.25">
      <c r="A39" s="6" t="s">
        <v>1003</v>
      </c>
      <c r="B39" s="8">
        <v>9789500208284</v>
      </c>
      <c r="C39" s="8">
        <v>584953</v>
      </c>
      <c r="D39" s="7">
        <v>464</v>
      </c>
      <c r="E39" s="7" t="s">
        <v>1004</v>
      </c>
      <c r="F39" s="7" t="s">
        <v>37</v>
      </c>
      <c r="G39" s="107">
        <v>41944</v>
      </c>
      <c r="H39" s="108">
        <v>41913</v>
      </c>
      <c r="I39" s="24">
        <v>3052</v>
      </c>
      <c r="J39" s="28" t="s">
        <v>1894</v>
      </c>
      <c r="K39" s="28">
        <v>34.42</v>
      </c>
      <c r="L39" s="128">
        <v>22600</v>
      </c>
      <c r="M39" s="141">
        <f>+L39*0.08</f>
        <v>1808</v>
      </c>
      <c r="N39" s="142">
        <f t="shared" si="0"/>
        <v>11300</v>
      </c>
      <c r="O39" s="142">
        <f t="shared" si="1"/>
        <v>9457.58</v>
      </c>
      <c r="P39" s="142">
        <f t="shared" si="2"/>
        <v>1842.42</v>
      </c>
      <c r="Q39" s="139">
        <f t="shared" si="3"/>
        <v>0.83695398230088491</v>
      </c>
      <c r="R39" s="395" t="e">
        <f>VLOOKUP(C39,'[1]ORIGINAL (2)'!$A:$C,3,FALSE)</f>
        <v>#N/A</v>
      </c>
      <c r="S39" s="24" t="e">
        <f>VLOOKUP(C39,#REF!,6,FALSE)</f>
        <v>#REF!</v>
      </c>
      <c r="T39" s="24" t="e">
        <f>VLOOKUP(C39,#REF!,7,FALSE)</f>
        <v>#REF!</v>
      </c>
      <c r="U39" s="24" t="e">
        <f>VLOOKUP(C39,#REF!,12,FALSE)</f>
        <v>#REF!</v>
      </c>
      <c r="V39" s="24" t="e">
        <f>VLOOKUP(C39,#REF!,13,FALSE)</f>
        <v>#REF!</v>
      </c>
    </row>
    <row r="40" spans="1:22" x14ac:dyDescent="0.25">
      <c r="A40" s="7" t="s">
        <v>1005</v>
      </c>
      <c r="B40" s="8">
        <v>9789500207737</v>
      </c>
      <c r="C40" s="21">
        <v>571756</v>
      </c>
      <c r="D40" s="25">
        <v>336</v>
      </c>
      <c r="E40" s="22" t="s">
        <v>42</v>
      </c>
      <c r="F40" s="6" t="s">
        <v>43</v>
      </c>
      <c r="G40" s="107">
        <v>41579</v>
      </c>
      <c r="H40" s="108">
        <v>42461</v>
      </c>
      <c r="I40" s="24">
        <v>2000</v>
      </c>
      <c r="J40" s="28" t="s">
        <v>1946</v>
      </c>
      <c r="K40" s="28">
        <v>31.61</v>
      </c>
      <c r="L40" s="112">
        <v>23800</v>
      </c>
      <c r="M40" s="141">
        <f>+L40*0.1</f>
        <v>2380</v>
      </c>
      <c r="N40" s="142">
        <f t="shared" si="0"/>
        <v>11900</v>
      </c>
      <c r="O40" s="142">
        <f t="shared" si="1"/>
        <v>9488.39</v>
      </c>
      <c r="P40" s="142">
        <f t="shared" si="2"/>
        <v>2411.61</v>
      </c>
      <c r="Q40" s="139">
        <f t="shared" si="3"/>
        <v>0.79734369747899159</v>
      </c>
      <c r="R40" s="395">
        <f>VLOOKUP(C40,'[1]ORIGINAL (2)'!$A:$C,3,FALSE)</f>
        <v>1</v>
      </c>
      <c r="S40" s="24" t="e">
        <f>VLOOKUP(C40,#REF!,6,FALSE)</f>
        <v>#REF!</v>
      </c>
      <c r="T40" s="24" t="e">
        <f>VLOOKUP(C40,#REF!,7,FALSE)</f>
        <v>#REF!</v>
      </c>
      <c r="U40" s="24" t="e">
        <f>VLOOKUP(C40,#REF!,12,FALSE)</f>
        <v>#REF!</v>
      </c>
      <c r="V40" s="24" t="e">
        <f>VLOOKUP(C40,#REF!,13,FALSE)</f>
        <v>#REF!</v>
      </c>
    </row>
    <row r="41" spans="1:22" x14ac:dyDescent="0.25">
      <c r="A41" s="6" t="s">
        <v>1006</v>
      </c>
      <c r="B41" s="8">
        <v>9789500208321</v>
      </c>
      <c r="C41" s="8">
        <v>586574</v>
      </c>
      <c r="D41" s="7">
        <v>368</v>
      </c>
      <c r="E41" s="7" t="s">
        <v>45</v>
      </c>
      <c r="F41" s="7" t="s">
        <v>46</v>
      </c>
      <c r="G41" s="107">
        <v>41974</v>
      </c>
      <c r="H41" s="108">
        <v>41944</v>
      </c>
      <c r="I41" s="24">
        <v>3005</v>
      </c>
      <c r="J41" s="28" t="s">
        <v>1894</v>
      </c>
      <c r="K41" s="28">
        <v>32.97</v>
      </c>
      <c r="L41" s="128">
        <v>19300</v>
      </c>
      <c r="M41" s="141">
        <f>+L41*0.1</f>
        <v>1930</v>
      </c>
      <c r="N41" s="142">
        <f t="shared" si="0"/>
        <v>9650</v>
      </c>
      <c r="O41" s="142">
        <f t="shared" si="1"/>
        <v>7687.03</v>
      </c>
      <c r="P41" s="142">
        <f t="shared" si="2"/>
        <v>1962.97</v>
      </c>
      <c r="Q41" s="139">
        <f t="shared" si="3"/>
        <v>0.79658341968911917</v>
      </c>
      <c r="R41" s="395">
        <f>VLOOKUP(C41,'[1]ORIGINAL (2)'!$A:$C,3,FALSE)</f>
        <v>1</v>
      </c>
      <c r="S41" s="24" t="e">
        <f>VLOOKUP(C41,#REF!,6,FALSE)</f>
        <v>#REF!</v>
      </c>
      <c r="T41" s="24" t="e">
        <f>VLOOKUP(C41,#REF!,7,FALSE)</f>
        <v>#REF!</v>
      </c>
      <c r="U41" s="24" t="e">
        <f>VLOOKUP(C41,#REF!,12,FALSE)</f>
        <v>#REF!</v>
      </c>
      <c r="V41" s="24" t="e">
        <f>VLOOKUP(C41,#REF!,13,FALSE)</f>
        <v>#REF!</v>
      </c>
    </row>
    <row r="42" spans="1:22" x14ac:dyDescent="0.25">
      <c r="A42" s="6" t="s">
        <v>1007</v>
      </c>
      <c r="B42" s="8">
        <v>9789500299848</v>
      </c>
      <c r="C42" s="6">
        <v>636947</v>
      </c>
      <c r="D42" s="25">
        <v>336</v>
      </c>
      <c r="E42" s="22" t="s">
        <v>24</v>
      </c>
      <c r="F42" s="32" t="s">
        <v>1008</v>
      </c>
      <c r="G42" s="107">
        <v>43009</v>
      </c>
      <c r="H42" s="108">
        <v>42979</v>
      </c>
      <c r="I42" s="24">
        <v>2990</v>
      </c>
      <c r="J42" s="28" t="s">
        <v>1894</v>
      </c>
      <c r="K42" s="28">
        <v>56.22</v>
      </c>
      <c r="L42" s="112">
        <v>22600</v>
      </c>
      <c r="M42" s="112">
        <f>+L42*0.08</f>
        <v>1808</v>
      </c>
      <c r="N42" s="142">
        <f t="shared" si="0"/>
        <v>11300</v>
      </c>
      <c r="O42" s="142">
        <f t="shared" si="1"/>
        <v>9435.7800000000007</v>
      </c>
      <c r="P42" s="142">
        <f t="shared" si="2"/>
        <v>1864.22</v>
      </c>
      <c r="Q42" s="139">
        <f t="shared" si="3"/>
        <v>0.83502477876106196</v>
      </c>
      <c r="R42" s="395">
        <f>VLOOKUP(C42,'[1]ORIGINAL (2)'!$A:$C,3,FALSE)</f>
        <v>4</v>
      </c>
      <c r="S42" s="24" t="e">
        <f>VLOOKUP(C42,#REF!,6,FALSE)</f>
        <v>#REF!</v>
      </c>
      <c r="T42" s="24" t="e">
        <f>VLOOKUP(C42,#REF!,7,FALSE)</f>
        <v>#REF!</v>
      </c>
      <c r="U42" s="24" t="e">
        <f>VLOOKUP(C42,#REF!,12,FALSE)</f>
        <v>#REF!</v>
      </c>
      <c r="V42" s="24" t="e">
        <f>VLOOKUP(C42,#REF!,13,FALSE)</f>
        <v>#REF!</v>
      </c>
    </row>
    <row r="43" spans="1:22" x14ac:dyDescent="0.25">
      <c r="A43" s="6" t="s">
        <v>1009</v>
      </c>
      <c r="B43" s="8">
        <v>9789500208659</v>
      </c>
      <c r="C43" s="8">
        <v>598208</v>
      </c>
      <c r="D43" s="7">
        <v>448</v>
      </c>
      <c r="E43" s="6" t="s">
        <v>1010</v>
      </c>
      <c r="F43" s="6" t="s">
        <v>2</v>
      </c>
      <c r="G43" s="107">
        <v>42309</v>
      </c>
      <c r="H43" s="108">
        <v>43586</v>
      </c>
      <c r="I43" s="24">
        <v>496</v>
      </c>
      <c r="J43" s="28" t="s">
        <v>1894</v>
      </c>
      <c r="K43" s="28">
        <v>123.78</v>
      </c>
      <c r="L43" s="128">
        <v>21600</v>
      </c>
      <c r="M43" s="12">
        <f>+L43*0.1</f>
        <v>2160</v>
      </c>
      <c r="N43" s="9">
        <f t="shared" si="0"/>
        <v>10800</v>
      </c>
      <c r="O43" s="9">
        <f t="shared" si="1"/>
        <v>8516.2199999999993</v>
      </c>
      <c r="P43" s="9">
        <f t="shared" si="2"/>
        <v>2283.7800000000002</v>
      </c>
      <c r="Q43" s="139">
        <f t="shared" si="3"/>
        <v>0.78853888888888879</v>
      </c>
      <c r="R43" s="395" t="e">
        <f>VLOOKUP(C43,'[1]ORIGINAL (2)'!$A:$C,3,FALSE)</f>
        <v>#N/A</v>
      </c>
      <c r="S43" s="24" t="e">
        <f>VLOOKUP(C43,#REF!,6,FALSE)</f>
        <v>#REF!</v>
      </c>
      <c r="T43" s="24" t="e">
        <f>VLOOKUP(C43,#REF!,7,FALSE)</f>
        <v>#REF!</v>
      </c>
      <c r="U43" s="24" t="e">
        <f>VLOOKUP(C43,#REF!,12,FALSE)</f>
        <v>#REF!</v>
      </c>
      <c r="V43" s="24" t="e">
        <f>VLOOKUP(C43,#REF!,13,FALSE)</f>
        <v>#REF!</v>
      </c>
    </row>
    <row r="44" spans="1:22" x14ac:dyDescent="0.25">
      <c r="A44" s="6" t="s">
        <v>1011</v>
      </c>
      <c r="B44" s="8">
        <v>9789500208239</v>
      </c>
      <c r="C44" s="21">
        <v>584132</v>
      </c>
      <c r="D44" s="25">
        <v>272</v>
      </c>
      <c r="E44" s="22" t="s">
        <v>47</v>
      </c>
      <c r="F44" s="6" t="s">
        <v>48</v>
      </c>
      <c r="G44" s="107">
        <v>41913</v>
      </c>
      <c r="H44" s="108">
        <v>41883</v>
      </c>
      <c r="I44" s="24">
        <v>3047</v>
      </c>
      <c r="J44" s="28" t="s">
        <v>1894</v>
      </c>
      <c r="K44" s="28">
        <v>22.81</v>
      </c>
      <c r="L44" s="128">
        <v>18500</v>
      </c>
      <c r="M44" s="141">
        <f>+L44*0.1</f>
        <v>1850</v>
      </c>
      <c r="N44" s="142">
        <f t="shared" si="0"/>
        <v>9250</v>
      </c>
      <c r="O44" s="142">
        <f t="shared" si="1"/>
        <v>7377.19</v>
      </c>
      <c r="P44" s="142">
        <f t="shared" si="2"/>
        <v>1872.81</v>
      </c>
      <c r="Q44" s="139">
        <f t="shared" si="3"/>
        <v>0.79753405405405398</v>
      </c>
      <c r="R44" s="395">
        <f>VLOOKUP(C44,'[1]ORIGINAL (2)'!$A:$C,3,FALSE)</f>
        <v>1</v>
      </c>
      <c r="S44" s="24" t="e">
        <f>VLOOKUP(C44,#REF!,6,FALSE)</f>
        <v>#REF!</v>
      </c>
      <c r="T44" s="24" t="e">
        <f>VLOOKUP(C44,#REF!,7,FALSE)</f>
        <v>#REF!</v>
      </c>
      <c r="U44" s="24" t="e">
        <f>VLOOKUP(C44,#REF!,12,FALSE)</f>
        <v>#REF!</v>
      </c>
      <c r="V44" s="24" t="e">
        <f>VLOOKUP(C44,#REF!,13,FALSE)</f>
        <v>#REF!</v>
      </c>
    </row>
    <row r="45" spans="1:22" x14ac:dyDescent="0.25">
      <c r="A45" s="6" t="s">
        <v>1012</v>
      </c>
      <c r="B45" s="8">
        <v>9789500298858</v>
      </c>
      <c r="C45" s="21">
        <v>617593</v>
      </c>
      <c r="D45" s="25">
        <v>320</v>
      </c>
      <c r="E45" s="11" t="s">
        <v>36</v>
      </c>
      <c r="F45" s="11" t="s">
        <v>1013</v>
      </c>
      <c r="G45" s="107">
        <v>42583</v>
      </c>
      <c r="H45" s="108">
        <v>42552</v>
      </c>
      <c r="I45" s="24">
        <v>3020</v>
      </c>
      <c r="J45" s="28" t="s">
        <v>1894</v>
      </c>
      <c r="K45" s="28">
        <v>42.1</v>
      </c>
      <c r="L45" s="128">
        <v>22600</v>
      </c>
      <c r="M45" s="141">
        <f>+L45*0.08</f>
        <v>1808</v>
      </c>
      <c r="N45" s="142">
        <f t="shared" si="0"/>
        <v>11300</v>
      </c>
      <c r="O45" s="142">
        <f t="shared" si="1"/>
        <v>9449.9</v>
      </c>
      <c r="P45" s="142">
        <f t="shared" si="2"/>
        <v>1850.1</v>
      </c>
      <c r="Q45" s="139">
        <f t="shared" si="3"/>
        <v>0.83627433628318582</v>
      </c>
      <c r="R45" s="395" t="e">
        <f>VLOOKUP(C45,'[1]ORIGINAL (2)'!$A:$C,3,FALSE)</f>
        <v>#N/A</v>
      </c>
      <c r="S45" s="24" t="e">
        <f>VLOOKUP(C45,#REF!,6,FALSE)</f>
        <v>#REF!</v>
      </c>
      <c r="T45" s="24" t="e">
        <f>VLOOKUP(C45,#REF!,7,FALSE)</f>
        <v>#REF!</v>
      </c>
      <c r="U45" s="24" t="e">
        <f>VLOOKUP(C45,#REF!,12,FALSE)</f>
        <v>#REF!</v>
      </c>
      <c r="V45" s="24" t="e">
        <f>VLOOKUP(C45,#REF!,13,FALSE)</f>
        <v>#REF!</v>
      </c>
    </row>
    <row r="46" spans="1:22" x14ac:dyDescent="0.25">
      <c r="A46" s="6" t="s">
        <v>1014</v>
      </c>
      <c r="B46" s="8">
        <v>9789500208246</v>
      </c>
      <c r="C46" s="21">
        <v>584135</v>
      </c>
      <c r="D46" s="25">
        <v>384</v>
      </c>
      <c r="E46" s="22" t="s">
        <v>32</v>
      </c>
      <c r="F46" s="6" t="s">
        <v>33</v>
      </c>
      <c r="G46" s="107">
        <v>41913</v>
      </c>
      <c r="H46" s="108">
        <v>42856</v>
      </c>
      <c r="I46" s="24">
        <v>1006</v>
      </c>
      <c r="J46" s="28" t="s">
        <v>1894</v>
      </c>
      <c r="K46" s="28">
        <v>54.87</v>
      </c>
      <c r="L46" s="128">
        <v>20900</v>
      </c>
      <c r="M46" s="141">
        <f>+L46*0.1</f>
        <v>2090</v>
      </c>
      <c r="N46" s="142">
        <f t="shared" si="0"/>
        <v>10450</v>
      </c>
      <c r="O46" s="142">
        <f t="shared" si="1"/>
        <v>8305.1299999999992</v>
      </c>
      <c r="P46" s="142">
        <f t="shared" si="2"/>
        <v>2144.87</v>
      </c>
      <c r="Q46" s="139">
        <f t="shared" si="3"/>
        <v>0.79474928229665065</v>
      </c>
      <c r="R46" s="395">
        <f>VLOOKUP(C46,'[1]ORIGINAL (2)'!$A:$C,3,FALSE)</f>
        <v>1</v>
      </c>
      <c r="S46" s="24" t="e">
        <f>VLOOKUP(C46,#REF!,6,FALSE)</f>
        <v>#REF!</v>
      </c>
      <c r="T46" s="24" t="e">
        <f>VLOOKUP(C46,#REF!,7,FALSE)</f>
        <v>#REF!</v>
      </c>
      <c r="U46" s="24" t="e">
        <f>VLOOKUP(C46,#REF!,12,FALSE)</f>
        <v>#REF!</v>
      </c>
      <c r="V46" s="24" t="e">
        <f>VLOOKUP(C46,#REF!,13,FALSE)</f>
        <v>#REF!</v>
      </c>
    </row>
    <row r="47" spans="1:22" x14ac:dyDescent="0.25">
      <c r="A47" s="7" t="s">
        <v>1015</v>
      </c>
      <c r="B47" s="8">
        <v>9789500274401</v>
      </c>
      <c r="C47" s="8">
        <v>197417</v>
      </c>
      <c r="D47" s="25">
        <v>435</v>
      </c>
      <c r="E47" s="6" t="s">
        <v>60</v>
      </c>
      <c r="F47" s="145" t="s">
        <v>1016</v>
      </c>
      <c r="G47" s="107">
        <v>37803</v>
      </c>
      <c r="H47" s="108">
        <v>42278</v>
      </c>
      <c r="I47" s="24">
        <v>1050</v>
      </c>
      <c r="J47" s="28" t="s">
        <v>1894</v>
      </c>
      <c r="K47" s="28">
        <v>51.61</v>
      </c>
      <c r="L47" s="112">
        <v>27700</v>
      </c>
      <c r="M47" s="141">
        <f>+L47*0.1</f>
        <v>2770</v>
      </c>
      <c r="N47" s="142">
        <f t="shared" si="0"/>
        <v>13850</v>
      </c>
      <c r="O47" s="142">
        <f t="shared" si="1"/>
        <v>11028.39</v>
      </c>
      <c r="P47" s="142">
        <f t="shared" si="2"/>
        <v>2821.61</v>
      </c>
      <c r="Q47" s="139">
        <f t="shared" si="3"/>
        <v>0.79627364620938623</v>
      </c>
      <c r="R47" s="395" t="e">
        <f>VLOOKUP(C47,'[1]ORIGINAL (2)'!$A:$C,3,FALSE)</f>
        <v>#N/A</v>
      </c>
      <c r="S47" s="24" t="e">
        <f>VLOOKUP(C47,#REF!,6,FALSE)</f>
        <v>#REF!</v>
      </c>
      <c r="T47" s="24" t="e">
        <f>VLOOKUP(C47,#REF!,7,FALSE)</f>
        <v>#REF!</v>
      </c>
      <c r="U47" s="24" t="e">
        <f>VLOOKUP(C47,#REF!,12,FALSE)</f>
        <v>#REF!</v>
      </c>
      <c r="V47" s="24" t="e">
        <f>VLOOKUP(C47,#REF!,13,FALSE)</f>
        <v>#REF!</v>
      </c>
    </row>
    <row r="48" spans="1:22" x14ac:dyDescent="0.25">
      <c r="A48" s="6" t="s">
        <v>1017</v>
      </c>
      <c r="B48" s="8">
        <v>9789500211734</v>
      </c>
      <c r="C48" s="8">
        <v>683318</v>
      </c>
      <c r="D48" s="7">
        <v>336</v>
      </c>
      <c r="E48" s="7" t="s">
        <v>541</v>
      </c>
      <c r="F48" s="6" t="s">
        <v>1018</v>
      </c>
      <c r="G48" s="107">
        <v>44317</v>
      </c>
      <c r="H48" s="108">
        <v>44531</v>
      </c>
      <c r="I48" s="7">
        <v>2112</v>
      </c>
      <c r="J48" s="28" t="s">
        <v>1762</v>
      </c>
      <c r="K48" s="117">
        <v>180.33</v>
      </c>
      <c r="L48" s="112">
        <v>39900</v>
      </c>
      <c r="M48" s="141">
        <f>+L48*0.1</f>
        <v>3990</v>
      </c>
      <c r="N48" s="142">
        <f t="shared" si="0"/>
        <v>19950</v>
      </c>
      <c r="O48" s="142">
        <f t="shared" si="1"/>
        <v>15779.67</v>
      </c>
      <c r="P48" s="142">
        <f t="shared" si="2"/>
        <v>4170.33</v>
      </c>
      <c r="Q48" s="139">
        <f t="shared" si="3"/>
        <v>0.79096090225563909</v>
      </c>
      <c r="R48" s="395">
        <f>VLOOKUP(C48,'[1]ORIGINAL (2)'!$A:$C,3,FALSE)</f>
        <v>11</v>
      </c>
      <c r="S48" s="24" t="e">
        <f>VLOOKUP(C48,#REF!,6,FALSE)</f>
        <v>#REF!</v>
      </c>
      <c r="T48" s="24" t="e">
        <f>VLOOKUP(C48,#REF!,7,FALSE)</f>
        <v>#REF!</v>
      </c>
      <c r="U48" s="24" t="e">
        <f>VLOOKUP(C48,#REF!,12,FALSE)</f>
        <v>#REF!</v>
      </c>
      <c r="V48" s="24" t="e">
        <f>VLOOKUP(C48,#REF!,13,FALSE)</f>
        <v>#REF!</v>
      </c>
    </row>
    <row r="49" spans="1:22" x14ac:dyDescent="0.25">
      <c r="A49" s="6" t="s">
        <v>1019</v>
      </c>
      <c r="B49" s="8">
        <v>9789500298865</v>
      </c>
      <c r="C49" s="6">
        <v>627252</v>
      </c>
      <c r="D49" s="25">
        <v>416</v>
      </c>
      <c r="E49" s="11" t="s">
        <v>34</v>
      </c>
      <c r="F49" s="11" t="s">
        <v>35</v>
      </c>
      <c r="G49" s="107">
        <v>42826</v>
      </c>
      <c r="H49" s="108">
        <v>42795</v>
      </c>
      <c r="I49" s="24">
        <v>3002</v>
      </c>
      <c r="J49" s="28" t="s">
        <v>1894</v>
      </c>
      <c r="K49" s="28">
        <v>51.33</v>
      </c>
      <c r="L49" s="28">
        <v>21600</v>
      </c>
      <c r="M49" s="141">
        <f>+L49*0.1</f>
        <v>2160</v>
      </c>
      <c r="N49" s="142">
        <f t="shared" si="0"/>
        <v>10800</v>
      </c>
      <c r="O49" s="142">
        <f t="shared" si="1"/>
        <v>8588.67</v>
      </c>
      <c r="P49" s="142">
        <f t="shared" si="2"/>
        <v>2211.33</v>
      </c>
      <c r="Q49" s="139">
        <f t="shared" si="3"/>
        <v>0.79524722222222222</v>
      </c>
      <c r="R49" s="395" t="e">
        <f>VLOOKUP(C49,'[1]ORIGINAL (2)'!$A:$C,3,FALSE)</f>
        <v>#N/A</v>
      </c>
      <c r="S49" s="24" t="e">
        <f>VLOOKUP(C49,#REF!,6,FALSE)</f>
        <v>#REF!</v>
      </c>
      <c r="T49" s="24" t="e">
        <f>VLOOKUP(C49,#REF!,7,FALSE)</f>
        <v>#REF!</v>
      </c>
      <c r="U49" s="24" t="e">
        <f>VLOOKUP(C49,#REF!,12,FALSE)</f>
        <v>#REF!</v>
      </c>
      <c r="V49" s="24" t="e">
        <f>VLOOKUP(C49,#REF!,13,FALSE)</f>
        <v>#REF!</v>
      </c>
    </row>
    <row r="50" spans="1:22" x14ac:dyDescent="0.25">
      <c r="A50" s="7" t="s">
        <v>1020</v>
      </c>
      <c r="B50" s="8">
        <v>9789500212205</v>
      </c>
      <c r="C50" s="8">
        <v>690469</v>
      </c>
      <c r="D50" s="25">
        <v>200</v>
      </c>
      <c r="E50" s="9" t="s">
        <v>636</v>
      </c>
      <c r="F50" s="7" t="s">
        <v>637</v>
      </c>
      <c r="G50" s="107">
        <v>44562</v>
      </c>
      <c r="H50" s="108">
        <v>45352</v>
      </c>
      <c r="I50" s="7">
        <v>2021</v>
      </c>
      <c r="J50" s="28" t="s">
        <v>2136</v>
      </c>
      <c r="K50" s="148">
        <v>1557.61</v>
      </c>
      <c r="L50" s="112">
        <v>29900</v>
      </c>
      <c r="M50" s="112">
        <f>+L50*0.12</f>
        <v>3588</v>
      </c>
      <c r="N50" s="142">
        <f t="shared" si="0"/>
        <v>14950</v>
      </c>
      <c r="O50" s="142">
        <f t="shared" si="1"/>
        <v>9804.39</v>
      </c>
      <c r="P50" s="142">
        <f t="shared" si="2"/>
        <v>5145.6099999999997</v>
      </c>
      <c r="Q50" s="139">
        <f t="shared" si="3"/>
        <v>0.65581204013377925</v>
      </c>
      <c r="R50" s="395">
        <f>VLOOKUP(C50,'[1]ORIGINAL (2)'!$A:$C,3,FALSE)</f>
        <v>87</v>
      </c>
      <c r="S50" s="24" t="e">
        <f>VLOOKUP(C50,#REF!,6,FALSE)</f>
        <v>#REF!</v>
      </c>
      <c r="T50" s="24" t="e">
        <f>VLOOKUP(C50,#REF!,7,FALSE)</f>
        <v>#REF!</v>
      </c>
      <c r="U50" s="24" t="e">
        <f>VLOOKUP(C50,#REF!,12,FALSE)</f>
        <v>#REF!</v>
      </c>
      <c r="V50" s="24" t="e">
        <f>VLOOKUP(C50,#REF!,13,FALSE)</f>
        <v>#REF!</v>
      </c>
    </row>
    <row r="51" spans="1:22" x14ac:dyDescent="0.25">
      <c r="A51" s="7" t="s">
        <v>1021</v>
      </c>
      <c r="B51" s="8">
        <v>9789500211284</v>
      </c>
      <c r="C51" s="8">
        <v>679306</v>
      </c>
      <c r="D51" s="25">
        <v>184</v>
      </c>
      <c r="E51" s="7" t="s">
        <v>510</v>
      </c>
      <c r="F51" s="7" t="s">
        <v>511</v>
      </c>
      <c r="G51" s="107">
        <v>44166</v>
      </c>
      <c r="H51" s="108">
        <v>44136</v>
      </c>
      <c r="I51" s="7">
        <v>4022</v>
      </c>
      <c r="J51" s="28" t="s">
        <v>1894</v>
      </c>
      <c r="K51" s="9">
        <v>76.739999999999995</v>
      </c>
      <c r="L51" s="112">
        <v>16700</v>
      </c>
      <c r="M51" s="112">
        <f>+L51*0.12</f>
        <v>2004</v>
      </c>
      <c r="N51" s="142">
        <f t="shared" si="0"/>
        <v>8350</v>
      </c>
      <c r="O51" s="142">
        <f t="shared" si="1"/>
        <v>6269.26</v>
      </c>
      <c r="P51" s="142">
        <f t="shared" si="2"/>
        <v>2080.7399999999998</v>
      </c>
      <c r="Q51" s="139">
        <f t="shared" si="3"/>
        <v>0.75080958083832339</v>
      </c>
      <c r="R51" s="395" t="e">
        <f>VLOOKUP(C51,'[1]ORIGINAL (2)'!$A:$C,3,FALSE)</f>
        <v>#N/A</v>
      </c>
      <c r="S51" s="24" t="e">
        <f>VLOOKUP(C51,#REF!,6,FALSE)</f>
        <v>#REF!</v>
      </c>
      <c r="T51" s="24" t="e">
        <f>VLOOKUP(C51,#REF!,7,FALSE)</f>
        <v>#REF!</v>
      </c>
      <c r="U51" s="24" t="e">
        <f>VLOOKUP(C51,#REF!,12,FALSE)</f>
        <v>#REF!</v>
      </c>
      <c r="V51" s="24" t="e">
        <f>VLOOKUP(C51,#REF!,13,FALSE)</f>
        <v>#REF!</v>
      </c>
    </row>
    <row r="52" spans="1:22" x14ac:dyDescent="0.25">
      <c r="A52" s="7" t="s">
        <v>1022</v>
      </c>
      <c r="B52" s="8">
        <v>9789500212007</v>
      </c>
      <c r="C52" s="8">
        <v>686375</v>
      </c>
      <c r="D52" s="7">
        <v>96</v>
      </c>
      <c r="E52" s="30" t="s">
        <v>569</v>
      </c>
      <c r="F52" s="7" t="s">
        <v>570</v>
      </c>
      <c r="G52" s="107">
        <v>44440</v>
      </c>
      <c r="H52" s="108">
        <v>44409</v>
      </c>
      <c r="I52" s="7">
        <v>3075</v>
      </c>
      <c r="J52" s="28" t="s">
        <v>2136</v>
      </c>
      <c r="K52" s="117">
        <v>180.44</v>
      </c>
      <c r="L52" s="9">
        <v>12000</v>
      </c>
      <c r="M52" s="12"/>
      <c r="N52" s="142">
        <f t="shared" si="0"/>
        <v>6000</v>
      </c>
      <c r="O52" s="142">
        <f t="shared" si="1"/>
        <v>5819.56</v>
      </c>
      <c r="P52" s="142">
        <f t="shared" si="2"/>
        <v>180.44</v>
      </c>
      <c r="Q52" s="139">
        <f t="shared" si="3"/>
        <v>0.96992666666666671</v>
      </c>
      <c r="R52" s="395">
        <f>VLOOKUP(C52,'[1]ORIGINAL (2)'!$A:$C,3,FALSE)</f>
        <v>16</v>
      </c>
      <c r="S52" s="24" t="e">
        <f>VLOOKUP(C52,#REF!,6,FALSE)</f>
        <v>#REF!</v>
      </c>
      <c r="T52" s="24" t="e">
        <f>VLOOKUP(C52,#REF!,7,FALSE)</f>
        <v>#REF!</v>
      </c>
      <c r="U52" s="24" t="e">
        <f>VLOOKUP(C52,#REF!,12,FALSE)</f>
        <v>#REF!</v>
      </c>
      <c r="V52" s="24" t="e">
        <f>VLOOKUP(C52,#REF!,13,FALSE)</f>
        <v>#REF!</v>
      </c>
    </row>
    <row r="53" spans="1:22" x14ac:dyDescent="0.25">
      <c r="A53" s="6" t="s">
        <v>1023</v>
      </c>
      <c r="B53" s="8">
        <v>9789500208611</v>
      </c>
      <c r="C53" s="8">
        <v>596841</v>
      </c>
      <c r="D53" s="7">
        <v>656</v>
      </c>
      <c r="E53" s="6" t="s">
        <v>31</v>
      </c>
      <c r="F53" s="6" t="s">
        <v>1024</v>
      </c>
      <c r="G53" s="107">
        <v>42278</v>
      </c>
      <c r="H53" s="108">
        <v>45778</v>
      </c>
      <c r="I53" s="7">
        <v>1077</v>
      </c>
      <c r="J53" s="176" t="s">
        <v>1762</v>
      </c>
      <c r="K53" s="148">
        <v>5126.13</v>
      </c>
      <c r="L53" s="9">
        <v>59900</v>
      </c>
      <c r="M53" s="141">
        <f>+L53*0.1</f>
        <v>5990</v>
      </c>
      <c r="N53" s="142">
        <f t="shared" si="0"/>
        <v>29950</v>
      </c>
      <c r="O53" s="142">
        <f t="shared" si="1"/>
        <v>18833.87</v>
      </c>
      <c r="P53" s="142">
        <f t="shared" si="2"/>
        <v>11116.130000000001</v>
      </c>
      <c r="Q53" s="139">
        <f t="shared" si="3"/>
        <v>0.62884373956594319</v>
      </c>
      <c r="R53" s="395">
        <f>VLOOKUP(C53,'[1]ORIGINAL (2)'!$A:$C,3,FALSE)</f>
        <v>226</v>
      </c>
      <c r="S53" s="24" t="e">
        <f>VLOOKUP(C53,#REF!,6,FALSE)</f>
        <v>#REF!</v>
      </c>
      <c r="T53" s="24" t="e">
        <f>VLOOKUP(C53,#REF!,7,FALSE)</f>
        <v>#REF!</v>
      </c>
      <c r="U53" s="24" t="e">
        <f>VLOOKUP(C53,#REF!,12,FALSE)</f>
        <v>#REF!</v>
      </c>
      <c r="V53" s="24" t="e">
        <f>VLOOKUP(C53,#REF!,13,FALSE)</f>
        <v>#REF!</v>
      </c>
    </row>
    <row r="54" spans="1:22" x14ac:dyDescent="0.25">
      <c r="A54" s="6" t="s">
        <v>1025</v>
      </c>
      <c r="B54" s="8">
        <v>9789500211741</v>
      </c>
      <c r="C54" s="8">
        <v>683319</v>
      </c>
      <c r="D54" s="7">
        <v>288</v>
      </c>
      <c r="E54" s="7" t="s">
        <v>542</v>
      </c>
      <c r="F54" s="6" t="s">
        <v>1026</v>
      </c>
      <c r="G54" s="107">
        <v>44317</v>
      </c>
      <c r="H54" s="108">
        <v>44287</v>
      </c>
      <c r="I54" s="7">
        <v>4050</v>
      </c>
      <c r="J54" s="28" t="s">
        <v>1762</v>
      </c>
      <c r="K54" s="117">
        <v>211.08</v>
      </c>
      <c r="L54" s="112">
        <v>37900</v>
      </c>
      <c r="M54" s="141">
        <f>+L54*0.1</f>
        <v>3790</v>
      </c>
      <c r="N54" s="142">
        <f t="shared" si="0"/>
        <v>18950</v>
      </c>
      <c r="O54" s="142">
        <f t="shared" si="1"/>
        <v>14948.92</v>
      </c>
      <c r="P54" s="142">
        <f t="shared" si="2"/>
        <v>4001.08</v>
      </c>
      <c r="Q54" s="139">
        <f t="shared" si="3"/>
        <v>0.78886121372031659</v>
      </c>
      <c r="R54" s="395">
        <f>VLOOKUP(C54,'[1]ORIGINAL (2)'!$A:$C,3,FALSE)</f>
        <v>21</v>
      </c>
      <c r="S54" s="24" t="e">
        <f>VLOOKUP(C54,#REF!,6,FALSE)</f>
        <v>#REF!</v>
      </c>
      <c r="T54" s="24" t="e">
        <f>VLOOKUP(C54,#REF!,7,FALSE)</f>
        <v>#REF!</v>
      </c>
      <c r="U54" s="24" t="e">
        <f>VLOOKUP(C54,#REF!,12,FALSE)</f>
        <v>#REF!</v>
      </c>
      <c r="V54" s="24" t="e">
        <f>VLOOKUP(C54,#REF!,13,FALSE)</f>
        <v>#REF!</v>
      </c>
    </row>
    <row r="55" spans="1:22" x14ac:dyDescent="0.25">
      <c r="A55" s="7" t="s">
        <v>1027</v>
      </c>
      <c r="B55" s="8">
        <v>9789500209786</v>
      </c>
      <c r="C55" s="6">
        <v>653548</v>
      </c>
      <c r="D55" s="7">
        <v>304</v>
      </c>
      <c r="E55" s="7" t="s">
        <v>396</v>
      </c>
      <c r="F55" s="15" t="s">
        <v>397</v>
      </c>
      <c r="G55" s="107">
        <v>43344</v>
      </c>
      <c r="H55" s="108">
        <v>43313</v>
      </c>
      <c r="I55" s="24">
        <v>2527</v>
      </c>
      <c r="J55" s="28" t="s">
        <v>1894</v>
      </c>
      <c r="K55" s="28">
        <v>70.45</v>
      </c>
      <c r="L55" s="128">
        <v>21000</v>
      </c>
      <c r="M55" s="141">
        <f>+L55*0.08</f>
        <v>1680</v>
      </c>
      <c r="N55" s="142">
        <f t="shared" si="0"/>
        <v>10500</v>
      </c>
      <c r="O55" s="142">
        <f t="shared" si="1"/>
        <v>8749.5499999999993</v>
      </c>
      <c r="P55" s="142">
        <f t="shared" si="2"/>
        <v>1750.45</v>
      </c>
      <c r="Q55" s="139">
        <f t="shared" si="3"/>
        <v>0.83329047619047614</v>
      </c>
      <c r="R55" s="395" t="e">
        <f>VLOOKUP(C55,'[1]ORIGINAL (2)'!$A:$C,3,FALSE)</f>
        <v>#N/A</v>
      </c>
      <c r="S55" s="24" t="e">
        <f>VLOOKUP(C55,#REF!,6,FALSE)</f>
        <v>#REF!</v>
      </c>
      <c r="T55" s="24" t="e">
        <f>VLOOKUP(C55,#REF!,7,FALSE)</f>
        <v>#REF!</v>
      </c>
      <c r="U55" s="24" t="e">
        <f>VLOOKUP(C55,#REF!,12,FALSE)</f>
        <v>#REF!</v>
      </c>
      <c r="V55" s="24" t="e">
        <f>VLOOKUP(C55,#REF!,13,FALSE)</f>
        <v>#REF!</v>
      </c>
    </row>
    <row r="56" spans="1:22" x14ac:dyDescent="0.25">
      <c r="A56" s="6" t="s">
        <v>1028</v>
      </c>
      <c r="B56" s="8">
        <v>9789500299831</v>
      </c>
      <c r="C56" s="6">
        <v>633015</v>
      </c>
      <c r="D56" s="7">
        <v>256</v>
      </c>
      <c r="E56" s="7" t="s">
        <v>25</v>
      </c>
      <c r="F56" s="11" t="s">
        <v>26</v>
      </c>
      <c r="G56" s="107">
        <v>42948</v>
      </c>
      <c r="H56" s="108">
        <v>42917</v>
      </c>
      <c r="I56" s="24">
        <v>3000</v>
      </c>
      <c r="J56" s="28" t="s">
        <v>1894</v>
      </c>
      <c r="K56" s="28">
        <v>43.29</v>
      </c>
      <c r="L56" s="128">
        <v>17900</v>
      </c>
      <c r="M56" s="141">
        <f>+L56*0.08</f>
        <v>1432</v>
      </c>
      <c r="N56" s="142">
        <f t="shared" si="0"/>
        <v>8950</v>
      </c>
      <c r="O56" s="142">
        <f t="shared" si="1"/>
        <v>7474.71</v>
      </c>
      <c r="P56" s="142">
        <f t="shared" si="2"/>
        <v>1475.29</v>
      </c>
      <c r="Q56" s="139">
        <f t="shared" si="3"/>
        <v>0.83516312849162011</v>
      </c>
      <c r="R56" s="395" t="e">
        <f>VLOOKUP(C56,'[1]ORIGINAL (2)'!$A:$C,3,FALSE)</f>
        <v>#N/A</v>
      </c>
      <c r="S56" s="24" t="e">
        <f>VLOOKUP(C56,#REF!,6,FALSE)</f>
        <v>#REF!</v>
      </c>
      <c r="T56" s="24" t="e">
        <f>VLOOKUP(C56,#REF!,7,FALSE)</f>
        <v>#REF!</v>
      </c>
      <c r="U56" s="24" t="e">
        <f>VLOOKUP(C56,#REF!,12,FALSE)</f>
        <v>#REF!</v>
      </c>
      <c r="V56" s="24" t="e">
        <f>VLOOKUP(C56,#REF!,13,FALSE)</f>
        <v>#REF!</v>
      </c>
    </row>
    <row r="57" spans="1:22" x14ac:dyDescent="0.25">
      <c r="A57" s="6" t="s">
        <v>1029</v>
      </c>
      <c r="B57" s="8">
        <v>9789500207201</v>
      </c>
      <c r="C57" s="21">
        <v>577631</v>
      </c>
      <c r="D57" s="25">
        <v>304</v>
      </c>
      <c r="E57" s="22" t="s">
        <v>56</v>
      </c>
      <c r="F57" s="6" t="s">
        <v>57</v>
      </c>
      <c r="G57" s="107">
        <v>41760</v>
      </c>
      <c r="H57" s="108">
        <v>41730</v>
      </c>
      <c r="I57" s="24">
        <v>3005</v>
      </c>
      <c r="J57" s="28" t="s">
        <v>1894</v>
      </c>
      <c r="K57" s="28">
        <v>21.55</v>
      </c>
      <c r="L57" s="128">
        <v>19300</v>
      </c>
      <c r="M57" s="9">
        <f>+L57*0.08</f>
        <v>1544</v>
      </c>
      <c r="N57" s="9">
        <f t="shared" si="0"/>
        <v>9650</v>
      </c>
      <c r="O57" s="9">
        <f t="shared" si="1"/>
        <v>8084.45</v>
      </c>
      <c r="P57" s="9">
        <f t="shared" si="2"/>
        <v>1565.55</v>
      </c>
      <c r="Q57" s="139">
        <f t="shared" si="3"/>
        <v>0.83776683937823837</v>
      </c>
      <c r="R57" s="395" t="e">
        <f>VLOOKUP(C57,'[1]ORIGINAL (2)'!$A:$C,3,FALSE)</f>
        <v>#N/A</v>
      </c>
      <c r="S57" s="24" t="e">
        <f>VLOOKUP(C57,#REF!,6,FALSE)</f>
        <v>#REF!</v>
      </c>
      <c r="T57" s="24" t="e">
        <f>VLOOKUP(C57,#REF!,7,FALSE)</f>
        <v>#REF!</v>
      </c>
      <c r="U57" s="24" t="e">
  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 <v>1030</v>
      </c>
      <c r="B58" s="8">
        <v>9789500208277</v>
      </c>
      <c r="C58" s="8">
        <v>584312</v>
      </c>
      <c r="D58" s="7">
        <v>272</v>
      </c>
      <c r="E58" s="7" t="s">
        <v>1031</v>
      </c>
      <c r="F58" s="7" t="s">
        <v>61</v>
      </c>
      <c r="G58" s="107">
        <v>41913</v>
      </c>
      <c r="H58" s="108">
        <v>41944</v>
      </c>
      <c r="I58" s="24">
        <v>2650</v>
      </c>
      <c r="J58" s="28" t="s">
        <v>1894</v>
      </c>
      <c r="K58" s="28">
        <v>15.87</v>
      </c>
      <c r="L58" s="112">
        <v>18600</v>
      </c>
      <c r="M58" s="141">
        <f>+L58*0.1</f>
        <v>1860</v>
      </c>
      <c r="N58" s="142">
        <f t="shared" si="0"/>
        <v>9300</v>
      </c>
      <c r="O58" s="142">
        <f t="shared" si="1"/>
        <v>7424.13</v>
      </c>
      <c r="P58" s="142">
        <f t="shared" si="2"/>
        <v>1875.87</v>
      </c>
      <c r="Q58" s="139">
        <f t="shared" si="3"/>
        <v>0.79829354838709676</v>
      </c>
      <c r="R58" s="395" t="e">
        <f>VLOOKUP(C58,'[1]ORIGINAL (2)'!$A:$C,3,FALSE)</f>
        <v>#N/A</v>
      </c>
      <c r="S58" s="24" t="e">
        <f>VLOOKUP(C58,#REF!,6,FALSE)</f>
        <v>#REF!</v>
      </c>
      <c r="T58" s="24" t="e">
        <f>VLOOKUP(C58,#REF!,7,FALSE)</f>
        <v>#REF!</v>
      </c>
      <c r="U58" s="24" t="e">
        <f>VLOOKUP(C58,#REF!,12,FALSE)</f>
        <v>#REF!</v>
      </c>
      <c r="V58" s="24" t="e">
        <f>VLOOKUP(C58,#REF!,13,FALSE)</f>
        <v>#REF!</v>
      </c>
    </row>
    <row r="59" spans="1:22" x14ac:dyDescent="0.25">
      <c r="A59" s="6" t="s">
        <v>1032</v>
      </c>
      <c r="B59" s="8">
        <v>9789500299749</v>
      </c>
      <c r="C59" s="6">
        <v>628863</v>
      </c>
      <c r="D59" s="25">
        <v>368</v>
      </c>
      <c r="E59" s="7" t="s">
        <v>27</v>
      </c>
      <c r="F59" s="11" t="s">
        <v>1033</v>
      </c>
      <c r="G59" s="107">
        <v>42856</v>
      </c>
      <c r="H59" s="108">
        <v>44743</v>
      </c>
      <c r="I59" s="7">
        <v>2547</v>
      </c>
      <c r="J59" s="28" t="s">
        <v>1894</v>
      </c>
      <c r="K59" s="117">
        <v>388.63</v>
      </c>
      <c r="L59" s="9">
        <v>25600</v>
      </c>
      <c r="M59" s="12">
        <f>+L59*0.1</f>
        <v>2560</v>
      </c>
      <c r="N59" s="142">
        <f t="shared" si="0"/>
        <v>12800</v>
      </c>
      <c r="O59" s="142">
        <f t="shared" si="1"/>
        <v>9851.3700000000008</v>
      </c>
      <c r="P59" s="142">
        <f t="shared" si="2"/>
        <v>2948.63</v>
      </c>
      <c r="Q59" s="139">
        <f t="shared" si="3"/>
        <v>0.76963828125000011</v>
      </c>
      <c r="R59" s="395">
        <f>VLOOKUP(C59,'[1]ORIGINAL (2)'!$A:$C,3,FALSE)</f>
        <v>8</v>
      </c>
      <c r="S59" s="24" t="e">
        <f>VLOOKUP(C59,#REF!,6,FALSE)</f>
        <v>#REF!</v>
      </c>
      <c r="T59" s="24" t="e">
        <f>VLOOKUP(C59,#REF!,7,FALSE)</f>
        <v>#REF!</v>
      </c>
      <c r="U59" s="24" t="e">
        <f>VLOOKUP(C59,#REF!,12,FALSE)</f>
        <v>#REF!</v>
      </c>
      <c r="V59" s="24" t="e">
        <f>VLOOKUP(C59,#REF!,13,FALSE)</f>
        <v>#REF!</v>
      </c>
    </row>
    <row r="60" spans="1:22" x14ac:dyDescent="0.25">
      <c r="A60" s="7" t="s">
        <v>1034</v>
      </c>
      <c r="B60" s="8">
        <v>9789500207263</v>
      </c>
      <c r="C60" s="146">
        <v>564331</v>
      </c>
      <c r="D60" s="25">
        <v>256</v>
      </c>
      <c r="E60" s="22" t="s">
        <v>49</v>
      </c>
      <c r="F60" s="6" t="s">
        <v>50</v>
      </c>
      <c r="G60" s="107">
        <v>41395</v>
      </c>
      <c r="H60" s="108">
        <v>41395</v>
      </c>
      <c r="I60" s="24">
        <v>3066</v>
      </c>
      <c r="J60" s="28" t="s">
        <v>1946</v>
      </c>
      <c r="K60" s="28">
        <v>20.68</v>
      </c>
      <c r="L60" s="112">
        <v>20300</v>
      </c>
      <c r="M60" s="141">
        <f>+L60*0.08</f>
        <v>1624</v>
      </c>
      <c r="N60" s="142">
        <f t="shared" si="0"/>
        <v>10150</v>
      </c>
      <c r="O60" s="142">
        <f t="shared" si="1"/>
        <v>8505.32</v>
      </c>
      <c r="P60" s="142">
        <f t="shared" si="2"/>
        <v>1644.68</v>
      </c>
      <c r="Q60" s="139">
        <f t="shared" si="3"/>
        <v>0.83796256157635463</v>
      </c>
      <c r="R60" s="395">
        <f>VLOOKUP(C60,'[1]ORIGINAL (2)'!$A:$C,3,FALSE)</f>
        <v>2</v>
      </c>
      <c r="S60" s="24" t="e">
        <f>VLOOKUP(C60,#REF!,6,FALSE)</f>
        <v>#REF!</v>
      </c>
      <c r="T60" s="24" t="e">
        <f>VLOOKUP(C60,#REF!,7,FALSE)</f>
        <v>#REF!</v>
      </c>
      <c r="U60" s="24" t="e">
        <f>VLOOKUP(C60,#REF!,12,FALSE)</f>
        <v>#REF!</v>
      </c>
      <c r="V60" s="24" t="e">
        <f>VLOOKUP(C60,#REF!,13,FALSE)</f>
        <v>#REF!</v>
      </c>
    </row>
    <row r="61" spans="1:22" x14ac:dyDescent="0.25">
      <c r="A61" s="7" t="s">
        <v>1035</v>
      </c>
      <c r="B61" s="8">
        <v>9789500299503</v>
      </c>
      <c r="C61" s="8">
        <v>622049</v>
      </c>
      <c r="D61" s="7">
        <v>752</v>
      </c>
      <c r="E61" s="9" t="s">
        <v>38</v>
      </c>
      <c r="F61" s="7" t="s">
        <v>39</v>
      </c>
      <c r="G61" s="118">
        <v>42675</v>
      </c>
      <c r="H61" s="108">
        <v>45352</v>
      </c>
      <c r="I61" s="7">
        <v>2028</v>
      </c>
      <c r="J61" s="28" t="s">
        <v>2136</v>
      </c>
      <c r="K61" s="148">
        <v>5276.65</v>
      </c>
      <c r="L61" s="9">
        <v>68700</v>
      </c>
      <c r="M61" s="112">
        <f>+L61*0.12</f>
        <v>8244</v>
      </c>
      <c r="N61" s="9">
        <f t="shared" si="0"/>
        <v>34350</v>
      </c>
      <c r="O61" s="9">
        <f t="shared" si="1"/>
        <v>20829.349999999999</v>
      </c>
      <c r="P61" s="9">
        <f t="shared" si="2"/>
        <v>13520.65</v>
      </c>
      <c r="Q61" s="139">
        <f t="shared" si="3"/>
        <v>0.60638573508005822</v>
      </c>
      <c r="R61" s="395">
        <f>VLOOKUP(C61,'[1]ORIGINAL (2)'!$A:$C,3,FALSE)</f>
        <v>165</v>
      </c>
      <c r="S61" s="24" t="e">
        <f>VLOOKUP(C61,#REF!,6,FALSE)</f>
        <v>#REF!</v>
      </c>
      <c r="T61" s="24" t="e">
        <f>VLOOKUP(C61,#REF!,7,FALSE)</f>
        <v>#REF!</v>
      </c>
      <c r="U61" s="24" t="e">
        <f>VLOOKUP(C61,#REF!,12,FALSE)</f>
        <v>#REF!</v>
      </c>
      <c r="V61" s="24" t="e">
        <f>VLOOKUP(C61,#REF!,13,FALSE)</f>
        <v>#REF!</v>
      </c>
    </row>
    <row r="62" spans="1:22" x14ac:dyDescent="0.25">
      <c r="A62" s="6" t="s">
        <v>1036</v>
      </c>
      <c r="B62" s="8">
        <v>9789500208468</v>
      </c>
      <c r="C62" s="8">
        <v>590780</v>
      </c>
      <c r="D62" s="25">
        <v>272</v>
      </c>
      <c r="E62" s="22" t="s">
        <v>1037</v>
      </c>
      <c r="F62" s="6" t="s">
        <v>44</v>
      </c>
      <c r="G62" s="107">
        <v>42095</v>
      </c>
      <c r="H62" s="108">
        <v>42064</v>
      </c>
      <c r="I62" s="24">
        <v>3038</v>
      </c>
      <c r="J62" s="28" t="s">
        <v>1894</v>
      </c>
      <c r="K62" s="28">
        <v>28.43</v>
      </c>
      <c r="L62" s="128">
        <v>18500</v>
      </c>
      <c r="M62" s="141">
        <f>+L62*0.1</f>
        <v>1850</v>
      </c>
      <c r="N62" s="142">
        <f t="shared" si="0"/>
        <v>9250</v>
      </c>
      <c r="O62" s="142">
        <f t="shared" si="1"/>
        <v>7371.57</v>
      </c>
      <c r="P62" s="142">
        <f t="shared" si="2"/>
        <v>1878.43</v>
      </c>
      <c r="Q62" s="139">
        <f t="shared" si="3"/>
        <v>0.79692648648648645</v>
      </c>
      <c r="R62" s="395">
        <f>VLOOKUP(C62,'[1]ORIGINAL (2)'!$A:$C,3,FALSE)</f>
        <v>3</v>
      </c>
      <c r="S62" s="24" t="e">
        <f>VLOOKUP(C62,#REF!,6,FALSE)</f>
        <v>#REF!</v>
      </c>
      <c r="T62" s="24" t="e">
        <f>VLOOKUP(C62,#REF!,7,FALSE)</f>
        <v>#REF!</v>
      </c>
      <c r="U62" s="24" t="e">
        <f>VLOOKUP(C62,#REF!,12,FALSE)</f>
        <v>#REF!</v>
      </c>
      <c r="V62" s="24" t="e">
        <f>VLOOKUP(C62,#REF!,13,FALSE)</f>
        <v>#REF!</v>
      </c>
    </row>
    <row r="63" spans="1:22" ht="15.75" thickBot="1" x14ac:dyDescent="0.3">
      <c r="A63" s="132"/>
      <c r="B63" s="133"/>
      <c r="C63" s="133"/>
      <c r="D63" s="132"/>
      <c r="E63" s="132"/>
      <c r="F63" s="132"/>
      <c r="G63" s="132"/>
      <c r="H63" s="132"/>
      <c r="I63" s="132"/>
      <c r="J63" s="132"/>
      <c r="K63" s="132"/>
      <c r="L63" s="134"/>
      <c r="M63" s="132"/>
      <c r="N63" s="132"/>
      <c r="O63" s="132"/>
      <c r="P63" s="132"/>
      <c r="Q63" s="147"/>
      <c r="R63" s="395" t="e">
        <f>VLOOKUP(C63,'[1]ORIGINAL (2)'!$A:$C,3,FALSE)</f>
        <v>#N/A</v>
      </c>
      <c r="S63" s="100"/>
      <c r="T63" s="100"/>
      <c r="U63" s="100"/>
      <c r="V63" s="100"/>
    </row>
    <row r="64" spans="1:22" x14ac:dyDescent="0.25">
      <c r="A64" s="132"/>
      <c r="B64" s="133"/>
      <c r="C64" s="133"/>
      <c r="D64" s="132"/>
      <c r="E64" s="104" t="s">
        <v>628</v>
      </c>
      <c r="F64" s="105"/>
      <c r="G64" s="132"/>
      <c r="H64" s="132"/>
      <c r="I64" s="132"/>
      <c r="J64" s="132"/>
      <c r="K64" s="132"/>
      <c r="L64" s="134"/>
      <c r="M64" s="132"/>
      <c r="N64" s="132"/>
      <c r="O64" s="132"/>
      <c r="P64" s="132"/>
      <c r="Q64" s="147"/>
      <c r="R64" s="395" t="e">
        <f>VLOOKUP(C64,'[1]ORIGINAL (2)'!$A:$C,3,FALSE)</f>
        <v>#N/A</v>
      </c>
      <c r="S64" s="100"/>
      <c r="T64" s="100"/>
      <c r="U64" s="100"/>
      <c r="V64" s="100"/>
    </row>
    <row r="65" spans="1:22" x14ac:dyDescent="0.25">
      <c r="A65" s="7" t="s">
        <v>2416</v>
      </c>
      <c r="B65" s="8">
        <v>9789500218146</v>
      </c>
      <c r="C65" s="8">
        <v>750372</v>
      </c>
      <c r="D65" s="7">
        <v>208</v>
      </c>
      <c r="E65" s="7" t="s">
        <v>2417</v>
      </c>
      <c r="F65" s="7" t="s">
        <v>2418</v>
      </c>
      <c r="G65" s="107">
        <v>46266</v>
      </c>
      <c r="H65" s="107">
        <v>46235</v>
      </c>
      <c r="I65" s="116">
        <v>3000</v>
      </c>
      <c r="J65" s="6" t="s">
        <v>2136</v>
      </c>
      <c r="K65" s="148">
        <v>2182</v>
      </c>
      <c r="L65" s="352">
        <v>21900</v>
      </c>
      <c r="M65" s="112"/>
      <c r="N65" s="9">
        <f t="shared" ref="N65:N128" si="5">+L65/2</f>
        <v>10950</v>
      </c>
      <c r="O65" s="9">
        <f t="shared" ref="O65:O128" si="6">+N65-M65-K65</f>
        <v>8768</v>
      </c>
      <c r="P65" s="9">
        <f t="shared" ref="P65:P128" si="7">+M65+K65</f>
        <v>2182</v>
      </c>
      <c r="Q65" s="139">
        <f t="shared" ref="Q65:Q128" si="8">+O65/N65</f>
        <v>0.80073059360730592</v>
      </c>
      <c r="R65" s="395">
        <f>VLOOKUP(C65,'[1]ORIGINAL (2)'!$A:$C,3,FALSE)</f>
        <v>594</v>
      </c>
      <c r="S65" s="24" t="e">
        <f>VLOOKUP(C65,#REF!,6,FALSE)</f>
        <v>#REF!</v>
      </c>
      <c r="T65" s="24" t="e">
        <f>VLOOKUP(C65,#REF!,7,FALSE)</f>
        <v>#REF!</v>
      </c>
      <c r="U65" s="24" t="e">
        <f>VLOOKUP(C65,#REF!,12,FALSE)</f>
        <v>#REF!</v>
      </c>
      <c r="V65" s="24" t="e">
        <f>VLOOKUP(C65,#REF!,13,FALSE)</f>
        <v>#REF!</v>
      </c>
    </row>
    <row r="66" spans="1:22" x14ac:dyDescent="0.25">
      <c r="A66" s="6" t="s">
        <v>2286</v>
      </c>
      <c r="B66" s="282">
        <v>9789500217538</v>
      </c>
      <c r="C66" s="6">
        <v>743063</v>
      </c>
      <c r="D66" s="41">
        <v>256</v>
      </c>
      <c r="E66" s="6" t="s">
        <v>2287</v>
      </c>
      <c r="F66" s="6" t="s">
        <v>2288</v>
      </c>
      <c r="G66" s="107">
        <v>46113</v>
      </c>
      <c r="H66" s="108">
        <v>46082</v>
      </c>
      <c r="I66" s="7">
        <v>3064</v>
      </c>
      <c r="J66" s="6" t="s">
        <v>1333</v>
      </c>
      <c r="K66" s="148">
        <v>3311.26</v>
      </c>
      <c r="L66" s="9">
        <v>29900</v>
      </c>
      <c r="M66" s="112">
        <f t="shared" ref="M66:M72" si="9">+L66*0.08</f>
        <v>2392</v>
      </c>
      <c r="N66" s="9">
        <f t="shared" si="5"/>
        <v>14950</v>
      </c>
      <c r="O66" s="9">
        <f t="shared" si="6"/>
        <v>9246.74</v>
      </c>
      <c r="P66" s="9">
        <f t="shared" si="7"/>
        <v>5703.26</v>
      </c>
      <c r="Q66" s="139">
        <f t="shared" si="8"/>
        <v>0.61851103678929764</v>
      </c>
      <c r="R66" s="395">
        <f>VLOOKUP(C66,'[1]ORIGINAL (2)'!$A:$C,3,FALSE)</f>
        <v>293</v>
      </c>
      <c r="S66" s="24" t="e">
        <f>VLOOKUP(C66,#REF!,6,FALSE)</f>
        <v>#REF!</v>
      </c>
      <c r="T66" s="24" t="e">
        <f>VLOOKUP(C66,#REF!,7,FALSE)</f>
        <v>#REF!</v>
      </c>
      <c r="U66" s="24" t="e">
        <f>VLOOKUP(C66,#REF!,12,FALSE)</f>
        <v>#REF!</v>
      </c>
      <c r="V66" s="24" t="e">
        <f>VLOOKUP(C66,#REF!,13,FALSE)</f>
        <v>#REF!</v>
      </c>
    </row>
    <row r="67" spans="1:22" x14ac:dyDescent="0.25">
      <c r="A67" s="6" t="s">
        <v>2210</v>
      </c>
      <c r="B67" s="153">
        <v>9789500217248</v>
      </c>
      <c r="C67" s="6">
        <v>740162</v>
      </c>
      <c r="D67" s="41">
        <v>376</v>
      </c>
      <c r="E67" s="6" t="s">
        <v>2005</v>
      </c>
      <c r="F67" s="6" t="s">
        <v>2211</v>
      </c>
      <c r="G67" s="107">
        <v>46023</v>
      </c>
      <c r="H67" s="108">
        <v>45992</v>
      </c>
      <c r="I67" s="267">
        <v>2004</v>
      </c>
      <c r="J67" s="116" t="s">
        <v>1762</v>
      </c>
      <c r="K67" s="292">
        <v>2810.44</v>
      </c>
      <c r="L67" s="9">
        <v>31500</v>
      </c>
      <c r="M67" s="112">
        <f t="shared" si="9"/>
        <v>2520</v>
      </c>
      <c r="N67" s="9">
        <f t="shared" si="5"/>
        <v>15750</v>
      </c>
      <c r="O67" s="9">
        <f t="shared" si="6"/>
        <v>10419.56</v>
      </c>
      <c r="P67" s="9">
        <f t="shared" si="7"/>
        <v>5330.4400000000005</v>
      </c>
      <c r="Q67" s="139">
        <f t="shared" si="8"/>
        <v>0.66155936507936508</v>
      </c>
      <c r="R67" s="395">
        <f>VLOOKUP(C67,'[1]ORIGINAL (2)'!$A:$C,3,FALSE)</f>
        <v>410</v>
      </c>
      <c r="S67" s="24" t="e">
        <f>VLOOKUP(C67,#REF!,6,FALSE)</f>
        <v>#REF!</v>
      </c>
      <c r="T67" s="24" t="e">
        <f>VLOOKUP(C67,#REF!,7,FALSE)</f>
        <v>#REF!</v>
      </c>
      <c r="U67" s="24" t="e">
        <f>VLOOKUP(C67,#REF!,12,FALSE)</f>
        <v>#REF!</v>
      </c>
      <c r="V67" s="24" t="e">
        <f>VLOOKUP(C67,#REF!,13,FALSE)</f>
        <v>#REF!</v>
      </c>
    </row>
    <row r="68" spans="1:22" x14ac:dyDescent="0.25">
      <c r="A68" s="6" t="s">
        <v>2004</v>
      </c>
      <c r="B68" s="279">
        <v>9789500216067</v>
      </c>
      <c r="C68" s="6">
        <v>727394</v>
      </c>
      <c r="D68" s="41">
        <v>368</v>
      </c>
      <c r="E68" s="6" t="s">
        <v>2005</v>
      </c>
      <c r="F68" s="6" t="s">
        <v>2006</v>
      </c>
      <c r="G68" s="107">
        <v>45717</v>
      </c>
      <c r="H68" s="108">
        <v>45689</v>
      </c>
      <c r="I68" s="264">
        <v>3082</v>
      </c>
      <c r="J68" s="28" t="s">
        <v>2136</v>
      </c>
      <c r="K68" s="292">
        <v>2430.2199999999998</v>
      </c>
      <c r="L68" s="9">
        <v>28300</v>
      </c>
      <c r="M68" s="112">
        <f t="shared" si="9"/>
        <v>2264</v>
      </c>
      <c r="N68" s="9">
        <f t="shared" si="5"/>
        <v>14150</v>
      </c>
      <c r="O68" s="9">
        <f t="shared" si="6"/>
        <v>9455.7800000000007</v>
      </c>
      <c r="P68" s="9">
        <f t="shared" si="7"/>
        <v>4694.2199999999993</v>
      </c>
      <c r="Q68" s="139">
        <f t="shared" si="8"/>
        <v>0.66825300353356898</v>
      </c>
      <c r="R68" s="395">
        <f>VLOOKUP(C68,'[1]ORIGINAL (2)'!$A:$C,3,FALSE)</f>
        <v>210</v>
      </c>
      <c r="S68" s="24" t="e">
        <f>VLOOKUP(C68,#REF!,6,FALSE)</f>
        <v>#REF!</v>
      </c>
      <c r="T68" s="24" t="e">
        <f>VLOOKUP(C68,#REF!,7,FALSE)</f>
        <v>#REF!</v>
      </c>
      <c r="U68" s="24" t="e">
        <f>VLOOKUP(C68,#REF!,12,FALSE)</f>
        <v>#REF!</v>
      </c>
      <c r="V68" s="24" t="e">
        <f>VLOOKUP(C68,#REF!,13,FALSE)</f>
        <v>#REF!</v>
      </c>
    </row>
    <row r="69" spans="1:22" x14ac:dyDescent="0.25">
      <c r="A69" s="6" t="s">
        <v>2296</v>
      </c>
      <c r="B69" s="344" t="s">
        <v>2297</v>
      </c>
      <c r="C69" s="6">
        <v>743069</v>
      </c>
      <c r="D69" s="41">
        <v>192</v>
      </c>
      <c r="E69" s="6" t="s">
        <v>2064</v>
      </c>
      <c r="F69" s="6" t="s">
        <v>2298</v>
      </c>
      <c r="G69" s="107">
        <v>46113</v>
      </c>
      <c r="H69" s="108">
        <v>46082</v>
      </c>
      <c r="I69" s="267">
        <v>1983</v>
      </c>
      <c r="J69" s="6" t="s">
        <v>1333</v>
      </c>
      <c r="K69" s="148">
        <v>2474.1</v>
      </c>
      <c r="L69" s="295">
        <v>23900</v>
      </c>
      <c r="M69" s="9">
        <f t="shared" si="9"/>
        <v>1912</v>
      </c>
      <c r="N69" s="9">
        <f t="shared" si="5"/>
        <v>11950</v>
      </c>
      <c r="O69" s="9">
        <f t="shared" si="6"/>
        <v>7563.9</v>
      </c>
      <c r="P69" s="9">
        <f t="shared" si="7"/>
        <v>4386.1000000000004</v>
      </c>
      <c r="Q69" s="109">
        <f t="shared" si="8"/>
        <v>0.63296234309623423</v>
      </c>
      <c r="R69" s="395">
        <f>VLOOKUP(C69,'[1]ORIGINAL (2)'!$A:$C,3,FALSE)</f>
        <v>213</v>
      </c>
      <c r="S69" s="24" t="e">
        <f>VLOOKUP(C69,#REF!,6,FALSE)</f>
        <v>#REF!</v>
      </c>
      <c r="T69" s="24" t="e">
        <f>VLOOKUP(C69,#REF!,7,FALSE)</f>
        <v>#REF!</v>
      </c>
      <c r="U69" s="24" t="e">
        <f>VLOOKUP(C69,#REF!,12,FALSE)</f>
        <v>#REF!</v>
      </c>
      <c r="V69" s="24" t="e">
        <f>VLOOKUP(C69,#REF!,13,FALSE)</f>
        <v>#REF!</v>
      </c>
    </row>
    <row r="70" spans="1:22" x14ac:dyDescent="0.25">
      <c r="A70" s="6" t="s">
        <v>2063</v>
      </c>
      <c r="B70" s="279">
        <v>9789500216326</v>
      </c>
      <c r="C70" s="8">
        <v>730439</v>
      </c>
      <c r="D70" s="41">
        <v>192</v>
      </c>
      <c r="E70" s="6" t="s">
        <v>2064</v>
      </c>
      <c r="F70" s="6" t="s">
        <v>2066</v>
      </c>
      <c r="G70" s="118">
        <v>45809</v>
      </c>
      <c r="H70" s="108">
        <v>45901</v>
      </c>
      <c r="I70" s="264">
        <v>2000</v>
      </c>
      <c r="J70" s="7" t="s">
        <v>1762</v>
      </c>
      <c r="K70" s="148">
        <v>1306.6199999999999</v>
      </c>
      <c r="L70" s="295">
        <v>24500</v>
      </c>
      <c r="M70" s="9">
        <f t="shared" si="9"/>
        <v>1960</v>
      </c>
      <c r="N70" s="9">
        <f t="shared" si="5"/>
        <v>12250</v>
      </c>
      <c r="O70" s="9">
        <f t="shared" si="6"/>
        <v>8983.380000000001</v>
      </c>
      <c r="P70" s="9">
        <f t="shared" si="7"/>
        <v>3266.62</v>
      </c>
      <c r="Q70" s="109">
        <f t="shared" si="8"/>
        <v>0.73333714285714291</v>
      </c>
      <c r="R70" s="395">
        <f>VLOOKUP(C70,'[1]ORIGINAL (2)'!$A:$C,3,FALSE)</f>
        <v>939</v>
      </c>
      <c r="S70" s="24" t="e">
        <f>VLOOKUP(C70,#REF!,6,FALSE)</f>
        <v>#REF!</v>
      </c>
      <c r="T70" s="24" t="e">
        <f>VLOOKUP(C70,#REF!,7,FALSE)</f>
        <v>#REF!</v>
      </c>
      <c r="U70" s="24" t="e">
        <f>VLOOKUP(C70,#REF!,12,FALSE)</f>
        <v>#REF!</v>
      </c>
      <c r="V70" s="24" t="e">
        <f>VLOOKUP(C70,#REF!,13,FALSE)</f>
        <v>#REF!</v>
      </c>
    </row>
    <row r="71" spans="1:22" x14ac:dyDescent="0.25">
      <c r="A71" s="6" t="s">
        <v>2021</v>
      </c>
      <c r="B71" s="279">
        <v>9789500216081</v>
      </c>
      <c r="C71" s="6">
        <v>728155</v>
      </c>
      <c r="D71" s="41">
        <v>208</v>
      </c>
      <c r="E71" s="8" t="s">
        <v>2022</v>
      </c>
      <c r="F71" s="6" t="s">
        <v>2023</v>
      </c>
      <c r="G71" s="107">
        <v>45748</v>
      </c>
      <c r="H71" s="108">
        <v>45717</v>
      </c>
      <c r="I71" s="264">
        <v>3531</v>
      </c>
      <c r="J71" s="28" t="s">
        <v>2136</v>
      </c>
      <c r="K71" s="292">
        <v>1959.06</v>
      </c>
      <c r="L71" s="9">
        <v>28300</v>
      </c>
      <c r="M71" s="9">
        <f t="shared" si="9"/>
        <v>2264</v>
      </c>
      <c r="N71" s="9">
        <f t="shared" si="5"/>
        <v>14150</v>
      </c>
      <c r="O71" s="9">
        <f t="shared" si="6"/>
        <v>9926.94</v>
      </c>
      <c r="P71" s="9">
        <f t="shared" si="7"/>
        <v>4223.0599999999995</v>
      </c>
      <c r="Q71" s="109">
        <f t="shared" si="8"/>
        <v>0.70155053003533574</v>
      </c>
      <c r="R71" s="395">
        <f>VLOOKUP(C71,'[1]ORIGINAL (2)'!$A:$C,3,FALSE)</f>
        <v>329</v>
      </c>
      <c r="S71" s="24" t="e">
        <f>VLOOKUP(C71,#REF!,6,FALSE)</f>
        <v>#REF!</v>
      </c>
      <c r="T71" s="24" t="e">
        <f>VLOOKUP(C71,#REF!,7,FALSE)</f>
        <v>#REF!</v>
      </c>
      <c r="U71" s="24" t="e">
        <f>VLOOKUP(C71,#REF!,12,FALSE)</f>
        <v>#REF!</v>
      </c>
      <c r="V71" s="24" t="e">
        <f>VLOOKUP(C71,#REF!,13,FALSE)</f>
        <v>#REF!</v>
      </c>
    </row>
    <row r="72" spans="1:22" x14ac:dyDescent="0.25">
      <c r="A72" s="6" t="s">
        <v>1961</v>
      </c>
      <c r="B72" s="8">
        <v>9789500215800</v>
      </c>
      <c r="C72" s="6">
        <v>725161</v>
      </c>
      <c r="D72" s="239">
        <v>256</v>
      </c>
      <c r="E72" s="288" t="s">
        <v>1962</v>
      </c>
      <c r="F72" s="6" t="s">
        <v>1963</v>
      </c>
      <c r="G72" s="107">
        <v>45658</v>
      </c>
      <c r="H72" s="108">
        <v>45627</v>
      </c>
      <c r="I72" s="264">
        <v>3566</v>
      </c>
      <c r="J72" s="28" t="s">
        <v>2136</v>
      </c>
      <c r="K72" s="148">
        <v>1341.76</v>
      </c>
      <c r="L72" s="9">
        <v>30300</v>
      </c>
      <c r="M72" s="112">
        <f t="shared" si="9"/>
        <v>2424</v>
      </c>
      <c r="N72" s="9">
        <f t="shared" si="5"/>
        <v>15150</v>
      </c>
      <c r="O72" s="9">
        <f t="shared" si="6"/>
        <v>11384.24</v>
      </c>
      <c r="P72" s="9">
        <f t="shared" si="7"/>
        <v>3765.76</v>
      </c>
      <c r="Q72" s="139">
        <f t="shared" si="8"/>
        <v>0.75143498349834981</v>
      </c>
      <c r="R72" s="395">
        <f>VLOOKUP(C72,'[1]ORIGINAL (2)'!$A:$C,3,FALSE)</f>
        <v>46</v>
      </c>
      <c r="S72" s="24" t="e">
        <f>VLOOKUP(C72,#REF!,6,FALSE)</f>
        <v>#REF!</v>
      </c>
      <c r="T72" s="24" t="e">
        <f>VLOOKUP(C72,#REF!,7,FALSE)</f>
        <v>#REF!</v>
      </c>
      <c r="U72" s="24" t="e">
        <f>VLOOKUP(C72,#REF!,12,FALSE)</f>
        <v>#REF!</v>
      </c>
      <c r="V72" s="24" t="e">
        <f>VLOOKUP(C72,#REF!,13,FALSE)</f>
        <v>#REF!</v>
      </c>
    </row>
    <row r="73" spans="1:22" x14ac:dyDescent="0.25">
      <c r="A73" s="7" t="s">
        <v>1944</v>
      </c>
      <c r="B73" s="279">
        <v>9789500215688</v>
      </c>
      <c r="C73" s="8">
        <v>722604</v>
      </c>
      <c r="D73" s="25">
        <v>232</v>
      </c>
      <c r="E73" s="7" t="s">
        <v>582</v>
      </c>
      <c r="F73" s="278" t="s">
        <v>1949</v>
      </c>
      <c r="G73" s="107">
        <v>45597</v>
      </c>
      <c r="H73" s="108">
        <v>45717</v>
      </c>
      <c r="I73" s="293">
        <v>2080</v>
      </c>
      <c r="J73" s="8" t="s">
        <v>2136</v>
      </c>
      <c r="K73" s="148">
        <v>1685.94</v>
      </c>
      <c r="L73" s="295">
        <v>30300</v>
      </c>
      <c r="M73" s="112">
        <f>+L73*0.1</f>
        <v>3030</v>
      </c>
      <c r="N73" s="9">
        <f t="shared" si="5"/>
        <v>15150</v>
      </c>
      <c r="O73" s="9">
        <f t="shared" si="6"/>
        <v>10434.06</v>
      </c>
      <c r="P73" s="9">
        <f t="shared" si="7"/>
        <v>4715.9400000000005</v>
      </c>
      <c r="Q73" s="139">
        <f t="shared" si="8"/>
        <v>0.68871683168316833</v>
      </c>
      <c r="R73" s="395">
        <f>VLOOKUP(C73,'[1]ORIGINAL (2)'!$A:$C,3,FALSE)</f>
        <v>193</v>
      </c>
      <c r="S73" s="24" t="e">
        <f>VLOOKUP(C73,#REF!,6,FALSE)</f>
        <v>#REF!</v>
      </c>
      <c r="T73" s="24" t="e">
        <f>VLOOKUP(C73,#REF!,7,FALSE)</f>
        <v>#REF!</v>
      </c>
      <c r="U73" s="24" t="e">
        <f>VLOOKUP(C73,#REF!,12,FALSE)</f>
        <v>#REF!</v>
      </c>
      <c r="V73" s="24" t="e">
        <f>VLOOKUP(C73,#REF!,13,FALSE)</f>
        <v>#REF!</v>
      </c>
    </row>
    <row r="74" spans="1:22" x14ac:dyDescent="0.25">
      <c r="A74" s="7" t="s">
        <v>1902</v>
      </c>
      <c r="B74" s="8">
        <v>9789500215459</v>
      </c>
      <c r="C74" s="8">
        <v>719963</v>
      </c>
      <c r="D74" s="25">
        <v>368</v>
      </c>
      <c r="E74" s="6" t="s">
        <v>1903</v>
      </c>
      <c r="F74" s="25" t="s">
        <v>1896</v>
      </c>
      <c r="G74" s="107">
        <v>45536</v>
      </c>
      <c r="H74" s="108">
        <v>45505</v>
      </c>
      <c r="I74" s="267">
        <v>3051</v>
      </c>
      <c r="J74" s="128" t="s">
        <v>2136</v>
      </c>
      <c r="K74" s="148">
        <v>2969.61</v>
      </c>
      <c r="L74" s="9">
        <v>29900</v>
      </c>
      <c r="M74" s="112">
        <f>+L74*0.08</f>
        <v>2392</v>
      </c>
      <c r="N74" s="9">
        <f t="shared" si="5"/>
        <v>14950</v>
      </c>
      <c r="O74" s="9">
        <f t="shared" si="6"/>
        <v>9588.39</v>
      </c>
      <c r="P74" s="9">
        <f t="shared" si="7"/>
        <v>5361.6100000000006</v>
      </c>
      <c r="Q74" s="139">
        <f t="shared" si="8"/>
        <v>0.64136387959866215</v>
      </c>
      <c r="R74" s="395">
        <f>VLOOKUP(C74,'[1]ORIGINAL (2)'!$A:$C,3,FALSE)</f>
        <v>64</v>
      </c>
      <c r="S74" s="24" t="e">
        <f>VLOOKUP(C74,#REF!,6,FALSE)</f>
        <v>#REF!</v>
      </c>
      <c r="T74" s="24" t="e">
        <f>VLOOKUP(C74,#REF!,7,FALSE)</f>
        <v>#REF!</v>
      </c>
      <c r="U74" s="24" t="e">
        <f>VLOOKUP(C74,#REF!,12,FALSE)</f>
        <v>#REF!</v>
      </c>
      <c r="V74" s="24" t="e">
        <f>VLOOKUP(C74,#REF!,13,FALSE)</f>
        <v>#REF!</v>
      </c>
    </row>
    <row r="75" spans="1:22" x14ac:dyDescent="0.25">
      <c r="A75" s="6" t="s">
        <v>1836</v>
      </c>
      <c r="B75" s="8">
        <v>9789500215152</v>
      </c>
      <c r="C75" s="8">
        <v>716993</v>
      </c>
      <c r="D75" s="41">
        <v>256</v>
      </c>
      <c r="E75" s="7" t="s">
        <v>1837</v>
      </c>
      <c r="F75" s="7" t="s">
        <v>1838</v>
      </c>
      <c r="G75" s="107">
        <v>45444</v>
      </c>
      <c r="H75" s="108">
        <v>45413</v>
      </c>
      <c r="I75" s="264">
        <v>3126</v>
      </c>
      <c r="J75" s="28" t="s">
        <v>2136</v>
      </c>
      <c r="K75" s="148">
        <v>1983.18</v>
      </c>
      <c r="L75" s="9">
        <v>26200</v>
      </c>
      <c r="M75" s="112">
        <f>+L75*0.08</f>
        <v>2096</v>
      </c>
      <c r="N75" s="9">
        <f t="shared" si="5"/>
        <v>13100</v>
      </c>
      <c r="O75" s="9">
        <f t="shared" si="6"/>
        <v>9020.82</v>
      </c>
      <c r="P75" s="9">
        <f t="shared" si="7"/>
        <v>4079.1800000000003</v>
      </c>
      <c r="Q75" s="139">
        <f t="shared" si="8"/>
        <v>0.688612213740458</v>
      </c>
      <c r="R75" s="395">
        <f>VLOOKUP(C75,'[1]ORIGINAL (2)'!$A:$C,3,FALSE)</f>
        <v>191</v>
      </c>
      <c r="S75" s="24" t="e">
        <f>VLOOKUP(C75,#REF!,6,FALSE)</f>
        <v>#REF!</v>
      </c>
      <c r="T75" s="24" t="e">
        <f>VLOOKUP(C75,#REF!,7,FALSE)</f>
        <v>#REF!</v>
      </c>
      <c r="U75" s="24" t="e">
        <f>VLOOKUP(C75,#REF!,12,FALSE)</f>
        <v>#REF!</v>
      </c>
      <c r="V75" s="24" t="e">
        <f>VLOOKUP(C75,#REF!,13,FALSE)</f>
        <v>#REF!</v>
      </c>
    </row>
    <row r="76" spans="1:22" x14ac:dyDescent="0.25">
      <c r="A76" s="6" t="s">
        <v>888</v>
      </c>
      <c r="B76" s="8">
        <v>9789500214780</v>
      </c>
      <c r="C76" s="8">
        <v>713924</v>
      </c>
      <c r="D76" s="41">
        <v>384</v>
      </c>
      <c r="E76" s="7" t="s">
        <v>889</v>
      </c>
      <c r="F76" s="7" t="s">
        <v>879</v>
      </c>
      <c r="G76" s="107">
        <v>45352</v>
      </c>
      <c r="H76" s="108">
        <v>45323</v>
      </c>
      <c r="I76" s="7">
        <v>2010</v>
      </c>
      <c r="J76" s="28" t="s">
        <v>2136</v>
      </c>
      <c r="K76" s="148">
        <v>2678.63</v>
      </c>
      <c r="L76" s="35">
        <v>33200</v>
      </c>
      <c r="M76" s="112">
        <f>+L76*0.08</f>
        <v>2656</v>
      </c>
      <c r="N76" s="9">
        <f t="shared" si="5"/>
        <v>16600</v>
      </c>
      <c r="O76" s="9">
        <f t="shared" si="6"/>
        <v>11265.369999999999</v>
      </c>
      <c r="P76" s="9">
        <f t="shared" si="7"/>
        <v>5334.63</v>
      </c>
      <c r="Q76" s="139">
        <f t="shared" si="8"/>
        <v>0.67863674698795173</v>
      </c>
      <c r="R76" s="395">
        <f>VLOOKUP(C76,'[1]ORIGINAL (2)'!$A:$C,3,FALSE)</f>
        <v>107</v>
      </c>
      <c r="S76" s="24" t="e">
        <f>VLOOKUP(C76,#REF!,6,FALSE)</f>
        <v>#REF!</v>
      </c>
      <c r="T76" s="24" t="e">
        <f>VLOOKUP(C76,#REF!,7,FALSE)</f>
        <v>#REF!</v>
      </c>
      <c r="U76" s="24" t="e">
        <f>VLOOKUP(C76,#REF!,12,FALSE)</f>
        <v>#REF!</v>
      </c>
      <c r="V76" s="24" t="e">
        <f>VLOOKUP(C76,#REF!,13,FALSE)</f>
        <v>#REF!</v>
      </c>
    </row>
    <row r="77" spans="1:22" x14ac:dyDescent="0.25">
      <c r="A77" s="36" t="s">
        <v>1038</v>
      </c>
      <c r="B77" s="37">
        <v>9789500214742</v>
      </c>
      <c r="C77" s="37">
        <v>713081</v>
      </c>
      <c r="D77" s="149">
        <v>368</v>
      </c>
      <c r="E77" s="38" t="s">
        <v>875</v>
      </c>
      <c r="F77" s="38" t="s">
        <v>873</v>
      </c>
      <c r="G77" s="107">
        <v>45292</v>
      </c>
      <c r="H77" s="108">
        <v>45474</v>
      </c>
      <c r="I77" s="267">
        <v>2093</v>
      </c>
      <c r="J77" s="128" t="s">
        <v>2136</v>
      </c>
      <c r="K77" s="9">
        <v>2533.4699999999998</v>
      </c>
      <c r="L77" s="9">
        <v>29600</v>
      </c>
      <c r="M77" s="112">
        <f>+L77*0.08</f>
        <v>2368</v>
      </c>
      <c r="N77" s="9">
        <f t="shared" si="5"/>
        <v>14800</v>
      </c>
      <c r="O77" s="9">
        <f t="shared" si="6"/>
        <v>9898.5300000000007</v>
      </c>
      <c r="P77" s="9">
        <f t="shared" si="7"/>
        <v>4901.4699999999993</v>
      </c>
      <c r="Q77" s="139">
        <f t="shared" si="8"/>
        <v>0.66881959459459461</v>
      </c>
      <c r="R77" s="395">
        <f>VLOOKUP(C77,'[1]ORIGINAL (2)'!$A:$C,3,FALSE)</f>
        <v>147</v>
      </c>
      <c r="S77" s="24" t="e">
        <f>VLOOKUP(C77,#REF!,6,FALSE)</f>
        <v>#REF!</v>
      </c>
      <c r="T77" s="24" t="e">
        <f>VLOOKUP(C77,#REF!,7,FALSE)</f>
        <v>#REF!</v>
      </c>
      <c r="U77" s="24" t="e">
        <f>VLOOKUP(C77,#REF!,12,FALSE)</f>
        <v>#REF!</v>
      </c>
      <c r="V77" s="24" t="e">
        <f>VLOOKUP(C77,#REF!,13,FALSE)</f>
        <v>#REF!</v>
      </c>
    </row>
    <row r="78" spans="1:22" x14ac:dyDescent="0.25">
      <c r="A78" s="6" t="s">
        <v>2048</v>
      </c>
      <c r="B78" s="279">
        <v>9789500216180</v>
      </c>
      <c r="C78" s="6">
        <v>729380</v>
      </c>
      <c r="D78" s="41">
        <v>144</v>
      </c>
      <c r="E78" s="6" t="s">
        <v>2049</v>
      </c>
      <c r="F78" s="8" t="s">
        <v>2050</v>
      </c>
      <c r="G78" s="108">
        <v>45778</v>
      </c>
      <c r="H78" s="108">
        <v>45748</v>
      </c>
      <c r="I78" s="293">
        <v>4135</v>
      </c>
      <c r="J78" s="176" t="s">
        <v>1333</v>
      </c>
      <c r="K78" s="148">
        <v>1753.98</v>
      </c>
      <c r="L78" s="295">
        <v>26900</v>
      </c>
      <c r="M78" s="112">
        <f>+L78*0.08</f>
        <v>2152</v>
      </c>
      <c r="N78" s="9">
        <f t="shared" si="5"/>
        <v>13450</v>
      </c>
      <c r="O78" s="9">
        <f t="shared" si="6"/>
        <v>9544.02</v>
      </c>
      <c r="P78" s="9">
        <f t="shared" si="7"/>
        <v>3905.98</v>
      </c>
      <c r="Q78" s="139">
        <f t="shared" si="8"/>
        <v>0.70959256505576207</v>
      </c>
      <c r="R78" s="395">
        <f>VLOOKUP(C78,'[1]ORIGINAL (2)'!$A:$C,3,FALSE)</f>
        <v>237</v>
      </c>
      <c r="S78" s="24" t="e">
        <f>VLOOKUP(C78,#REF!,6,FALSE)</f>
        <v>#REF!</v>
      </c>
      <c r="T78" s="24" t="e">
        <f>VLOOKUP(C78,#REF!,7,FALSE)</f>
        <v>#REF!</v>
      </c>
      <c r="U78" s="24" t="e">
        <f>VLOOKUP(C78,#REF!,12,FALSE)</f>
        <v>#REF!</v>
      </c>
      <c r="V78" s="24" t="e">
        <f>VLOOKUP(C78,#REF!,13,FALSE)</f>
        <v>#REF!</v>
      </c>
    </row>
    <row r="79" spans="1:22" x14ac:dyDescent="0.25">
      <c r="A79" s="7" t="s">
        <v>1868</v>
      </c>
      <c r="B79" s="8">
        <v>9789500215213</v>
      </c>
      <c r="C79" s="8">
        <v>717946</v>
      </c>
      <c r="D79" s="41">
        <v>144</v>
      </c>
      <c r="E79" s="7" t="s">
        <v>1869</v>
      </c>
      <c r="F79" s="25" t="s">
        <v>1870</v>
      </c>
      <c r="G79" s="107">
        <v>45474</v>
      </c>
      <c r="H79" s="108">
        <v>45444</v>
      </c>
      <c r="I79" s="264">
        <v>3025</v>
      </c>
      <c r="J79" s="28" t="s">
        <v>1333</v>
      </c>
      <c r="K79" s="148">
        <v>1758.11</v>
      </c>
      <c r="L79" s="9">
        <v>26900</v>
      </c>
      <c r="M79" s="112">
        <f>+L79*0.1</f>
        <v>2690</v>
      </c>
      <c r="N79" s="9">
        <f t="shared" si="5"/>
        <v>13450</v>
      </c>
      <c r="O79" s="9">
        <f t="shared" si="6"/>
        <v>9001.89</v>
      </c>
      <c r="P79" s="9">
        <f t="shared" si="7"/>
        <v>4448.1099999999997</v>
      </c>
      <c r="Q79" s="139">
        <f t="shared" si="8"/>
        <v>0.66928550185873603</v>
      </c>
      <c r="R79" s="395">
        <f>VLOOKUP(C79,'[1]ORIGINAL (2)'!$A:$C,3,FALSE)</f>
        <v>20</v>
      </c>
      <c r="S79" s="24" t="e">
        <f>VLOOKUP(C79,#REF!,6,FALSE)</f>
        <v>#REF!</v>
      </c>
      <c r="T79" s="24" t="e">
        <f>VLOOKUP(C79,#REF!,7,FALSE)</f>
        <v>#REF!</v>
      </c>
      <c r="U79" s="24" t="e">
        <f>VLOOKUP(C79,#REF!,12,FALSE)</f>
        <v>#REF!</v>
      </c>
      <c r="V79" s="24" t="e">
        <f>VLOOKUP(C79,#REF!,13,FALSE)</f>
        <v>#REF!</v>
      </c>
    </row>
    <row r="80" spans="1:22" x14ac:dyDescent="0.25">
      <c r="A80" s="6" t="s">
        <v>1039</v>
      </c>
      <c r="B80" s="8">
        <v>9789500214537</v>
      </c>
      <c r="C80" s="6">
        <v>711851</v>
      </c>
      <c r="D80" s="41">
        <v>144</v>
      </c>
      <c r="E80" s="7" t="s">
        <v>866</v>
      </c>
      <c r="F80" s="7" t="s">
        <v>867</v>
      </c>
      <c r="G80" s="107">
        <v>45261</v>
      </c>
      <c r="H80" s="108">
        <v>45474</v>
      </c>
      <c r="I80" s="267">
        <v>3119</v>
      </c>
      <c r="J80" s="128" t="s">
        <v>1333</v>
      </c>
      <c r="K80" s="9">
        <v>1644.86</v>
      </c>
      <c r="L80" s="9">
        <v>26900</v>
      </c>
      <c r="M80" s="112">
        <f>+L80*0.1</f>
        <v>2690</v>
      </c>
      <c r="N80" s="9">
        <f t="shared" si="5"/>
        <v>13450</v>
      </c>
      <c r="O80" s="9">
        <f t="shared" si="6"/>
        <v>9115.14</v>
      </c>
      <c r="P80" s="9">
        <f t="shared" si="7"/>
        <v>4334.8599999999997</v>
      </c>
      <c r="Q80" s="139">
        <f t="shared" si="8"/>
        <v>0.6777055762081784</v>
      </c>
      <c r="R80" s="395">
        <f>VLOOKUP(C80,'[1]ORIGINAL (2)'!$A:$C,3,FALSE)</f>
        <v>442</v>
      </c>
      <c r="S80" s="24" t="e">
        <f>VLOOKUP(C80,#REF!,6,FALSE)</f>
        <v>#REF!</v>
      </c>
      <c r="T80" s="24" t="e">
        <f>VLOOKUP(C80,#REF!,7,FALSE)</f>
        <v>#REF!</v>
      </c>
      <c r="U80" s="24" t="e">
        <f>VLOOKUP(C80,#REF!,12,FALSE)</f>
        <v>#REF!</v>
      </c>
      <c r="V80" s="24" t="e">
        <f>VLOOKUP(C80,#REF!,13,FALSE)</f>
        <v>#REF!</v>
      </c>
    </row>
    <row r="81" spans="1:22" x14ac:dyDescent="0.25">
      <c r="A81" s="7" t="s">
        <v>1040</v>
      </c>
      <c r="B81" s="8">
        <v>9789500213875</v>
      </c>
      <c r="C81" s="8">
        <v>707252</v>
      </c>
      <c r="D81" s="25">
        <v>480</v>
      </c>
      <c r="E81" s="6" t="s">
        <v>805</v>
      </c>
      <c r="F81" s="7" t="s">
        <v>804</v>
      </c>
      <c r="G81" s="107">
        <v>45108</v>
      </c>
      <c r="H81" s="108">
        <v>45078</v>
      </c>
      <c r="I81" s="7">
        <v>3042</v>
      </c>
      <c r="J81" s="28" t="s">
        <v>1333</v>
      </c>
      <c r="K81" s="117">
        <v>1202.52</v>
      </c>
      <c r="L81" s="9">
        <v>36900</v>
      </c>
      <c r="M81" s="9">
        <f>+L81*0.08</f>
        <v>2952</v>
      </c>
      <c r="N81" s="9">
        <f t="shared" si="5"/>
        <v>18450</v>
      </c>
      <c r="O81" s="9">
        <f t="shared" si="6"/>
        <v>14295.48</v>
      </c>
      <c r="P81" s="9">
        <f t="shared" si="7"/>
        <v>4154.5200000000004</v>
      </c>
      <c r="Q81" s="139">
        <f t="shared" si="8"/>
        <v>0.77482276422764229</v>
      </c>
      <c r="R81" s="395">
        <f>VLOOKUP(C81,'[1]ORIGINAL (2)'!$A:$C,3,FALSE)</f>
        <v>25</v>
      </c>
      <c r="S81" s="24" t="e">
        <f>VLOOKUP(C81,#REF!,6,FALSE)</f>
        <v>#REF!</v>
      </c>
      <c r="T81" s="24" t="e">
        <f>VLOOKUP(C81,#REF!,7,FALSE)</f>
        <v>#REF!</v>
      </c>
      <c r="U81" s="24" t="e">
        <f>VLOOKUP(C81,#REF!,12,FALSE)</f>
        <v>#REF!</v>
      </c>
      <c r="V81" s="24" t="e">
        <f>VLOOKUP(C81,#REF!,13,FALSE)</f>
        <v>#REF!</v>
      </c>
    </row>
    <row r="82" spans="1:22" x14ac:dyDescent="0.25">
      <c r="A82" s="6" t="s">
        <v>1041</v>
      </c>
      <c r="B82" s="8">
        <v>9789500213974</v>
      </c>
      <c r="C82" s="8">
        <v>707942</v>
      </c>
      <c r="D82" s="41">
        <v>240</v>
      </c>
      <c r="E82" s="7" t="s">
        <v>797</v>
      </c>
      <c r="F82" s="6" t="s">
        <v>792</v>
      </c>
      <c r="G82" s="107">
        <v>45139</v>
      </c>
      <c r="H82" s="108">
        <v>45108</v>
      </c>
      <c r="I82" s="7">
        <v>3056</v>
      </c>
      <c r="J82" s="28" t="s">
        <v>1762</v>
      </c>
      <c r="K82" s="117">
        <v>901.87</v>
      </c>
      <c r="L82" s="9">
        <v>30900</v>
      </c>
      <c r="M82" s="9">
        <f>+L82*0.08</f>
        <v>2472</v>
      </c>
      <c r="N82" s="9">
        <f t="shared" si="5"/>
        <v>15450</v>
      </c>
      <c r="O82" s="9">
        <f t="shared" si="6"/>
        <v>12076.13</v>
      </c>
      <c r="P82" s="9">
        <f t="shared" si="7"/>
        <v>3373.87</v>
      </c>
      <c r="Q82" s="139">
        <f t="shared" si="8"/>
        <v>0.7816265372168284</v>
      </c>
      <c r="R82" s="395">
        <f>VLOOKUP(C82,'[1]ORIGINAL (2)'!$A:$C,3,FALSE)</f>
        <v>17</v>
      </c>
      <c r="S82" s="24" t="e">
        <f>VLOOKUP(C82,#REF!,6,FALSE)</f>
        <v>#REF!</v>
      </c>
      <c r="T82" s="24" t="e">
        <f>VLOOKUP(C82,#REF!,7,FALSE)</f>
        <v>#REF!</v>
      </c>
      <c r="U82" s="24" t="e">
        <f>VLOOKUP(C82,#REF!,12,FALSE)</f>
        <v>#REF!</v>
      </c>
      <c r="V82" s="24" t="e">
        <f>VLOOKUP(C82,#REF!,13,FALSE)</f>
        <v>#REF!</v>
      </c>
    </row>
    <row r="83" spans="1:22" x14ac:dyDescent="0.25">
      <c r="A83" s="6" t="s">
        <v>1042</v>
      </c>
      <c r="B83" s="8">
        <v>9789500213820</v>
      </c>
      <c r="C83" s="6">
        <v>706237</v>
      </c>
      <c r="D83" s="41">
        <v>304</v>
      </c>
      <c r="E83" s="7" t="s">
        <v>1043</v>
      </c>
      <c r="F83" s="7" t="s">
        <v>779</v>
      </c>
      <c r="G83" s="107">
        <v>45078</v>
      </c>
      <c r="H83" s="108">
        <v>45047</v>
      </c>
      <c r="I83" s="7">
        <v>4039</v>
      </c>
      <c r="J83" s="28" t="s">
        <v>1762</v>
      </c>
      <c r="K83" s="9">
        <v>590.95000000000005</v>
      </c>
      <c r="L83" s="9">
        <v>33900</v>
      </c>
      <c r="M83" s="112">
        <f>+L83*0.08</f>
        <v>2712</v>
      </c>
      <c r="N83" s="9">
        <f t="shared" si="5"/>
        <v>16950</v>
      </c>
      <c r="O83" s="9">
        <f t="shared" si="6"/>
        <v>13647.05</v>
      </c>
      <c r="P83" s="9">
        <f t="shared" si="7"/>
        <v>3302.95</v>
      </c>
      <c r="Q83" s="139">
        <f t="shared" si="8"/>
        <v>0.80513569321533918</v>
      </c>
      <c r="R83" s="395">
        <f>VLOOKUP(C83,'[1]ORIGINAL (2)'!$A:$C,3,FALSE)</f>
        <v>93</v>
      </c>
      <c r="S83" s="24" t="e">
        <f>VLOOKUP(C83,#REF!,6,FALSE)</f>
        <v>#REF!</v>
      </c>
      <c r="T83" s="24" t="e">
        <f>VLOOKUP(C83,#REF!,7,FALSE)</f>
        <v>#REF!</v>
      </c>
      <c r="U83" s="24" t="e">
        <f>VLOOKUP(C83,#REF!,12,FALSE)</f>
        <v>#REF!</v>
      </c>
      <c r="V83" s="24" t="e">
        <f>VLOOKUP(C83,#REF!,13,FALSE)</f>
        <v>#REF!</v>
      </c>
    </row>
    <row r="84" spans="1:22" x14ac:dyDescent="0.25">
      <c r="A84" s="6" t="s">
        <v>1044</v>
      </c>
      <c r="B84" s="8">
        <v>9789500213127</v>
      </c>
      <c r="C84" s="8">
        <v>705129</v>
      </c>
      <c r="D84" s="41">
        <v>304</v>
      </c>
      <c r="E84" s="7" t="s">
        <v>329</v>
      </c>
      <c r="F84" s="7" t="s">
        <v>783</v>
      </c>
      <c r="G84" s="107">
        <v>45047</v>
      </c>
      <c r="H84" s="108">
        <v>45017</v>
      </c>
      <c r="I84" s="7">
        <v>5000</v>
      </c>
      <c r="J84" s="28" t="s">
        <v>2136</v>
      </c>
      <c r="K84" s="117">
        <v>5242.8</v>
      </c>
      <c r="L84" s="9">
        <v>54900</v>
      </c>
      <c r="M84" s="112"/>
      <c r="N84" s="9">
        <f t="shared" si="5"/>
        <v>27450</v>
      </c>
      <c r="O84" s="9">
        <f t="shared" si="6"/>
        <v>22207.200000000001</v>
      </c>
      <c r="P84" s="9">
        <f t="shared" si="7"/>
        <v>5242.8</v>
      </c>
      <c r="Q84" s="139">
        <f t="shared" si="8"/>
        <v>0.80900546448087429</v>
      </c>
      <c r="R84" s="395">
        <f>VLOOKUP(C84,'[1]ORIGINAL (2)'!$A:$C,3,FALSE)</f>
        <v>185</v>
      </c>
      <c r="S84" s="24" t="e">
        <f>VLOOKUP(C84,#REF!,6,FALSE)</f>
        <v>#REF!</v>
      </c>
      <c r="T84" s="24" t="e">
        <f>VLOOKUP(C84,#REF!,7,FALSE)</f>
        <v>#REF!</v>
      </c>
      <c r="U84" s="24" t="e">
        <f>VLOOKUP(C84,#REF!,12,FALSE)</f>
        <v>#REF!</v>
      </c>
      <c r="V84" s="24" t="e">
        <f>VLOOKUP(C84,#REF!,13,FALSE)</f>
        <v>#REF!</v>
      </c>
    </row>
    <row r="85" spans="1:22" x14ac:dyDescent="0.25">
      <c r="A85" s="7" t="s">
        <v>1045</v>
      </c>
      <c r="B85" s="8">
        <v>9789500274494</v>
      </c>
      <c r="C85" s="8">
        <v>198548</v>
      </c>
      <c r="D85" s="25">
        <v>352</v>
      </c>
      <c r="E85" s="7" t="s">
        <v>69</v>
      </c>
      <c r="F85" s="7" t="s">
        <v>1046</v>
      </c>
      <c r="G85" s="107">
        <v>37834</v>
      </c>
      <c r="H85" s="108">
        <v>43800</v>
      </c>
      <c r="I85" s="24">
        <v>3061</v>
      </c>
      <c r="J85" s="28" t="s">
        <v>1946</v>
      </c>
      <c r="K85" s="28">
        <v>79.260000000000005</v>
      </c>
      <c r="L85" s="9">
        <v>30500</v>
      </c>
      <c r="M85" s="112">
        <f>+L85*0.1</f>
        <v>3050</v>
      </c>
      <c r="N85" s="9">
        <f t="shared" si="5"/>
        <v>15250</v>
      </c>
      <c r="O85" s="9">
        <f t="shared" si="6"/>
        <v>12120.74</v>
      </c>
      <c r="P85" s="9">
        <f t="shared" si="7"/>
        <v>3129.26</v>
      </c>
      <c r="Q85" s="139">
        <f t="shared" si="8"/>
        <v>0.7948026229508196</v>
      </c>
      <c r="R85" s="395">
        <f>VLOOKUP(C85,'[1]ORIGINAL (2)'!$A:$C,3,FALSE)</f>
        <v>19</v>
      </c>
      <c r="S85" s="24" t="e">
        <f>VLOOKUP(C85,#REF!,6,FALSE)</f>
        <v>#REF!</v>
      </c>
      <c r="T85" s="24" t="e">
        <f>VLOOKUP(C85,#REF!,7,FALSE)</f>
        <v>#REF!</v>
      </c>
      <c r="U85" s="24" t="e">
        <f>VLOOKUP(C85,#REF!,12,FALSE)</f>
        <v>#REF!</v>
      </c>
      <c r="V85" s="24" t="e">
        <f>VLOOKUP(C85,#REF!,13,FALSE)</f>
        <v>#REF!</v>
      </c>
    </row>
    <row r="86" spans="1:22" x14ac:dyDescent="0.25">
      <c r="A86" s="7" t="s">
        <v>1047</v>
      </c>
      <c r="B86" s="8">
        <v>9789500209793</v>
      </c>
      <c r="C86" s="6">
        <v>655253</v>
      </c>
      <c r="D86" s="7">
        <v>304</v>
      </c>
      <c r="E86" s="9" t="s">
        <v>407</v>
      </c>
      <c r="F86" s="10" t="s">
        <v>408</v>
      </c>
      <c r="G86" s="107">
        <v>43374</v>
      </c>
      <c r="H86" s="108">
        <v>45352</v>
      </c>
      <c r="I86" s="24">
        <v>1000</v>
      </c>
      <c r="J86" s="28" t="s">
        <v>1762</v>
      </c>
      <c r="K86" s="9">
        <v>3559.67</v>
      </c>
      <c r="L86" s="9">
        <v>51900</v>
      </c>
      <c r="M86" s="112">
        <f>+L86*0.15</f>
        <v>7785</v>
      </c>
      <c r="N86" s="9">
        <f t="shared" si="5"/>
        <v>25950</v>
      </c>
      <c r="O86" s="9">
        <f t="shared" si="6"/>
        <v>14605.33</v>
      </c>
      <c r="P86" s="9">
        <f t="shared" si="7"/>
        <v>11344.67</v>
      </c>
      <c r="Q86" s="139">
        <f t="shared" si="8"/>
        <v>0.5628258188824663</v>
      </c>
      <c r="R86" s="395">
        <f>VLOOKUP(C86,'[1]ORIGINAL (2)'!$A:$C,3,FALSE)</f>
        <v>82</v>
      </c>
      <c r="S86" s="24" t="e">
        <f>VLOOKUP(C86,#REF!,6,FALSE)</f>
        <v>#REF!</v>
      </c>
      <c r="T86" s="24" t="e">
        <f>VLOOKUP(C86,#REF!,7,FALSE)</f>
        <v>#REF!</v>
      </c>
      <c r="U86" s="24" t="e">
        <f>VLOOKUP(C86,#REF!,12,FALSE)</f>
        <v>#REF!</v>
      </c>
      <c r="V86" s="24" t="e">
        <f>VLOOKUP(C86,#REF!,13,FALSE)</f>
        <v>#REF!</v>
      </c>
    </row>
    <row r="87" spans="1:22" x14ac:dyDescent="0.25">
      <c r="A87" s="11" t="s">
        <v>1048</v>
      </c>
      <c r="B87" s="13">
        <v>9789500209892</v>
      </c>
      <c r="C87" s="6">
        <v>657291</v>
      </c>
      <c r="D87" s="7">
        <v>432</v>
      </c>
      <c r="E87" s="6" t="s">
        <v>420</v>
      </c>
      <c r="F87" s="11" t="s">
        <v>421</v>
      </c>
      <c r="G87" s="107">
        <v>43435</v>
      </c>
      <c r="H87" s="108">
        <v>43405</v>
      </c>
      <c r="I87" s="24">
        <v>2505</v>
      </c>
      <c r="J87" s="28" t="s">
        <v>1894</v>
      </c>
      <c r="K87" s="150">
        <v>128.56</v>
      </c>
      <c r="L87" s="128">
        <v>25600</v>
      </c>
      <c r="M87" s="112">
        <f>+L87*0.08</f>
        <v>2048</v>
      </c>
      <c r="N87" s="9">
        <f t="shared" si="5"/>
        <v>12800</v>
      </c>
      <c r="O87" s="9">
        <f t="shared" si="6"/>
        <v>10623.44</v>
      </c>
      <c r="P87" s="9">
        <f t="shared" si="7"/>
        <v>2176.56</v>
      </c>
      <c r="Q87" s="139">
        <f t="shared" si="8"/>
        <v>0.82995625000000006</v>
      </c>
      <c r="R87" s="395">
        <f>VLOOKUP(C87,'[1]ORIGINAL (2)'!$A:$C,3,FALSE)</f>
        <v>4</v>
      </c>
      <c r="S87" s="24" t="e">
        <f>VLOOKUP(C87,#REF!,6,FALSE)</f>
        <v>#REF!</v>
      </c>
      <c r="T87" s="24" t="e">
        <f>VLOOKUP(C87,#REF!,7,FALSE)</f>
        <v>#REF!</v>
      </c>
      <c r="U87" s="24" t="e">
        <f>VLOOKUP(C87,#REF!,12,FALSE)</f>
        <v>#REF!</v>
      </c>
      <c r="V87" s="24" t="e">
        <f>VLOOKUP(C87,#REF!,13,FALSE)</f>
        <v>#REF!</v>
      </c>
    </row>
    <row r="88" spans="1:22" x14ac:dyDescent="0.25">
      <c r="A88" s="6" t="s">
        <v>1049</v>
      </c>
      <c r="B88" s="8">
        <v>9789500208550</v>
      </c>
      <c r="C88" s="8">
        <v>613394</v>
      </c>
      <c r="D88" s="7">
        <v>488</v>
      </c>
      <c r="E88" s="31" t="s">
        <v>80</v>
      </c>
      <c r="F88" s="32" t="s">
        <v>81</v>
      </c>
      <c r="G88" s="107">
        <v>42491</v>
      </c>
      <c r="H88" s="108">
        <v>43009</v>
      </c>
      <c r="I88" s="24">
        <v>1040</v>
      </c>
      <c r="J88" s="28" t="s">
        <v>1894</v>
      </c>
      <c r="K88" s="28">
        <v>55.74</v>
      </c>
      <c r="L88" s="128">
        <v>22200</v>
      </c>
      <c r="M88" s="9">
        <f>+L88*0.1</f>
        <v>2220</v>
      </c>
      <c r="N88" s="9">
        <f t="shared" si="5"/>
        <v>11100</v>
      </c>
      <c r="O88" s="9">
        <f t="shared" si="6"/>
        <v>8824.26</v>
      </c>
      <c r="P88" s="9">
        <f t="shared" si="7"/>
        <v>2275.7399999999998</v>
      </c>
      <c r="Q88" s="139">
        <f t="shared" si="8"/>
        <v>0.79497837837837837</v>
      </c>
      <c r="R88" s="395">
        <f>VLOOKUP(C88,'[1]ORIGINAL (2)'!$A:$C,3,FALSE)</f>
        <v>1</v>
      </c>
      <c r="S88" s="24" t="e">
        <f>VLOOKUP(C88,#REF!,6,FALSE)</f>
        <v>#REF!</v>
      </c>
      <c r="T88" s="24" t="e">
        <f>VLOOKUP(C88,#REF!,7,FALSE)</f>
        <v>#REF!</v>
      </c>
      <c r="U88" s="24" t="e">
        <f>VLOOKUP(C88,#REF!,12,FALSE)</f>
        <v>#REF!</v>
      </c>
      <c r="V88" s="24" t="e">
        <f>VLOOKUP(C88,#REF!,13,FALSE)</f>
        <v>#REF!</v>
      </c>
    </row>
    <row r="89" spans="1:22" x14ac:dyDescent="0.25">
      <c r="A89" s="6" t="s">
        <v>1050</v>
      </c>
      <c r="B89" s="8">
        <v>9789500209229</v>
      </c>
      <c r="C89" s="6">
        <v>639247</v>
      </c>
      <c r="D89" s="25">
        <v>416</v>
      </c>
      <c r="E89" s="11" t="s">
        <v>331</v>
      </c>
      <c r="F89" s="11" t="s">
        <v>332</v>
      </c>
      <c r="G89" s="107">
        <v>43040</v>
      </c>
      <c r="H89" s="108">
        <v>44743</v>
      </c>
      <c r="I89" s="7">
        <v>2604</v>
      </c>
      <c r="J89" s="28" t="s">
        <v>1762</v>
      </c>
      <c r="K89" s="117">
        <v>467.49</v>
      </c>
      <c r="L89" s="112">
        <v>31700</v>
      </c>
      <c r="M89" s="112">
        <f>+L89*0.1</f>
        <v>3170</v>
      </c>
      <c r="N89" s="9">
        <f t="shared" si="5"/>
        <v>15850</v>
      </c>
      <c r="O89" s="9">
        <f t="shared" si="6"/>
        <v>12212.51</v>
      </c>
      <c r="P89" s="9">
        <f t="shared" si="7"/>
        <v>3637.49</v>
      </c>
      <c r="Q89" s="139">
        <f t="shared" si="8"/>
        <v>0.77050536277602522</v>
      </c>
      <c r="R89" s="395">
        <f>VLOOKUP(C89,'[1]ORIGINAL (2)'!$A:$C,3,FALSE)</f>
        <v>80</v>
      </c>
      <c r="S89" s="24" t="e">
        <f>VLOOKUP(C89,#REF!,6,FALSE)</f>
        <v>#REF!</v>
      </c>
      <c r="T89" s="24" t="e">
        <f>VLOOKUP(C89,#REF!,7,FALSE)</f>
        <v>#REF!</v>
      </c>
      <c r="U89" s="24" t="e">
        <f>VLOOKUP(C89,#REF!,12,FALSE)</f>
        <v>#REF!</v>
      </c>
      <c r="V89" s="24" t="e">
        <f>VLOOKUP(C89,#REF!,13,FALSE)</f>
        <v>#REF!</v>
      </c>
    </row>
    <row r="90" spans="1:22" x14ac:dyDescent="0.25">
      <c r="A90" s="7" t="s">
        <v>1051</v>
      </c>
      <c r="B90" s="8">
        <v>9789500206709</v>
      </c>
      <c r="C90" s="8">
        <v>551107</v>
      </c>
      <c r="D90" s="7">
        <v>480</v>
      </c>
      <c r="E90" s="7" t="s">
        <v>95</v>
      </c>
      <c r="F90" s="7" t="s">
        <v>96</v>
      </c>
      <c r="G90" s="107">
        <v>41061</v>
      </c>
      <c r="H90" s="108">
        <v>43831</v>
      </c>
      <c r="I90" s="24">
        <v>1540</v>
      </c>
      <c r="J90" s="28" t="s">
        <v>1894</v>
      </c>
      <c r="K90" s="28">
        <v>147.13999999999999</v>
      </c>
      <c r="L90" s="112">
        <v>37500</v>
      </c>
      <c r="M90" s="112">
        <f>+L90*0.14</f>
        <v>5250.0000000000009</v>
      </c>
      <c r="N90" s="9">
        <f t="shared" si="5"/>
        <v>18750</v>
      </c>
      <c r="O90" s="9">
        <f t="shared" si="6"/>
        <v>13352.86</v>
      </c>
      <c r="P90" s="9">
        <f t="shared" si="7"/>
        <v>5397.1400000000012</v>
      </c>
      <c r="Q90" s="139">
        <f t="shared" si="8"/>
        <v>0.71215253333333339</v>
      </c>
      <c r="R90" s="395" t="e">
        <f>VLOOKUP(C90,'[1]ORIGINAL (2)'!$A:$C,3,FALSE)</f>
        <v>#N/A</v>
      </c>
      <c r="S90" s="24" t="e">
        <f>VLOOKUP(C90,#REF!,6,FALSE)</f>
        <v>#REF!</v>
      </c>
      <c r="T90" s="24" t="e">
        <f>VLOOKUP(C90,#REF!,7,FALSE)</f>
        <v>#REF!</v>
      </c>
      <c r="U90" s="24" t="e">
        <f>VLOOKUP(C90,#REF!,12,FALSE)</f>
        <v>#REF!</v>
      </c>
      <c r="V90" s="24" t="e">
        <f>VLOOKUP(C90,#REF!,13,FALSE)</f>
        <v>#REF!</v>
      </c>
    </row>
    <row r="91" spans="1:22" x14ac:dyDescent="0.25">
      <c r="A91" s="6" t="s">
        <v>1052</v>
      </c>
      <c r="B91" s="8">
        <v>9789500208499</v>
      </c>
      <c r="C91" s="21">
        <v>590781</v>
      </c>
      <c r="D91" s="25">
        <v>232</v>
      </c>
      <c r="E91" s="22" t="s">
        <v>1053</v>
      </c>
      <c r="F91" s="145" t="s">
        <v>100</v>
      </c>
      <c r="G91" s="107">
        <v>42095</v>
      </c>
      <c r="H91" s="108">
        <v>42064</v>
      </c>
      <c r="I91" s="24">
        <v>3000</v>
      </c>
      <c r="J91" s="28" t="s">
        <v>1894</v>
      </c>
      <c r="K91" s="28">
        <v>22.37</v>
      </c>
      <c r="L91" s="128">
        <v>14500</v>
      </c>
      <c r="M91" s="112">
        <f>+L91*0.1</f>
        <v>1450</v>
      </c>
      <c r="N91" s="9">
        <f t="shared" si="5"/>
        <v>7250</v>
      </c>
      <c r="O91" s="9">
        <f t="shared" si="6"/>
        <v>5777.63</v>
      </c>
      <c r="P91" s="9">
        <f t="shared" si="7"/>
        <v>1472.37</v>
      </c>
      <c r="Q91" s="139">
        <f t="shared" si="8"/>
        <v>0.79691448275862076</v>
      </c>
      <c r="R91" s="395" t="e">
        <f>VLOOKUP(C91,'[1]ORIGINAL (2)'!$A:$C,3,FALSE)</f>
        <v>#N/A</v>
      </c>
      <c r="S91" s="24" t="e">
        <f>VLOOKUP(C91,#REF!,6,FALSE)</f>
        <v>#REF!</v>
      </c>
      <c r="T91" s="24" t="e">
        <f>VLOOKUP(C91,#REF!,7,FALSE)</f>
        <v>#REF!</v>
      </c>
      <c r="U91" s="24" t="e">
        <f>VLOOKUP(C91,#REF!,12,FALSE)</f>
        <v>#REF!</v>
      </c>
      <c r="V91" s="24" t="e">
        <f>VLOOKUP(C91,#REF!,13,FALSE)</f>
        <v>#REF!</v>
      </c>
    </row>
    <row r="92" spans="1:22" x14ac:dyDescent="0.25">
      <c r="A92" s="6" t="s">
        <v>1054</v>
      </c>
      <c r="B92" s="8">
        <v>9789500299800</v>
      </c>
      <c r="C92" s="6">
        <v>630235</v>
      </c>
      <c r="D92" s="25">
        <v>464</v>
      </c>
      <c r="E92" s="7" t="s">
        <v>28</v>
      </c>
      <c r="F92" s="11" t="s">
        <v>29</v>
      </c>
      <c r="G92" s="107">
        <v>42887</v>
      </c>
      <c r="H92" s="108">
        <v>42856</v>
      </c>
      <c r="I92" s="24">
        <v>2910</v>
      </c>
      <c r="J92" s="28" t="s">
        <v>1894</v>
      </c>
      <c r="K92" s="28">
        <v>65.56</v>
      </c>
      <c r="L92" s="112">
        <v>28200</v>
      </c>
      <c r="M92" s="12">
        <f>+L92*0.08</f>
        <v>2256</v>
      </c>
      <c r="N92" s="142">
        <f t="shared" si="5"/>
        <v>14100</v>
      </c>
      <c r="O92" s="142">
        <f t="shared" si="6"/>
        <v>11778.44</v>
      </c>
      <c r="P92" s="142">
        <f t="shared" si="7"/>
        <v>2321.56</v>
      </c>
      <c r="Q92" s="139">
        <f t="shared" si="8"/>
        <v>0.83535035460992912</v>
      </c>
      <c r="R92" s="395" t="e">
        <f>VLOOKUP(C92,'[1]ORIGINAL (2)'!$A:$C,3,FALSE)</f>
        <v>#N/A</v>
      </c>
      <c r="S92" s="24" t="e">
        <f>VLOOKUP(C92,#REF!,6,FALSE)</f>
        <v>#REF!</v>
      </c>
      <c r="T92" s="24" t="e">
        <f>VLOOKUP(C92,#REF!,7,FALSE)</f>
        <v>#REF!</v>
      </c>
      <c r="U92" s="24" t="e">
        <f>VLOOKUP(C92,#REF!,12,FALSE)</f>
        <v>#REF!</v>
      </c>
      <c r="V92" s="24" t="e">
        <f>VLOOKUP(C92,#REF!,13,FALSE)</f>
        <v>#REF!</v>
      </c>
    </row>
    <row r="93" spans="1:22" x14ac:dyDescent="0.25">
      <c r="A93" s="6" t="s">
        <v>1055</v>
      </c>
      <c r="B93" s="8">
        <v>9789500209076</v>
      </c>
      <c r="C93" s="6">
        <v>633016</v>
      </c>
      <c r="D93" s="7">
        <v>464</v>
      </c>
      <c r="E93" s="7" t="s">
        <v>65</v>
      </c>
      <c r="F93" s="11" t="s">
        <v>66</v>
      </c>
      <c r="G93" s="107">
        <v>42948</v>
      </c>
      <c r="H93" s="108">
        <v>42917</v>
      </c>
      <c r="I93" s="24">
        <v>2980</v>
      </c>
      <c r="J93" s="28" t="s">
        <v>1762</v>
      </c>
      <c r="K93" s="28">
        <v>44.97</v>
      </c>
      <c r="L93" s="112">
        <v>32900</v>
      </c>
      <c r="M93" s="112">
        <f>+L93*0.13</f>
        <v>4277</v>
      </c>
      <c r="N93" s="9">
        <f t="shared" si="5"/>
        <v>16450</v>
      </c>
      <c r="O93" s="9">
        <f t="shared" si="6"/>
        <v>12128.03</v>
      </c>
      <c r="P93" s="9">
        <f t="shared" si="7"/>
        <v>4321.97</v>
      </c>
      <c r="Q93" s="139">
        <f t="shared" si="8"/>
        <v>0.7372662613981763</v>
      </c>
      <c r="R93" s="395">
        <f>VLOOKUP(C93,'[1]ORIGINAL (2)'!$A:$C,3,FALSE)</f>
        <v>47</v>
      </c>
      <c r="S93" s="24" t="e">
        <f>VLOOKUP(C93,#REF!,6,FALSE)</f>
        <v>#REF!</v>
      </c>
      <c r="T93" s="24" t="e">
        <f>VLOOKUP(C93,#REF!,7,FALSE)</f>
        <v>#REF!</v>
      </c>
      <c r="U93" s="24" t="e">
        <f>VLOOKUP(C93,#REF!,12,FALSE)</f>
        <v>#REF!</v>
      </c>
      <c r="V93" s="24" t="e">
        <f>VLOOKUP(C93,#REF!,13,FALSE)</f>
        <v>#REF!</v>
      </c>
    </row>
    <row r="94" spans="1:22" x14ac:dyDescent="0.25">
      <c r="A94" s="7" t="s">
        <v>1056</v>
      </c>
      <c r="B94" s="8">
        <v>9789500210010</v>
      </c>
      <c r="C94" s="8">
        <v>661295</v>
      </c>
      <c r="D94" s="25">
        <v>304</v>
      </c>
      <c r="E94" s="7" t="s">
        <v>430</v>
      </c>
      <c r="F94" s="7" t="s">
        <v>431</v>
      </c>
      <c r="G94" s="107">
        <v>43556</v>
      </c>
      <c r="H94" s="108">
        <v>43525</v>
      </c>
      <c r="I94" s="7">
        <v>2016</v>
      </c>
      <c r="J94" s="28" t="s">
        <v>1894</v>
      </c>
      <c r="K94" s="9">
        <v>112.8</v>
      </c>
      <c r="L94" s="112">
        <v>25600</v>
      </c>
      <c r="M94" s="112">
        <f>+L94*0.08</f>
        <v>2048</v>
      </c>
      <c r="N94" s="9">
        <f t="shared" si="5"/>
        <v>12800</v>
      </c>
      <c r="O94" s="9">
        <f t="shared" si="6"/>
        <v>10639.2</v>
      </c>
      <c r="P94" s="9">
        <f t="shared" si="7"/>
        <v>2160.8000000000002</v>
      </c>
      <c r="Q94" s="139">
        <f t="shared" si="8"/>
        <v>0.83118750000000008</v>
      </c>
      <c r="R94" s="395" t="e">
        <f>VLOOKUP(C94,'[1]ORIGINAL (2)'!$A:$C,3,FALSE)</f>
        <v>#N/A</v>
      </c>
      <c r="S94" s="24" t="e">
        <f>VLOOKUP(C94,#REF!,6,FALSE)</f>
        <v>#REF!</v>
      </c>
      <c r="T94" s="24" t="e">
        <f>VLOOKUP(C94,#REF!,7,FALSE)</f>
        <v>#REF!</v>
      </c>
      <c r="U94" s="24" t="e">
        <f>VLOOKUP(C94,#REF!,12,FALSE)</f>
        <v>#REF!</v>
      </c>
      <c r="V94" s="24" t="e">
        <f>VLOOKUP(C94,#REF!,13,FALSE)</f>
        <v>#REF!</v>
      </c>
    </row>
    <row r="95" spans="1:22" x14ac:dyDescent="0.25">
      <c r="A95" s="6" t="s">
        <v>1057</v>
      </c>
      <c r="B95" s="8">
        <v>9789500299428</v>
      </c>
      <c r="C95" s="8">
        <v>618705</v>
      </c>
      <c r="D95" s="7">
        <v>632</v>
      </c>
      <c r="E95" s="11" t="s">
        <v>70</v>
      </c>
      <c r="F95" s="11" t="s">
        <v>71</v>
      </c>
      <c r="G95" s="107">
        <v>42614</v>
      </c>
      <c r="H95" s="108">
        <v>44197</v>
      </c>
      <c r="I95" s="24">
        <v>2028</v>
      </c>
      <c r="J95" s="28" t="s">
        <v>1946</v>
      </c>
      <c r="K95" s="28">
        <v>171.86</v>
      </c>
      <c r="L95" s="112">
        <v>42300</v>
      </c>
      <c r="M95" s="112">
        <f>+L95*0.13</f>
        <v>5499</v>
      </c>
      <c r="N95" s="9">
        <f t="shared" si="5"/>
        <v>21150</v>
      </c>
      <c r="O95" s="9">
        <f t="shared" si="6"/>
        <v>15479.14</v>
      </c>
      <c r="P95" s="9">
        <f t="shared" si="7"/>
        <v>5670.86</v>
      </c>
      <c r="Q95" s="139">
        <f t="shared" si="8"/>
        <v>0.73187423167848698</v>
      </c>
      <c r="R95" s="395">
        <f>VLOOKUP(C95,'[1]ORIGINAL (2)'!$A:$C,3,FALSE)</f>
        <v>6</v>
      </c>
      <c r="S95" s="24" t="e">
        <f>VLOOKUP(C95,#REF!,6,FALSE)</f>
        <v>#REF!</v>
      </c>
      <c r="T95" s="24" t="e">
        <f>VLOOKUP(C95,#REF!,7,FALSE)</f>
        <v>#REF!</v>
      </c>
      <c r="U95" s="24" t="e">
        <f>VLOOKUP(C95,#REF!,12,FALSE)</f>
        <v>#REF!</v>
      </c>
      <c r="V95" s="24" t="e">
        <f>VLOOKUP(C95,#REF!,13,FALSE)</f>
        <v>#REF!</v>
      </c>
    </row>
    <row r="96" spans="1:22" x14ac:dyDescent="0.25">
      <c r="A96" s="7" t="s">
        <v>1058</v>
      </c>
      <c r="B96" s="33">
        <v>9789500299862</v>
      </c>
      <c r="C96" s="6">
        <v>649882</v>
      </c>
      <c r="D96" s="7">
        <v>480</v>
      </c>
      <c r="E96" s="7" t="s">
        <v>381</v>
      </c>
      <c r="F96" s="15" t="s">
        <v>382</v>
      </c>
      <c r="G96" s="107">
        <v>43252</v>
      </c>
      <c r="H96" s="108">
        <v>43221</v>
      </c>
      <c r="I96" s="24">
        <v>3000</v>
      </c>
      <c r="J96" s="28" t="s">
        <v>1894</v>
      </c>
      <c r="K96" s="28">
        <v>84.85</v>
      </c>
      <c r="L96" s="112">
        <v>29000</v>
      </c>
      <c r="M96" s="112">
        <f>+L96*0.08</f>
        <v>2320</v>
      </c>
      <c r="N96" s="9">
        <f t="shared" si="5"/>
        <v>14500</v>
      </c>
      <c r="O96" s="9">
        <f t="shared" si="6"/>
        <v>12095.15</v>
      </c>
      <c r="P96" s="9">
        <f t="shared" si="7"/>
        <v>2404.85</v>
      </c>
      <c r="Q96" s="139">
        <f t="shared" si="8"/>
        <v>0.83414827586206897</v>
      </c>
      <c r="R96" s="395">
        <f>VLOOKUP(C96,'[1]ORIGINAL (2)'!$A:$C,3,FALSE)</f>
        <v>1</v>
      </c>
      <c r="S96" s="24" t="e">
        <f>VLOOKUP(C96,#REF!,6,FALSE)</f>
        <v>#REF!</v>
      </c>
      <c r="T96" s="24" t="e">
        <f>VLOOKUP(C96,#REF!,7,FALSE)</f>
        <v>#REF!</v>
      </c>
      <c r="U96" s="24" t="e">
        <f>VLOOKUP(C96,#REF!,12,FALSE)</f>
        <v>#REF!</v>
      </c>
      <c r="V96" s="24" t="e">
        <f>VLOOKUP(C96,#REF!,13,FALSE)</f>
        <v>#REF!</v>
      </c>
    </row>
    <row r="97" spans="1:22" x14ac:dyDescent="0.25">
      <c r="A97" s="6" t="s">
        <v>1059</v>
      </c>
      <c r="B97" s="8">
        <v>9789500208567</v>
      </c>
      <c r="C97" s="8">
        <v>594408</v>
      </c>
      <c r="D97" s="7">
        <v>320</v>
      </c>
      <c r="E97" s="7" t="s">
        <v>445</v>
      </c>
      <c r="F97" s="6" t="s">
        <v>101</v>
      </c>
      <c r="G97" s="107">
        <v>42217</v>
      </c>
      <c r="H97" s="108">
        <v>42186</v>
      </c>
      <c r="I97" s="24">
        <v>4087</v>
      </c>
      <c r="J97" s="28" t="s">
        <v>1894</v>
      </c>
      <c r="K97" s="28">
        <v>21.13</v>
      </c>
      <c r="L97" s="9">
        <v>23400</v>
      </c>
      <c r="M97" s="112">
        <f>+L97*0.13</f>
        <v>3042</v>
      </c>
      <c r="N97" s="9">
        <f t="shared" si="5"/>
        <v>11700</v>
      </c>
      <c r="O97" s="9">
        <f t="shared" si="6"/>
        <v>8636.8700000000008</v>
      </c>
      <c r="P97" s="9">
        <f t="shared" si="7"/>
        <v>3063.13</v>
      </c>
      <c r="Q97" s="139">
        <f t="shared" si="8"/>
        <v>0.73819401709401711</v>
      </c>
      <c r="R97" s="395" t="e">
        <f>VLOOKUP(C97,'[1]ORIGINAL (2)'!$A:$C,3,FALSE)</f>
        <v>#N/A</v>
      </c>
      <c r="S97" s="24" t="e">
        <f>VLOOKUP(C97,#REF!,6,FALSE)</f>
        <v>#REF!</v>
      </c>
      <c r="T97" s="24" t="e">
        <f>VLOOKUP(C97,#REF!,7,FALSE)</f>
        <v>#REF!</v>
      </c>
      <c r="U97" s="24" t="e">
        <f>VLOOKUP(C97,#REF!,12,FALSE)</f>
        <v>#REF!</v>
      </c>
      <c r="V97" s="24" t="e">
        <f>VLOOKUP(C97,#REF!,13,FALSE)</f>
        <v>#REF!</v>
      </c>
    </row>
    <row r="98" spans="1:22" x14ac:dyDescent="0.25">
      <c r="A98" s="7" t="s">
        <v>1060</v>
      </c>
      <c r="B98" s="8">
        <v>9789500210065</v>
      </c>
      <c r="C98" s="8">
        <v>665949</v>
      </c>
      <c r="D98" s="25">
        <v>316</v>
      </c>
      <c r="E98" s="7" t="s">
        <v>445</v>
      </c>
      <c r="F98" s="6" t="s">
        <v>1061</v>
      </c>
      <c r="G98" s="107">
        <v>43647</v>
      </c>
      <c r="H98" s="108">
        <v>43617</v>
      </c>
      <c r="I98" s="24">
        <v>1830</v>
      </c>
      <c r="J98" s="28" t="s">
        <v>1894</v>
      </c>
      <c r="K98" s="28">
        <v>21.13</v>
      </c>
      <c r="L98" s="112">
        <v>23400</v>
      </c>
      <c r="M98" s="9">
        <f>+L98*0.15</f>
        <v>3510</v>
      </c>
      <c r="N98" s="9">
        <f t="shared" si="5"/>
        <v>11700</v>
      </c>
      <c r="O98" s="9">
        <f t="shared" si="6"/>
        <v>8168.87</v>
      </c>
      <c r="P98" s="9">
        <f t="shared" si="7"/>
        <v>3531.13</v>
      </c>
      <c r="Q98" s="139">
        <f t="shared" si="8"/>
        <v>0.69819401709401707</v>
      </c>
      <c r="R98" s="395" t="e">
        <f>VLOOKUP(C98,'[1]ORIGINAL (2)'!$A:$C,3,FALSE)</f>
        <v>#N/A</v>
      </c>
      <c r="S98" s="24" t="e">
        <f>VLOOKUP(C98,#REF!,6,FALSE)</f>
        <v>#REF!</v>
      </c>
      <c r="T98" s="24" t="e">
        <f>VLOOKUP(C98,#REF!,7,FALSE)</f>
        <v>#REF!</v>
      </c>
      <c r="U98" s="24" t="e">
        <f>VLOOKUP(C98,#REF!,12,FALSE)</f>
        <v>#REF!</v>
      </c>
      <c r="V98" s="24" t="e">
        <f>VLOOKUP(C98,#REF!,13,FALSE)</f>
        <v>#REF!</v>
      </c>
    </row>
    <row r="99" spans="1:22" x14ac:dyDescent="0.25">
      <c r="A99" s="6" t="s">
        <v>1062</v>
      </c>
      <c r="B99" s="8">
        <v>9789500208178</v>
      </c>
      <c r="C99" s="21">
        <v>582266</v>
      </c>
      <c r="D99" s="7">
        <v>544</v>
      </c>
      <c r="E99" s="7" t="s">
        <v>97</v>
      </c>
      <c r="F99" s="7" t="s">
        <v>98</v>
      </c>
      <c r="G99" s="107">
        <v>41974</v>
      </c>
      <c r="H99" s="108">
        <v>41852</v>
      </c>
      <c r="I99" s="24">
        <v>3162</v>
      </c>
      <c r="J99" s="28" t="s">
        <v>1894</v>
      </c>
      <c r="K99" s="28">
        <v>26.26</v>
      </c>
      <c r="L99" s="112">
        <v>24500</v>
      </c>
      <c r="M99" s="9">
        <f>+L99*0.13</f>
        <v>3185</v>
      </c>
      <c r="N99" s="9">
        <f t="shared" si="5"/>
        <v>12250</v>
      </c>
      <c r="O99" s="9">
        <f t="shared" si="6"/>
        <v>9038.74</v>
      </c>
      <c r="P99" s="9">
        <f t="shared" si="7"/>
        <v>3211.26</v>
      </c>
      <c r="Q99" s="139">
        <f t="shared" si="8"/>
        <v>0.73785632653061217</v>
      </c>
      <c r="R99" s="395">
        <f>VLOOKUP(C99,'[1]ORIGINAL (2)'!$A:$C,3,FALSE)</f>
        <v>1</v>
      </c>
      <c r="S99" s="24" t="e">
        <f>VLOOKUP(C99,#REF!,6,FALSE)</f>
        <v>#REF!</v>
      </c>
      <c r="T99" s="24" t="e">
        <f>VLOOKUP(C99,#REF!,7,FALSE)</f>
        <v>#REF!</v>
      </c>
      <c r="U99" s="24" t="e">
        <f>VLOOKUP(C99,#REF!,12,FALSE)</f>
        <v>#REF!</v>
      </c>
      <c r="V99" s="24" t="e">
        <f>VLOOKUP(C99,#REF!,13,FALSE)</f>
        <v>#REF!</v>
      </c>
    </row>
    <row r="100" spans="1:22" x14ac:dyDescent="0.25">
      <c r="A100" s="11" t="s">
        <v>1064</v>
      </c>
      <c r="B100" s="13">
        <v>9789500209908</v>
      </c>
      <c r="C100" s="8">
        <v>657292</v>
      </c>
      <c r="D100" s="7">
        <v>136</v>
      </c>
      <c r="E100" s="6" t="s">
        <v>419</v>
      </c>
      <c r="F100" s="11" t="s">
        <v>1065</v>
      </c>
      <c r="G100" s="107">
        <v>43435</v>
      </c>
      <c r="H100" s="108">
        <v>45170</v>
      </c>
      <c r="I100" s="7">
        <v>3036</v>
      </c>
      <c r="J100" s="28" t="s">
        <v>2136</v>
      </c>
      <c r="K100" s="117">
        <v>1626.47</v>
      </c>
      <c r="L100" s="112">
        <v>44900</v>
      </c>
      <c r="M100" s="112">
        <f>+L100*0.15</f>
        <v>6735</v>
      </c>
      <c r="N100" s="9">
        <f t="shared" si="5"/>
        <v>22450</v>
      </c>
      <c r="O100" s="9">
        <f t="shared" si="6"/>
        <v>14088.53</v>
      </c>
      <c r="P100" s="9">
        <f t="shared" si="7"/>
        <v>8361.4699999999993</v>
      </c>
      <c r="Q100" s="139">
        <f t="shared" si="8"/>
        <v>0.62755144766146997</v>
      </c>
      <c r="R100" s="395">
        <f>VLOOKUP(C100,'[1]ORIGINAL (2)'!$A:$C,3,FALSE)</f>
        <v>251</v>
      </c>
      <c r="S100" s="24" t="e">
        <f>VLOOKUP(C100,#REF!,6,FALSE)</f>
        <v>#REF!</v>
      </c>
      <c r="T100" s="24" t="e">
        <f>VLOOKUP(C100,#REF!,7,FALSE)</f>
        <v>#REF!</v>
      </c>
      <c r="U100" s="24" t="e">
        <f>VLOOKUP(C100,#REF!,12,FALSE)</f>
        <v>#REF!</v>
      </c>
      <c r="V100" s="24" t="e">
        <f>VLOOKUP(C100,#REF!,13,FALSE)</f>
        <v>#REF!</v>
      </c>
    </row>
    <row r="101" spans="1:22" x14ac:dyDescent="0.25">
      <c r="A101" s="6" t="s">
        <v>1066</v>
      </c>
      <c r="B101" s="8">
        <v>9789500298711</v>
      </c>
      <c r="C101" s="8">
        <v>600866</v>
      </c>
      <c r="D101" s="25">
        <v>384</v>
      </c>
      <c r="E101" s="22" t="s">
        <v>88</v>
      </c>
      <c r="F101" s="6" t="s">
        <v>89</v>
      </c>
      <c r="G101" s="107">
        <v>42339</v>
      </c>
      <c r="H101" s="108">
        <v>42795</v>
      </c>
      <c r="I101" s="24">
        <v>1500</v>
      </c>
      <c r="J101" s="28" t="s">
        <v>1894</v>
      </c>
      <c r="K101" s="28">
        <v>42.19</v>
      </c>
      <c r="L101" s="128">
        <v>24500</v>
      </c>
      <c r="M101" s="12">
        <f>+L101*0.13</f>
        <v>3185</v>
      </c>
      <c r="N101" s="9">
        <f t="shared" si="5"/>
        <v>12250</v>
      </c>
      <c r="O101" s="9">
        <f t="shared" si="6"/>
        <v>9022.81</v>
      </c>
      <c r="P101" s="9">
        <f t="shared" si="7"/>
        <v>3227.19</v>
      </c>
      <c r="Q101" s="139">
        <f t="shared" si="8"/>
        <v>0.73655591836734691</v>
      </c>
      <c r="R101" s="395">
        <f>VLOOKUP(C101,'[1]ORIGINAL (2)'!$A:$C,3,FALSE)</f>
        <v>5</v>
      </c>
      <c r="S101" s="24" t="e">
        <f>VLOOKUP(C101,#REF!,6,FALSE)</f>
        <v>#REF!</v>
      </c>
      <c r="T101" s="24" t="e">
        <f>VLOOKUP(C101,#REF!,7,FALSE)</f>
        <v>#REF!</v>
      </c>
      <c r="U101" s="24" t="e">
        <f>VLOOKUP(C101,#REF!,12,FALSE)</f>
        <v>#REF!</v>
      </c>
      <c r="V101" s="24" t="e">
        <f>VLOOKUP(C101,#REF!,13,FALSE)</f>
        <v>#REF!</v>
      </c>
    </row>
    <row r="102" spans="1:22" x14ac:dyDescent="0.25">
      <c r="A102" s="7" t="s">
        <v>1067</v>
      </c>
      <c r="B102" s="8">
        <v>9789500298896</v>
      </c>
      <c r="C102" s="6">
        <v>623592</v>
      </c>
      <c r="D102" s="7">
        <v>656</v>
      </c>
      <c r="E102" s="9" t="s">
        <v>76</v>
      </c>
      <c r="F102" s="7" t="s">
        <v>77</v>
      </c>
      <c r="G102" s="107">
        <v>42705</v>
      </c>
      <c r="H102" s="108">
        <v>42675</v>
      </c>
      <c r="I102" s="24">
        <v>3033</v>
      </c>
      <c r="J102" s="28" t="s">
        <v>1894</v>
      </c>
      <c r="K102" s="28">
        <v>53.51</v>
      </c>
      <c r="L102" s="112">
        <v>37500</v>
      </c>
      <c r="M102" s="9">
        <f>+L102*0.13</f>
        <v>4875</v>
      </c>
      <c r="N102" s="9">
        <f t="shared" si="5"/>
        <v>18750</v>
      </c>
      <c r="O102" s="9">
        <f t="shared" si="6"/>
        <v>13821.49</v>
      </c>
      <c r="P102" s="9">
        <f t="shared" si="7"/>
        <v>4928.51</v>
      </c>
      <c r="Q102" s="139">
        <f t="shared" si="8"/>
        <v>0.73714613333333334</v>
      </c>
      <c r="R102" s="395" t="e">
        <f>VLOOKUP(C102,'[1]ORIGINAL (2)'!$A:$C,3,FALSE)</f>
        <v>#N/A</v>
      </c>
      <c r="S102" s="24" t="e">
        <f>VLOOKUP(C102,#REF!,6,FALSE)</f>
        <v>#REF!</v>
      </c>
      <c r="T102" s="24" t="e">
        <f>VLOOKUP(C102,#REF!,7,FALSE)</f>
        <v>#REF!</v>
      </c>
      <c r="U102" s="24" t="e">
        <f>VLOOKUP(C102,#REF!,12,FALSE)</f>
        <v>#REF!</v>
      </c>
      <c r="V102" s="24" t="e">
        <f>VLOOKUP(C102,#REF!,13,FALSE)</f>
        <v>#REF!</v>
      </c>
    </row>
    <row r="103" spans="1:22" x14ac:dyDescent="0.25">
      <c r="A103" s="6" t="s">
        <v>1068</v>
      </c>
      <c r="B103" s="8">
        <v>9789500208543</v>
      </c>
      <c r="C103" s="8">
        <v>598211</v>
      </c>
      <c r="D103" s="25">
        <v>1056</v>
      </c>
      <c r="E103" s="22" t="s">
        <v>1069</v>
      </c>
      <c r="F103" s="6" t="s">
        <v>1070</v>
      </c>
      <c r="G103" s="118">
        <v>42309</v>
      </c>
      <c r="H103" s="108">
        <v>42278</v>
      </c>
      <c r="I103" s="24">
        <v>3006</v>
      </c>
      <c r="J103" s="28" t="s">
        <v>1894</v>
      </c>
      <c r="K103" s="150">
        <v>66.12</v>
      </c>
      <c r="L103" s="28">
        <v>25300</v>
      </c>
      <c r="M103" s="9">
        <f>+L103*0.13</f>
        <v>3289</v>
      </c>
      <c r="N103" s="9">
        <f t="shared" si="5"/>
        <v>12650</v>
      </c>
      <c r="O103" s="9">
        <f t="shared" si="6"/>
        <v>9294.8799999999992</v>
      </c>
      <c r="P103" s="9">
        <f t="shared" si="7"/>
        <v>3355.12</v>
      </c>
      <c r="Q103" s="139">
        <f t="shared" si="8"/>
        <v>0.73477312252964422</v>
      </c>
      <c r="R103" s="395" t="e">
        <f>VLOOKUP(C103,'[1]ORIGINAL (2)'!$A:$C,3,FALSE)</f>
        <v>#N/A</v>
      </c>
      <c r="S103" s="24" t="e">
        <f>VLOOKUP(C103,#REF!,6,FALSE)</f>
        <v>#REF!</v>
      </c>
      <c r="T103" s="24" t="e">
        <f>VLOOKUP(C103,#REF!,7,FALSE)</f>
        <v>#REF!</v>
      </c>
      <c r="U103" s="24" t="e">
        <f>VLOOKUP(C103,#REF!,12,FALSE)</f>
        <v>#REF!</v>
      </c>
      <c r="V103" s="24" t="e">
        <f>VLOOKUP(C103,#REF!,13,FALSE)</f>
        <v>#REF!</v>
      </c>
    </row>
    <row r="104" spans="1:22" x14ac:dyDescent="0.25">
      <c r="A104" s="6" t="s">
        <v>1071</v>
      </c>
      <c r="B104" s="8">
        <v>9789500209106</v>
      </c>
      <c r="C104" s="8">
        <v>635047</v>
      </c>
      <c r="D104" s="7">
        <v>384</v>
      </c>
      <c r="E104" s="7" t="s">
        <v>63</v>
      </c>
      <c r="F104" s="7" t="s">
        <v>64</v>
      </c>
      <c r="G104" s="107">
        <v>42979</v>
      </c>
      <c r="H104" s="108">
        <v>42948</v>
      </c>
      <c r="I104" s="285">
        <v>3000</v>
      </c>
      <c r="J104" s="128" t="s">
        <v>1894</v>
      </c>
      <c r="K104" s="28">
        <v>35.35</v>
      </c>
      <c r="L104" s="28">
        <v>23400</v>
      </c>
      <c r="M104" s="9">
        <f>+L104*0.13</f>
        <v>3042</v>
      </c>
      <c r="N104" s="9">
        <f t="shared" si="5"/>
        <v>11700</v>
      </c>
      <c r="O104" s="9">
        <f t="shared" si="6"/>
        <v>8622.65</v>
      </c>
      <c r="P104" s="9">
        <f t="shared" si="7"/>
        <v>3077.35</v>
      </c>
      <c r="Q104" s="139">
        <f t="shared" si="8"/>
        <v>0.73697863247863249</v>
      </c>
      <c r="R104" s="395">
        <f>VLOOKUP(C104,'[1]ORIGINAL (2)'!$A:$C,3,FALSE)</f>
        <v>4</v>
      </c>
      <c r="S104" s="24" t="e">
        <f>VLOOKUP(C104,#REF!,6,FALSE)</f>
        <v>#REF!</v>
      </c>
      <c r="T104" s="24" t="e">
        <f>VLOOKUP(C104,#REF!,7,FALSE)</f>
        <v>#REF!</v>
      </c>
      <c r="U104" s="24" t="e">
        <f>VLOOKUP(C104,#REF!,12,FALSE)</f>
        <v>#REF!</v>
      </c>
      <c r="V104" s="24" t="e">
        <f>VLOOKUP(C104,#REF!,13,FALSE)</f>
        <v>#REF!</v>
      </c>
    </row>
    <row r="105" spans="1:22" x14ac:dyDescent="0.25">
      <c r="A105" s="7" t="s">
        <v>1072</v>
      </c>
      <c r="B105" s="8">
        <v>9789500209854</v>
      </c>
      <c r="C105" s="6">
        <v>656687</v>
      </c>
      <c r="D105" s="7">
        <v>656</v>
      </c>
      <c r="E105" s="7" t="s">
        <v>411</v>
      </c>
      <c r="F105" s="15" t="s">
        <v>1073</v>
      </c>
      <c r="G105" s="107">
        <v>43405</v>
      </c>
      <c r="H105" s="108">
        <v>44197</v>
      </c>
      <c r="I105" s="24">
        <v>3000</v>
      </c>
      <c r="J105" s="28" t="s">
        <v>2136</v>
      </c>
      <c r="K105" s="9">
        <v>166.43</v>
      </c>
      <c r="L105" s="112">
        <v>43900</v>
      </c>
      <c r="M105" s="9">
        <f>+L105*0.1</f>
        <v>4390</v>
      </c>
      <c r="N105" s="9">
        <f t="shared" si="5"/>
        <v>21950</v>
      </c>
      <c r="O105" s="9">
        <f t="shared" si="6"/>
        <v>17393.57</v>
      </c>
      <c r="P105" s="9">
        <f t="shared" si="7"/>
        <v>4556.43</v>
      </c>
      <c r="Q105" s="139">
        <f t="shared" si="8"/>
        <v>0.79241776765375849</v>
      </c>
      <c r="R105" s="395">
        <f>VLOOKUP(C105,'[1]ORIGINAL (2)'!$A:$C,3,FALSE)</f>
        <v>104</v>
      </c>
      <c r="S105" s="24" t="e">
        <f>VLOOKUP(C105,#REF!,6,FALSE)</f>
        <v>#REF!</v>
      </c>
      <c r="T105" s="24" t="e">
        <f>VLOOKUP(C105,#REF!,7,FALSE)</f>
        <v>#REF!</v>
      </c>
      <c r="U105" s="24" t="e">
        <f>VLOOKUP(C105,#REF!,12,FALSE)</f>
        <v>#REF!</v>
      </c>
      <c r="V105" s="24" t="e">
        <f>VLOOKUP(C105,#REF!,13,FALSE)</f>
        <v>#REF!</v>
      </c>
    </row>
    <row r="106" spans="1:22" x14ac:dyDescent="0.25">
      <c r="A106" s="7" t="s">
        <v>1074</v>
      </c>
      <c r="B106" s="8">
        <v>9789500210058</v>
      </c>
      <c r="C106" s="8">
        <v>665951</v>
      </c>
      <c r="D106" s="25">
        <v>192</v>
      </c>
      <c r="E106" s="22" t="s">
        <v>446</v>
      </c>
      <c r="F106" s="7" t="s">
        <v>1075</v>
      </c>
      <c r="G106" s="107">
        <v>43647</v>
      </c>
      <c r="H106" s="107">
        <v>43617</v>
      </c>
      <c r="I106" s="25">
        <v>2971</v>
      </c>
      <c r="J106" s="28" t="s">
        <v>1894</v>
      </c>
      <c r="K106" s="9">
        <v>44.33</v>
      </c>
      <c r="L106" s="112">
        <v>20500</v>
      </c>
      <c r="M106" s="9">
        <f>+L106*0.1</f>
        <v>2050</v>
      </c>
      <c r="N106" s="9">
        <f t="shared" si="5"/>
        <v>10250</v>
      </c>
      <c r="O106" s="9">
        <f t="shared" si="6"/>
        <v>8155.67</v>
      </c>
      <c r="P106" s="9">
        <f t="shared" si="7"/>
        <v>2094.33</v>
      </c>
      <c r="Q106" s="139">
        <f t="shared" si="8"/>
        <v>0.79567512195121948</v>
      </c>
      <c r="R106" s="395">
        <f>VLOOKUP(C106,'[1]ORIGINAL (2)'!$A:$C,3,FALSE)</f>
        <v>2</v>
      </c>
      <c r="S106" s="24" t="e">
        <f>VLOOKUP(C106,#REF!,6,FALSE)</f>
        <v>#REF!</v>
      </c>
      <c r="T106" s="24" t="e">
        <f>VLOOKUP(C106,#REF!,7,FALSE)</f>
        <v>#REF!</v>
      </c>
      <c r="U106" s="24" t="e">
        <f>VLOOKUP(C106,#REF!,12,FALSE)</f>
        <v>#REF!</v>
      </c>
      <c r="V106" s="24" t="e">
        <f>VLOOKUP(C106,#REF!,13,FALSE)</f>
        <v>#REF!</v>
      </c>
    </row>
    <row r="107" spans="1:22" x14ac:dyDescent="0.25">
      <c r="A107" s="6" t="s">
        <v>1076</v>
      </c>
      <c r="B107" s="143">
        <v>9789500209564</v>
      </c>
      <c r="C107" s="6">
        <v>647011</v>
      </c>
      <c r="D107" s="7">
        <v>384</v>
      </c>
      <c r="E107" s="7" t="s">
        <v>357</v>
      </c>
      <c r="F107" s="7" t="s">
        <v>358</v>
      </c>
      <c r="G107" s="107">
        <v>43191</v>
      </c>
      <c r="H107" s="108">
        <v>45809</v>
      </c>
      <c r="I107" s="7">
        <v>1026</v>
      </c>
      <c r="J107" s="28" t="s">
        <v>2136</v>
      </c>
      <c r="K107" s="117">
        <v>3815.28</v>
      </c>
      <c r="L107" s="9">
        <v>51900</v>
      </c>
      <c r="M107" s="112">
        <f>+L107*0.15</f>
        <v>7785</v>
      </c>
      <c r="N107" s="9">
        <f t="shared" si="5"/>
        <v>25950</v>
      </c>
      <c r="O107" s="9">
        <f t="shared" si="6"/>
        <v>14349.72</v>
      </c>
      <c r="P107" s="9">
        <f t="shared" si="7"/>
        <v>11600.28</v>
      </c>
      <c r="Q107" s="139">
        <f t="shared" si="8"/>
        <v>0.55297572254335259</v>
      </c>
      <c r="R107" s="395">
        <f>VLOOKUP(C107,'[1]ORIGINAL (2)'!$A:$C,3,FALSE)</f>
        <v>278</v>
      </c>
      <c r="S107" s="24" t="e">
        <f>VLOOKUP(C107,#REF!,6,FALSE)</f>
        <v>#REF!</v>
      </c>
      <c r="T107" s="24" t="e">
        <f>VLOOKUP(C107,#REF!,7,FALSE)</f>
        <v>#REF!</v>
      </c>
      <c r="U107" s="24" t="e">
        <f>VLOOKUP(C107,#REF!,12,FALSE)</f>
        <v>#REF!</v>
      </c>
      <c r="V107" s="24" t="e">
        <f>VLOOKUP(C107,#REF!,13,FALSE)</f>
        <v>#REF!</v>
      </c>
    </row>
    <row r="108" spans="1:22" x14ac:dyDescent="0.25">
      <c r="A108" s="7" t="s">
        <v>1077</v>
      </c>
      <c r="B108" s="8">
        <v>9789500209571</v>
      </c>
      <c r="C108" s="6">
        <v>652580</v>
      </c>
      <c r="D108" s="7">
        <v>320</v>
      </c>
      <c r="E108" s="7" t="s">
        <v>391</v>
      </c>
      <c r="F108" s="15" t="s">
        <v>1078</v>
      </c>
      <c r="G108" s="107">
        <v>43313</v>
      </c>
      <c r="H108" s="108">
        <v>43282</v>
      </c>
      <c r="I108" s="24">
        <v>2995</v>
      </c>
      <c r="J108" s="28" t="s">
        <v>1894</v>
      </c>
      <c r="K108" s="28">
        <v>69.3</v>
      </c>
      <c r="L108" s="128">
        <v>23400</v>
      </c>
      <c r="M108" s="112">
        <f>+L108*0.08</f>
        <v>1872</v>
      </c>
      <c r="N108" s="9">
        <f t="shared" si="5"/>
        <v>11700</v>
      </c>
      <c r="O108" s="9">
        <f t="shared" si="6"/>
        <v>9758.7000000000007</v>
      </c>
      <c r="P108" s="9">
        <f t="shared" si="7"/>
        <v>1941.3</v>
      </c>
      <c r="Q108" s="139">
        <f t="shared" si="8"/>
        <v>0.83407692307692316</v>
      </c>
      <c r="R108" s="395" t="e">
        <f>VLOOKUP(C108,'[1]ORIGINAL (2)'!$A:$C,3,FALSE)</f>
        <v>#N/A</v>
      </c>
      <c r="S108" s="24" t="e">
        <f>VLOOKUP(C108,#REF!,6,FALSE)</f>
        <v>#REF!</v>
      </c>
      <c r="T108" s="24" t="e">
        <f>VLOOKUP(C108,#REF!,7,FALSE)</f>
        <v>#REF!</v>
      </c>
      <c r="U108" s="24" t="e">
        <f>VLOOKUP(C108,#REF!,12,FALSE)</f>
        <v>#REF!</v>
      </c>
      <c r="V108" s="24" t="e">
        <f>VLOOKUP(C108,#REF!,13,FALSE)</f>
        <v>#REF!</v>
      </c>
    </row>
    <row r="109" spans="1:22" x14ac:dyDescent="0.25">
      <c r="A109" s="6" t="s">
        <v>1079</v>
      </c>
      <c r="B109" s="8">
        <v>9789500298889</v>
      </c>
      <c r="C109" s="146">
        <v>620181</v>
      </c>
      <c r="D109" s="7">
        <v>368</v>
      </c>
      <c r="E109" s="7" t="s">
        <v>84</v>
      </c>
      <c r="F109" s="7" t="s">
        <v>85</v>
      </c>
      <c r="G109" s="107">
        <v>42644</v>
      </c>
      <c r="H109" s="108">
        <v>43739</v>
      </c>
      <c r="I109" s="24">
        <v>3055</v>
      </c>
      <c r="J109" s="28" t="s">
        <v>1946</v>
      </c>
      <c r="K109" s="150">
        <v>69.7</v>
      </c>
      <c r="L109" s="28">
        <v>25700</v>
      </c>
      <c r="M109" s="112">
        <f>+L109*0.1</f>
        <v>2570</v>
      </c>
      <c r="N109" s="9">
        <f t="shared" si="5"/>
        <v>12850</v>
      </c>
      <c r="O109" s="9">
        <f t="shared" si="6"/>
        <v>10210.299999999999</v>
      </c>
      <c r="P109" s="9">
        <f t="shared" si="7"/>
        <v>2639.7</v>
      </c>
      <c r="Q109" s="139">
        <f t="shared" si="8"/>
        <v>0.79457587548638131</v>
      </c>
      <c r="R109" s="395" t="e">
        <f>VLOOKUP(C109,'[1]ORIGINAL (2)'!$A:$C,3,FALSE)</f>
        <v>#N/A</v>
      </c>
      <c r="S109" s="24" t="e">
        <f>VLOOKUP(C109,#REF!,6,FALSE)</f>
        <v>#REF!</v>
      </c>
      <c r="T109" s="24" t="e">
        <f>VLOOKUP(C109,#REF!,7,FALSE)</f>
        <v>#REF!</v>
      </c>
      <c r="U109" s="24" t="e">
        <f>VLOOKUP(C109,#REF!,12,FALSE)</f>
        <v>#REF!</v>
      </c>
      <c r="V109" s="24" t="e">
        <f>VLOOKUP(C109,#REF!,13,FALSE)</f>
        <v>#REF!</v>
      </c>
    </row>
    <row r="110" spans="1:22" x14ac:dyDescent="0.25">
      <c r="A110" s="7" t="s">
        <v>1080</v>
      </c>
      <c r="B110" s="8">
        <v>9789500211000</v>
      </c>
      <c r="C110" s="8">
        <v>680641</v>
      </c>
      <c r="D110" s="25">
        <v>368</v>
      </c>
      <c r="E110" s="7" t="s">
        <v>520</v>
      </c>
      <c r="F110" s="7" t="s">
        <v>521</v>
      </c>
      <c r="G110" s="107">
        <v>44166</v>
      </c>
      <c r="H110" s="108">
        <v>44136</v>
      </c>
      <c r="I110" s="7">
        <v>3054</v>
      </c>
      <c r="J110" s="28" t="s">
        <v>1946</v>
      </c>
      <c r="K110" s="9">
        <v>204.81</v>
      </c>
      <c r="L110" s="112">
        <v>28700</v>
      </c>
      <c r="M110" s="9">
        <f>+L110*0.08</f>
        <v>2296</v>
      </c>
      <c r="N110" s="9">
        <f t="shared" si="5"/>
        <v>14350</v>
      </c>
      <c r="O110" s="9">
        <f t="shared" si="6"/>
        <v>11849.19</v>
      </c>
      <c r="P110" s="9">
        <f t="shared" si="7"/>
        <v>2500.81</v>
      </c>
      <c r="Q110" s="139">
        <f t="shared" si="8"/>
        <v>0.82572752613240419</v>
      </c>
      <c r="R110" s="395">
        <f>VLOOKUP(C110,'[1]ORIGINAL (2)'!$A:$C,3,FALSE)</f>
        <v>14</v>
      </c>
      <c r="S110" s="24" t="e">
        <f>VLOOKUP(C110,#REF!,6,FALSE)</f>
        <v>#REF!</v>
      </c>
      <c r="T110" s="24" t="e">
        <f>VLOOKUP(C110,#REF!,7,FALSE)</f>
        <v>#REF!</v>
      </c>
      <c r="U110" s="24" t="e">
        <f>VLOOKUP(C110,#REF!,12,FALSE)</f>
        <v>#REF!</v>
      </c>
      <c r="V110" s="24" t="e">
        <f>VLOOKUP(C110,#REF!,13,FALSE)</f>
        <v>#REF!</v>
      </c>
    </row>
    <row r="111" spans="1:22" x14ac:dyDescent="0.25">
      <c r="A111" s="6" t="s">
        <v>1081</v>
      </c>
      <c r="B111" s="8">
        <v>9789500299879</v>
      </c>
      <c r="C111" s="8">
        <v>640866</v>
      </c>
      <c r="D111" s="7">
        <v>336</v>
      </c>
      <c r="E111" s="11" t="s">
        <v>338</v>
      </c>
      <c r="F111" s="11" t="s">
        <v>337</v>
      </c>
      <c r="G111" s="118">
        <v>43070</v>
      </c>
      <c r="H111" s="108">
        <v>43040</v>
      </c>
      <c r="I111" s="24">
        <v>3060</v>
      </c>
      <c r="J111" s="28" t="s">
        <v>1762</v>
      </c>
      <c r="K111" s="28">
        <v>138.94999999999999</v>
      </c>
      <c r="L111" s="112">
        <v>28900</v>
      </c>
      <c r="M111" s="12">
        <f>+L111*0.08</f>
        <v>2312</v>
      </c>
      <c r="N111" s="9">
        <f t="shared" si="5"/>
        <v>14450</v>
      </c>
      <c r="O111" s="9">
        <f t="shared" si="6"/>
        <v>11999.05</v>
      </c>
      <c r="P111" s="9">
        <f t="shared" si="7"/>
        <v>2450.9499999999998</v>
      </c>
      <c r="Q111" s="139">
        <f t="shared" si="8"/>
        <v>0.83038408304498268</v>
      </c>
      <c r="R111" s="395">
        <f>VLOOKUP(C111,'[1]ORIGINAL (2)'!$A:$C,3,FALSE)</f>
        <v>73</v>
      </c>
      <c r="S111" s="24" t="e">
        <f>VLOOKUP(C111,#REF!,6,FALSE)</f>
        <v>#REF!</v>
      </c>
      <c r="T111" s="24" t="e">
        <f>VLOOKUP(C111,#REF!,7,FALSE)</f>
        <v>#REF!</v>
      </c>
      <c r="U111" s="24" t="e">
        <f>VLOOKUP(C111,#REF!,12,FALSE)</f>
        <v>#REF!</v>
      </c>
      <c r="V111" s="24" t="e">
        <f>VLOOKUP(C111,#REF!,13,FALSE)</f>
        <v>#REF!</v>
      </c>
    </row>
    <row r="112" spans="1:22" x14ac:dyDescent="0.25">
      <c r="A112" s="7" t="s">
        <v>1082</v>
      </c>
      <c r="B112" s="8">
        <v>9789500206839</v>
      </c>
      <c r="C112" s="146">
        <v>555665</v>
      </c>
      <c r="D112" s="7">
        <v>256</v>
      </c>
      <c r="E112" s="7" t="s">
        <v>102</v>
      </c>
      <c r="F112" s="7" t="s">
        <v>103</v>
      </c>
      <c r="G112" s="107">
        <v>41183</v>
      </c>
      <c r="H112" s="108">
        <v>41791</v>
      </c>
      <c r="I112" s="24">
        <v>1540</v>
      </c>
      <c r="J112" s="28" t="s">
        <v>1894</v>
      </c>
      <c r="K112" s="28">
        <v>30.13</v>
      </c>
      <c r="L112" s="128">
        <v>18700</v>
      </c>
      <c r="M112" s="9">
        <f>+L112*0.14</f>
        <v>2618.0000000000005</v>
      </c>
      <c r="N112" s="9">
        <f t="shared" si="5"/>
        <v>9350</v>
      </c>
      <c r="O112" s="9">
        <f t="shared" si="6"/>
        <v>6701.87</v>
      </c>
      <c r="P112" s="9">
        <f t="shared" si="7"/>
        <v>2648.1300000000006</v>
      </c>
      <c r="Q112" s="139">
        <f t="shared" si="8"/>
        <v>0.71677754010695183</v>
      </c>
      <c r="R112" s="395" t="e">
        <f>VLOOKUP(C112,'[1]ORIGINAL (2)'!$A:$C,3,FALSE)</f>
        <v>#N/A</v>
      </c>
      <c r="S112" s="24" t="e">
        <f>VLOOKUP(C112,#REF!,6,FALSE)</f>
        <v>#REF!</v>
      </c>
      <c r="T112" s="24" t="e">
        <f>VLOOKUP(C112,#REF!,7,FALSE)</f>
        <v>#REF!</v>
      </c>
      <c r="U112" s="24" t="e">
        <f>VLOOKUP(C112,#REF!,12,FALSE)</f>
        <v>#REF!</v>
      </c>
      <c r="V112" s="24" t="e">
        <f>VLOOKUP(C112,#REF!,13,FALSE)</f>
        <v>#REF!</v>
      </c>
    </row>
    <row r="113" spans="1:22" x14ac:dyDescent="0.25">
      <c r="A113" s="6" t="s">
        <v>1083</v>
      </c>
      <c r="B113" s="8">
        <v>9789500299701</v>
      </c>
      <c r="C113" s="6">
        <v>627250</v>
      </c>
      <c r="D113" s="25">
        <v>352</v>
      </c>
      <c r="E113" s="7" t="s">
        <v>86</v>
      </c>
      <c r="F113" s="11" t="s">
        <v>615</v>
      </c>
      <c r="G113" s="107">
        <v>42826</v>
      </c>
      <c r="H113" s="108">
        <v>44197</v>
      </c>
      <c r="I113" s="7">
        <v>2002</v>
      </c>
      <c r="J113" s="28" t="s">
        <v>1946</v>
      </c>
      <c r="K113" s="9">
        <v>108.34</v>
      </c>
      <c r="L113" s="112">
        <v>28700</v>
      </c>
      <c r="M113" s="141">
        <f>+L113*0.15</f>
        <v>4305</v>
      </c>
      <c r="N113" s="9">
        <f t="shared" si="5"/>
        <v>14350</v>
      </c>
      <c r="O113" s="9">
        <f t="shared" si="6"/>
        <v>9936.66</v>
      </c>
      <c r="P113" s="9">
        <f t="shared" si="7"/>
        <v>4413.34</v>
      </c>
      <c r="Q113" s="139">
        <f t="shared" si="8"/>
        <v>0.69245017421602784</v>
      </c>
      <c r="R113" s="395">
        <f>VLOOKUP(C113,'[1]ORIGINAL (2)'!$A:$C,3,FALSE)</f>
        <v>3</v>
      </c>
      <c r="S113" s="24" t="e">
        <f>VLOOKUP(C113,#REF!,6,FALSE)</f>
        <v>#REF!</v>
      </c>
      <c r="T113" s="24" t="e">
        <f>VLOOKUP(C113,#REF!,7,FALSE)</f>
        <v>#REF!</v>
      </c>
      <c r="U113" s="24" t="e">
        <f>VLOOKUP(C113,#REF!,12,FALSE)</f>
        <v>#REF!</v>
      </c>
      <c r="V113" s="24" t="e">
        <f>VLOOKUP(C113,#REF!,13,FALSE)</f>
        <v>#REF!</v>
      </c>
    </row>
    <row r="114" spans="1:22" x14ac:dyDescent="0.25">
      <c r="A114" s="6" t="s">
        <v>1084</v>
      </c>
      <c r="B114" s="8">
        <v>9789500298872</v>
      </c>
      <c r="C114" s="8">
        <v>618704</v>
      </c>
      <c r="D114" s="25">
        <v>256</v>
      </c>
      <c r="E114" s="7" t="s">
        <v>90</v>
      </c>
      <c r="F114" s="6" t="s">
        <v>1085</v>
      </c>
      <c r="G114" s="107">
        <v>42614</v>
      </c>
      <c r="H114" s="108">
        <v>42583</v>
      </c>
      <c r="I114" s="24">
        <v>3012</v>
      </c>
      <c r="J114" s="28" t="s">
        <v>1894</v>
      </c>
      <c r="K114" s="28">
        <v>35.28</v>
      </c>
      <c r="L114" s="128">
        <v>23400</v>
      </c>
      <c r="M114" s="112">
        <f>+L114*0.08</f>
        <v>1872</v>
      </c>
      <c r="N114" s="9">
        <f t="shared" si="5"/>
        <v>11700</v>
      </c>
      <c r="O114" s="9">
        <f t="shared" si="6"/>
        <v>9792.7199999999993</v>
      </c>
      <c r="P114" s="9">
        <f t="shared" si="7"/>
        <v>1907.28</v>
      </c>
      <c r="Q114" s="139">
        <f t="shared" si="8"/>
        <v>0.83698461538461533</v>
      </c>
      <c r="R114" s="395" t="e">
        <f>VLOOKUP(C114,'[1]ORIGINAL (2)'!$A:$C,3,FALSE)</f>
        <v>#N/A</v>
      </c>
      <c r="S114" s="24" t="e">
        <f>VLOOKUP(C114,#REF!,6,FALSE)</f>
        <v>#REF!</v>
      </c>
      <c r="T114" s="24" t="e">
        <f>VLOOKUP(C114,#REF!,7,FALSE)</f>
        <v>#REF!</v>
      </c>
      <c r="U114" s="24" t="e">
        <f>VLOOKUP(C114,#REF!,12,FALSE)</f>
        <v>#REF!</v>
      </c>
      <c r="V114" s="24" t="e">
        <f>VLOOKUP(C114,#REF!,13,FALSE)</f>
        <v>#REF!</v>
      </c>
    </row>
    <row r="115" spans="1:22" x14ac:dyDescent="0.25">
      <c r="A115" s="6" t="s">
        <v>1086</v>
      </c>
      <c r="B115" s="8">
        <v>9789500299824</v>
      </c>
      <c r="C115" s="6">
        <v>631529</v>
      </c>
      <c r="D115" s="25">
        <v>224</v>
      </c>
      <c r="E115" s="7" t="s">
        <v>90</v>
      </c>
      <c r="F115" s="11" t="s">
        <v>92</v>
      </c>
      <c r="G115" s="107">
        <v>42917</v>
      </c>
      <c r="H115" s="108">
        <v>42887</v>
      </c>
      <c r="I115" s="24">
        <v>3019</v>
      </c>
      <c r="J115" s="28" t="s">
        <v>1894</v>
      </c>
      <c r="K115" s="28">
        <v>38.65</v>
      </c>
      <c r="L115" s="128">
        <v>23400</v>
      </c>
      <c r="M115" s="112">
        <f>+L115*0.08</f>
        <v>1872</v>
      </c>
      <c r="N115" s="9">
        <f t="shared" si="5"/>
        <v>11700</v>
      </c>
      <c r="O115" s="9">
        <f t="shared" si="6"/>
        <v>9789.35</v>
      </c>
      <c r="P115" s="9">
        <f t="shared" si="7"/>
        <v>1910.65</v>
      </c>
      <c r="Q115" s="139">
        <f t="shared" si="8"/>
        <v>0.83669658119658119</v>
      </c>
      <c r="R115" s="395">
        <f>VLOOKUP(C115,'[1]ORIGINAL (2)'!$A:$C,3,FALSE)</f>
        <v>4</v>
      </c>
      <c r="S115" s="24" t="e">
        <f>VLOOKUP(C115,#REF!,6,FALSE)</f>
        <v>#REF!</v>
      </c>
      <c r="T115" s="24" t="e">
        <f>VLOOKUP(C115,#REF!,7,FALSE)</f>
        <v>#REF!</v>
      </c>
      <c r="U115" s="24" t="e">
        <f>VLOOKUP(C115,#REF!,12,FALSE)</f>
        <v>#REF!</v>
      </c>
      <c r="V115" s="24" t="e">
        <f>VLOOKUP(C115,#REF!,13,FALSE)</f>
        <v>#REF!</v>
      </c>
    </row>
    <row r="116" spans="1:22" x14ac:dyDescent="0.25">
      <c r="A116" s="6" t="s">
        <v>1087</v>
      </c>
      <c r="B116" s="8">
        <v>9789500208529</v>
      </c>
      <c r="C116" s="8">
        <v>595690</v>
      </c>
      <c r="D116" s="7">
        <v>272</v>
      </c>
      <c r="E116" s="7" t="s">
        <v>90</v>
      </c>
      <c r="F116" s="145" t="s">
        <v>1088</v>
      </c>
      <c r="G116" s="107">
        <v>42248</v>
      </c>
      <c r="H116" s="108">
        <v>43862</v>
      </c>
      <c r="I116" s="24">
        <v>1065</v>
      </c>
      <c r="J116" s="28" t="s">
        <v>1894</v>
      </c>
      <c r="K116" s="28">
        <v>107.69</v>
      </c>
      <c r="L116" s="128">
        <v>23400</v>
      </c>
      <c r="M116" s="112">
        <f>+L116*0.1</f>
        <v>2340</v>
      </c>
      <c r="N116" s="9">
        <f t="shared" si="5"/>
        <v>11700</v>
      </c>
      <c r="O116" s="9">
        <f t="shared" si="6"/>
        <v>9252.31</v>
      </c>
      <c r="P116" s="9">
        <f t="shared" si="7"/>
        <v>2447.69</v>
      </c>
      <c r="Q116" s="139">
        <f t="shared" si="8"/>
        <v>0.79079572649572649</v>
      </c>
      <c r="R116" s="395">
        <f>VLOOKUP(C116,'[1]ORIGINAL (2)'!$A:$C,3,FALSE)</f>
        <v>1</v>
      </c>
      <c r="S116" s="24" t="e">
        <f>VLOOKUP(C116,#REF!,6,FALSE)</f>
        <v>#REF!</v>
      </c>
      <c r="T116" s="24" t="e">
        <f>VLOOKUP(C116,#REF!,7,FALSE)</f>
        <v>#REF!</v>
      </c>
      <c r="U116" s="24" t="e">
        <f>VLOOKUP(C116,#REF!,12,FALSE)</f>
        <v>#REF!</v>
      </c>
      <c r="V116" s="24" t="e">
        <f>VLOOKUP(C116,#REF!,13,FALSE)</f>
        <v>#REF!</v>
      </c>
    </row>
    <row r="117" spans="1:22" x14ac:dyDescent="0.25">
      <c r="A117" s="6" t="s">
        <v>1089</v>
      </c>
      <c r="B117" s="8">
        <v>9789500208123</v>
      </c>
      <c r="C117" s="8">
        <v>580535</v>
      </c>
      <c r="D117" s="7">
        <v>416</v>
      </c>
      <c r="E117" s="7" t="s">
        <v>104</v>
      </c>
      <c r="F117" s="7" t="s">
        <v>105</v>
      </c>
      <c r="G117" s="107">
        <v>41852</v>
      </c>
      <c r="H117" s="108">
        <v>44287</v>
      </c>
      <c r="I117" s="7">
        <v>2003</v>
      </c>
      <c r="J117" s="28" t="s">
        <v>1946</v>
      </c>
      <c r="K117" s="9">
        <v>166.05</v>
      </c>
      <c r="L117" s="9">
        <v>34500</v>
      </c>
      <c r="M117" s="9">
        <f>+L117*0.15</f>
        <v>5175</v>
      </c>
      <c r="N117" s="9">
        <f t="shared" si="5"/>
        <v>17250</v>
      </c>
      <c r="O117" s="9">
        <f t="shared" si="6"/>
        <v>11908.95</v>
      </c>
      <c r="P117" s="9">
        <f t="shared" si="7"/>
        <v>5341.05</v>
      </c>
      <c r="Q117" s="139">
        <f t="shared" si="8"/>
        <v>0.69037391304347828</v>
      </c>
      <c r="R117" s="395">
        <f>VLOOKUP(C117,'[1]ORIGINAL (2)'!$A:$C,3,FALSE)</f>
        <v>3</v>
      </c>
      <c r="S117" s="24" t="e">
        <f>VLOOKUP(C117,#REF!,6,FALSE)</f>
        <v>#REF!</v>
      </c>
      <c r="T117" s="24" t="e">
        <f>VLOOKUP(C117,#REF!,7,FALSE)</f>
        <v>#REF!</v>
      </c>
      <c r="U117" s="24" t="e">
        <f>VLOOKUP(C117,#REF!,12,FALSE)</f>
        <v>#REF!</v>
      </c>
      <c r="V117" s="24" t="e">
        <f>VLOOKUP(C117,#REF!,13,FALSE)</f>
        <v>#REF!</v>
      </c>
    </row>
    <row r="118" spans="1:22" x14ac:dyDescent="0.25">
      <c r="A118" s="6" t="s">
        <v>1090</v>
      </c>
      <c r="B118" s="8">
        <v>9789500208536</v>
      </c>
      <c r="C118" s="6">
        <v>593816</v>
      </c>
      <c r="D118" s="25">
        <v>400</v>
      </c>
      <c r="E118" s="22" t="s">
        <v>28</v>
      </c>
      <c r="F118" s="6" t="s">
        <v>74</v>
      </c>
      <c r="G118" s="107">
        <v>42186</v>
      </c>
      <c r="H118" s="108">
        <v>44621</v>
      </c>
      <c r="I118" s="7">
        <v>1997</v>
      </c>
      <c r="J118" s="28" t="s">
        <v>2136</v>
      </c>
      <c r="K118" s="117">
        <v>270.76</v>
      </c>
      <c r="L118" s="9">
        <v>46900</v>
      </c>
      <c r="M118" s="112">
        <f>+L118*0.1</f>
        <v>4690</v>
      </c>
      <c r="N118" s="9">
        <f t="shared" si="5"/>
        <v>23450</v>
      </c>
      <c r="O118" s="9">
        <f t="shared" si="6"/>
        <v>18489.240000000002</v>
      </c>
      <c r="P118" s="9">
        <f t="shared" si="7"/>
        <v>4960.76</v>
      </c>
      <c r="Q118" s="139">
        <f t="shared" si="8"/>
        <v>0.78845373134328367</v>
      </c>
      <c r="R118" s="395">
        <f>VLOOKUP(C118,'[1]ORIGINAL (2)'!$A:$C,3,FALSE)</f>
        <v>375</v>
      </c>
      <c r="S118" s="24" t="e">
        <f>VLOOKUP(C118,#REF!,6,FALSE)</f>
        <v>#REF!</v>
      </c>
      <c r="T118" s="24" t="e">
        <f>VLOOKUP(C118,#REF!,7,FALSE)</f>
        <v>#REF!</v>
      </c>
      <c r="U118" s="24" t="e">
        <f>VLOOKUP(C118,#REF!,12,FALSE)</f>
        <v>#REF!</v>
      </c>
      <c r="V118" s="24" t="e">
        <f>VLOOKUP(C118,#REF!,13,FALSE)</f>
        <v>#REF!</v>
      </c>
    </row>
    <row r="119" spans="1:22" x14ac:dyDescent="0.25">
      <c r="A119" s="7" t="s">
        <v>1091</v>
      </c>
      <c r="B119" s="8">
        <v>9789500209861</v>
      </c>
      <c r="C119" s="6">
        <v>656688</v>
      </c>
      <c r="D119" s="7">
        <v>496</v>
      </c>
      <c r="E119" s="22" t="s">
        <v>412</v>
      </c>
      <c r="F119" s="7" t="s">
        <v>413</v>
      </c>
      <c r="G119" s="107">
        <v>43405</v>
      </c>
      <c r="H119" s="108">
        <v>44621</v>
      </c>
      <c r="I119" s="7">
        <v>2021</v>
      </c>
      <c r="J119" s="28" t="s">
        <v>2136</v>
      </c>
      <c r="K119" s="117">
        <v>316.45</v>
      </c>
      <c r="L119" s="9">
        <v>46900</v>
      </c>
      <c r="M119" s="9">
        <f>+L119*0.08</f>
        <v>3752</v>
      </c>
      <c r="N119" s="9">
        <f t="shared" si="5"/>
        <v>23450</v>
      </c>
      <c r="O119" s="9">
        <f t="shared" si="6"/>
        <v>19381.55</v>
      </c>
      <c r="P119" s="9">
        <f t="shared" si="7"/>
        <v>4068.45</v>
      </c>
      <c r="Q119" s="139">
        <f t="shared" si="8"/>
        <v>0.82650533049040509</v>
      </c>
      <c r="R119" s="395">
        <f>VLOOKUP(C119,'[1]ORIGINAL (2)'!$A:$C,3,FALSE)</f>
        <v>410</v>
      </c>
      <c r="S119" s="24" t="e">
        <f>VLOOKUP(C119,#REF!,6,FALSE)</f>
        <v>#REF!</v>
      </c>
      <c r="T119" s="24" t="e">
        <f>VLOOKUP(C119,#REF!,7,FALSE)</f>
        <v>#REF!</v>
      </c>
      <c r="U119" s="24" t="e">
        <f>VLOOKUP(C119,#REF!,12,FALSE)</f>
        <v>#REF!</v>
      </c>
      <c r="V119" s="24" t="e">
        <f>VLOOKUP(C119,#REF!,13,FALSE)</f>
        <v>#REF!</v>
      </c>
    </row>
    <row r="120" spans="1:22" x14ac:dyDescent="0.25">
      <c r="A120" s="6" t="s">
        <v>1092</v>
      </c>
      <c r="B120" s="8">
        <v>9789500298810</v>
      </c>
      <c r="C120" s="8">
        <v>610466</v>
      </c>
      <c r="D120" s="7">
        <v>512</v>
      </c>
      <c r="E120" s="31" t="s">
        <v>28</v>
      </c>
      <c r="F120" s="287" t="s">
        <v>75</v>
      </c>
      <c r="G120" s="107">
        <v>42461</v>
      </c>
      <c r="H120" s="108">
        <v>45352</v>
      </c>
      <c r="I120" s="7">
        <v>1044</v>
      </c>
      <c r="J120" s="28" t="s">
        <v>2136</v>
      </c>
      <c r="K120" s="148">
        <v>4227.54</v>
      </c>
      <c r="L120" s="112">
        <v>46900</v>
      </c>
      <c r="M120" s="112">
        <f>+L120*0.1</f>
        <v>4690</v>
      </c>
      <c r="N120" s="9">
        <f t="shared" si="5"/>
        <v>23450</v>
      </c>
      <c r="O120" s="9">
        <f t="shared" si="6"/>
        <v>14532.46</v>
      </c>
      <c r="P120" s="9">
        <f t="shared" si="7"/>
        <v>8917.5400000000009</v>
      </c>
      <c r="Q120" s="139">
        <f t="shared" si="8"/>
        <v>0.61972110874200426</v>
      </c>
      <c r="R120" s="395">
        <f>VLOOKUP(C120,'[1]ORIGINAL (2)'!$A:$C,3,FALSE)</f>
        <v>174</v>
      </c>
      <c r="S120" s="24" t="e">
        <f>VLOOKUP(C120,#REF!,6,FALSE)</f>
        <v>#REF!</v>
      </c>
      <c r="T120" s="24" t="e">
        <f>VLOOKUP(C120,#REF!,7,FALSE)</f>
        <v>#REF!</v>
      </c>
      <c r="U120" s="24" t="e">
        <f>VLOOKUP(C120,#REF!,12,FALSE)</f>
        <v>#REF!</v>
      </c>
      <c r="V120" s="24" t="e">
        <f>VLOOKUP(C120,#REF!,13,FALSE)</f>
        <v>#REF!</v>
      </c>
    </row>
    <row r="121" spans="1:22" x14ac:dyDescent="0.25">
      <c r="A121" s="7" t="s">
        <v>1093</v>
      </c>
      <c r="B121" s="8">
        <v>9789500206792</v>
      </c>
      <c r="C121" s="8">
        <v>552476</v>
      </c>
      <c r="D121" s="7">
        <v>304</v>
      </c>
      <c r="E121" s="7" t="s">
        <v>90</v>
      </c>
      <c r="F121" s="7" t="s">
        <v>91</v>
      </c>
      <c r="G121" s="107">
        <v>41091</v>
      </c>
      <c r="H121" s="108">
        <v>42856</v>
      </c>
      <c r="I121" s="24">
        <v>1536</v>
      </c>
      <c r="J121" s="28" t="s">
        <v>1894</v>
      </c>
      <c r="K121" s="28">
        <v>41.62</v>
      </c>
      <c r="L121" s="128">
        <v>20700</v>
      </c>
      <c r="M121" s="112">
        <f>+L121*0.1</f>
        <v>2070</v>
      </c>
      <c r="N121" s="9">
        <f t="shared" si="5"/>
        <v>10350</v>
      </c>
      <c r="O121" s="9">
        <f t="shared" si="6"/>
        <v>8238.3799999999992</v>
      </c>
      <c r="P121" s="9">
        <f t="shared" si="7"/>
        <v>2111.62</v>
      </c>
      <c r="Q121" s="139">
        <f t="shared" si="8"/>
        <v>0.7959787439613526</v>
      </c>
      <c r="R121" s="395" t="e">
        <f>VLOOKUP(C121,'[1]ORIGINAL (2)'!$A:$C,3,FALSE)</f>
        <v>#N/A</v>
      </c>
      <c r="S121" s="24" t="e">
        <f>VLOOKUP(C121,#REF!,6,FALSE)</f>
        <v>#REF!</v>
      </c>
      <c r="T121" s="24" t="e">
        <f>VLOOKUP(C121,#REF!,7,FALSE)</f>
        <v>#REF!</v>
      </c>
      <c r="U121" s="24" t="e">
        <f>VLOOKUP(C121,#REF!,12,FALSE)</f>
        <v>#REF!</v>
      </c>
      <c r="V121" s="24" t="e">
        <f>VLOOKUP(C121,#REF!,13,FALSE)</f>
        <v>#REF!</v>
      </c>
    </row>
    <row r="122" spans="1:22" x14ac:dyDescent="0.25">
      <c r="A122" s="7" t="s">
        <v>1094</v>
      </c>
      <c r="B122" s="8">
        <v>9789500206822</v>
      </c>
      <c r="C122" s="8">
        <v>554727</v>
      </c>
      <c r="D122" s="7">
        <v>320</v>
      </c>
      <c r="E122" s="7" t="s">
        <v>90</v>
      </c>
      <c r="F122" s="7" t="s">
        <v>1095</v>
      </c>
      <c r="G122" s="118">
        <v>41153</v>
      </c>
      <c r="H122" s="108">
        <v>42142</v>
      </c>
      <c r="I122" s="24">
        <v>2079</v>
      </c>
      <c r="J122" s="28" t="s">
        <v>1894</v>
      </c>
      <c r="K122" s="28">
        <v>24.53</v>
      </c>
      <c r="L122" s="128">
        <v>20700</v>
      </c>
      <c r="M122" s="112">
        <f>+L122*0.1</f>
        <v>2070</v>
      </c>
      <c r="N122" s="9">
        <f t="shared" si="5"/>
        <v>10350</v>
      </c>
      <c r="O122" s="9">
        <f t="shared" si="6"/>
        <v>8255.4699999999993</v>
      </c>
      <c r="P122" s="9">
        <f t="shared" si="7"/>
        <v>2094.5300000000002</v>
      </c>
      <c r="Q122" s="139">
        <f t="shared" si="8"/>
        <v>0.79762995169082118</v>
      </c>
      <c r="R122" s="395" t="e">
        <f>VLOOKUP(C122,'[1]ORIGINAL (2)'!$A:$C,3,FALSE)</f>
        <v>#N/A</v>
      </c>
      <c r="S122" s="24" t="e">
        <f>VLOOKUP(C122,#REF!,6,FALSE)</f>
        <v>#REF!</v>
      </c>
      <c r="T122" s="24" t="e">
        <f>VLOOKUP(C122,#REF!,7,FALSE)</f>
        <v>#REF!</v>
      </c>
      <c r="U122" s="24" t="e">
        <f>VLOOKUP(C122,#REF!,12,FALSE)</f>
        <v>#REF!</v>
      </c>
      <c r="V122" s="24" t="e">
        <f>VLOOKUP(C122,#REF!,13,FALSE)</f>
        <v>#REF!</v>
      </c>
    </row>
    <row r="123" spans="1:22" x14ac:dyDescent="0.25">
      <c r="A123" s="6" t="s">
        <v>1096</v>
      </c>
      <c r="B123" s="8">
        <v>9789500299817</v>
      </c>
      <c r="C123" s="6">
        <v>630236</v>
      </c>
      <c r="D123" s="25">
        <v>368</v>
      </c>
      <c r="E123" s="7" t="s">
        <v>67</v>
      </c>
      <c r="F123" s="11" t="s">
        <v>68</v>
      </c>
      <c r="G123" s="107">
        <v>42887</v>
      </c>
      <c r="H123" s="108">
        <v>42856</v>
      </c>
      <c r="I123" s="24">
        <v>3018</v>
      </c>
      <c r="J123" s="28" t="s">
        <v>1894</v>
      </c>
      <c r="K123" s="28">
        <v>54.75</v>
      </c>
      <c r="L123" s="128">
        <v>23900</v>
      </c>
      <c r="M123" s="141">
        <f>+L123*0.08</f>
        <v>1912</v>
      </c>
      <c r="N123" s="142">
        <f t="shared" si="5"/>
        <v>11950</v>
      </c>
      <c r="O123" s="142">
        <f t="shared" si="6"/>
        <v>9983.25</v>
      </c>
      <c r="P123" s="142">
        <f t="shared" si="7"/>
        <v>1966.75</v>
      </c>
      <c r="Q123" s="139">
        <f t="shared" si="8"/>
        <v>0.83541841004184103</v>
      </c>
      <c r="R123" s="395" t="e">
        <f>VLOOKUP(C123,'[1]ORIGINAL (2)'!$A:$C,3,FALSE)</f>
        <v>#N/A</v>
      </c>
      <c r="S123" s="24" t="e">
        <f>VLOOKUP(C123,#REF!,6,FALSE)</f>
        <v>#REF!</v>
      </c>
      <c r="T123" s="24" t="e">
        <f>VLOOKUP(C123,#REF!,7,FALSE)</f>
        <v>#REF!</v>
      </c>
      <c r="U123" s="24" t="e">
        <f>VLOOKUP(C123,#REF!,12,FALSE)</f>
        <v>#REF!</v>
      </c>
      <c r="V123" s="24" t="e">
        <f>VLOOKUP(C123,#REF!,13,FALSE)</f>
        <v>#REF!</v>
      </c>
    </row>
    <row r="124" spans="1:22" x14ac:dyDescent="0.25">
      <c r="A124" s="7" t="s">
        <v>1097</v>
      </c>
      <c r="B124" s="8">
        <v>9789500206983</v>
      </c>
      <c r="C124" s="8">
        <v>557270</v>
      </c>
      <c r="D124" s="7">
        <v>1080</v>
      </c>
      <c r="E124" s="7" t="s">
        <v>82</v>
      </c>
      <c r="F124" s="6" t="s">
        <v>83</v>
      </c>
      <c r="G124" s="107">
        <v>41214</v>
      </c>
      <c r="H124" s="108">
        <v>45383</v>
      </c>
      <c r="I124" s="239">
        <v>2013</v>
      </c>
      <c r="J124" s="28" t="s">
        <v>1762</v>
      </c>
      <c r="K124" s="148">
        <v>9316.7800000000007</v>
      </c>
      <c r="L124" s="9">
        <v>119900</v>
      </c>
      <c r="M124" s="112">
        <f>+L124*0.14</f>
        <v>16786</v>
      </c>
      <c r="N124" s="9">
        <f t="shared" si="5"/>
        <v>59950</v>
      </c>
      <c r="O124" s="9">
        <f t="shared" si="6"/>
        <v>33847.22</v>
      </c>
      <c r="P124" s="9">
        <f t="shared" si="7"/>
        <v>26102.78</v>
      </c>
      <c r="Q124" s="139">
        <f t="shared" si="8"/>
        <v>0.56459082568807339</v>
      </c>
      <c r="R124" s="395">
        <f>VLOOKUP(C124,'[1]ORIGINAL (2)'!$A:$C,3,FALSE)</f>
        <v>148</v>
      </c>
      <c r="S124" s="24" t="e">
        <f>VLOOKUP(C124,#REF!,6,FALSE)</f>
        <v>#REF!</v>
      </c>
      <c r="T124" s="24" t="e">
        <f>VLOOKUP(C124,#REF!,7,FALSE)</f>
        <v>#REF!</v>
      </c>
      <c r="U124" s="24" t="e">
        <f>VLOOKUP(C124,#REF!,12,FALSE)</f>
        <v>#REF!</v>
      </c>
      <c r="V124" s="24" t="e">
        <f>VLOOKUP(C124,#REF!,13,FALSE)</f>
        <v>#REF!</v>
      </c>
    </row>
    <row r="125" spans="1:22" x14ac:dyDescent="0.25">
      <c r="A125" s="7" t="s">
        <v>1098</v>
      </c>
      <c r="B125" s="8">
        <v>9789500210553</v>
      </c>
      <c r="C125" s="8">
        <v>677840</v>
      </c>
      <c r="D125" s="25">
        <v>512</v>
      </c>
      <c r="E125" s="7" t="s">
        <v>504</v>
      </c>
      <c r="F125" s="7" t="s">
        <v>501</v>
      </c>
      <c r="G125" s="107">
        <v>44105</v>
      </c>
      <c r="H125" s="107">
        <v>44075</v>
      </c>
      <c r="I125" s="7">
        <v>3016</v>
      </c>
      <c r="J125" s="28" t="s">
        <v>1762</v>
      </c>
      <c r="K125" s="9">
        <v>192.57</v>
      </c>
      <c r="L125" s="112">
        <v>51900</v>
      </c>
      <c r="M125" s="112">
        <f>+L125*0.08</f>
        <v>4152</v>
      </c>
      <c r="N125" s="9">
        <f t="shared" si="5"/>
        <v>25950</v>
      </c>
      <c r="O125" s="9">
        <f t="shared" si="6"/>
        <v>21605.43</v>
      </c>
      <c r="P125" s="9">
        <f t="shared" si="7"/>
        <v>4344.57</v>
      </c>
      <c r="Q125" s="139">
        <f t="shared" si="8"/>
        <v>0.83257919075144515</v>
      </c>
      <c r="R125" s="395">
        <f>VLOOKUP(C125,'[1]ORIGINAL (2)'!$A:$C,3,FALSE)</f>
        <v>38</v>
      </c>
      <c r="S125" s="24" t="e">
        <f>VLOOKUP(C125,#REF!,6,FALSE)</f>
        <v>#REF!</v>
      </c>
      <c r="T125" s="24" t="e">
        <f>VLOOKUP(C125,#REF!,7,FALSE)</f>
        <v>#REF!</v>
      </c>
      <c r="U125" s="24" t="e">
        <f>VLOOKUP(C125,#REF!,12,FALSE)</f>
        <v>#REF!</v>
      </c>
      <c r="V125" s="24" t="e">
        <f>VLOOKUP(C125,#REF!,13,FALSE)</f>
        <v>#REF!</v>
      </c>
    </row>
    <row r="126" spans="1:22" x14ac:dyDescent="0.25">
      <c r="A126" s="6" t="s">
        <v>1099</v>
      </c>
      <c r="B126" s="8">
        <v>9789500209205</v>
      </c>
      <c r="C126" s="8">
        <v>639241</v>
      </c>
      <c r="D126" s="7">
        <v>336</v>
      </c>
      <c r="E126" s="11" t="s">
        <v>330</v>
      </c>
      <c r="F126" s="11" t="s">
        <v>1100</v>
      </c>
      <c r="G126" s="107">
        <v>43040</v>
      </c>
      <c r="H126" s="108">
        <v>43009</v>
      </c>
      <c r="I126" s="24">
        <v>3000</v>
      </c>
      <c r="J126" s="28" t="s">
        <v>1946</v>
      </c>
      <c r="K126" s="28">
        <v>52.35</v>
      </c>
      <c r="L126" s="112">
        <v>33300</v>
      </c>
      <c r="M126" s="112">
        <f>+L126*0.08</f>
        <v>2664</v>
      </c>
      <c r="N126" s="9">
        <f t="shared" si="5"/>
        <v>16650</v>
      </c>
      <c r="O126" s="9">
        <f t="shared" si="6"/>
        <v>13933.65</v>
      </c>
      <c r="P126" s="9">
        <f t="shared" si="7"/>
        <v>2716.35</v>
      </c>
      <c r="Q126" s="139">
        <f t="shared" si="8"/>
        <v>0.83685585585585587</v>
      </c>
      <c r="R126" s="395" t="e">
        <f>VLOOKUP(C126,'[1]ORIGINAL (2)'!$A:$C,3,FALSE)</f>
        <v>#N/A</v>
      </c>
      <c r="S126" s="24" t="e">
        <f>VLOOKUP(C126,#REF!,6,FALSE)</f>
        <v>#REF!</v>
      </c>
      <c r="T126" s="24" t="e">
        <f>VLOOKUP(C126,#REF!,7,FALSE)</f>
        <v>#REF!</v>
      </c>
      <c r="U126" s="24" t="e">
        <f>VLOOKUP(C126,#REF!,12,FALSE)</f>
        <v>#REF!</v>
      </c>
      <c r="V126" s="24" t="e">
        <f>VLOOKUP(C126,#REF!,13,FALSE)</f>
        <v>#REF!</v>
      </c>
    </row>
    <row r="127" spans="1:22" x14ac:dyDescent="0.25">
      <c r="A127" s="7" t="s">
        <v>1101</v>
      </c>
      <c r="B127" s="8">
        <v>9789500207171</v>
      </c>
      <c r="C127" s="21">
        <v>568564</v>
      </c>
      <c r="D127" s="25">
        <v>304</v>
      </c>
      <c r="E127" s="22" t="s">
        <v>62</v>
      </c>
      <c r="F127" s="6" t="s">
        <v>1102</v>
      </c>
      <c r="G127" s="107">
        <v>41518</v>
      </c>
      <c r="H127" s="108">
        <v>41487</v>
      </c>
      <c r="I127" s="24">
        <v>3102</v>
      </c>
      <c r="J127" s="28" t="s">
        <v>1894</v>
      </c>
      <c r="K127" s="150">
        <v>16.53</v>
      </c>
      <c r="L127" s="128">
        <v>18700</v>
      </c>
      <c r="M127" s="112">
        <f>+L127*0.08</f>
        <v>1496</v>
      </c>
      <c r="N127" s="9">
        <f t="shared" si="5"/>
        <v>9350</v>
      </c>
      <c r="O127" s="9">
        <f t="shared" si="6"/>
        <v>7837.47</v>
      </c>
      <c r="P127" s="9">
        <f t="shared" si="7"/>
        <v>1512.53</v>
      </c>
      <c r="Q127" s="139">
        <f t="shared" si="8"/>
        <v>0.83823208556149731</v>
      </c>
      <c r="R127" s="395">
        <f>VLOOKUP(C127,'[1]ORIGINAL (2)'!$A:$C,3,FALSE)</f>
        <v>1</v>
      </c>
      <c r="S127" s="24" t="e">
        <f>VLOOKUP(C127,#REF!,6,FALSE)</f>
        <v>#REF!</v>
      </c>
      <c r="T127" s="24" t="e">
        <f>VLOOKUP(C127,#REF!,7,FALSE)</f>
        <v>#REF!</v>
      </c>
      <c r="U127" s="24" t="e">
        <f>VLOOKUP(C127,#REF!,12,FALSE)</f>
        <v>#REF!</v>
      </c>
      <c r="V127" s="24" t="e">
        <f>VLOOKUP(C127,#REF!,13,FALSE)</f>
        <v>#REF!</v>
      </c>
    </row>
    <row r="128" spans="1:22" x14ac:dyDescent="0.25">
      <c r="A128" s="6" t="s">
        <v>1103</v>
      </c>
      <c r="B128" s="8">
        <v>9789500298902</v>
      </c>
      <c r="C128" s="8">
        <v>616438</v>
      </c>
      <c r="D128" s="7">
        <v>376</v>
      </c>
      <c r="E128" s="31" t="s">
        <v>72</v>
      </c>
      <c r="F128" s="32" t="s">
        <v>73</v>
      </c>
      <c r="G128" s="107">
        <v>42552</v>
      </c>
      <c r="H128" s="108">
        <v>42522</v>
      </c>
      <c r="I128" s="24">
        <v>3046</v>
      </c>
      <c r="J128" s="28" t="s">
        <v>1894</v>
      </c>
      <c r="K128" s="28">
        <v>30.39</v>
      </c>
      <c r="L128" s="128">
        <v>18600</v>
      </c>
      <c r="M128" s="112">
        <f>+L128*0.13</f>
        <v>2418</v>
      </c>
      <c r="N128" s="9">
        <f t="shared" si="5"/>
        <v>9300</v>
      </c>
      <c r="O128" s="9">
        <f t="shared" si="6"/>
        <v>6851.61</v>
      </c>
      <c r="P128" s="9">
        <f t="shared" si="7"/>
        <v>2448.39</v>
      </c>
      <c r="Q128" s="139">
        <f t="shared" si="8"/>
        <v>0.73673225806451614</v>
      </c>
      <c r="R128" s="395" t="e">
        <f>VLOOKUP(C128,'[1]ORIGINAL (2)'!$A:$C,3,FALSE)</f>
        <v>#N/A</v>
      </c>
      <c r="S128" s="24" t="e">
        <f>VLOOKUP(C128,#REF!,6,FALSE)</f>
        <v>#REF!</v>
      </c>
      <c r="T128" s="24" t="e">
        <f>VLOOKUP(C128,#REF!,7,FALSE)</f>
        <v>#REF!</v>
      </c>
      <c r="U128" s="24" t="e">
        <f>VLOOKUP(C128,#REF!,12,FALSE)</f>
        <v>#REF!</v>
      </c>
      <c r="V128" s="24" t="e">
        <f>VLOOKUP(C128,#REF!,13,FALSE)</f>
        <v>#REF!</v>
      </c>
    </row>
    <row r="129" spans="1:22" x14ac:dyDescent="0.25">
      <c r="A129" s="6" t="s">
        <v>1104</v>
      </c>
      <c r="B129" s="153">
        <v>9789500209595</v>
      </c>
      <c r="C129" s="145">
        <v>649883</v>
      </c>
      <c r="D129" s="7">
        <v>400</v>
      </c>
      <c r="E129" s="7" t="s">
        <v>383</v>
      </c>
      <c r="F129" s="7" t="s">
        <v>384</v>
      </c>
      <c r="G129" s="107">
        <v>43252</v>
      </c>
      <c r="H129" s="108">
        <v>44743</v>
      </c>
      <c r="I129" s="7">
        <v>3040</v>
      </c>
      <c r="J129" s="28" t="s">
        <v>1762</v>
      </c>
      <c r="K129" s="9">
        <v>329.48</v>
      </c>
      <c r="L129" s="9">
        <v>49900</v>
      </c>
      <c r="M129" s="112">
        <f>+L129*0.1</f>
        <v>4990</v>
      </c>
      <c r="N129" s="9">
        <f t="shared" ref="N129:N130" si="10">+L129/2</f>
        <v>24950</v>
      </c>
      <c r="O129" s="9">
        <f t="shared" ref="O129:O130" si="11">+N129-M129-K129</f>
        <v>19630.52</v>
      </c>
      <c r="P129" s="9">
        <f t="shared" ref="P129:P130" si="12">+M129+K129</f>
        <v>5319.48</v>
      </c>
      <c r="Q129" s="139">
        <f t="shared" ref="Q129:Q130" si="13">+O129/N129</f>
        <v>0.78679438877755514</v>
      </c>
      <c r="R129" s="395">
        <f>VLOOKUP(C129,'[1]ORIGINAL (2)'!$A:$C,3,FALSE)</f>
        <v>110</v>
      </c>
      <c r="S129" s="24" t="e">
        <f>VLOOKUP(C129,#REF!,6,FALSE)</f>
        <v>#REF!</v>
      </c>
      <c r="T129" s="24" t="e">
        <f>VLOOKUP(C129,#REF!,7,FALSE)</f>
        <v>#REF!</v>
      </c>
      <c r="U129" s="24" t="e">
        <f>VLOOKUP(C129,#REF!,12,FALSE)</f>
        <v>#REF!</v>
      </c>
      <c r="V129" s="24" t="e">
        <f>VLOOKUP(C129,#REF!,13,FALSE)</f>
        <v>#REF!</v>
      </c>
    </row>
    <row r="130" spans="1:22" x14ac:dyDescent="0.25">
      <c r="A130" s="6" t="s">
        <v>1105</v>
      </c>
      <c r="B130" s="8">
        <v>9789500299633</v>
      </c>
      <c r="C130" s="6">
        <v>625988</v>
      </c>
      <c r="D130" s="25">
        <v>384</v>
      </c>
      <c r="E130" s="7" t="s">
        <v>78</v>
      </c>
      <c r="F130" s="11" t="s">
        <v>79</v>
      </c>
      <c r="G130" s="107">
        <v>42795</v>
      </c>
      <c r="H130" s="108">
        <v>42767</v>
      </c>
      <c r="I130" s="24">
        <v>3030</v>
      </c>
      <c r="J130" s="28" t="s">
        <v>1762</v>
      </c>
      <c r="K130" s="28">
        <v>35.43</v>
      </c>
      <c r="L130" s="128">
        <v>46900</v>
      </c>
      <c r="M130" s="112">
        <f>+L130*0.13</f>
        <v>6097</v>
      </c>
      <c r="N130" s="9">
        <f t="shared" si="10"/>
        <v>23450</v>
      </c>
      <c r="O130" s="9">
        <f t="shared" si="11"/>
        <v>17317.57</v>
      </c>
      <c r="P130" s="9">
        <f t="shared" si="12"/>
        <v>6132.43</v>
      </c>
      <c r="Q130" s="139">
        <f t="shared" si="13"/>
        <v>0.7384891257995736</v>
      </c>
      <c r="R130" s="395">
        <f>VLOOKUP(C130,'[1]ORIGINAL (2)'!$A:$C,3,FALSE)</f>
        <v>2</v>
      </c>
      <c r="S130" s="24" t="e">
        <f>VLOOKUP(C130,#REF!,6,FALSE)</f>
        <v>#REF!</v>
      </c>
      <c r="T130" s="24" t="e">
        <f>VLOOKUP(C130,#REF!,7,FALSE)</f>
        <v>#REF!</v>
      </c>
      <c r="U130" s="24" t="e">
        <f>VLOOKUP(C130,#REF!,12,FALSE)</f>
        <v>#REF!</v>
      </c>
      <c r="V130" s="24" t="e">
        <f>VLOOKUP(C130,#REF!,13,FALSE)</f>
        <v>#REF!</v>
      </c>
    </row>
    <row r="131" spans="1:22" ht="15.75" thickBot="1" x14ac:dyDescent="0.3">
      <c r="A131" s="378"/>
      <c r="B131" s="133"/>
      <c r="C131" s="133"/>
      <c r="D131" s="154"/>
      <c r="E131" s="382"/>
      <c r="F131" s="378"/>
      <c r="G131" s="132"/>
      <c r="H131" s="132"/>
      <c r="I131" s="132"/>
      <c r="J131" s="132"/>
      <c r="K131" s="132"/>
      <c r="L131" s="134"/>
      <c r="M131" s="132"/>
      <c r="N131" s="132"/>
      <c r="O131" s="132"/>
      <c r="P131" s="132"/>
      <c r="Q131" s="147"/>
      <c r="R131" s="395" t="e">
        <f>VLOOKUP(C131,'[1]ORIGINAL (2)'!$A:$C,3,FALSE)</f>
        <v>#N/A</v>
      </c>
      <c r="S131" s="100"/>
      <c r="T131" s="100"/>
      <c r="U131" s="100"/>
      <c r="V131" s="100"/>
    </row>
    <row r="132" spans="1:22" x14ac:dyDescent="0.25">
      <c r="A132" s="132"/>
      <c r="B132" s="133"/>
      <c r="C132" s="133"/>
      <c r="D132" s="154"/>
      <c r="E132" s="155" t="s">
        <v>1106</v>
      </c>
      <c r="F132" s="156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47"/>
      <c r="R132" s="395" t="e">
        <f>VLOOKUP(C132,'[1]ORIGINAL (2)'!$A:$C,3,FALSE)</f>
        <v>#N/A</v>
      </c>
      <c r="S132" s="100"/>
      <c r="T132" s="100"/>
      <c r="U132" s="100"/>
      <c r="V132" s="100"/>
    </row>
    <row r="133" spans="1:22" x14ac:dyDescent="0.25">
      <c r="A133" s="7" t="s">
        <v>2394</v>
      </c>
      <c r="B133" s="8">
        <v>9789500218078</v>
      </c>
      <c r="C133" s="8">
        <v>748667</v>
      </c>
      <c r="D133" s="7">
        <v>192</v>
      </c>
      <c r="E133" s="7" t="s">
        <v>2395</v>
      </c>
      <c r="F133" s="7" t="s">
        <v>2396</v>
      </c>
      <c r="G133" s="107">
        <v>46235</v>
      </c>
      <c r="H133" s="108">
        <v>46204</v>
      </c>
      <c r="I133" s="116">
        <v>4060</v>
      </c>
      <c r="J133" s="7" t="s">
        <v>1894</v>
      </c>
      <c r="K133" s="148">
        <v>2021.74</v>
      </c>
      <c r="L133" s="352">
        <v>24500</v>
      </c>
      <c r="M133" s="9">
        <f t="shared" ref="M133:M139" si="14">+L133*0.08</f>
        <v>1960</v>
      </c>
      <c r="N133" s="9">
        <f t="shared" ref="N133:N168" si="15">+L133/2</f>
        <v>12250</v>
      </c>
      <c r="O133" s="9">
        <f t="shared" ref="O133:O168" si="16">+N133-M133-K133</f>
        <v>8268.26</v>
      </c>
      <c r="P133" s="9">
        <f t="shared" ref="P133:P168" si="17">+M133+K133</f>
        <v>3981.74</v>
      </c>
      <c r="Q133" s="139">
        <f t="shared" ref="Q133:Q168" si="18">+O133/N133</f>
        <v>0.67496</v>
      </c>
      <c r="R133" s="395">
        <f>VLOOKUP(C133,'[1]ORIGINAL (2)'!$A:$C,3,FALSE)</f>
        <v>401</v>
      </c>
      <c r="S133" s="24" t="e">
        <f>VLOOKUP(C133,#REF!,6,FALSE)</f>
        <v>#REF!</v>
      </c>
      <c r="T133" s="24" t="e">
        <f>VLOOKUP(C133,#REF!,7,FALSE)</f>
        <v>#REF!</v>
      </c>
      <c r="U133" s="24" t="e">
        <f>VLOOKUP(C133,#REF!,12,FALSE)</f>
        <v>#REF!</v>
      </c>
      <c r="V133" s="24" t="e">
        <f>VLOOKUP(C133,#REF!,13,FALSE)</f>
        <v>#REF!</v>
      </c>
    </row>
    <row r="134" spans="1:22" x14ac:dyDescent="0.25">
      <c r="A134" s="7" t="s">
        <v>2362</v>
      </c>
      <c r="B134" s="8">
        <v>9789500217873</v>
      </c>
      <c r="C134" s="8">
        <v>747597</v>
      </c>
      <c r="D134" s="7">
        <v>176</v>
      </c>
      <c r="E134" s="7" t="s">
        <v>2363</v>
      </c>
      <c r="F134" s="7" t="s">
        <v>2364</v>
      </c>
      <c r="G134" s="107">
        <v>46204</v>
      </c>
      <c r="H134" s="108">
        <v>46174</v>
      </c>
      <c r="I134" s="116">
        <v>3075</v>
      </c>
      <c r="J134" s="315" t="s">
        <v>1867</v>
      </c>
      <c r="K134" s="148">
        <v>2245.66</v>
      </c>
      <c r="L134" s="9">
        <v>27900</v>
      </c>
      <c r="M134" s="112">
        <f t="shared" si="14"/>
        <v>2232</v>
      </c>
      <c r="N134" s="9">
        <f t="shared" si="15"/>
        <v>13950</v>
      </c>
      <c r="O134" s="9">
        <f t="shared" si="16"/>
        <v>9472.34</v>
      </c>
      <c r="P134" s="9">
        <f t="shared" si="17"/>
        <v>4477.66</v>
      </c>
      <c r="Q134" s="139">
        <f t="shared" si="18"/>
        <v>0.67902078853046599</v>
      </c>
      <c r="R134" s="395">
        <f>VLOOKUP(C134,'[1]ORIGINAL (2)'!$A:$C,3,FALSE)</f>
        <v>244</v>
      </c>
      <c r="S134" s="24" t="e">
        <f>VLOOKUP(C134,#REF!,6,FALSE)</f>
        <v>#REF!</v>
      </c>
      <c r="T134" s="24" t="e">
        <f>VLOOKUP(C134,#REF!,7,FALSE)</f>
        <v>#REF!</v>
      </c>
      <c r="U134" s="24" t="e">
        <f>VLOOKUP(C134,#REF!,12,FALSE)</f>
        <v>#REF!</v>
      </c>
      <c r="V134" s="24" t="e">
        <f>VLOOKUP(C134,#REF!,13,FALSE)</f>
        <v>#REF!</v>
      </c>
    </row>
    <row r="135" spans="1:22" x14ac:dyDescent="0.25">
      <c r="A135" s="6" t="s">
        <v>2113</v>
      </c>
      <c r="B135" s="153">
        <v>9789500216661</v>
      </c>
      <c r="C135" s="6">
        <v>734147</v>
      </c>
      <c r="D135" s="41">
        <v>272</v>
      </c>
      <c r="E135" s="6" t="s">
        <v>2118</v>
      </c>
      <c r="F135" s="6" t="s">
        <v>2119</v>
      </c>
      <c r="G135" s="107">
        <v>45901</v>
      </c>
      <c r="H135" s="108">
        <v>46023</v>
      </c>
      <c r="I135" s="7">
        <v>2029</v>
      </c>
      <c r="J135" s="7" t="s">
        <v>1762</v>
      </c>
      <c r="K135" s="148">
        <v>2065.35</v>
      </c>
      <c r="L135" s="9">
        <v>27500</v>
      </c>
      <c r="M135" s="112">
        <f t="shared" si="14"/>
        <v>2200</v>
      </c>
      <c r="N135" s="9">
        <f t="shared" si="15"/>
        <v>13750</v>
      </c>
      <c r="O135" s="9">
        <f t="shared" si="16"/>
        <v>9484.65</v>
      </c>
      <c r="P135" s="9">
        <f t="shared" si="17"/>
        <v>4265.3500000000004</v>
      </c>
      <c r="Q135" s="139">
        <f t="shared" si="18"/>
        <v>0.68979272727272722</v>
      </c>
      <c r="R135" s="395">
        <f>VLOOKUP(C135,'[1]ORIGINAL (2)'!$A:$C,3,FALSE)</f>
        <v>881</v>
      </c>
      <c r="S135" s="24" t="e">
        <f>VLOOKUP(C135,#REF!,6,FALSE)</f>
        <v>#REF!</v>
      </c>
      <c r="T135" s="24" t="e">
        <f>VLOOKUP(C135,#REF!,7,FALSE)</f>
        <v>#REF!</v>
      </c>
      <c r="U135" s="24" t="e">
        <f>VLOOKUP(C135,#REF!,12,FALSE)</f>
        <v>#REF!</v>
      </c>
      <c r="V135" s="24" t="e">
        <f>VLOOKUP(C135,#REF!,13,FALSE)</f>
        <v>#REF!</v>
      </c>
    </row>
    <row r="136" spans="1:22" x14ac:dyDescent="0.25">
      <c r="A136" s="7" t="s">
        <v>1107</v>
      </c>
      <c r="B136" s="8">
        <v>9789500213837</v>
      </c>
      <c r="C136" s="8">
        <v>706236</v>
      </c>
      <c r="D136" s="25">
        <v>208</v>
      </c>
      <c r="E136" s="6" t="s">
        <v>777</v>
      </c>
      <c r="F136" s="7" t="s">
        <v>778</v>
      </c>
      <c r="G136" s="107">
        <v>45078</v>
      </c>
      <c r="H136" s="108">
        <v>45047</v>
      </c>
      <c r="I136" s="7">
        <v>3076</v>
      </c>
      <c r="J136" s="28" t="s">
        <v>2136</v>
      </c>
      <c r="K136" s="117">
        <v>520.08000000000004</v>
      </c>
      <c r="L136" s="9">
        <v>26900</v>
      </c>
      <c r="M136" s="112">
        <f t="shared" si="14"/>
        <v>2152</v>
      </c>
      <c r="N136" s="9">
        <f t="shared" si="15"/>
        <v>13450</v>
      </c>
      <c r="O136" s="9">
        <f t="shared" si="16"/>
        <v>10777.92</v>
      </c>
      <c r="P136" s="9">
        <f t="shared" si="17"/>
        <v>2672.08</v>
      </c>
      <c r="Q136" s="139">
        <f t="shared" si="18"/>
        <v>0.80133234200743497</v>
      </c>
      <c r="R136" s="395">
        <f>VLOOKUP(C136,'[1]ORIGINAL (2)'!$A:$C,3,FALSE)</f>
        <v>90</v>
      </c>
      <c r="S136" s="24" t="e">
        <f>VLOOKUP(C136,#REF!,6,FALSE)</f>
        <v>#REF!</v>
      </c>
      <c r="T136" s="24" t="e">
        <f>VLOOKUP(C136,#REF!,7,FALSE)</f>
        <v>#REF!</v>
      </c>
      <c r="U136" s="24" t="e">
        <f>VLOOKUP(C136,#REF!,12,FALSE)</f>
        <v>#REF!</v>
      </c>
      <c r="V136" s="24" t="e">
        <f>VLOOKUP(C136,#REF!,13,FALSE)</f>
        <v>#REF!</v>
      </c>
    </row>
    <row r="137" spans="1:22" x14ac:dyDescent="0.25">
      <c r="A137" s="6" t="s">
        <v>1108</v>
      </c>
      <c r="B137" s="8">
        <v>9789500213219</v>
      </c>
      <c r="C137" s="8">
        <v>700537</v>
      </c>
      <c r="D137" s="41">
        <v>368</v>
      </c>
      <c r="E137" s="7" t="s">
        <v>740</v>
      </c>
      <c r="F137" s="7" t="s">
        <v>741</v>
      </c>
      <c r="G137" s="107">
        <v>43862</v>
      </c>
      <c r="H137" s="108">
        <v>44470</v>
      </c>
      <c r="I137" s="7">
        <v>3054</v>
      </c>
      <c r="J137" s="28" t="s">
        <v>2136</v>
      </c>
      <c r="K137" s="9">
        <v>667.17</v>
      </c>
      <c r="L137" s="112">
        <v>27900</v>
      </c>
      <c r="M137" s="112">
        <f t="shared" si="14"/>
        <v>2232</v>
      </c>
      <c r="N137" s="9">
        <f t="shared" si="15"/>
        <v>13950</v>
      </c>
      <c r="O137" s="9">
        <f t="shared" si="16"/>
        <v>11050.83</v>
      </c>
      <c r="P137" s="9">
        <f t="shared" si="17"/>
        <v>2899.17</v>
      </c>
      <c r="Q137" s="139">
        <f t="shared" si="18"/>
        <v>0.79217419354838714</v>
      </c>
      <c r="R137" s="395">
        <f>VLOOKUP(C137,'[1]ORIGINAL (2)'!$A:$C,3,FALSE)</f>
        <v>17</v>
      </c>
      <c r="S137" s="24" t="e">
        <f>VLOOKUP(C137,#REF!,6,FALSE)</f>
        <v>#REF!</v>
      </c>
      <c r="T137" s="24" t="e">
        <f>VLOOKUP(C137,#REF!,7,FALSE)</f>
        <v>#REF!</v>
      </c>
      <c r="U137" s="24" t="e">
        <f>VLOOKUP(C137,#REF!,12,FALSE)</f>
        <v>#REF!</v>
      </c>
      <c r="V137" s="24" t="e">
        <f>VLOOKUP(C137,#REF!,13,FALSE)</f>
        <v>#REF!</v>
      </c>
    </row>
    <row r="138" spans="1:22" x14ac:dyDescent="0.25">
      <c r="A138" s="6" t="s">
        <v>1109</v>
      </c>
      <c r="B138" s="8">
        <v>9789500212946</v>
      </c>
      <c r="C138" s="6">
        <v>697473</v>
      </c>
      <c r="D138" s="41">
        <v>200</v>
      </c>
      <c r="E138" s="7" t="s">
        <v>712</v>
      </c>
      <c r="F138" s="7" t="s">
        <v>713</v>
      </c>
      <c r="G138" s="107">
        <v>44805</v>
      </c>
      <c r="H138" s="108">
        <v>44774</v>
      </c>
      <c r="I138" s="7">
        <v>3053</v>
      </c>
      <c r="J138" s="28" t="s">
        <v>1946</v>
      </c>
      <c r="K138" s="9">
        <v>357.2</v>
      </c>
      <c r="L138" s="112">
        <v>21900</v>
      </c>
      <c r="M138" s="9">
        <f t="shared" si="14"/>
        <v>1752</v>
      </c>
      <c r="N138" s="9">
        <f t="shared" si="15"/>
        <v>10950</v>
      </c>
      <c r="O138" s="9">
        <f t="shared" si="16"/>
        <v>8840.7999999999993</v>
      </c>
      <c r="P138" s="9">
        <f t="shared" si="17"/>
        <v>2109.1999999999998</v>
      </c>
      <c r="Q138" s="139">
        <f t="shared" si="18"/>
        <v>0.80737899543378988</v>
      </c>
      <c r="R138" s="395">
        <f>VLOOKUP(C138,'[1]ORIGINAL (2)'!$A:$C,3,FALSE)</f>
        <v>6</v>
      </c>
      <c r="S138" s="24" t="e">
        <f>VLOOKUP(C138,#REF!,6,FALSE)</f>
        <v>#REF!</v>
      </c>
      <c r="T138" s="24" t="e">
        <f>VLOOKUP(C138,#REF!,7,FALSE)</f>
        <v>#REF!</v>
      </c>
      <c r="U138" s="24" t="e">
        <f>VLOOKUP(C138,#REF!,12,FALSE)</f>
        <v>#REF!</v>
      </c>
      <c r="V138" s="24" t="e">
        <f>VLOOKUP(C138,#REF!,13,FALSE)</f>
        <v>#REF!</v>
      </c>
    </row>
    <row r="139" spans="1:22" x14ac:dyDescent="0.25">
      <c r="A139" s="7" t="s">
        <v>1110</v>
      </c>
      <c r="B139" s="34">
        <v>9789500211802</v>
      </c>
      <c r="C139" s="8">
        <v>683963</v>
      </c>
      <c r="D139" s="25">
        <v>216</v>
      </c>
      <c r="E139" s="30" t="s">
        <v>551</v>
      </c>
      <c r="F139" s="116" t="s">
        <v>1111</v>
      </c>
      <c r="G139" s="107">
        <v>44348</v>
      </c>
      <c r="H139" s="108">
        <v>44317</v>
      </c>
      <c r="I139" s="24">
        <v>3105</v>
      </c>
      <c r="J139" s="28" t="s">
        <v>1946</v>
      </c>
      <c r="K139" s="9">
        <v>163.38999999999999</v>
      </c>
      <c r="L139" s="112">
        <v>19900</v>
      </c>
      <c r="M139" s="9">
        <f t="shared" si="14"/>
        <v>1592</v>
      </c>
      <c r="N139" s="9">
        <f t="shared" si="15"/>
        <v>9950</v>
      </c>
      <c r="O139" s="9">
        <f t="shared" si="16"/>
        <v>8194.61</v>
      </c>
      <c r="P139" s="9">
        <f t="shared" si="17"/>
        <v>1755.3899999999999</v>
      </c>
      <c r="Q139" s="139">
        <f t="shared" si="18"/>
        <v>0.82357889447236188</v>
      </c>
      <c r="R139" s="395">
        <f>VLOOKUP(C139,'[1]ORIGINAL (2)'!$A:$C,3,FALSE)</f>
        <v>52</v>
      </c>
      <c r="S139" s="24" t="e">
        <f>VLOOKUP(C139,#REF!,6,FALSE)</f>
        <v>#REF!</v>
      </c>
      <c r="T139" s="24" t="e">
        <f>VLOOKUP(C139,#REF!,7,FALSE)</f>
        <v>#REF!</v>
      </c>
      <c r="U139" s="24" t="e">
        <f>VLOOKUP(C139,#REF!,12,FALSE)</f>
        <v>#REF!</v>
      </c>
      <c r="V139" s="24" t="e">
        <f>VLOOKUP(C139,#REF!,13,FALSE)</f>
        <v>#REF!</v>
      </c>
    </row>
    <row r="140" spans="1:22" x14ac:dyDescent="0.25">
      <c r="A140" s="7" t="s">
        <v>1112</v>
      </c>
      <c r="B140" s="8">
        <v>9789500212168</v>
      </c>
      <c r="C140" s="8">
        <v>687543</v>
      </c>
      <c r="D140" s="25">
        <v>568</v>
      </c>
      <c r="E140" s="9" t="s">
        <v>582</v>
      </c>
      <c r="F140" s="7" t="s">
        <v>583</v>
      </c>
      <c r="G140" s="107">
        <v>44470</v>
      </c>
      <c r="H140" s="108">
        <v>44440</v>
      </c>
      <c r="I140" s="7">
        <v>10051</v>
      </c>
      <c r="J140" s="7" t="s">
        <v>1762</v>
      </c>
      <c r="K140" s="9">
        <v>204.27</v>
      </c>
      <c r="L140" s="112">
        <v>30900</v>
      </c>
      <c r="M140" s="9">
        <f>+L140*0.1</f>
        <v>3090</v>
      </c>
      <c r="N140" s="9">
        <f t="shared" si="15"/>
        <v>15450</v>
      </c>
      <c r="O140" s="9">
        <f t="shared" si="16"/>
        <v>12155.73</v>
      </c>
      <c r="P140" s="9">
        <f t="shared" si="17"/>
        <v>3294.27</v>
      </c>
      <c r="Q140" s="139">
        <f t="shared" si="18"/>
        <v>0.78677864077669901</v>
      </c>
      <c r="R140" s="395">
        <f>VLOOKUP(C140,'[1]ORIGINAL (2)'!$A:$C,3,FALSE)</f>
        <v>368</v>
      </c>
      <c r="S140" s="24" t="e">
        <f>VLOOKUP(C140,#REF!,6,FALSE)</f>
        <v>#REF!</v>
      </c>
      <c r="T140" s="24" t="e">
        <f>VLOOKUP(C140,#REF!,7,FALSE)</f>
        <v>#REF!</v>
      </c>
      <c r="U140" s="24" t="e">
        <f>VLOOKUP(C140,#REF!,12,FALSE)</f>
        <v>#REF!</v>
      </c>
      <c r="V140" s="24" t="e">
        <f>VLOOKUP(C140,#REF!,13,FALSE)</f>
        <v>#REF!</v>
      </c>
    </row>
    <row r="141" spans="1:22" x14ac:dyDescent="0.25">
      <c r="A141" s="7" t="s">
        <v>1113</v>
      </c>
      <c r="B141" s="8">
        <v>9789500207270</v>
      </c>
      <c r="C141" s="8">
        <v>566238</v>
      </c>
      <c r="D141" s="25">
        <v>432</v>
      </c>
      <c r="E141" s="22" t="s">
        <v>128</v>
      </c>
      <c r="F141" s="6" t="s">
        <v>129</v>
      </c>
      <c r="G141" s="107">
        <v>41456</v>
      </c>
      <c r="H141" s="108">
        <v>41426</v>
      </c>
      <c r="I141" s="24">
        <v>3058</v>
      </c>
      <c r="J141" s="28" t="s">
        <v>1894</v>
      </c>
      <c r="K141" s="28">
        <v>17.54</v>
      </c>
      <c r="L141" s="128">
        <v>15900</v>
      </c>
      <c r="M141" s="112">
        <f>+L141*0.15</f>
        <v>2385</v>
      </c>
      <c r="N141" s="9">
        <f t="shared" si="15"/>
        <v>7950</v>
      </c>
      <c r="O141" s="9">
        <f t="shared" si="16"/>
        <v>5547.46</v>
      </c>
      <c r="P141" s="9">
        <f t="shared" si="17"/>
        <v>2402.54</v>
      </c>
      <c r="Q141" s="139">
        <f t="shared" si="18"/>
        <v>0.69779371069182394</v>
      </c>
      <c r="R141" s="395" t="e">
        <f>VLOOKUP(C141,'[1]ORIGINAL (2)'!$A:$C,3,FALSE)</f>
        <v>#N/A</v>
      </c>
      <c r="S141" s="24" t="e">
        <f>VLOOKUP(C141,#REF!,6,FALSE)</f>
        <v>#REF!</v>
      </c>
      <c r="T141" s="24" t="e">
        <f>VLOOKUP(C141,#REF!,7,FALSE)</f>
        <v>#REF!</v>
      </c>
      <c r="U141" s="24" t="e">
        <f>VLOOKUP(C141,#REF!,12,FALSE)</f>
        <v>#REF!</v>
      </c>
      <c r="V141" s="24" t="e">
        <f>VLOOKUP(C141,#REF!,13,FALSE)</f>
        <v>#REF!</v>
      </c>
    </row>
    <row r="142" spans="1:22" x14ac:dyDescent="0.25">
      <c r="A142" s="6" t="s">
        <v>1114</v>
      </c>
      <c r="B142" s="8">
        <v>9789500299329</v>
      </c>
      <c r="C142" s="8">
        <v>616437</v>
      </c>
      <c r="D142" s="7">
        <v>384</v>
      </c>
      <c r="E142" s="22" t="s">
        <v>108</v>
      </c>
      <c r="F142" s="6" t="s">
        <v>109</v>
      </c>
      <c r="G142" s="107">
        <v>42552</v>
      </c>
      <c r="H142" s="108">
        <v>42522</v>
      </c>
      <c r="I142" s="24">
        <v>2000</v>
      </c>
      <c r="J142" s="28" t="s">
        <v>1946</v>
      </c>
      <c r="K142" s="28">
        <v>35.26</v>
      </c>
      <c r="L142" s="128">
        <v>20900</v>
      </c>
      <c r="M142" s="9">
        <f>+L142*0.15</f>
        <v>3135</v>
      </c>
      <c r="N142" s="9">
        <f t="shared" si="15"/>
        <v>10450</v>
      </c>
      <c r="O142" s="9">
        <f t="shared" si="16"/>
        <v>7279.74</v>
      </c>
      <c r="P142" s="9">
        <f t="shared" si="17"/>
        <v>3170.26</v>
      </c>
      <c r="Q142" s="139">
        <f t="shared" si="18"/>
        <v>0.69662583732057415</v>
      </c>
      <c r="R142" s="395" t="e">
        <f>VLOOKUP(C142,'[1]ORIGINAL (2)'!$A:$C,3,FALSE)</f>
        <v>#N/A</v>
      </c>
      <c r="S142" s="24" t="e">
        <f>VLOOKUP(C142,#REF!,6,FALSE)</f>
        <v>#REF!</v>
      </c>
      <c r="T142" s="24" t="e">
        <f>VLOOKUP(C142,#REF!,7,FALSE)</f>
        <v>#REF!</v>
      </c>
      <c r="U142" s="24" t="e">
        <f>VLOOKUP(C142,#REF!,12,FALSE)</f>
        <v>#REF!</v>
      </c>
      <c r="V142" s="24" t="e">
        <f>VLOOKUP(C142,#REF!,13,FALSE)</f>
        <v>#REF!</v>
      </c>
    </row>
    <row r="143" spans="1:22" x14ac:dyDescent="0.25">
      <c r="A143" s="7" t="s">
        <v>1115</v>
      </c>
      <c r="B143" s="8">
        <v>9789500206976</v>
      </c>
      <c r="C143" s="8">
        <v>557271</v>
      </c>
      <c r="D143" s="7">
        <v>208</v>
      </c>
      <c r="E143" s="7" t="s">
        <v>124</v>
      </c>
      <c r="F143" s="6" t="s">
        <v>125</v>
      </c>
      <c r="G143" s="118">
        <v>41214</v>
      </c>
      <c r="H143" s="108">
        <v>41122</v>
      </c>
      <c r="I143" s="24">
        <v>3035</v>
      </c>
      <c r="J143" s="28" t="s">
        <v>1894</v>
      </c>
      <c r="K143" s="28">
        <v>10.56</v>
      </c>
      <c r="L143" s="112">
        <v>12700</v>
      </c>
      <c r="M143" s="9">
        <f>+L143*0.1</f>
        <v>1270</v>
      </c>
      <c r="N143" s="9">
        <f t="shared" si="15"/>
        <v>6350</v>
      </c>
      <c r="O143" s="9">
        <f t="shared" si="16"/>
        <v>5069.4399999999996</v>
      </c>
      <c r="P143" s="9">
        <f t="shared" si="17"/>
        <v>1280.56</v>
      </c>
      <c r="Q143" s="139">
        <f t="shared" si="18"/>
        <v>0.79833700787401574</v>
      </c>
      <c r="R143" s="395" t="e">
        <f>VLOOKUP(C143,'[1]ORIGINAL (2)'!$A:$C,3,FALSE)</f>
        <v>#N/A</v>
      </c>
      <c r="S143" s="24" t="e">
        <f>VLOOKUP(C143,#REF!,6,FALSE)</f>
        <v>#REF!</v>
      </c>
      <c r="T143" s="24" t="e">
        <f>VLOOKUP(C143,#REF!,7,FALSE)</f>
        <v>#REF!</v>
      </c>
      <c r="U143" s="24" t="e">
        <f>VLOOKUP(C143,#REF!,12,FALSE)</f>
        <v>#REF!</v>
      </c>
      <c r="V143" s="24" t="e">
        <f>VLOOKUP(C143,#REF!,13,FALSE)</f>
        <v>#REF!</v>
      </c>
    </row>
    <row r="144" spans="1:22" x14ac:dyDescent="0.25">
      <c r="A144" s="6" t="s">
        <v>1116</v>
      </c>
      <c r="B144" s="8">
        <v>9789500208697</v>
      </c>
      <c r="C144" s="8">
        <v>591834</v>
      </c>
      <c r="D144" s="25">
        <v>224</v>
      </c>
      <c r="E144" s="22" t="s">
        <v>1117</v>
      </c>
      <c r="F144" s="6" t="s">
        <v>1118</v>
      </c>
      <c r="G144" s="118">
        <v>42125</v>
      </c>
      <c r="H144" s="108">
        <v>42095</v>
      </c>
      <c r="I144" s="24">
        <v>2950</v>
      </c>
      <c r="J144" s="28" t="s">
        <v>1894</v>
      </c>
      <c r="K144" s="28">
        <v>21.61</v>
      </c>
      <c r="L144" s="112">
        <v>16800</v>
      </c>
      <c r="M144" s="9">
        <f>+L144*0.08</f>
        <v>1344</v>
      </c>
      <c r="N144" s="9">
        <f t="shared" si="15"/>
        <v>8400</v>
      </c>
      <c r="O144" s="9">
        <f t="shared" si="16"/>
        <v>7034.39</v>
      </c>
      <c r="P144" s="9">
        <f t="shared" si="17"/>
        <v>1365.61</v>
      </c>
      <c r="Q144" s="139">
        <f t="shared" si="18"/>
        <v>0.83742738095238101</v>
      </c>
      <c r="R144" s="395" t="e">
        <f>VLOOKUP(C144,'[1]ORIGINAL (2)'!$A:$C,3,FALSE)</f>
        <v>#N/A</v>
      </c>
      <c r="S144" s="24" t="e">
        <f>VLOOKUP(C144,#REF!,6,FALSE)</f>
        <v>#REF!</v>
      </c>
      <c r="T144" s="24" t="e">
        <f>VLOOKUP(C144,#REF!,7,FALSE)</f>
        <v>#REF!</v>
      </c>
      <c r="U144" s="24" t="e">
        <f>VLOOKUP(C144,#REF!,12,FALSE)</f>
        <v>#REF!</v>
      </c>
      <c r="V144" s="24" t="e">
        <f>VLOOKUP(C144,#REF!,13,FALSE)</f>
        <v>#REF!</v>
      </c>
    </row>
    <row r="145" spans="1:22" x14ac:dyDescent="0.25">
      <c r="A145" s="7" t="s">
        <v>1119</v>
      </c>
      <c r="B145" s="8">
        <v>9789500207140</v>
      </c>
      <c r="C145" s="146">
        <v>566237</v>
      </c>
      <c r="D145" s="25">
        <v>272</v>
      </c>
      <c r="E145" s="22" t="s">
        <v>114</v>
      </c>
      <c r="F145" s="6" t="s">
        <v>1120</v>
      </c>
      <c r="G145" s="107">
        <v>41456</v>
      </c>
      <c r="H145" s="108">
        <v>41640</v>
      </c>
      <c r="I145" s="24">
        <v>2020</v>
      </c>
      <c r="J145" s="28" t="s">
        <v>1894</v>
      </c>
      <c r="K145" s="28">
        <v>12.72</v>
      </c>
      <c r="L145" s="128">
        <v>16000</v>
      </c>
      <c r="M145" s="9">
        <f>+L145*0.08</f>
        <v>1280</v>
      </c>
      <c r="N145" s="9">
        <f t="shared" si="15"/>
        <v>8000</v>
      </c>
      <c r="O145" s="9">
        <f t="shared" si="16"/>
        <v>6707.28</v>
      </c>
      <c r="P145" s="9">
        <f t="shared" si="17"/>
        <v>1292.72</v>
      </c>
      <c r="Q145" s="139">
        <f t="shared" si="18"/>
        <v>0.83840999999999999</v>
      </c>
      <c r="R145" s="395" t="e">
        <f>VLOOKUP(C145,'[1]ORIGINAL (2)'!$A:$C,3,FALSE)</f>
        <v>#N/A</v>
      </c>
      <c r="S145" s="24" t="e">
        <f>VLOOKUP(C145,#REF!,6,FALSE)</f>
        <v>#REF!</v>
      </c>
      <c r="T145" s="24" t="e">
        <f>VLOOKUP(C145,#REF!,7,FALSE)</f>
        <v>#REF!</v>
      </c>
      <c r="U145" s="24" t="e">
        <f>VLOOKUP(C145,#REF!,12,FALSE)</f>
        <v>#REF!</v>
      </c>
      <c r="V145" s="24" t="e">
        <f>VLOOKUP(C145,#REF!,13,FALSE)</f>
        <v>#REF!</v>
      </c>
    </row>
    <row r="146" spans="1:22" x14ac:dyDescent="0.25">
      <c r="A146" s="7" t="s">
        <v>1121</v>
      </c>
      <c r="B146" s="143">
        <v>9789500209557</v>
      </c>
      <c r="C146" s="6">
        <v>647013</v>
      </c>
      <c r="D146" s="7">
        <v>272</v>
      </c>
      <c r="E146" s="7" t="s">
        <v>361</v>
      </c>
      <c r="F146" s="15" t="s">
        <v>597</v>
      </c>
      <c r="G146" s="107">
        <v>43191</v>
      </c>
      <c r="H146" s="108">
        <v>43160</v>
      </c>
      <c r="I146" s="24">
        <v>2983</v>
      </c>
      <c r="J146" s="28" t="s">
        <v>1762</v>
      </c>
      <c r="K146" s="28">
        <v>54.42</v>
      </c>
      <c r="L146" s="128">
        <v>33900</v>
      </c>
      <c r="M146" s="9">
        <f>+L146*0.08</f>
        <v>2712</v>
      </c>
      <c r="N146" s="9">
        <f t="shared" si="15"/>
        <v>16950</v>
      </c>
      <c r="O146" s="9">
        <f t="shared" si="16"/>
        <v>14183.58</v>
      </c>
      <c r="P146" s="9">
        <f t="shared" si="17"/>
        <v>2766.42</v>
      </c>
      <c r="Q146" s="139">
        <f t="shared" si="18"/>
        <v>0.8367893805309734</v>
      </c>
      <c r="R146" s="395">
        <f>VLOOKUP(C146,'[1]ORIGINAL (2)'!$A:$C,3,FALSE)</f>
        <v>63</v>
      </c>
      <c r="S146" s="24" t="e">
        <f>VLOOKUP(C146,#REF!,6,FALSE)</f>
        <v>#REF!</v>
      </c>
      <c r="T146" s="24" t="e">
        <f>VLOOKUP(C146,#REF!,7,FALSE)</f>
        <v>#REF!</v>
      </c>
      <c r="U146" s="24" t="e">
        <f>VLOOKUP(C146,#REF!,12,FALSE)</f>
        <v>#REF!</v>
      </c>
      <c r="V146" s="24" t="e">
        <f>VLOOKUP(C146,#REF!,13,FALSE)</f>
        <v>#REF!</v>
      </c>
    </row>
    <row r="147" spans="1:22" x14ac:dyDescent="0.25">
      <c r="A147" s="7" t="s">
        <v>1122</v>
      </c>
      <c r="B147" s="8">
        <v>9789500211918</v>
      </c>
      <c r="C147" s="8">
        <v>685397</v>
      </c>
      <c r="D147" s="25">
        <v>384</v>
      </c>
      <c r="E147" s="7" t="s">
        <v>559</v>
      </c>
      <c r="F147" s="7" t="s">
        <v>560</v>
      </c>
      <c r="G147" s="107">
        <v>44409</v>
      </c>
      <c r="H147" s="107">
        <v>44378</v>
      </c>
      <c r="I147" s="7">
        <v>3073</v>
      </c>
      <c r="J147" s="28" t="s">
        <v>1762</v>
      </c>
      <c r="K147" s="9">
        <v>194.2</v>
      </c>
      <c r="L147" s="112">
        <v>37900</v>
      </c>
      <c r="M147" s="9">
        <f>+L147*0.1</f>
        <v>3790</v>
      </c>
      <c r="N147" s="9">
        <f t="shared" si="15"/>
        <v>18950</v>
      </c>
      <c r="O147" s="9">
        <f t="shared" si="16"/>
        <v>14965.8</v>
      </c>
      <c r="P147" s="9">
        <f t="shared" si="17"/>
        <v>3984.2</v>
      </c>
      <c r="Q147" s="139">
        <f t="shared" si="18"/>
        <v>0.78975197889182058</v>
      </c>
      <c r="R147" s="395">
        <f>VLOOKUP(C147,'[1]ORIGINAL (2)'!$A:$C,3,FALSE)</f>
        <v>18</v>
      </c>
      <c r="S147" s="24" t="e">
        <f>VLOOKUP(C147,#REF!,6,FALSE)</f>
        <v>#REF!</v>
      </c>
      <c r="T147" s="24" t="e">
        <f>VLOOKUP(C147,#REF!,7,FALSE)</f>
        <v>#REF!</v>
      </c>
      <c r="U147" s="24" t="e">
        <f>VLOOKUP(C147,#REF!,12,FALSE)</f>
        <v>#REF!</v>
      </c>
      <c r="V147" s="24" t="e">
        <f>VLOOKUP(C147,#REF!,13,FALSE)</f>
        <v>#REF!</v>
      </c>
    </row>
    <row r="148" spans="1:22" x14ac:dyDescent="0.25">
      <c r="A148" s="6" t="s">
        <v>1123</v>
      </c>
      <c r="B148" s="8">
        <v>9789500208703</v>
      </c>
      <c r="C148" s="8">
        <v>596844</v>
      </c>
      <c r="D148" s="25">
        <v>192</v>
      </c>
      <c r="E148" s="22" t="s">
        <v>559</v>
      </c>
      <c r="F148" s="6" t="s">
        <v>123</v>
      </c>
      <c r="G148" s="107">
        <v>42278</v>
      </c>
      <c r="H148" s="108">
        <v>43739</v>
      </c>
      <c r="I148" s="24">
        <v>2065</v>
      </c>
      <c r="J148" s="28" t="s">
        <v>1762</v>
      </c>
      <c r="K148" s="28">
        <v>53.12</v>
      </c>
      <c r="L148" s="112">
        <v>34900</v>
      </c>
      <c r="M148" s="9">
        <f>+L148*0.1</f>
        <v>3490</v>
      </c>
      <c r="N148" s="9">
        <f t="shared" si="15"/>
        <v>17450</v>
      </c>
      <c r="O148" s="9">
        <f t="shared" si="16"/>
        <v>13906.88</v>
      </c>
      <c r="P148" s="9">
        <f t="shared" si="17"/>
        <v>3543.12</v>
      </c>
      <c r="Q148" s="139">
        <f t="shared" si="18"/>
        <v>0.79695587392550138</v>
      </c>
      <c r="R148" s="395">
        <f>VLOOKUP(C148,'[1]ORIGINAL (2)'!$A:$C,3,FALSE)</f>
        <v>3</v>
      </c>
      <c r="S148" s="24" t="e">
        <f>VLOOKUP(C148,#REF!,6,FALSE)</f>
        <v>#REF!</v>
      </c>
      <c r="T148" s="24" t="e">
        <f>VLOOKUP(C148,#REF!,7,FALSE)</f>
        <v>#REF!</v>
      </c>
      <c r="U148" s="24" t="e">
        <f>VLOOKUP(C148,#REF!,12,FALSE)</f>
        <v>#REF!</v>
      </c>
      <c r="V148" s="24" t="e">
        <f>VLOOKUP(C148,#REF!,13,FALSE)</f>
        <v>#REF!</v>
      </c>
    </row>
    <row r="149" spans="1:22" x14ac:dyDescent="0.25">
      <c r="A149" s="6" t="s">
        <v>1124</v>
      </c>
      <c r="B149" s="8">
        <v>9789500208505</v>
      </c>
      <c r="C149" s="8">
        <v>590782</v>
      </c>
      <c r="D149" s="25">
        <v>320</v>
      </c>
      <c r="E149" s="22" t="s">
        <v>1125</v>
      </c>
      <c r="F149" s="145" t="s">
        <v>599</v>
      </c>
      <c r="G149" s="107">
        <v>42095</v>
      </c>
      <c r="H149" s="108">
        <v>42064</v>
      </c>
      <c r="I149" s="24">
        <v>3043</v>
      </c>
      <c r="J149" s="28" t="s">
        <v>1894</v>
      </c>
      <c r="K149" s="28">
        <v>19.79</v>
      </c>
      <c r="L149" s="128">
        <v>16000</v>
      </c>
      <c r="M149" s="9">
        <f>+L149*0.13</f>
        <v>2080</v>
      </c>
      <c r="N149" s="9">
        <f t="shared" si="15"/>
        <v>8000</v>
      </c>
      <c r="O149" s="9">
        <f t="shared" si="16"/>
        <v>5900.21</v>
      </c>
      <c r="P149" s="9">
        <f t="shared" si="17"/>
        <v>2099.79</v>
      </c>
      <c r="Q149" s="139">
        <f t="shared" si="18"/>
        <v>0.73752625000000005</v>
      </c>
      <c r="R149" s="395" t="e">
        <f>VLOOKUP(C149,'[1]ORIGINAL (2)'!$A:$C,3,FALSE)</f>
        <v>#N/A</v>
      </c>
      <c r="S149" s="24" t="e">
        <f>VLOOKUP(C149,#REF!,6,FALSE)</f>
        <v>#REF!</v>
      </c>
      <c r="T149" s="24" t="e">
        <f>VLOOKUP(C149,#REF!,7,FALSE)</f>
        <v>#REF!</v>
      </c>
      <c r="U149" s="24" t="e">
        <f>VLOOKUP(C149,#REF!,12,FALSE)</f>
        <v>#REF!</v>
      </c>
      <c r="V149" s="24" t="e">
        <f>VLOOKUP(C149,#REF!,13,FALSE)</f>
        <v>#REF!</v>
      </c>
    </row>
    <row r="150" spans="1:22" x14ac:dyDescent="0.25">
      <c r="A150" s="6" t="s">
        <v>1126</v>
      </c>
      <c r="B150" s="8">
        <v>9789500299534</v>
      </c>
      <c r="C150" s="6">
        <v>623590</v>
      </c>
      <c r="D150" s="7">
        <v>208</v>
      </c>
      <c r="E150" s="7" t="s">
        <v>110</v>
      </c>
      <c r="F150" s="7" t="s">
        <v>111</v>
      </c>
      <c r="G150" s="107">
        <v>42705</v>
      </c>
      <c r="H150" s="108">
        <v>42675</v>
      </c>
      <c r="I150" s="24">
        <v>3011</v>
      </c>
      <c r="J150" s="28" t="s">
        <v>1894</v>
      </c>
      <c r="K150" s="28">
        <v>35.729999999999997</v>
      </c>
      <c r="L150" s="128">
        <v>16000</v>
      </c>
      <c r="M150" s="112">
        <f>+L150*0.08</f>
        <v>1280</v>
      </c>
      <c r="N150" s="9">
        <f t="shared" si="15"/>
        <v>8000</v>
      </c>
      <c r="O150" s="9">
        <f t="shared" si="16"/>
        <v>6684.27</v>
      </c>
      <c r="P150" s="9">
        <f t="shared" si="17"/>
        <v>1315.73</v>
      </c>
      <c r="Q150" s="139">
        <f t="shared" si="18"/>
        <v>0.83553375000000007</v>
      </c>
      <c r="R150" s="395" t="e">
        <f>VLOOKUP(C150,'[1]ORIGINAL (2)'!$A:$C,3,FALSE)</f>
        <v>#N/A</v>
      </c>
      <c r="S150" s="24" t="e">
        <f>VLOOKUP(C150,#REF!,6,FALSE)</f>
        <v>#REF!</v>
      </c>
      <c r="T150" s="24" t="e">
        <f>VLOOKUP(C150,#REF!,7,FALSE)</f>
        <v>#REF!</v>
      </c>
      <c r="U150" s="24" t="e">
        <f>VLOOKUP(C150,#REF!,12,FALSE)</f>
        <v>#REF!</v>
      </c>
      <c r="V150" s="24" t="e">
        <f>VLOOKUP(C150,#REF!,13,FALSE)</f>
        <v>#REF!</v>
      </c>
    </row>
    <row r="151" spans="1:22" x14ac:dyDescent="0.25">
      <c r="A151" s="6" t="s">
        <v>1127</v>
      </c>
      <c r="B151" s="8">
        <v>9789500208673</v>
      </c>
      <c r="C151" s="8">
        <v>596843</v>
      </c>
      <c r="D151" s="7">
        <v>400</v>
      </c>
      <c r="E151" s="7" t="s">
        <v>1128</v>
      </c>
      <c r="F151" s="6" t="s">
        <v>126</v>
      </c>
      <c r="G151" s="107">
        <v>42278</v>
      </c>
      <c r="H151" s="108">
        <v>42248</v>
      </c>
      <c r="I151" s="24">
        <v>3037</v>
      </c>
      <c r="J151" s="28" t="s">
        <v>1894</v>
      </c>
      <c r="K151" s="28">
        <v>43.35</v>
      </c>
      <c r="L151" s="28">
        <v>21600</v>
      </c>
      <c r="M151" s="9">
        <f>+L151*0.08</f>
        <v>1728</v>
      </c>
      <c r="N151" s="9">
        <f t="shared" si="15"/>
        <v>10800</v>
      </c>
      <c r="O151" s="9">
        <f t="shared" si="16"/>
        <v>9028.65</v>
      </c>
      <c r="P151" s="9">
        <f t="shared" si="17"/>
        <v>1771.35</v>
      </c>
      <c r="Q151" s="139">
        <f t="shared" si="18"/>
        <v>0.8359861111111111</v>
      </c>
      <c r="R151" s="395" t="e">
        <f>VLOOKUP(C151,'[1]ORIGINAL (2)'!$A:$C,3,FALSE)</f>
        <v>#N/A</v>
      </c>
      <c r="S151" s="24" t="e">
        <f>VLOOKUP(C151,#REF!,6,FALSE)</f>
        <v>#REF!</v>
      </c>
      <c r="T151" s="24" t="e">
        <f>VLOOKUP(C151,#REF!,7,FALSE)</f>
        <v>#REF!</v>
      </c>
      <c r="U151" s="24" t="e">
        <f>VLOOKUP(C151,#REF!,12,FALSE)</f>
        <v>#REF!</v>
      </c>
      <c r="V151" s="24" t="e">
        <f>VLOOKUP(C151,#REF!,13,FALSE)</f>
        <v>#REF!</v>
      </c>
    </row>
    <row r="152" spans="1:22" x14ac:dyDescent="0.25">
      <c r="A152" s="6" t="s">
        <v>1129</v>
      </c>
      <c r="B152" s="33">
        <v>9789500209601</v>
      </c>
      <c r="C152" s="6">
        <v>651434</v>
      </c>
      <c r="D152" s="7">
        <v>288</v>
      </c>
      <c r="E152" s="7" t="s">
        <v>112</v>
      </c>
      <c r="F152" s="7" t="s">
        <v>388</v>
      </c>
      <c r="G152" s="107">
        <v>43282</v>
      </c>
      <c r="H152" s="108">
        <v>43252</v>
      </c>
      <c r="I152" s="24">
        <v>3018</v>
      </c>
      <c r="J152" s="28" t="s">
        <v>1946</v>
      </c>
      <c r="K152" s="150">
        <v>58.76</v>
      </c>
      <c r="L152" s="128">
        <v>20500</v>
      </c>
      <c r="M152" s="112">
        <f>+L152*0.08</f>
        <v>1640</v>
      </c>
      <c r="N152" s="9">
        <f t="shared" si="15"/>
        <v>10250</v>
      </c>
      <c r="O152" s="9">
        <f t="shared" si="16"/>
        <v>8551.24</v>
      </c>
      <c r="P152" s="9">
        <f t="shared" si="17"/>
        <v>1698.76</v>
      </c>
      <c r="Q152" s="139">
        <f t="shared" si="18"/>
        <v>0.8342673170731707</v>
      </c>
      <c r="R152" s="395" t="e">
        <f>VLOOKUP(C152,'[1]ORIGINAL (2)'!$A:$C,3,FALSE)</f>
        <v>#N/A</v>
      </c>
      <c r="S152" s="24" t="e">
        <f>VLOOKUP(C152,#REF!,6,FALSE)</f>
        <v>#REF!</v>
      </c>
      <c r="T152" s="24" t="e">
        <f>VLOOKUP(C152,#REF!,7,FALSE)</f>
        <v>#REF!</v>
      </c>
      <c r="U152" s="24" t="e">
        <f>VLOOKUP(C152,#REF!,12,FALSE)</f>
        <v>#REF!</v>
      </c>
      <c r="V152" s="24" t="e">
        <f>VLOOKUP(C152,#REF!,13,FALSE)</f>
        <v>#REF!</v>
      </c>
    </row>
    <row r="153" spans="1:22" x14ac:dyDescent="0.25">
      <c r="A153" s="7" t="s">
        <v>1130</v>
      </c>
      <c r="B153" s="8">
        <v>9789500207133</v>
      </c>
      <c r="C153" s="8">
        <v>565381</v>
      </c>
      <c r="D153" s="25">
        <v>704</v>
      </c>
      <c r="E153" s="22" t="s">
        <v>115</v>
      </c>
      <c r="F153" s="6" t="s">
        <v>116</v>
      </c>
      <c r="G153" s="107">
        <v>41426</v>
      </c>
      <c r="H153" s="108">
        <v>43282</v>
      </c>
      <c r="I153" s="24">
        <v>498</v>
      </c>
      <c r="J153" s="28" t="s">
        <v>1894</v>
      </c>
      <c r="K153" s="28">
        <v>72.94</v>
      </c>
      <c r="L153" s="128">
        <v>20900</v>
      </c>
      <c r="M153" s="112">
        <f>+L153*0.1</f>
        <v>2090</v>
      </c>
      <c r="N153" s="9">
        <f t="shared" si="15"/>
        <v>10450</v>
      </c>
      <c r="O153" s="9">
        <f t="shared" si="16"/>
        <v>8287.06</v>
      </c>
      <c r="P153" s="9">
        <f t="shared" si="17"/>
        <v>2162.94</v>
      </c>
      <c r="Q153" s="139">
        <f t="shared" si="18"/>
        <v>0.79302009569377985</v>
      </c>
      <c r="R153" s="395">
        <f>VLOOKUP(C153,'[1]ORIGINAL (2)'!$A:$C,3,FALSE)</f>
        <v>1</v>
      </c>
      <c r="S153" s="24" t="e">
        <f>VLOOKUP(C153,#REF!,6,FALSE)</f>
        <v>#REF!</v>
      </c>
      <c r="T153" s="24" t="e">
        <f>VLOOKUP(C153,#REF!,7,FALSE)</f>
        <v>#REF!</v>
      </c>
      <c r="U153" s="24" t="e">
        <f>VLOOKUP(C153,#REF!,12,FALSE)</f>
        <v>#REF!</v>
      </c>
      <c r="V153" s="24" t="e">
        <f>VLOOKUP(C153,#REF!,13,FALSE)</f>
        <v>#REF!</v>
      </c>
    </row>
    <row r="154" spans="1:22" x14ac:dyDescent="0.25">
      <c r="A154" s="6" t="s">
        <v>1131</v>
      </c>
      <c r="B154" s="143">
        <v>9789500209489</v>
      </c>
      <c r="C154" s="6">
        <v>645344</v>
      </c>
      <c r="D154" s="7">
        <v>304</v>
      </c>
      <c r="E154" s="7" t="s">
        <v>347</v>
      </c>
      <c r="F154" s="11" t="s">
        <v>348</v>
      </c>
      <c r="G154" s="107">
        <v>43160</v>
      </c>
      <c r="H154" s="108">
        <v>43132</v>
      </c>
      <c r="I154" s="24">
        <v>3100</v>
      </c>
      <c r="J154" s="28" t="s">
        <v>2136</v>
      </c>
      <c r="K154" s="28">
        <v>62.73</v>
      </c>
      <c r="L154" s="128">
        <v>21500</v>
      </c>
      <c r="M154" s="9">
        <f>+L154*0.08</f>
        <v>1720</v>
      </c>
      <c r="N154" s="9">
        <f t="shared" si="15"/>
        <v>10750</v>
      </c>
      <c r="O154" s="9">
        <f t="shared" si="16"/>
        <v>8967.27</v>
      </c>
      <c r="P154" s="9">
        <f t="shared" si="17"/>
        <v>1782.73</v>
      </c>
      <c r="Q154" s="139">
        <f t="shared" si="18"/>
        <v>0.8341646511627907</v>
      </c>
      <c r="R154" s="395">
        <f>VLOOKUP(C154,'[1]ORIGINAL (2)'!$A:$C,3,FALSE)</f>
        <v>14</v>
      </c>
      <c r="S154" s="24" t="e">
        <f>VLOOKUP(C154,#REF!,6,FALSE)</f>
        <v>#REF!</v>
      </c>
      <c r="T154" s="24" t="e">
        <f>VLOOKUP(C154,#REF!,7,FALSE)</f>
        <v>#REF!</v>
      </c>
      <c r="U154" s="24" t="e">
        <f>VLOOKUP(C154,#REF!,12,FALSE)</f>
        <v>#REF!</v>
      </c>
      <c r="V154" s="24" t="e">
        <f>VLOOKUP(C154,#REF!,13,FALSE)</f>
        <v>#REF!</v>
      </c>
    </row>
    <row r="155" spans="1:22" x14ac:dyDescent="0.25">
      <c r="A155" s="6" t="s">
        <v>1132</v>
      </c>
      <c r="B155" s="8">
        <v>9789500299497</v>
      </c>
      <c r="C155" s="8">
        <v>622048</v>
      </c>
      <c r="D155" s="7">
        <v>240</v>
      </c>
      <c r="E155" s="7" t="s">
        <v>112</v>
      </c>
      <c r="F155" s="7" t="s">
        <v>113</v>
      </c>
      <c r="G155" s="107">
        <v>42675</v>
      </c>
      <c r="H155" s="108">
        <v>44228</v>
      </c>
      <c r="I155" s="24">
        <v>2000</v>
      </c>
      <c r="J155" s="28" t="s">
        <v>2136</v>
      </c>
      <c r="K155" s="28">
        <v>102</v>
      </c>
      <c r="L155" s="112">
        <v>28500</v>
      </c>
      <c r="M155" s="9">
        <f>+L155*0.1</f>
        <v>2850</v>
      </c>
      <c r="N155" s="9">
        <f t="shared" si="15"/>
        <v>14250</v>
      </c>
      <c r="O155" s="9">
        <f t="shared" si="16"/>
        <v>11298</v>
      </c>
      <c r="P155" s="9">
        <f t="shared" si="17"/>
        <v>2952</v>
      </c>
      <c r="Q155" s="139">
        <f t="shared" si="18"/>
        <v>0.7928421052631579</v>
      </c>
      <c r="R155" s="395">
        <f>VLOOKUP(C155,'[1]ORIGINAL (2)'!$A:$C,3,FALSE)</f>
        <v>146</v>
      </c>
      <c r="S155" s="24" t="e">
        <f>VLOOKUP(C155,#REF!,6,FALSE)</f>
        <v>#REF!</v>
      </c>
      <c r="T155" s="24" t="e">
        <f>VLOOKUP(C155,#REF!,7,FALSE)</f>
        <v>#REF!</v>
      </c>
      <c r="U155" s="24" t="e">
        <f>VLOOKUP(C155,#REF!,12,FALSE)</f>
        <v>#REF!</v>
      </c>
      <c r="V155" s="24" t="e">
        <f>VLOOKUP(C155,#REF!,13,FALSE)</f>
        <v>#REF!</v>
      </c>
    </row>
    <row r="156" spans="1:22" x14ac:dyDescent="0.25">
      <c r="A156" s="7" t="s">
        <v>1133</v>
      </c>
      <c r="B156" s="8">
        <v>9789500207973</v>
      </c>
      <c r="C156" s="21">
        <v>579605</v>
      </c>
      <c r="D156" s="7">
        <v>288</v>
      </c>
      <c r="E156" s="7" t="s">
        <v>127</v>
      </c>
      <c r="F156" s="7" t="s">
        <v>613</v>
      </c>
      <c r="G156" s="107">
        <v>41821</v>
      </c>
      <c r="H156" s="108">
        <v>41791</v>
      </c>
      <c r="I156" s="24">
        <v>3083</v>
      </c>
      <c r="J156" s="28" t="s">
        <v>1894</v>
      </c>
      <c r="K156" s="28">
        <v>19.239999999999998</v>
      </c>
      <c r="L156" s="128">
        <v>16000</v>
      </c>
      <c r="M156" s="9">
        <f>+L156*0.08</f>
        <v>1280</v>
      </c>
      <c r="N156" s="9">
        <f t="shared" si="15"/>
        <v>8000</v>
      </c>
      <c r="O156" s="9">
        <f t="shared" si="16"/>
        <v>6700.76</v>
      </c>
      <c r="P156" s="9">
        <f t="shared" si="17"/>
        <v>1299.24</v>
      </c>
      <c r="Q156" s="139">
        <f t="shared" si="18"/>
        <v>0.83759499999999998</v>
      </c>
      <c r="R156" s="395" t="e">
        <f>VLOOKUP(C156,'[1]ORIGINAL (2)'!$A:$C,3,FALSE)</f>
        <v>#N/A</v>
      </c>
      <c r="S156" s="24" t="e">
        <f>VLOOKUP(C156,#REF!,6,FALSE)</f>
        <v>#REF!</v>
      </c>
      <c r="T156" s="24" t="e">
        <f>VLOOKUP(C156,#REF!,7,FALSE)</f>
        <v>#REF!</v>
      </c>
      <c r="U156" s="24" t="e">
        <f>VLOOKUP(C156,#REF!,12,FALSE)</f>
        <v>#REF!</v>
      </c>
      <c r="V156" s="24" t="e">
        <f>VLOOKUP(C156,#REF!,13,FALSE)</f>
        <v>#REF!</v>
      </c>
    </row>
    <row r="157" spans="1:22" x14ac:dyDescent="0.25">
      <c r="A157" s="6" t="s">
        <v>1134</v>
      </c>
      <c r="B157" s="8">
        <v>9789500210034</v>
      </c>
      <c r="C157" s="8">
        <v>348212</v>
      </c>
      <c r="D157" s="25">
        <v>656</v>
      </c>
      <c r="E157" s="7" t="s">
        <v>441</v>
      </c>
      <c r="F157" s="7" t="s">
        <v>442</v>
      </c>
      <c r="G157" s="107">
        <v>43617</v>
      </c>
      <c r="H157" s="108">
        <v>44621</v>
      </c>
      <c r="I157" s="7">
        <v>2029</v>
      </c>
      <c r="J157" s="28" t="s">
        <v>1762</v>
      </c>
      <c r="K157" s="9">
        <v>359.4</v>
      </c>
      <c r="L157" s="9">
        <v>49900</v>
      </c>
      <c r="M157" s="9">
        <f>+L157*0.1</f>
        <v>4990</v>
      </c>
      <c r="N157" s="9">
        <f t="shared" si="15"/>
        <v>24950</v>
      </c>
      <c r="O157" s="9">
        <f t="shared" si="16"/>
        <v>19600.599999999999</v>
      </c>
      <c r="P157" s="9">
        <f t="shared" si="17"/>
        <v>5349.4</v>
      </c>
      <c r="Q157" s="139">
        <f t="shared" si="18"/>
        <v>0.78559519038076142</v>
      </c>
      <c r="R157" s="395">
        <f>VLOOKUP(C157,'[1]ORIGINAL (2)'!$A:$C,3,FALSE)</f>
        <v>13</v>
      </c>
      <c r="S157" s="24" t="e">
        <f>VLOOKUP(C157,#REF!,6,FALSE)</f>
        <v>#REF!</v>
      </c>
      <c r="T157" s="24" t="e">
        <f>VLOOKUP(C157,#REF!,7,FALSE)</f>
        <v>#REF!</v>
      </c>
      <c r="U157" s="24" t="e">
        <f>VLOOKUP(C157,#REF!,12,FALSE)</f>
        <v>#REF!</v>
      </c>
      <c r="V157" s="24" t="e">
        <f>VLOOKUP(C157,#REF!,13,FALSE)</f>
        <v>#REF!</v>
      </c>
    </row>
    <row r="158" spans="1:22" x14ac:dyDescent="0.25">
      <c r="A158" s="6" t="s">
        <v>1135</v>
      </c>
      <c r="B158" s="8">
        <v>9789500208680</v>
      </c>
      <c r="C158" s="8">
        <v>592797</v>
      </c>
      <c r="D158" s="25">
        <v>232</v>
      </c>
      <c r="E158" s="22" t="s">
        <v>120</v>
      </c>
      <c r="F158" s="145" t="s">
        <v>1136</v>
      </c>
      <c r="G158" s="107">
        <v>42156</v>
      </c>
      <c r="H158" s="108">
        <v>42125</v>
      </c>
      <c r="I158" s="24">
        <v>2952</v>
      </c>
      <c r="J158" s="28" t="s">
        <v>1894</v>
      </c>
      <c r="K158" s="28">
        <v>17.309999999999999</v>
      </c>
      <c r="L158" s="112">
        <v>16000</v>
      </c>
      <c r="M158" s="9">
        <f>+L158*0.15</f>
        <v>2400</v>
      </c>
      <c r="N158" s="9">
        <f t="shared" si="15"/>
        <v>8000</v>
      </c>
      <c r="O158" s="9">
        <f t="shared" si="16"/>
        <v>5582.69</v>
      </c>
      <c r="P158" s="9">
        <f t="shared" si="17"/>
        <v>2417.31</v>
      </c>
      <c r="Q158" s="139">
        <f t="shared" si="18"/>
        <v>0.69783624999999994</v>
      </c>
      <c r="R158" s="395" t="e">
        <f>VLOOKUP(C158,'[1]ORIGINAL (2)'!$A:$C,3,FALSE)</f>
        <v>#N/A</v>
      </c>
      <c r="S158" s="24" t="e">
        <f>VLOOKUP(C158,#REF!,6,FALSE)</f>
        <v>#REF!</v>
      </c>
      <c r="T158" s="24" t="e">
        <f>VLOOKUP(C158,#REF!,7,FALSE)</f>
        <v>#REF!</v>
      </c>
      <c r="U158" s="24" t="e">
        <f>VLOOKUP(C158,#REF!,12,FALSE)</f>
        <v>#REF!</v>
      </c>
      <c r="V158" s="24" t="e">
        <f>VLOOKUP(C158,#REF!,13,FALSE)</f>
        <v>#REF!</v>
      </c>
    </row>
    <row r="159" spans="1:22" x14ac:dyDescent="0.25">
      <c r="A159" s="6" t="s">
        <v>1137</v>
      </c>
      <c r="B159" s="8">
        <v>9789500299657</v>
      </c>
      <c r="C159" s="6">
        <v>628864</v>
      </c>
      <c r="D159" s="25">
        <v>368</v>
      </c>
      <c r="E159" s="7" t="s">
        <v>398</v>
      </c>
      <c r="F159" s="11" t="s">
        <v>119</v>
      </c>
      <c r="G159" s="107">
        <v>42856</v>
      </c>
      <c r="H159" s="108">
        <v>42826</v>
      </c>
      <c r="I159" s="24">
        <v>2995</v>
      </c>
      <c r="J159" s="28" t="s">
        <v>1894</v>
      </c>
      <c r="K159" s="28">
        <v>47.27</v>
      </c>
      <c r="L159" s="28">
        <v>23000</v>
      </c>
      <c r="M159" s="9">
        <f>+L159*0.08</f>
        <v>1840</v>
      </c>
      <c r="N159" s="9">
        <f t="shared" si="15"/>
        <v>11500</v>
      </c>
      <c r="O159" s="9">
        <f t="shared" si="16"/>
        <v>9612.73</v>
      </c>
      <c r="P159" s="9">
        <f t="shared" si="17"/>
        <v>1887.27</v>
      </c>
      <c r="Q159" s="139">
        <f t="shared" si="18"/>
        <v>0.83588956521739122</v>
      </c>
      <c r="R159" s="395" t="e">
        <f>VLOOKUP(C159,'[1]ORIGINAL (2)'!$A:$C,3,FALSE)</f>
        <v>#N/A</v>
      </c>
      <c r="S159" s="24" t="e">
        <f>VLOOKUP(C159,#REF!,6,FALSE)</f>
        <v>#REF!</v>
      </c>
      <c r="T159" s="24" t="e">
        <f>VLOOKUP(C159,#REF!,7,FALSE)</f>
        <v>#REF!</v>
      </c>
      <c r="U159" s="24" t="e">
        <f>VLOOKUP(C159,#REF!,12,FALSE)</f>
        <v>#REF!</v>
      </c>
      <c r="V159" s="24" t="e">
        <f>VLOOKUP(C159,#REF!,13,FALSE)</f>
        <v>#REF!</v>
      </c>
    </row>
    <row r="160" spans="1:22" x14ac:dyDescent="0.25">
      <c r="A160" s="6" t="s">
        <v>1138</v>
      </c>
      <c r="B160" s="158">
        <v>9789500208338</v>
      </c>
      <c r="C160" s="146">
        <v>586579</v>
      </c>
      <c r="D160" s="25">
        <v>256</v>
      </c>
      <c r="E160" s="22" t="s">
        <v>121</v>
      </c>
      <c r="F160" s="6" t="s">
        <v>1139</v>
      </c>
      <c r="G160" s="107">
        <v>41974</v>
      </c>
      <c r="H160" s="108">
        <v>42979</v>
      </c>
      <c r="I160" s="24">
        <v>1008</v>
      </c>
      <c r="J160" s="28" t="s">
        <v>1894</v>
      </c>
      <c r="K160" s="28">
        <v>38.450000000000003</v>
      </c>
      <c r="L160" s="128">
        <v>16000</v>
      </c>
      <c r="M160" s="112">
        <f>+L160*0.15</f>
        <v>2400</v>
      </c>
      <c r="N160" s="9">
        <f t="shared" si="15"/>
        <v>8000</v>
      </c>
      <c r="O160" s="9">
        <f t="shared" si="16"/>
        <v>5561.55</v>
      </c>
      <c r="P160" s="9">
        <f t="shared" si="17"/>
        <v>2438.4499999999998</v>
      </c>
      <c r="Q160" s="139">
        <f t="shared" si="18"/>
        <v>0.69519375000000005</v>
      </c>
      <c r="R160" s="395" t="e">
        <f>VLOOKUP(C160,'[1]ORIGINAL (2)'!$A:$C,3,FALSE)</f>
        <v>#N/A</v>
      </c>
      <c r="S160" s="24" t="e">
        <f>VLOOKUP(C160,#REF!,6,FALSE)</f>
        <v>#REF!</v>
      </c>
      <c r="T160" s="24" t="e">
        <f>VLOOKUP(C160,#REF!,7,FALSE)</f>
        <v>#REF!</v>
      </c>
      <c r="U160" s="24" t="e">
        <f>VLOOKUP(C160,#REF!,12,FALSE)</f>
        <v>#REF!</v>
      </c>
      <c r="V160" s="24" t="e">
        <f>VLOOKUP(C160,#REF!,13,FALSE)</f>
        <v>#REF!</v>
      </c>
    </row>
    <row r="161" spans="1:22" x14ac:dyDescent="0.25">
      <c r="A161" s="6" t="s">
        <v>1140</v>
      </c>
      <c r="B161" s="8">
        <v>9789500208710</v>
      </c>
      <c r="C161" s="8">
        <v>592800</v>
      </c>
      <c r="D161" s="25">
        <v>224</v>
      </c>
      <c r="E161" s="22" t="s">
        <v>131</v>
      </c>
      <c r="F161" s="6" t="s">
        <v>1141</v>
      </c>
      <c r="G161" s="107">
        <v>42156</v>
      </c>
      <c r="H161" s="108">
        <v>42125</v>
      </c>
      <c r="I161" s="24">
        <v>5040</v>
      </c>
      <c r="J161" s="28" t="s">
        <v>1894</v>
      </c>
      <c r="K161" s="28">
        <v>15.06</v>
      </c>
      <c r="L161" s="128">
        <v>16000</v>
      </c>
      <c r="M161" s="112">
        <f>+L161*0.17</f>
        <v>2720</v>
      </c>
      <c r="N161" s="9">
        <f t="shared" si="15"/>
        <v>8000</v>
      </c>
      <c r="O161" s="9">
        <f t="shared" si="16"/>
        <v>5264.94</v>
      </c>
      <c r="P161" s="9">
        <f t="shared" si="17"/>
        <v>2735.06</v>
      </c>
      <c r="Q161" s="139">
        <f t="shared" si="18"/>
        <v>0.65811749999999991</v>
      </c>
      <c r="R161" s="395" t="e">
        <f>VLOOKUP(C161,'[1]ORIGINAL (2)'!$A:$C,3,FALSE)</f>
        <v>#N/A</v>
      </c>
      <c r="S161" s="24" t="e">
        <f>VLOOKUP(C161,#REF!,6,FALSE)</f>
        <v>#REF!</v>
      </c>
      <c r="T161" s="24" t="e">
        <f>VLOOKUP(C161,#REF!,7,FALSE)</f>
        <v>#REF!</v>
      </c>
      <c r="U161" s="24" t="e">
        <f>VLOOKUP(C161,#REF!,12,FALSE)</f>
        <v>#REF!</v>
      </c>
      <c r="V161" s="24" t="e">
        <f>VLOOKUP(C161,#REF!,13,FALSE)</f>
        <v>#REF!</v>
      </c>
    </row>
    <row r="162" spans="1:22" x14ac:dyDescent="0.25">
      <c r="A162" s="7" t="s">
        <v>1142</v>
      </c>
      <c r="B162" s="8">
        <v>9789500286763</v>
      </c>
      <c r="C162" s="8">
        <v>188707</v>
      </c>
      <c r="D162" s="25">
        <v>208</v>
      </c>
      <c r="E162" s="7" t="s">
        <v>130</v>
      </c>
      <c r="F162" s="7" t="s">
        <v>2437</v>
      </c>
      <c r="G162" s="107">
        <v>37591</v>
      </c>
      <c r="H162" s="108">
        <v>46235</v>
      </c>
      <c r="I162" s="7">
        <v>1000</v>
      </c>
      <c r="J162" s="176" t="s">
        <v>1946</v>
      </c>
      <c r="K162" s="117">
        <v>1934.41</v>
      </c>
      <c r="L162" s="9">
        <v>22900</v>
      </c>
      <c r="M162" s="112"/>
      <c r="N162" s="9">
        <f t="shared" si="15"/>
        <v>11450</v>
      </c>
      <c r="O162" s="9">
        <f t="shared" si="16"/>
        <v>9515.59</v>
      </c>
      <c r="P162" s="9">
        <f t="shared" si="17"/>
        <v>1934.41</v>
      </c>
      <c r="Q162" s="139">
        <f t="shared" si="18"/>
        <v>0.83105589519650658</v>
      </c>
      <c r="R162" s="395">
        <f>VLOOKUP(C162,'[1]ORIGINAL (2)'!$A:$C,3,FALSE)</f>
        <v>2167</v>
      </c>
      <c r="S162" s="24" t="e">
        <f>VLOOKUP(C162,#REF!,6,FALSE)</f>
        <v>#REF!</v>
      </c>
      <c r="T162" s="24" t="e">
        <f>VLOOKUP(C162,#REF!,7,FALSE)</f>
        <v>#REF!</v>
      </c>
      <c r="U162" s="24" t="e">
        <f>VLOOKUP(C162,#REF!,12,FALSE)</f>
        <v>#REF!</v>
      </c>
      <c r="V162" s="24" t="e">
        <f>VLOOKUP(C162,#REF!,13,FALSE)</f>
        <v>#REF!</v>
      </c>
    </row>
    <row r="163" spans="1:22" x14ac:dyDescent="0.25">
      <c r="A163" s="7" t="s">
        <v>1143</v>
      </c>
      <c r="B163" s="8">
        <v>9789500210256</v>
      </c>
      <c r="C163" s="14">
        <v>670525</v>
      </c>
      <c r="D163" s="25">
        <v>240</v>
      </c>
      <c r="E163" s="7" t="s">
        <v>461</v>
      </c>
      <c r="F163" s="7" t="s">
        <v>1144</v>
      </c>
      <c r="G163" s="107">
        <v>43770</v>
      </c>
      <c r="H163" s="107">
        <v>43800</v>
      </c>
      <c r="I163" s="7">
        <v>5012</v>
      </c>
      <c r="J163" s="28" t="s">
        <v>1894</v>
      </c>
      <c r="K163" s="9">
        <v>54.95</v>
      </c>
      <c r="L163" s="9">
        <v>23900</v>
      </c>
      <c r="M163" s="9">
        <f>+L163*0.08</f>
        <v>1912</v>
      </c>
      <c r="N163" s="9">
        <f t="shared" si="15"/>
        <v>11950</v>
      </c>
      <c r="O163" s="9">
        <f t="shared" si="16"/>
        <v>9983.0499999999993</v>
      </c>
      <c r="P163" s="9">
        <f t="shared" si="17"/>
        <v>1966.95</v>
      </c>
      <c r="Q163" s="139">
        <f t="shared" si="18"/>
        <v>0.83540167364016726</v>
      </c>
      <c r="R163" s="395">
        <f>VLOOKUP(C163,'[1]ORIGINAL (2)'!$A:$C,3,FALSE)</f>
        <v>1</v>
      </c>
      <c r="S163" s="24" t="e">
        <f>VLOOKUP(C163,#REF!,6,FALSE)</f>
        <v>#REF!</v>
      </c>
      <c r="T163" s="24" t="e">
        <f>VLOOKUP(C163,#REF!,7,FALSE)</f>
        <v>#REF!</v>
      </c>
      <c r="U163" s="24" t="e">
        <f>VLOOKUP(C163,#REF!,12,FALSE)</f>
        <v>#REF!</v>
      </c>
      <c r="V163" s="24" t="e">
        <f>VLOOKUP(C163,#REF!,13,FALSE)</f>
        <v>#REF!</v>
      </c>
    </row>
    <row r="164" spans="1:22" x14ac:dyDescent="0.25">
      <c r="A164" s="7" t="s">
        <v>1145</v>
      </c>
      <c r="B164" s="8">
        <v>9789500211208</v>
      </c>
      <c r="C164" s="14">
        <v>678766</v>
      </c>
      <c r="D164" s="25">
        <v>240</v>
      </c>
      <c r="E164" s="7" t="s">
        <v>461</v>
      </c>
      <c r="F164" s="7" t="s">
        <v>1146</v>
      </c>
      <c r="G164" s="107">
        <v>44136</v>
      </c>
      <c r="H164" s="108">
        <v>45170</v>
      </c>
      <c r="I164" s="7">
        <v>3075</v>
      </c>
      <c r="J164" s="28" t="s">
        <v>2136</v>
      </c>
      <c r="K164" s="9">
        <v>711.05</v>
      </c>
      <c r="L164" s="9">
        <v>34900</v>
      </c>
      <c r="M164" s="112">
        <f>+L164*0.08</f>
        <v>2792</v>
      </c>
      <c r="N164" s="9">
        <f t="shared" si="15"/>
        <v>17450</v>
      </c>
      <c r="O164" s="9">
        <f t="shared" si="16"/>
        <v>13946.95</v>
      </c>
      <c r="P164" s="9">
        <f t="shared" si="17"/>
        <v>3503.05</v>
      </c>
      <c r="Q164" s="139">
        <f t="shared" si="18"/>
        <v>0.7992521489971347</v>
      </c>
      <c r="R164" s="395">
        <f>VLOOKUP(C164,'[1]ORIGINAL (2)'!$A:$C,3,FALSE)</f>
        <v>2</v>
      </c>
      <c r="S164" s="24" t="e">
        <f>VLOOKUP(C164,#REF!,6,FALSE)</f>
        <v>#REF!</v>
      </c>
      <c r="T164" s="24" t="e">
        <f>VLOOKUP(C164,#REF!,7,FALSE)</f>
        <v>#REF!</v>
      </c>
      <c r="U164" s="24" t="e">
        <f>VLOOKUP(C164,#REF!,12,FALSE)</f>
        <v>#REF!</v>
      </c>
      <c r="V164" s="24" t="e">
        <f>VLOOKUP(C164,#REF!,13,FALSE)</f>
        <v>#REF!</v>
      </c>
    </row>
    <row r="165" spans="1:22" x14ac:dyDescent="0.25">
      <c r="A165" s="6" t="s">
        <v>1147</v>
      </c>
      <c r="B165" s="8">
        <v>9789500299732</v>
      </c>
      <c r="C165" s="6">
        <v>627251</v>
      </c>
      <c r="D165" s="25">
        <v>352</v>
      </c>
      <c r="E165" s="7" t="s">
        <v>117</v>
      </c>
      <c r="F165" s="11" t="s">
        <v>118</v>
      </c>
      <c r="G165" s="107">
        <v>42826</v>
      </c>
      <c r="H165" s="108">
        <v>42795</v>
      </c>
      <c r="I165" s="24">
        <v>3165</v>
      </c>
      <c r="J165" s="28" t="s">
        <v>2136</v>
      </c>
      <c r="K165" s="28">
        <v>30.49</v>
      </c>
      <c r="L165" s="128">
        <v>15600</v>
      </c>
      <c r="M165" s="141">
        <f>+L165*0.13</f>
        <v>2028</v>
      </c>
      <c r="N165" s="9">
        <f t="shared" si="15"/>
        <v>7800</v>
      </c>
      <c r="O165" s="9">
        <f t="shared" si="16"/>
        <v>5741.51</v>
      </c>
      <c r="P165" s="9">
        <f t="shared" si="17"/>
        <v>2058.4899999999998</v>
      </c>
      <c r="Q165" s="139">
        <f t="shared" si="18"/>
        <v>0.73609102564102569</v>
      </c>
      <c r="R165" s="395">
        <f>VLOOKUP(C165,'[1]ORIGINAL (2)'!$A:$C,3,FALSE)</f>
        <v>5</v>
      </c>
      <c r="S165" s="24" t="e">
        <f>VLOOKUP(C165,#REF!,6,FALSE)</f>
        <v>#REF!</v>
      </c>
      <c r="T165" s="24" t="e">
        <f>VLOOKUP(C165,#REF!,7,FALSE)</f>
        <v>#REF!</v>
      </c>
      <c r="U165" s="24" t="e">
        <f>VLOOKUP(C165,#REF!,12,FALSE)</f>
        <v>#REF!</v>
      </c>
      <c r="V165" s="24" t="e">
        <f>VLOOKUP(C165,#REF!,13,FALSE)</f>
        <v>#REF!</v>
      </c>
    </row>
    <row r="166" spans="1:22" x14ac:dyDescent="0.25">
      <c r="A166" s="6" t="s">
        <v>1148</v>
      </c>
      <c r="B166" s="8">
        <v>9789500207904</v>
      </c>
      <c r="C166" s="21">
        <v>578529</v>
      </c>
      <c r="D166" s="25">
        <v>256</v>
      </c>
      <c r="E166" s="22" t="s">
        <v>121</v>
      </c>
      <c r="F166" s="6" t="s">
        <v>122</v>
      </c>
      <c r="G166" s="107">
        <v>41791</v>
      </c>
      <c r="H166" s="108">
        <v>42979</v>
      </c>
      <c r="I166" s="24">
        <v>1039</v>
      </c>
      <c r="J166" s="28" t="s">
        <v>2136</v>
      </c>
      <c r="K166" s="28">
        <v>38.4</v>
      </c>
      <c r="L166" s="128">
        <v>17600</v>
      </c>
      <c r="M166" s="112">
        <f>+L166*0.15</f>
        <v>2640</v>
      </c>
      <c r="N166" s="9">
        <f t="shared" si="15"/>
        <v>8800</v>
      </c>
      <c r="O166" s="9">
        <f t="shared" si="16"/>
        <v>6121.6</v>
      </c>
      <c r="P166" s="9">
        <f t="shared" si="17"/>
        <v>2678.4</v>
      </c>
      <c r="Q166" s="139">
        <f t="shared" si="18"/>
        <v>0.69563636363636372</v>
      </c>
      <c r="R166" s="395" t="e">
        <f>VLOOKUP(C166,'[1]ORIGINAL (2)'!$A:$C,3,FALSE)</f>
        <v>#N/A</v>
      </c>
      <c r="S166" s="24" t="e">
        <f>VLOOKUP(C166,#REF!,6,FALSE)</f>
        <v>#REF!</v>
      </c>
      <c r="T166" s="24" t="e">
        <f>VLOOKUP(C166,#REF!,7,FALSE)</f>
        <v>#REF!</v>
      </c>
      <c r="U166" s="24" t="e">
        <f>VLOOKUP(C166,#REF!,12,FALSE)</f>
        <v>#REF!</v>
      </c>
      <c r="V166" s="24" t="e">
        <f>VLOOKUP(C166,#REF!,13,FALSE)</f>
        <v>#REF!</v>
      </c>
    </row>
    <row r="167" spans="1:22" x14ac:dyDescent="0.25">
      <c r="A167" s="7" t="s">
        <v>1149</v>
      </c>
      <c r="B167" s="8">
        <v>9789500209779</v>
      </c>
      <c r="C167" s="6">
        <v>653549</v>
      </c>
      <c r="D167" s="7">
        <v>200</v>
      </c>
      <c r="E167" s="22" t="s">
        <v>398</v>
      </c>
      <c r="F167" s="7" t="s">
        <v>399</v>
      </c>
      <c r="G167" s="107">
        <v>43344</v>
      </c>
      <c r="H167" s="108">
        <v>43313</v>
      </c>
      <c r="I167" s="24">
        <v>3000</v>
      </c>
      <c r="J167" s="28" t="s">
        <v>1946</v>
      </c>
      <c r="K167" s="28">
        <v>48.43</v>
      </c>
      <c r="L167" s="112">
        <v>19900</v>
      </c>
      <c r="M167" s="112">
        <f>+L167*0.1</f>
        <v>1990</v>
      </c>
      <c r="N167" s="9">
        <f t="shared" si="15"/>
        <v>9950</v>
      </c>
      <c r="O167" s="9">
        <f t="shared" si="16"/>
        <v>7911.57</v>
      </c>
      <c r="P167" s="9">
        <f t="shared" si="17"/>
        <v>2038.43</v>
      </c>
      <c r="Q167" s="139">
        <f t="shared" si="18"/>
        <v>0.79513266331658283</v>
      </c>
      <c r="R167" s="395" t="e">
        <f>VLOOKUP(C167,'[1]ORIGINAL (2)'!$A:$C,3,FALSE)</f>
        <v>#N/A</v>
      </c>
      <c r="S167" s="24" t="e">
        <f>VLOOKUP(C167,#REF!,6,FALSE)</f>
        <v>#REF!</v>
      </c>
      <c r="T167" s="24" t="e">
        <f>VLOOKUP(C167,#REF!,7,FALSE)</f>
        <v>#REF!</v>
      </c>
      <c r="U167" s="24" t="e">
        <f>VLOOKUP(C167,#REF!,12,FALSE)</f>
        <v>#REF!</v>
      </c>
      <c r="V167" s="24" t="e">
        <f>VLOOKUP(C167,#REF!,13,FALSE)</f>
        <v>#REF!</v>
      </c>
    </row>
    <row r="168" spans="1:22" x14ac:dyDescent="0.25">
      <c r="A168" s="7" t="s">
        <v>1149</v>
      </c>
      <c r="B168" s="8">
        <v>9789500209762</v>
      </c>
      <c r="C168" s="6">
        <v>652578</v>
      </c>
      <c r="D168" s="7">
        <v>384</v>
      </c>
      <c r="E168" s="7" t="s">
        <v>392</v>
      </c>
      <c r="F168" s="7" t="s">
        <v>1150</v>
      </c>
      <c r="G168" s="118">
        <v>43313</v>
      </c>
      <c r="H168" s="108">
        <v>43282</v>
      </c>
      <c r="I168" s="24">
        <v>2545</v>
      </c>
      <c r="J168" s="28" t="s">
        <v>1762</v>
      </c>
      <c r="K168" s="28">
        <v>55.3</v>
      </c>
      <c r="L168" s="128">
        <v>26900</v>
      </c>
      <c r="M168" s="12">
        <f>+L168*0.13</f>
        <v>3497</v>
      </c>
      <c r="N168" s="9">
        <f t="shared" si="15"/>
        <v>13450</v>
      </c>
      <c r="O168" s="9">
        <f t="shared" si="16"/>
        <v>9897.7000000000007</v>
      </c>
      <c r="P168" s="9">
        <f t="shared" si="17"/>
        <v>3552.3</v>
      </c>
      <c r="Q168" s="139">
        <f t="shared" si="18"/>
        <v>0.73588847583643124</v>
      </c>
      <c r="R168" s="395" t="e">
        <f>VLOOKUP(C168,'[1]ORIGINAL (2)'!$A:$C,3,FALSE)</f>
        <v>#N/A</v>
      </c>
      <c r="S168" s="24" t="e">
        <f>VLOOKUP(C168,#REF!,6,FALSE)</f>
        <v>#REF!</v>
      </c>
      <c r="T168" s="24" t="e">
        <f>VLOOKUP(C168,#REF!,7,FALSE)</f>
        <v>#REF!</v>
      </c>
      <c r="U168" s="24" t="e">
        <f>VLOOKUP(C168,#REF!,12,FALSE)</f>
        <v>#REF!</v>
      </c>
      <c r="V168" s="24" t="e">
        <f>VLOOKUP(C168,#REF!,13,FALSE)</f>
        <v>#REF!</v>
      </c>
    </row>
    <row r="169" spans="1:22" x14ac:dyDescent="0.25">
      <c r="A169" s="132"/>
      <c r="B169" s="133"/>
      <c r="C169" s="133"/>
      <c r="D169" s="132"/>
      <c r="E169" s="132"/>
      <c r="F169" s="132"/>
      <c r="G169" s="132"/>
      <c r="H169" s="132"/>
      <c r="I169" s="132"/>
      <c r="J169" s="132"/>
      <c r="K169" s="132"/>
      <c r="L169" s="134"/>
      <c r="M169" s="132"/>
      <c r="N169" s="132"/>
      <c r="O169" s="132"/>
      <c r="P169" s="132"/>
      <c r="Q169" s="147"/>
      <c r="R169" s="395" t="e">
        <f>VLOOKUP(C169,'[1]ORIGINAL (2)'!$A:$C,3,FALSE)</f>
        <v>#N/A</v>
      </c>
      <c r="S169" s="100"/>
      <c r="T169" s="100"/>
      <c r="U169" s="100"/>
      <c r="V169" s="100"/>
    </row>
    <row r="170" spans="1:22" ht="15.75" thickBot="1" x14ac:dyDescent="0.3">
      <c r="A170" s="132"/>
      <c r="B170" s="133"/>
      <c r="C170" s="133"/>
      <c r="D170" s="132"/>
      <c r="E170" s="132"/>
      <c r="F170" s="132"/>
      <c r="G170" s="132"/>
      <c r="H170" s="132"/>
      <c r="I170" s="132"/>
      <c r="J170" s="132"/>
      <c r="K170" s="132"/>
      <c r="L170" s="134"/>
      <c r="M170" s="132"/>
      <c r="N170" s="132"/>
      <c r="O170" s="132"/>
      <c r="P170" s="132"/>
      <c r="Q170" s="147"/>
      <c r="R170" s="395" t="e">
        <f>VLOOKUP(C170,'[1]ORIGINAL (2)'!$A:$C,3,FALSE)</f>
        <v>#N/A</v>
      </c>
      <c r="S170" s="100"/>
      <c r="T170" s="100"/>
      <c r="U170" s="100"/>
      <c r="V170" s="100"/>
    </row>
    <row r="171" spans="1:22" x14ac:dyDescent="0.25">
      <c r="A171" s="132"/>
      <c r="B171" s="133"/>
      <c r="C171" s="133"/>
      <c r="D171" s="132"/>
      <c r="E171" s="104" t="s">
        <v>1151</v>
      </c>
      <c r="F171" s="105"/>
      <c r="G171" s="132"/>
      <c r="H171" s="132"/>
      <c r="I171" s="132"/>
      <c r="J171" s="132"/>
      <c r="K171" s="132"/>
      <c r="L171" s="134"/>
      <c r="M171" s="132"/>
      <c r="N171" s="132"/>
      <c r="O171" s="132"/>
      <c r="P171" s="132"/>
      <c r="Q171" s="147"/>
      <c r="R171" s="395" t="e">
        <f>VLOOKUP(C171,'[1]ORIGINAL (2)'!$A:$C,3,FALSE)</f>
        <v>#N/A</v>
      </c>
      <c r="S171" s="100"/>
      <c r="T171" s="100"/>
      <c r="U171" s="100"/>
      <c r="V171" s="100"/>
    </row>
    <row r="172" spans="1:22" x14ac:dyDescent="0.25">
      <c r="A172" s="272" t="s">
        <v>1172</v>
      </c>
      <c r="B172" s="153">
        <v>9789500285353</v>
      </c>
      <c r="C172" s="145">
        <v>647012</v>
      </c>
      <c r="D172" s="272">
        <v>496</v>
      </c>
      <c r="E172" s="6" t="s">
        <v>359</v>
      </c>
      <c r="F172" s="6" t="s">
        <v>360</v>
      </c>
      <c r="G172" s="107">
        <v>43160</v>
      </c>
      <c r="H172" s="108">
        <v>45839</v>
      </c>
      <c r="I172" s="7">
        <v>1019</v>
      </c>
      <c r="J172" s="108" t="s">
        <v>1894</v>
      </c>
      <c r="K172" s="9">
        <v>5104.43</v>
      </c>
      <c r="L172" s="9">
        <v>35000</v>
      </c>
      <c r="M172" s="112">
        <f t="shared" ref="M172:M189" si="19">+L172*0.1</f>
        <v>3500</v>
      </c>
      <c r="N172" s="9">
        <f t="shared" ref="N172:N191" si="20">+L172/2</f>
        <v>17500</v>
      </c>
      <c r="O172" s="9">
        <f t="shared" ref="O172:O191" si="21">+N172-M172-K172</f>
        <v>8895.57</v>
      </c>
      <c r="P172" s="9">
        <f t="shared" ref="P172:P191" si="22">+M172+K172</f>
        <v>8604.43</v>
      </c>
      <c r="Q172" s="109">
        <f t="shared" ref="Q172:Q191" si="23">+O172/N172</f>
        <v>0.50831828571428572</v>
      </c>
      <c r="R172" s="395">
        <f>VLOOKUP(C172,'[1]ORIGINAL (2)'!$A:$C,3,FALSE)</f>
        <v>400</v>
      </c>
      <c r="S172" s="24" t="e">
        <f>VLOOKUP(C172,#REF!,6,FALSE)</f>
        <v>#REF!</v>
      </c>
      <c r="T172" s="24" t="e">
        <f>VLOOKUP(C172,#REF!,7,FALSE)</f>
        <v>#REF!</v>
      </c>
      <c r="U172" s="24" t="e">
        <f>VLOOKUP(C172,#REF!,12,FALSE)</f>
        <v>#REF!</v>
      </c>
      <c r="V172" s="24" t="e">
        <f>VLOOKUP(C172,#REF!,13,FALSE)</f>
        <v>#REF!</v>
      </c>
    </row>
    <row r="173" spans="1:22" x14ac:dyDescent="0.25">
      <c r="A173" s="6" t="s">
        <v>1152</v>
      </c>
      <c r="B173" s="8">
        <v>9789500209052</v>
      </c>
      <c r="C173" s="8">
        <v>595689</v>
      </c>
      <c r="D173" s="7">
        <v>398</v>
      </c>
      <c r="E173" s="7" t="s">
        <v>143</v>
      </c>
      <c r="F173" s="6" t="s">
        <v>611</v>
      </c>
      <c r="G173" s="107">
        <v>42248</v>
      </c>
      <c r="H173" s="108">
        <v>42248</v>
      </c>
      <c r="I173" s="24">
        <v>910</v>
      </c>
      <c r="J173" s="28" t="s">
        <v>1894</v>
      </c>
      <c r="K173" s="28">
        <v>36.64</v>
      </c>
      <c r="L173" s="128">
        <v>17700</v>
      </c>
      <c r="M173" s="112">
        <f t="shared" si="19"/>
        <v>1770</v>
      </c>
      <c r="N173" s="9">
        <f t="shared" si="20"/>
        <v>8850</v>
      </c>
      <c r="O173" s="9">
        <f t="shared" si="21"/>
        <v>7043.36</v>
      </c>
      <c r="P173" s="9">
        <f t="shared" si="22"/>
        <v>1806.64</v>
      </c>
      <c r="Q173" s="139">
        <f t="shared" si="23"/>
        <v>0.79585988700564969</v>
      </c>
      <c r="R173" s="395" t="e">
        <f>VLOOKUP(C173,'[1]ORIGINAL (2)'!$A:$C,3,FALSE)</f>
        <v>#N/A</v>
      </c>
      <c r="S173" s="24" t="e">
        <f>VLOOKUP(C173,#REF!,6,FALSE)</f>
        <v>#REF!</v>
      </c>
      <c r="T173" s="24" t="e">
        <f>VLOOKUP(C173,#REF!,7,FALSE)</f>
        <v>#REF!</v>
      </c>
      <c r="U173" s="24" t="e">
        <f>VLOOKUP(C173,#REF!,12,FALSE)</f>
        <v>#REF!</v>
      </c>
      <c r="V173" s="24" t="e">
        <f>VLOOKUP(C173,#REF!,13,FALSE)</f>
        <v>#REF!</v>
      </c>
    </row>
    <row r="174" spans="1:22" x14ac:dyDescent="0.25">
      <c r="A174" s="6" t="s">
        <v>1153</v>
      </c>
      <c r="B174" s="8">
        <v>9789500299404</v>
      </c>
      <c r="C174" s="21">
        <v>617592</v>
      </c>
      <c r="D174" s="7">
        <v>368</v>
      </c>
      <c r="E174" s="11" t="s">
        <v>134</v>
      </c>
      <c r="F174" s="11" t="s">
        <v>1154</v>
      </c>
      <c r="G174" s="107">
        <v>42614</v>
      </c>
      <c r="H174" s="108">
        <v>42552</v>
      </c>
      <c r="I174" s="24">
        <v>3009</v>
      </c>
      <c r="J174" s="28" t="s">
        <v>1894</v>
      </c>
      <c r="K174" s="28">
        <v>36.68</v>
      </c>
      <c r="L174" s="128">
        <v>17700</v>
      </c>
      <c r="M174" s="9">
        <f t="shared" si="19"/>
        <v>1770</v>
      </c>
      <c r="N174" s="9">
        <f t="shared" si="20"/>
        <v>8850</v>
      </c>
      <c r="O174" s="9">
        <f t="shared" si="21"/>
        <v>7043.32</v>
      </c>
      <c r="P174" s="9">
        <f t="shared" si="22"/>
        <v>1806.68</v>
      </c>
      <c r="Q174" s="139">
        <f t="shared" si="23"/>
        <v>0.79585536723163841</v>
      </c>
      <c r="R174" s="395" t="e">
        <f>VLOOKUP(C174,'[1]ORIGINAL (2)'!$A:$C,3,FALSE)</f>
        <v>#N/A</v>
      </c>
      <c r="S174" s="24" t="e">
        <f>VLOOKUP(C174,#REF!,6,FALSE)</f>
        <v>#REF!</v>
      </c>
      <c r="T174" s="24" t="e">
        <f>VLOOKUP(C174,#REF!,7,FALSE)</f>
        <v>#REF!</v>
      </c>
      <c r="U174" s="24" t="e">
        <f>VLOOKUP(C174,#REF!,12,FALSE)</f>
        <v>#REF!</v>
      </c>
      <c r="V174" s="24" t="e">
        <f>VLOOKUP(C174,#REF!,13,FALSE)</f>
        <v>#REF!</v>
      </c>
    </row>
    <row r="175" spans="1:22" x14ac:dyDescent="0.25">
      <c r="A175" s="6" t="s">
        <v>1155</v>
      </c>
      <c r="B175" s="8">
        <v>9789500208185</v>
      </c>
      <c r="C175" s="21">
        <v>582181</v>
      </c>
      <c r="D175" s="25">
        <v>352</v>
      </c>
      <c r="E175" s="22" t="s">
        <v>142</v>
      </c>
      <c r="F175" s="145" t="s">
        <v>144</v>
      </c>
      <c r="G175" s="107">
        <v>41883</v>
      </c>
      <c r="H175" s="108">
        <v>41852</v>
      </c>
      <c r="I175" s="24">
        <v>3042</v>
      </c>
      <c r="J175" s="28" t="s">
        <v>1894</v>
      </c>
      <c r="K175" s="28">
        <v>20.85</v>
      </c>
      <c r="L175" s="128">
        <v>14000</v>
      </c>
      <c r="M175" s="9">
        <f t="shared" si="19"/>
        <v>1400</v>
      </c>
      <c r="N175" s="9">
        <f t="shared" si="20"/>
        <v>7000</v>
      </c>
      <c r="O175" s="9">
        <f t="shared" si="21"/>
        <v>5579.15</v>
      </c>
      <c r="P175" s="9">
        <f t="shared" si="22"/>
        <v>1420.85</v>
      </c>
      <c r="Q175" s="139">
        <f t="shared" si="23"/>
        <v>0.79702142857142855</v>
      </c>
      <c r="R175" s="395" t="e">
        <f>VLOOKUP(C175,'[1]ORIGINAL (2)'!$A:$C,3,FALSE)</f>
        <v>#N/A</v>
      </c>
      <c r="S175" s="24" t="e">
        <f>VLOOKUP(C175,#REF!,6,FALSE)</f>
        <v>#REF!</v>
      </c>
      <c r="T175" s="24" t="e">
        <f>VLOOKUP(C175,#REF!,7,FALSE)</f>
        <v>#REF!</v>
      </c>
      <c r="U175" s="24" t="e">
        <f>VLOOKUP(C175,#REF!,12,FALSE)</f>
        <v>#REF!</v>
      </c>
      <c r="V175" s="24" t="e">
        <f>VLOOKUP(C175,#REF!,13,FALSE)</f>
        <v>#REF!</v>
      </c>
    </row>
    <row r="176" spans="1:22" x14ac:dyDescent="0.25">
      <c r="A176" s="6" t="s">
        <v>1156</v>
      </c>
      <c r="B176" s="8">
        <v>9789500299640</v>
      </c>
      <c r="C176" s="380">
        <v>625987</v>
      </c>
      <c r="D176" s="25">
        <v>256</v>
      </c>
      <c r="E176" s="7" t="s">
        <v>132</v>
      </c>
      <c r="F176" s="11" t="s">
        <v>133</v>
      </c>
      <c r="G176" s="107">
        <v>42795</v>
      </c>
      <c r="H176" s="108">
        <v>42767</v>
      </c>
      <c r="I176" s="24">
        <v>2015</v>
      </c>
      <c r="J176" s="28" t="s">
        <v>1894</v>
      </c>
      <c r="K176" s="28">
        <v>32.24</v>
      </c>
      <c r="L176" s="128">
        <v>17700</v>
      </c>
      <c r="M176" s="9">
        <f t="shared" si="19"/>
        <v>1770</v>
      </c>
      <c r="N176" s="9">
        <f t="shared" si="20"/>
        <v>8850</v>
      </c>
      <c r="O176" s="9">
        <f t="shared" si="21"/>
        <v>7047.76</v>
      </c>
      <c r="P176" s="9">
        <f t="shared" si="22"/>
        <v>1802.24</v>
      </c>
      <c r="Q176" s="139">
        <f t="shared" si="23"/>
        <v>0.79635706214689272</v>
      </c>
      <c r="R176" s="395" t="e">
        <f>VLOOKUP(C176,'[1]ORIGINAL (2)'!$A:$C,3,FALSE)</f>
        <v>#N/A</v>
      </c>
      <c r="S176" s="24" t="e">
        <f>VLOOKUP(C176,#REF!,6,FALSE)</f>
        <v>#REF!</v>
      </c>
      <c r="T176" s="24" t="e">
        <f>VLOOKUP(C176,#REF!,7,FALSE)</f>
        <v>#REF!</v>
      </c>
      <c r="U176" s="24" t="e">
        <f>VLOOKUP(C176,#REF!,12,FALSE)</f>
        <v>#REF!</v>
      </c>
      <c r="V176" s="24" t="e">
        <f>VLOOKUP(C176,#REF!,13,FALSE)</f>
        <v>#REF!</v>
      </c>
    </row>
    <row r="177" spans="1:22" x14ac:dyDescent="0.25">
      <c r="A177" s="11" t="s">
        <v>1157</v>
      </c>
      <c r="B177" s="13">
        <v>9789500209939</v>
      </c>
      <c r="C177" s="6">
        <v>658649</v>
      </c>
      <c r="D177" s="7">
        <v>256</v>
      </c>
      <c r="E177" s="6" t="s">
        <v>1158</v>
      </c>
      <c r="F177" s="11" t="s">
        <v>1159</v>
      </c>
      <c r="G177" s="107">
        <v>43435</v>
      </c>
      <c r="H177" s="108">
        <v>43525</v>
      </c>
      <c r="I177" s="24">
        <v>1565</v>
      </c>
      <c r="J177" s="28" t="s">
        <v>1894</v>
      </c>
      <c r="K177" s="28">
        <v>55.53</v>
      </c>
      <c r="L177" s="128">
        <v>17700</v>
      </c>
      <c r="M177" s="9">
        <f t="shared" si="19"/>
        <v>1770</v>
      </c>
      <c r="N177" s="9">
        <f t="shared" si="20"/>
        <v>8850</v>
      </c>
      <c r="O177" s="9">
        <f t="shared" si="21"/>
        <v>7024.47</v>
      </c>
      <c r="P177" s="9">
        <f t="shared" si="22"/>
        <v>1825.53</v>
      </c>
      <c r="Q177" s="139">
        <f t="shared" si="23"/>
        <v>0.79372542372881361</v>
      </c>
      <c r="R177" s="395">
        <f>VLOOKUP(C177,'[1]ORIGINAL (2)'!$A:$C,3,FALSE)</f>
        <v>3</v>
      </c>
      <c r="S177" s="24" t="e">
        <f>VLOOKUP(C177,#REF!,6,FALSE)</f>
        <v>#REF!</v>
      </c>
      <c r="T177" s="24" t="e">
        <f>VLOOKUP(C177,#REF!,7,FALSE)</f>
        <v>#REF!</v>
      </c>
      <c r="U177" s="24" t="e">
        <f>VLOOKUP(C177,#REF!,12,FALSE)</f>
        <v>#REF!</v>
      </c>
      <c r="V177" s="24" t="e">
        <f>VLOOKUP(C177,#REF!,13,FALSE)</f>
        <v>#REF!</v>
      </c>
    </row>
    <row r="178" spans="1:22" x14ac:dyDescent="0.25">
      <c r="A178" s="6" t="s">
        <v>1160</v>
      </c>
      <c r="B178" s="8">
        <v>9789500208741</v>
      </c>
      <c r="C178" s="21">
        <v>591832</v>
      </c>
      <c r="D178" s="25">
        <v>352</v>
      </c>
      <c r="E178" s="22" t="s">
        <v>1161</v>
      </c>
      <c r="F178" s="6" t="s">
        <v>141</v>
      </c>
      <c r="G178" s="107">
        <v>42125</v>
      </c>
      <c r="H178" s="108">
        <v>42095</v>
      </c>
      <c r="I178" s="24">
        <v>3068</v>
      </c>
      <c r="J178" s="28" t="s">
        <v>2136</v>
      </c>
      <c r="K178" s="28">
        <v>27.93</v>
      </c>
      <c r="L178" s="128">
        <v>20800</v>
      </c>
      <c r="M178" s="9">
        <f t="shared" si="19"/>
        <v>2080</v>
      </c>
      <c r="N178" s="9">
        <f t="shared" si="20"/>
        <v>10400</v>
      </c>
      <c r="O178" s="9">
        <f t="shared" si="21"/>
        <v>8292.07</v>
      </c>
      <c r="P178" s="9">
        <f t="shared" si="22"/>
        <v>2107.9299999999998</v>
      </c>
      <c r="Q178" s="139">
        <f t="shared" si="23"/>
        <v>0.79731442307692302</v>
      </c>
      <c r="R178" s="395" t="e">
        <f>VLOOKUP(C178,'[1]ORIGINAL (2)'!$A:$C,3,FALSE)</f>
        <v>#N/A</v>
      </c>
      <c r="S178" s="24" t="e">
        <f>VLOOKUP(C178,#REF!,6,FALSE)</f>
        <v>#REF!</v>
      </c>
      <c r="T178" s="24" t="e">
        <f>VLOOKUP(C178,#REF!,7,FALSE)</f>
        <v>#REF!</v>
      </c>
      <c r="U178" s="24" t="e">
        <f>VLOOKUP(C178,#REF!,12,FALSE)</f>
        <v>#REF!</v>
      </c>
      <c r="V178" s="24" t="e">
        <f>VLOOKUP(C178,#REF!,13,FALSE)</f>
        <v>#REF!</v>
      </c>
    </row>
    <row r="179" spans="1:22" x14ac:dyDescent="0.25">
      <c r="A179" s="6" t="s">
        <v>1162</v>
      </c>
      <c r="B179" s="8">
        <v>9789500298919</v>
      </c>
      <c r="C179" s="6">
        <v>622047</v>
      </c>
      <c r="D179" s="7">
        <v>272</v>
      </c>
      <c r="E179" s="7" t="s">
        <v>138</v>
      </c>
      <c r="F179" s="7" t="s">
        <v>1163</v>
      </c>
      <c r="G179" s="107">
        <v>42675</v>
      </c>
      <c r="H179" s="108">
        <v>42644</v>
      </c>
      <c r="I179" s="24">
        <v>2025</v>
      </c>
      <c r="J179" s="28" t="s">
        <v>1894</v>
      </c>
      <c r="K179" s="28">
        <v>50.52</v>
      </c>
      <c r="L179" s="128">
        <v>17700</v>
      </c>
      <c r="M179" s="112">
        <f t="shared" si="19"/>
        <v>1770</v>
      </c>
      <c r="N179" s="9">
        <f t="shared" si="20"/>
        <v>8850</v>
      </c>
      <c r="O179" s="9">
        <f t="shared" si="21"/>
        <v>7029.48</v>
      </c>
      <c r="P179" s="9">
        <f t="shared" si="22"/>
        <v>1820.52</v>
      </c>
      <c r="Q179" s="139">
        <f t="shared" si="23"/>
        <v>0.79429152542372872</v>
      </c>
      <c r="R179" s="395" t="e">
        <f>VLOOKUP(C179,'[1]ORIGINAL (2)'!$A:$C,3,FALSE)</f>
        <v>#N/A</v>
      </c>
      <c r="S179" s="24" t="e">
        <f>VLOOKUP(C179,#REF!,6,FALSE)</f>
        <v>#REF!</v>
      </c>
      <c r="T179" s="24" t="e">
        <f>VLOOKUP(C179,#REF!,7,FALSE)</f>
        <v>#REF!</v>
      </c>
      <c r="U179" s="24" t="e">
        <f>VLOOKUP(C179,#REF!,12,FALSE)</f>
        <v>#REF!</v>
      </c>
      <c r="V179" s="24" t="e">
        <f>VLOOKUP(C179,#REF!,13,FALSE)</f>
        <v>#REF!</v>
      </c>
    </row>
    <row r="180" spans="1:22" x14ac:dyDescent="0.25">
      <c r="A180" s="6" t="s">
        <v>1164</v>
      </c>
      <c r="B180" s="8">
        <v>9789500208734</v>
      </c>
      <c r="C180" s="8">
        <v>592799</v>
      </c>
      <c r="D180" s="25">
        <v>400</v>
      </c>
      <c r="E180" s="22" t="s">
        <v>145</v>
      </c>
      <c r="F180" s="6" t="s">
        <v>146</v>
      </c>
      <c r="G180" s="107">
        <v>42156</v>
      </c>
      <c r="H180" s="108">
        <v>42125</v>
      </c>
      <c r="I180" s="24">
        <v>3070</v>
      </c>
      <c r="J180" s="28" t="s">
        <v>1894</v>
      </c>
      <c r="K180" s="28">
        <v>27.73</v>
      </c>
      <c r="L180" s="128">
        <v>17700</v>
      </c>
      <c r="M180" s="112">
        <f t="shared" si="19"/>
        <v>1770</v>
      </c>
      <c r="N180" s="9">
        <f t="shared" si="20"/>
        <v>8850</v>
      </c>
      <c r="O180" s="9">
        <f t="shared" si="21"/>
        <v>7052.27</v>
      </c>
      <c r="P180" s="9">
        <f t="shared" si="22"/>
        <v>1797.73</v>
      </c>
      <c r="Q180" s="139">
        <f t="shared" si="23"/>
        <v>0.79686666666666672</v>
      </c>
      <c r="R180" s="395" t="e">
        <f>VLOOKUP(C180,'[1]ORIGINAL (2)'!$A:$C,3,FALSE)</f>
        <v>#N/A</v>
      </c>
      <c r="S180" s="24" t="e">
        <f>VLOOKUP(C180,#REF!,6,FALSE)</f>
        <v>#REF!</v>
      </c>
      <c r="T180" s="24" t="e">
        <f>VLOOKUP(C180,#REF!,7,FALSE)</f>
        <v>#REF!</v>
      </c>
      <c r="U180" s="24" t="e">
        <f>VLOOKUP(C180,#REF!,12,FALSE)</f>
        <v>#REF!</v>
      </c>
      <c r="V180" s="24" t="e">
        <f>VLOOKUP(C180,#REF!,13,FALSE)</f>
        <v>#REF!</v>
      </c>
    </row>
    <row r="181" spans="1:22" x14ac:dyDescent="0.25">
      <c r="A181" s="6" t="s">
        <v>1165</v>
      </c>
      <c r="B181" s="8">
        <v>9789500209007</v>
      </c>
      <c r="C181" s="21">
        <v>593814</v>
      </c>
      <c r="D181" s="25">
        <v>240</v>
      </c>
      <c r="E181" s="22" t="s">
        <v>1166</v>
      </c>
      <c r="F181" s="6" t="s">
        <v>135</v>
      </c>
      <c r="G181" s="107">
        <v>42186</v>
      </c>
      <c r="H181" s="108">
        <v>42156</v>
      </c>
      <c r="I181" s="24">
        <v>3008</v>
      </c>
      <c r="J181" s="28" t="s">
        <v>1894</v>
      </c>
      <c r="K181" s="28">
        <v>20.73</v>
      </c>
      <c r="L181" s="128">
        <v>17700</v>
      </c>
      <c r="M181" s="112">
        <f t="shared" si="19"/>
        <v>1770</v>
      </c>
      <c r="N181" s="9">
        <f t="shared" si="20"/>
        <v>8850</v>
      </c>
      <c r="O181" s="9">
        <f t="shared" si="21"/>
        <v>7059.27</v>
      </c>
      <c r="P181" s="9">
        <f t="shared" si="22"/>
        <v>1790.73</v>
      </c>
      <c r="Q181" s="139">
        <f t="shared" si="23"/>
        <v>0.79765762711864407</v>
      </c>
      <c r="R181" s="395" t="e">
        <f>VLOOKUP(C181,'[1]ORIGINAL (2)'!$A:$C,3,FALSE)</f>
        <v>#N/A</v>
      </c>
      <c r="S181" s="24" t="e">
        <f>VLOOKUP(C181,#REF!,6,FALSE)</f>
        <v>#REF!</v>
      </c>
      <c r="T181" s="24" t="e">
        <f>VLOOKUP(C181,#REF!,7,FALSE)</f>
        <v>#REF!</v>
      </c>
      <c r="U181" s="24" t="e">
        <f>VLOOKUP(C181,#REF!,12,FALSE)</f>
        <v>#REF!</v>
      </c>
      <c r="V181" s="24" t="e">
        <f>VLOOKUP(C181,#REF!,13,FALSE)</f>
        <v>#REF!</v>
      </c>
    </row>
    <row r="182" spans="1:22" x14ac:dyDescent="0.25">
      <c r="A182" s="6" t="s">
        <v>1167</v>
      </c>
      <c r="B182" s="8">
        <v>9789500207584</v>
      </c>
      <c r="C182" s="21">
        <v>569646</v>
      </c>
      <c r="D182" s="25">
        <v>304</v>
      </c>
      <c r="E182" s="22" t="s">
        <v>142</v>
      </c>
      <c r="F182" s="6" t="s">
        <v>612</v>
      </c>
      <c r="G182" s="107">
        <v>41548</v>
      </c>
      <c r="H182" s="108">
        <v>42186</v>
      </c>
      <c r="I182" s="24">
        <v>1053</v>
      </c>
      <c r="J182" s="28" t="s">
        <v>1894</v>
      </c>
      <c r="K182" s="28">
        <v>30.6</v>
      </c>
      <c r="L182" s="128">
        <v>14200</v>
      </c>
      <c r="M182" s="112">
        <f t="shared" si="19"/>
        <v>1420</v>
      </c>
      <c r="N182" s="9">
        <f t="shared" si="20"/>
        <v>7100</v>
      </c>
      <c r="O182" s="9">
        <f t="shared" si="21"/>
        <v>5649.4</v>
      </c>
      <c r="P182" s="9">
        <f t="shared" si="22"/>
        <v>1450.6</v>
      </c>
      <c r="Q182" s="139">
        <f t="shared" si="23"/>
        <v>0.79569014084507039</v>
      </c>
      <c r="R182" s="395">
        <f>VLOOKUP(C182,'[1]ORIGINAL (2)'!$A:$C,3,FALSE)</f>
        <v>2</v>
      </c>
      <c r="S182" s="24" t="e">
        <f>VLOOKUP(C182,#REF!,6,FALSE)</f>
        <v>#REF!</v>
      </c>
      <c r="T182" s="24" t="e">
        <f>VLOOKUP(C182,#REF!,7,FALSE)</f>
        <v>#REF!</v>
      </c>
      <c r="U182" s="24" t="e">
        <f>VLOOKUP(C182,#REF!,12,FALSE)</f>
        <v>#REF!</v>
      </c>
      <c r="V182" s="24" t="e">
        <f>VLOOKUP(C182,#REF!,13,FALSE)</f>
        <v>#REF!</v>
      </c>
    </row>
    <row r="183" spans="1:22" x14ac:dyDescent="0.25">
      <c r="A183" s="7" t="s">
        <v>1168</v>
      </c>
      <c r="B183" s="8">
        <v>9789500206594</v>
      </c>
      <c r="C183" s="8">
        <v>539264</v>
      </c>
      <c r="D183" s="25">
        <v>320</v>
      </c>
      <c r="E183" s="7" t="s">
        <v>99</v>
      </c>
      <c r="F183" s="7" t="s">
        <v>1169</v>
      </c>
      <c r="G183" s="107">
        <v>40848</v>
      </c>
      <c r="H183" s="108">
        <v>40817</v>
      </c>
      <c r="I183" s="24">
        <v>2903</v>
      </c>
      <c r="J183" s="28" t="s">
        <v>1894</v>
      </c>
      <c r="K183" s="28">
        <v>13.66</v>
      </c>
      <c r="L183" s="128">
        <v>14100</v>
      </c>
      <c r="M183" s="112">
        <f t="shared" si="19"/>
        <v>1410</v>
      </c>
      <c r="N183" s="9">
        <f t="shared" si="20"/>
        <v>7050</v>
      </c>
      <c r="O183" s="9">
        <f t="shared" si="21"/>
        <v>5626.34</v>
      </c>
      <c r="P183" s="9">
        <f t="shared" si="22"/>
        <v>1423.66</v>
      </c>
      <c r="Q183" s="139">
        <f t="shared" si="23"/>
        <v>0.79806241134751776</v>
      </c>
      <c r="R183" s="395" t="e">
        <f>VLOOKUP(C183,'[1]ORIGINAL (2)'!$A:$C,3,FALSE)</f>
        <v>#N/A</v>
      </c>
      <c r="S183" s="24" t="e">
        <f>VLOOKUP(C183,#REF!,6,FALSE)</f>
        <v>#REF!</v>
      </c>
      <c r="T183" s="24" t="e">
        <f>VLOOKUP(C183,#REF!,7,FALSE)</f>
        <v>#REF!</v>
      </c>
      <c r="U183" s="24" t="e">
        <f>VLOOKUP(C183,#REF!,12,FALSE)</f>
        <v>#REF!</v>
      </c>
      <c r="V183" s="24" t="e">
        <f>VLOOKUP(C183,#REF!,13,FALSE)</f>
        <v>#REF!</v>
      </c>
    </row>
    <row r="184" spans="1:22" x14ac:dyDescent="0.25">
      <c r="A184" s="7" t="s">
        <v>1170</v>
      </c>
      <c r="B184" s="8">
        <v>9789500209618</v>
      </c>
      <c r="C184" s="6">
        <v>648595</v>
      </c>
      <c r="D184" s="7">
        <v>368</v>
      </c>
      <c r="E184" s="7" t="s">
        <v>363</v>
      </c>
      <c r="F184" s="15" t="s">
        <v>364</v>
      </c>
      <c r="G184" s="107">
        <v>43221</v>
      </c>
      <c r="H184" s="108">
        <v>43191</v>
      </c>
      <c r="I184" s="24">
        <v>3009</v>
      </c>
      <c r="J184" s="28" t="s">
        <v>2136</v>
      </c>
      <c r="K184" s="28">
        <v>62.96</v>
      </c>
      <c r="L184" s="128">
        <v>20800</v>
      </c>
      <c r="M184" s="112">
        <f t="shared" si="19"/>
        <v>2080</v>
      </c>
      <c r="N184" s="9">
        <f t="shared" si="20"/>
        <v>10400</v>
      </c>
      <c r="O184" s="9">
        <f t="shared" si="21"/>
        <v>8257.0400000000009</v>
      </c>
      <c r="P184" s="9">
        <f t="shared" si="22"/>
        <v>2142.96</v>
      </c>
      <c r="Q184" s="139">
        <f t="shared" si="23"/>
        <v>0.79394615384615397</v>
      </c>
      <c r="R184" s="395" t="e">
        <f>VLOOKUP(C184,'[1]ORIGINAL (2)'!$A:$C,3,FALSE)</f>
        <v>#N/A</v>
      </c>
      <c r="S184" s="24" t="e">
        <f>VLOOKUP(C184,#REF!,6,FALSE)</f>
        <v>#REF!</v>
      </c>
      <c r="T184" s="24" t="e">
        <f>VLOOKUP(C184,#REF!,7,FALSE)</f>
        <v>#REF!</v>
      </c>
      <c r="U184" s="24" t="e">
        <f>VLOOKUP(C184,#REF!,12,FALSE)</f>
        <v>#REF!</v>
      </c>
      <c r="V184" s="24" t="e">
        <f>VLOOKUP(C184,#REF!,13,FALSE)</f>
        <v>#REF!</v>
      </c>
    </row>
    <row r="185" spans="1:22" x14ac:dyDescent="0.25">
      <c r="A185" s="7" t="s">
        <v>1171</v>
      </c>
      <c r="B185" s="8">
        <v>9789500210096</v>
      </c>
      <c r="C185" s="11">
        <v>666998</v>
      </c>
      <c r="D185" s="25">
        <v>160</v>
      </c>
      <c r="E185" s="6" t="s">
        <v>451</v>
      </c>
      <c r="F185" s="7" t="s">
        <v>452</v>
      </c>
      <c r="G185" s="107">
        <v>43678</v>
      </c>
      <c r="H185" s="108">
        <v>43647</v>
      </c>
      <c r="I185" s="24">
        <v>3077</v>
      </c>
      <c r="J185" s="28" t="s">
        <v>1894</v>
      </c>
      <c r="K185" s="9">
        <v>54.59</v>
      </c>
      <c r="L185" s="128">
        <v>17700</v>
      </c>
      <c r="M185" s="112">
        <f t="shared" si="19"/>
        <v>1770</v>
      </c>
      <c r="N185" s="9">
        <f t="shared" si="20"/>
        <v>8850</v>
      </c>
      <c r="O185" s="9">
        <f t="shared" si="21"/>
        <v>7025.41</v>
      </c>
      <c r="P185" s="9">
        <f t="shared" si="22"/>
        <v>1824.59</v>
      </c>
      <c r="Q185" s="139">
        <f t="shared" si="23"/>
        <v>0.79383163841807913</v>
      </c>
      <c r="R185" s="395">
        <f>VLOOKUP(C185,'[1]ORIGINAL (2)'!$A:$C,3,FALSE)</f>
        <v>1</v>
      </c>
      <c r="S185" s="24" t="e">
        <f>VLOOKUP(C185,#REF!,6,FALSE)</f>
        <v>#REF!</v>
      </c>
      <c r="T185" s="24" t="e">
        <f>VLOOKUP(C185,#REF!,7,FALSE)</f>
        <v>#REF!</v>
      </c>
      <c r="U185" s="24" t="e">
        <f>VLOOKUP(C185,#REF!,12,FALSE)</f>
        <v>#REF!</v>
      </c>
      <c r="V185" s="24" t="e">
        <f>VLOOKUP(C185,#REF!,13,FALSE)</f>
        <v>#REF!</v>
      </c>
    </row>
    <row r="186" spans="1:22" x14ac:dyDescent="0.25">
      <c r="A186" s="6" t="s">
        <v>1172</v>
      </c>
      <c r="B186" s="143">
        <v>9789500285353</v>
      </c>
      <c r="C186" s="145">
        <v>647012</v>
      </c>
      <c r="D186" s="7">
        <v>496</v>
      </c>
      <c r="E186" s="7" t="s">
        <v>359</v>
      </c>
      <c r="F186" s="11" t="s">
        <v>1173</v>
      </c>
      <c r="G186" s="107">
        <v>43191</v>
      </c>
      <c r="H186" s="108">
        <v>43983</v>
      </c>
      <c r="I186" s="24">
        <v>1090</v>
      </c>
      <c r="J186" s="28" t="s">
        <v>1867</v>
      </c>
      <c r="K186" s="28">
        <v>4045.2465673494726</v>
      </c>
      <c r="L186" s="128">
        <v>35000</v>
      </c>
      <c r="M186" s="112">
        <f t="shared" si="19"/>
        <v>3500</v>
      </c>
      <c r="N186" s="9">
        <f t="shared" si="20"/>
        <v>17500</v>
      </c>
      <c r="O186" s="9">
        <f t="shared" si="21"/>
        <v>9954.7534326505265</v>
      </c>
      <c r="P186" s="9">
        <f t="shared" si="22"/>
        <v>7545.2465673494726</v>
      </c>
      <c r="Q186" s="139">
        <f t="shared" si="23"/>
        <v>0.56884305329431584</v>
      </c>
      <c r="R186" s="395">
        <f>VLOOKUP(C186,'[1]ORIGINAL (2)'!$A:$C,3,FALSE)</f>
        <v>400</v>
      </c>
      <c r="S186" s="24" t="e">
        <f>VLOOKUP(C186,#REF!,6,FALSE)</f>
        <v>#REF!</v>
      </c>
      <c r="T186" s="24" t="e">
        <f>VLOOKUP(C186,#REF!,7,FALSE)</f>
        <v>#REF!</v>
      </c>
      <c r="U186" s="24" t="e">
        <f>VLOOKUP(C186,#REF!,12,FALSE)</f>
        <v>#REF!</v>
      </c>
      <c r="V186" s="24" t="e">
        <f>VLOOKUP(C186,#REF!,13,FALSE)</f>
        <v>#REF!</v>
      </c>
    </row>
    <row r="187" spans="1:22" x14ac:dyDescent="0.25">
      <c r="A187" s="6" t="s">
        <v>1174</v>
      </c>
      <c r="B187" s="8">
        <v>9789500298827</v>
      </c>
      <c r="C187" s="8">
        <v>610467</v>
      </c>
      <c r="D187" s="7">
        <v>512</v>
      </c>
      <c r="E187" s="31" t="s">
        <v>136</v>
      </c>
      <c r="F187" s="32" t="s">
        <v>137</v>
      </c>
      <c r="G187" s="107">
        <v>42461</v>
      </c>
      <c r="H187" s="108">
        <v>42430</v>
      </c>
      <c r="I187" s="24">
        <v>3010</v>
      </c>
      <c r="J187" s="28" t="s">
        <v>2136</v>
      </c>
      <c r="K187" s="28">
        <v>42.72</v>
      </c>
      <c r="L187" s="128">
        <v>24000</v>
      </c>
      <c r="M187" s="112">
        <f t="shared" si="19"/>
        <v>2400</v>
      </c>
      <c r="N187" s="9">
        <f t="shared" si="20"/>
        <v>12000</v>
      </c>
      <c r="O187" s="9">
        <f t="shared" si="21"/>
        <v>9557.2800000000007</v>
      </c>
      <c r="P187" s="9">
        <f t="shared" si="22"/>
        <v>2442.7199999999998</v>
      </c>
      <c r="Q187" s="139">
        <f t="shared" si="23"/>
        <v>0.79644000000000004</v>
      </c>
      <c r="R187" s="395">
        <f>VLOOKUP(C187,'[1]ORIGINAL (2)'!$A:$C,3,FALSE)</f>
        <v>2</v>
      </c>
      <c r="S187" s="24" t="e">
        <f>VLOOKUP(C187,#REF!,6,FALSE)</f>
        <v>#REF!</v>
      </c>
      <c r="T187" s="24" t="e">
        <f>VLOOKUP(C187,#REF!,7,FALSE)</f>
        <v>#REF!</v>
      </c>
      <c r="U187" s="24" t="e">
        <f>VLOOKUP(C187,#REF!,12,FALSE)</f>
        <v>#REF!</v>
      </c>
      <c r="V187" s="24" t="e">
        <f>VLOOKUP(C187,#REF!,13,FALSE)</f>
        <v>#REF!</v>
      </c>
    </row>
    <row r="188" spans="1:22" x14ac:dyDescent="0.25">
      <c r="A188" s="7" t="s">
        <v>1175</v>
      </c>
      <c r="B188" s="8">
        <v>9789500206662</v>
      </c>
      <c r="C188" s="8">
        <v>547829</v>
      </c>
      <c r="D188" s="25">
        <v>720</v>
      </c>
      <c r="E188" s="9" t="s">
        <v>139</v>
      </c>
      <c r="F188" s="7" t="s">
        <v>140</v>
      </c>
      <c r="G188" s="107">
        <v>41000</v>
      </c>
      <c r="H188" s="108">
        <v>42156</v>
      </c>
      <c r="I188" s="24">
        <v>882</v>
      </c>
      <c r="J188" s="28" t="s">
        <v>1894</v>
      </c>
      <c r="K188" s="28">
        <v>58.98</v>
      </c>
      <c r="L188" s="128">
        <v>23900</v>
      </c>
      <c r="M188" s="112">
        <f t="shared" si="19"/>
        <v>2390</v>
      </c>
      <c r="N188" s="9">
        <f t="shared" si="20"/>
        <v>11950</v>
      </c>
      <c r="O188" s="9">
        <f t="shared" si="21"/>
        <v>9501.02</v>
      </c>
      <c r="P188" s="9">
        <f t="shared" si="22"/>
        <v>2448.98</v>
      </c>
      <c r="Q188" s="139">
        <f t="shared" si="23"/>
        <v>0.79506443514644354</v>
      </c>
      <c r="R188" s="395">
        <f>VLOOKUP(C188,'[1]ORIGINAL (2)'!$A:$C,3,FALSE)</f>
        <v>5</v>
      </c>
      <c r="S188" s="24" t="e">
        <f>VLOOKUP(C188,#REF!,6,FALSE)</f>
        <v>#REF!</v>
      </c>
      <c r="T188" s="24" t="e">
        <f>VLOOKUP(C188,#REF!,7,FALSE)</f>
        <v>#REF!</v>
      </c>
      <c r="U188" s="24" t="e">
        <f>VLOOKUP(C188,#REF!,12,FALSE)</f>
        <v>#REF!</v>
      </c>
      <c r="V188" s="24" t="e">
        <f>VLOOKUP(C188,#REF!,13,FALSE)</f>
        <v>#REF!</v>
      </c>
    </row>
    <row r="189" spans="1:22" x14ac:dyDescent="0.25">
      <c r="A189" s="7" t="s">
        <v>1176</v>
      </c>
      <c r="B189" s="8">
        <v>9789500210003</v>
      </c>
      <c r="C189" s="6">
        <v>348065</v>
      </c>
      <c r="D189" s="7">
        <v>432</v>
      </c>
      <c r="E189" s="22" t="s">
        <v>432</v>
      </c>
      <c r="F189" s="11" t="s">
        <v>433</v>
      </c>
      <c r="G189" s="107">
        <v>43556</v>
      </c>
      <c r="H189" s="108">
        <v>43525</v>
      </c>
      <c r="I189" s="7">
        <v>1932</v>
      </c>
      <c r="J189" s="28" t="s">
        <v>1894</v>
      </c>
      <c r="K189" s="9">
        <v>141.94999999999999</v>
      </c>
      <c r="L189" s="128">
        <v>23900</v>
      </c>
      <c r="M189" s="159">
        <f t="shared" si="19"/>
        <v>2390</v>
      </c>
      <c r="N189" s="9">
        <f t="shared" si="20"/>
        <v>11950</v>
      </c>
      <c r="O189" s="9">
        <f t="shared" si="21"/>
        <v>9418.0499999999993</v>
      </c>
      <c r="P189" s="9">
        <f t="shared" si="22"/>
        <v>2531.9499999999998</v>
      </c>
      <c r="Q189" s="139">
        <f t="shared" si="23"/>
        <v>0.78812133891213387</v>
      </c>
      <c r="R189" s="395">
        <f>VLOOKUP(C189,'[1]ORIGINAL (2)'!$A:$C,3,FALSE)</f>
        <v>1</v>
      </c>
      <c r="S189" s="24" t="e">
        <f>VLOOKUP(C189,#REF!,6,FALSE)</f>
        <v>#REF!</v>
      </c>
      <c r="T189" s="24" t="e">
        <f>VLOOKUP(C189,#REF!,7,FALSE)</f>
        <v>#REF!</v>
      </c>
      <c r="U189" s="24" t="e">
        <f>VLOOKUP(C189,#REF!,12,FALSE)</f>
        <v>#REF!</v>
      </c>
      <c r="V189" s="24" t="e">
        <f>VLOOKUP(C189,#REF!,13,FALSE)</f>
        <v>#REF!</v>
      </c>
    </row>
    <row r="190" spans="1:22" x14ac:dyDescent="0.25">
      <c r="A190" s="6" t="s">
        <v>1177</v>
      </c>
      <c r="B190" s="8">
        <v>9789500207850</v>
      </c>
      <c r="C190" s="21">
        <v>576586</v>
      </c>
      <c r="D190" s="25">
        <v>880</v>
      </c>
      <c r="E190" s="22" t="s">
        <v>147</v>
      </c>
      <c r="F190" s="6" t="s">
        <v>609</v>
      </c>
      <c r="G190" s="107">
        <v>41730</v>
      </c>
      <c r="H190" s="108">
        <v>44621</v>
      </c>
      <c r="I190" s="24">
        <v>3065</v>
      </c>
      <c r="J190" s="28" t="s">
        <v>2136</v>
      </c>
      <c r="K190" s="117">
        <v>425.56</v>
      </c>
      <c r="L190" s="128">
        <v>63500</v>
      </c>
      <c r="M190" s="159"/>
      <c r="N190" s="9">
        <f t="shared" si="20"/>
        <v>31750</v>
      </c>
      <c r="O190" s="9">
        <f t="shared" si="21"/>
        <v>31324.44</v>
      </c>
      <c r="P190" s="9">
        <f t="shared" si="22"/>
        <v>425.56</v>
      </c>
      <c r="Q190" s="139">
        <f t="shared" si="23"/>
        <v>0.9865965354330708</v>
      </c>
      <c r="R190" s="395">
        <f>VLOOKUP(C190,'[1]ORIGINAL (2)'!$A:$C,3,FALSE)</f>
        <v>99</v>
      </c>
      <c r="S190" s="24" t="e">
        <f>VLOOKUP(C190,#REF!,6,FALSE)</f>
        <v>#REF!</v>
      </c>
      <c r="T190" s="24" t="e">
        <f>VLOOKUP(C190,#REF!,7,FALSE)</f>
        <v>#REF!</v>
      </c>
      <c r="U190" s="24" t="e">
        <f>VLOOKUP(C190,#REF!,12,FALSE)</f>
        <v>#REF!</v>
      </c>
      <c r="V190" s="24" t="e">
        <f>VLOOKUP(C190,#REF!,13,FALSE)</f>
        <v>#REF!</v>
      </c>
    </row>
    <row r="191" spans="1:22" x14ac:dyDescent="0.25">
      <c r="A191" s="7" t="s">
        <v>1178</v>
      </c>
      <c r="B191" s="16">
        <v>9789500263634</v>
      </c>
      <c r="C191" s="8">
        <v>516660</v>
      </c>
      <c r="D191" s="25">
        <v>1000</v>
      </c>
      <c r="E191" s="22" t="s">
        <v>147</v>
      </c>
      <c r="F191" s="7" t="s">
        <v>1179</v>
      </c>
      <c r="G191" s="107">
        <v>40422</v>
      </c>
      <c r="H191" s="108">
        <v>45748</v>
      </c>
      <c r="I191" s="7">
        <v>2016</v>
      </c>
      <c r="J191" s="28" t="s">
        <v>2136</v>
      </c>
      <c r="K191" s="117">
        <v>5381.86</v>
      </c>
      <c r="L191" s="9">
        <v>64900</v>
      </c>
      <c r="M191" s="112"/>
      <c r="N191" s="9">
        <f t="shared" si="20"/>
        <v>32450</v>
      </c>
      <c r="O191" s="9">
        <f t="shared" si="21"/>
        <v>27068.14</v>
      </c>
      <c r="P191" s="9">
        <f t="shared" si="22"/>
        <v>5381.86</v>
      </c>
      <c r="Q191" s="139">
        <f t="shared" si="23"/>
        <v>0.83414915254237287</v>
      </c>
      <c r="R191" s="395">
        <f>VLOOKUP(C191,'[1]ORIGINAL (2)'!$A:$C,3,FALSE)</f>
        <v>225</v>
      </c>
      <c r="S191" s="24" t="e">
        <f>VLOOKUP(C191,#REF!,6,FALSE)</f>
        <v>#REF!</v>
      </c>
      <c r="T191" s="24" t="e">
        <f>VLOOKUP(C191,#REF!,7,FALSE)</f>
        <v>#REF!</v>
      </c>
      <c r="U191" s="24" t="e">
        <f>VLOOKUP(C191,#REF!,12,FALSE)</f>
        <v>#REF!</v>
      </c>
      <c r="V191" s="24" t="e">
        <f>VLOOKUP(C191,#REF!,13,FALSE)</f>
        <v>#REF!</v>
      </c>
    </row>
    <row r="192" spans="1:22" x14ac:dyDescent="0.25">
      <c r="A192" s="2"/>
      <c r="B192" s="3"/>
      <c r="C192" s="3"/>
      <c r="D192" s="2"/>
      <c r="E192" s="2"/>
      <c r="F192" s="2"/>
      <c r="G192" s="2"/>
      <c r="H192" s="132"/>
      <c r="I192" s="132"/>
      <c r="J192" s="132"/>
      <c r="K192" s="132"/>
      <c r="L192" s="134"/>
      <c r="M192" s="132"/>
      <c r="N192" s="132"/>
      <c r="O192" s="132"/>
      <c r="P192" s="132"/>
      <c r="Q192" s="147"/>
      <c r="R192" s="395" t="e">
        <f>VLOOKUP(C192,'[1]ORIGINAL (2)'!$A:$C,3,FALSE)</f>
        <v>#N/A</v>
      </c>
      <c r="S192" s="100"/>
      <c r="T192" s="100"/>
      <c r="U192" s="100"/>
      <c r="V192" s="100"/>
    </row>
    <row r="193" spans="1:22" x14ac:dyDescent="0.25">
      <c r="A193" s="160" t="s">
        <v>822</v>
      </c>
      <c r="B193" s="161"/>
      <c r="C193" s="161"/>
      <c r="D193" s="376"/>
      <c r="E193" s="374"/>
      <c r="F193" s="162"/>
      <c r="G193" s="162"/>
      <c r="H193" s="132"/>
      <c r="I193" s="132"/>
      <c r="J193" s="132"/>
      <c r="K193" s="132"/>
      <c r="L193" s="134"/>
      <c r="M193" s="132"/>
      <c r="N193" s="132"/>
      <c r="O193" s="132"/>
      <c r="P193" s="132"/>
      <c r="Q193" s="147"/>
      <c r="R193" s="395" t="e">
        <f>VLOOKUP(C193,'[1]ORIGINAL (2)'!$A:$C,3,FALSE)</f>
        <v>#N/A</v>
      </c>
      <c r="S193" s="100"/>
      <c r="T193" s="100"/>
      <c r="U193" s="100"/>
      <c r="V193" s="100"/>
    </row>
    <row r="194" spans="1:22" x14ac:dyDescent="0.25">
      <c r="A194" s="6" t="s">
        <v>1180</v>
      </c>
      <c r="B194" s="16">
        <v>9789500298780</v>
      </c>
      <c r="C194" s="8">
        <v>609572</v>
      </c>
      <c r="D194" s="7">
        <v>128</v>
      </c>
      <c r="E194" s="16">
        <v>9789500298780</v>
      </c>
      <c r="F194" s="7" t="s">
        <v>1181</v>
      </c>
      <c r="G194" s="107">
        <v>42430</v>
      </c>
      <c r="H194" s="108">
        <v>45992</v>
      </c>
      <c r="I194" s="7">
        <v>3096</v>
      </c>
      <c r="J194" s="176" t="s">
        <v>2219</v>
      </c>
      <c r="K194" s="117">
        <v>685.68</v>
      </c>
      <c r="L194" s="9">
        <v>11900</v>
      </c>
      <c r="M194" s="112"/>
      <c r="N194" s="9">
        <f>+L194/2</f>
        <v>5950</v>
      </c>
      <c r="O194" s="9">
        <f>+N194-M194-K194</f>
        <v>5264.32</v>
      </c>
      <c r="P194" s="9">
        <f>+M194+K194</f>
        <v>685.68</v>
      </c>
      <c r="Q194" s="139">
        <f>+O194/N194</f>
        <v>0.88475966386554616</v>
      </c>
      <c r="R194" s="395">
        <f>VLOOKUP(C194,'[1]ORIGINAL (2)'!$A:$C,3,FALSE)</f>
        <v>1586</v>
      </c>
      <c r="S194" s="24" t="e">
        <f>VLOOKUP(C194,#REF!,6,FALSE)</f>
        <v>#REF!</v>
      </c>
      <c r="T194" s="24" t="e">
        <f>VLOOKUP(C194,#REF!,7,FALSE)</f>
        <v>#REF!</v>
      </c>
      <c r="U194" s="24" t="e">
        <f>VLOOKUP(C194,#REF!,12,FALSE)</f>
        <v>#REF!</v>
      </c>
      <c r="V194" s="24" t="e">
        <f>VLOOKUP(C194,#REF!,13,FALSE)</f>
        <v>#REF!</v>
      </c>
    </row>
    <row r="195" spans="1:22" x14ac:dyDescent="0.25">
      <c r="A195" s="132"/>
      <c r="B195" s="133"/>
      <c r="C195" s="133"/>
      <c r="D195" s="132"/>
      <c r="E195" s="132"/>
      <c r="F195" s="132"/>
      <c r="G195" s="132"/>
      <c r="H195" s="132"/>
      <c r="I195" s="132"/>
      <c r="J195" s="132"/>
      <c r="K195" s="132"/>
      <c r="L195" s="134"/>
      <c r="M195" s="132"/>
      <c r="N195" s="132"/>
      <c r="O195" s="132"/>
      <c r="P195" s="132"/>
      <c r="Q195" s="147"/>
      <c r="R195" s="395" t="e">
        <f>VLOOKUP(C195,'[1]ORIGINAL (2)'!$A:$C,3,FALSE)</f>
        <v>#N/A</v>
      </c>
      <c r="S195" s="100"/>
      <c r="T195" s="100"/>
      <c r="U195" s="100"/>
      <c r="V195" s="100"/>
    </row>
    <row r="196" spans="1:22" ht="15.75" thickBot="1" x14ac:dyDescent="0.3">
      <c r="A196" s="132"/>
      <c r="B196" s="133"/>
      <c r="C196" s="133"/>
      <c r="D196" s="132"/>
      <c r="E196" s="132"/>
      <c r="F196" s="132"/>
      <c r="G196" s="132"/>
      <c r="H196" s="132"/>
      <c r="I196" s="132"/>
      <c r="J196" s="132"/>
      <c r="K196" s="132"/>
      <c r="L196" s="134"/>
      <c r="M196" s="132"/>
      <c r="N196" s="132"/>
      <c r="O196" s="132"/>
      <c r="P196" s="132"/>
      <c r="Q196" s="147"/>
      <c r="R196" s="395" t="e">
        <f>VLOOKUP(C196,'[1]ORIGINAL (2)'!$A:$C,3,FALSE)</f>
        <v>#N/A</v>
      </c>
      <c r="S196" s="100"/>
      <c r="T196" s="100"/>
      <c r="U196" s="100"/>
      <c r="V196" s="100"/>
    </row>
    <row r="197" spans="1:22" x14ac:dyDescent="0.25">
      <c r="A197" s="132"/>
      <c r="B197" s="133"/>
      <c r="C197" s="133"/>
      <c r="D197" s="163"/>
      <c r="E197" s="104" t="s">
        <v>629</v>
      </c>
      <c r="F197" s="105"/>
      <c r="G197" s="132"/>
      <c r="H197" s="132"/>
      <c r="I197" s="132"/>
      <c r="J197" s="132"/>
      <c r="K197" s="132"/>
      <c r="L197" s="134"/>
      <c r="M197" s="132"/>
      <c r="N197" s="132"/>
      <c r="O197" s="132"/>
      <c r="P197" s="132"/>
      <c r="Q197" s="147"/>
      <c r="R197" s="395" t="e">
        <f>VLOOKUP(C197,'[1]ORIGINAL (2)'!$A:$C,3,FALSE)</f>
        <v>#N/A</v>
      </c>
      <c r="S197" s="100"/>
      <c r="T197" s="100"/>
      <c r="U197" s="100"/>
      <c r="V197" s="100"/>
    </row>
    <row r="198" spans="1:22" x14ac:dyDescent="0.25">
      <c r="A198" s="7" t="s">
        <v>2450</v>
      </c>
      <c r="B198" s="8">
        <v>9789500218344</v>
      </c>
      <c r="C198" s="8">
        <v>751236</v>
      </c>
      <c r="D198" s="7">
        <v>80</v>
      </c>
      <c r="E198" s="7" t="s">
        <v>2451</v>
      </c>
      <c r="F198" s="7" t="s">
        <v>2452</v>
      </c>
      <c r="G198" s="107">
        <v>46296</v>
      </c>
      <c r="H198" s="108">
        <v>46266</v>
      </c>
      <c r="I198" s="116">
        <v>3056</v>
      </c>
      <c r="J198" s="6" t="s">
        <v>2160</v>
      </c>
      <c r="K198" s="148">
        <v>2422.56</v>
      </c>
      <c r="L198" s="352">
        <v>24900</v>
      </c>
      <c r="M198" s="112"/>
      <c r="N198" s="9">
        <f t="shared" ref="N198:N248" si="24">+L198/2</f>
        <v>12450</v>
      </c>
      <c r="O198" s="9">
        <f t="shared" ref="O198:O248" si="25">+N198-M198-K198</f>
        <v>10027.44</v>
      </c>
      <c r="P198" s="9">
        <f t="shared" ref="P198:P248" si="26">+M198+K198</f>
        <v>2422.56</v>
      </c>
      <c r="Q198" s="139">
        <f t="shared" ref="Q198:Q248" si="27">+O198/N198</f>
        <v>0.8054168674698795</v>
      </c>
      <c r="R198" s="395">
        <f>VLOOKUP(C198,'[1]ORIGINAL (2)'!$A:$C,3,FALSE)</f>
        <v>18</v>
      </c>
      <c r="S198" s="24" t="e">
        <f>VLOOKUP(C198,#REF!,6,FALSE)</f>
        <v>#REF!</v>
      </c>
      <c r="T198" s="24" t="e">
        <f>VLOOKUP(C198,#REF!,7,FALSE)</f>
        <v>#REF!</v>
      </c>
      <c r="U198" s="24" t="e">
        <f>VLOOKUP(C198,#REF!,12,FALSE)</f>
        <v>#REF!</v>
      </c>
      <c r="V198" s="24" t="e">
        <f>VLOOKUP(C198,#REF!,13,FALSE)</f>
        <v>#REF!</v>
      </c>
    </row>
    <row r="199" spans="1:22" x14ac:dyDescent="0.25">
      <c r="A199" s="7" t="s">
        <v>2428</v>
      </c>
      <c r="B199" s="8">
        <v>9789500218177</v>
      </c>
      <c r="C199" s="8">
        <v>750391</v>
      </c>
      <c r="D199" s="7">
        <v>272</v>
      </c>
      <c r="E199" s="7" t="s">
        <v>2429</v>
      </c>
      <c r="F199" s="7" t="s">
        <v>2430</v>
      </c>
      <c r="G199" s="107">
        <v>46266</v>
      </c>
      <c r="H199" s="107">
        <v>46235</v>
      </c>
      <c r="I199" s="116">
        <v>2951</v>
      </c>
      <c r="J199" s="6" t="s">
        <v>2136</v>
      </c>
      <c r="K199" s="148">
        <v>2126.35</v>
      </c>
      <c r="L199" s="9">
        <v>15900</v>
      </c>
      <c r="M199" s="112"/>
      <c r="N199" s="9">
        <f t="shared" si="24"/>
        <v>7950</v>
      </c>
      <c r="O199" s="9">
        <f t="shared" si="25"/>
        <v>5823.65</v>
      </c>
      <c r="P199" s="9">
        <f t="shared" si="26"/>
        <v>2126.35</v>
      </c>
      <c r="Q199" s="139">
        <f t="shared" si="27"/>
        <v>0.73253459119496855</v>
      </c>
      <c r="R199" s="395">
        <f>VLOOKUP(C199,'[1]ORIGINAL (2)'!$A:$C,3,FALSE)</f>
        <v>224</v>
      </c>
      <c r="S199" s="24" t="e">
        <f>VLOOKUP(C199,#REF!,6,FALSE)</f>
        <v>#REF!</v>
      </c>
      <c r="T199" s="24" t="e">
        <f>VLOOKUP(C199,#REF!,7,FALSE)</f>
        <v>#REF!</v>
      </c>
      <c r="U199" s="24" t="e">
        <f>VLOOKUP(C199,#REF!,12,FALSE)</f>
        <v>#REF!</v>
      </c>
      <c r="V199" s="24" t="e">
        <f>VLOOKUP(C199,#REF!,13,FALSE)</f>
        <v>#REF!</v>
      </c>
    </row>
    <row r="200" spans="1:22" x14ac:dyDescent="0.25">
      <c r="A200" s="7" t="s">
        <v>2425</v>
      </c>
      <c r="B200" s="8">
        <v>9789500218160</v>
      </c>
      <c r="C200" s="8">
        <v>750390</v>
      </c>
      <c r="D200" s="7">
        <v>400</v>
      </c>
      <c r="E200" s="7" t="s">
        <v>2426</v>
      </c>
      <c r="F200" s="7" t="s">
        <v>2427</v>
      </c>
      <c r="G200" s="107">
        <v>46266</v>
      </c>
      <c r="H200" s="107">
        <v>46235</v>
      </c>
      <c r="I200" s="116">
        <v>5974</v>
      </c>
      <c r="J200" s="6" t="s">
        <v>2136</v>
      </c>
      <c r="K200" s="148">
        <v>2977.14</v>
      </c>
      <c r="L200" s="352">
        <v>34900</v>
      </c>
      <c r="M200" s="112">
        <f>+L200*0.08</f>
        <v>2792</v>
      </c>
      <c r="N200" s="9">
        <f t="shared" si="24"/>
        <v>17450</v>
      </c>
      <c r="O200" s="9">
        <f t="shared" si="25"/>
        <v>11680.86</v>
      </c>
      <c r="P200" s="9">
        <f t="shared" si="26"/>
        <v>5769.1399999999994</v>
      </c>
      <c r="Q200" s="139">
        <f t="shared" si="27"/>
        <v>0.66939025787965623</v>
      </c>
      <c r="R200" s="395">
        <f>VLOOKUP(C200,'[1]ORIGINAL (2)'!$A:$C,3,FALSE)</f>
        <v>642</v>
      </c>
      <c r="S200" s="24" t="e">
        <f>VLOOKUP(C200,#REF!,6,FALSE)</f>
        <v>#REF!</v>
      </c>
      <c r="T200" s="24" t="e">
        <f>VLOOKUP(C200,#REF!,7,FALSE)</f>
        <v>#REF!</v>
      </c>
      <c r="U200" s="24" t="e">
        <f>VLOOKUP(C200,#REF!,12,FALSE)</f>
        <v>#REF!</v>
      </c>
      <c r="V200" s="24" t="e">
        <f>VLOOKUP(C200,#REF!,13,FALSE)</f>
        <v>#REF!</v>
      </c>
    </row>
    <row r="201" spans="1:22" x14ac:dyDescent="0.25">
      <c r="A201" s="6" t="s">
        <v>2337</v>
      </c>
      <c r="B201" s="8">
        <v>9789500217729</v>
      </c>
      <c r="C201" s="8">
        <v>745988</v>
      </c>
      <c r="D201" s="8">
        <v>352</v>
      </c>
      <c r="E201" s="6" t="s">
        <v>2338</v>
      </c>
      <c r="F201" s="6" t="s">
        <v>2339</v>
      </c>
      <c r="G201" s="107">
        <v>46174</v>
      </c>
      <c r="H201" s="108">
        <v>46143</v>
      </c>
      <c r="I201" s="116">
        <v>4078</v>
      </c>
      <c r="J201" s="8" t="s">
        <v>1762</v>
      </c>
      <c r="K201" s="148">
        <v>3056.07</v>
      </c>
      <c r="L201" s="352">
        <v>33900</v>
      </c>
      <c r="M201" s="112">
        <f>+L201*0.08</f>
        <v>2712</v>
      </c>
      <c r="N201" s="9">
        <f t="shared" si="24"/>
        <v>16950</v>
      </c>
      <c r="O201" s="9">
        <f t="shared" si="25"/>
        <v>11181.93</v>
      </c>
      <c r="P201" s="9">
        <f t="shared" si="26"/>
        <v>5768.07</v>
      </c>
      <c r="Q201" s="139">
        <f t="shared" si="27"/>
        <v>0.65970088495575219</v>
      </c>
      <c r="R201" s="395">
        <f>VLOOKUP(C201,'[1]ORIGINAL (2)'!$A:$C,3,FALSE)</f>
        <v>641</v>
      </c>
      <c r="S201" s="24" t="e">
        <f>VLOOKUP(C201,#REF!,6,FALSE)</f>
        <v>#REF!</v>
      </c>
      <c r="T201" s="24" t="e">
        <f>VLOOKUP(C201,#REF!,7,FALSE)</f>
        <v>#REF!</v>
      </c>
      <c r="U201" s="24" t="e">
        <f>VLOOKUP(C201,#REF!,12,FALSE)</f>
        <v>#REF!</v>
      </c>
      <c r="V201" s="24" t="e">
        <f>VLOOKUP(C201,#REF!,13,FALSE)</f>
        <v>#REF!</v>
      </c>
    </row>
    <row r="202" spans="1:22" x14ac:dyDescent="0.25">
      <c r="A202" s="6" t="s">
        <v>2283</v>
      </c>
      <c r="B202" s="153">
        <v>9789500217446</v>
      </c>
      <c r="C202" s="6">
        <v>743064</v>
      </c>
      <c r="D202" s="41">
        <v>256</v>
      </c>
      <c r="E202" s="6" t="s">
        <v>2284</v>
      </c>
      <c r="F202" s="6" t="s">
        <v>2285</v>
      </c>
      <c r="G202" s="107">
        <v>46113</v>
      </c>
      <c r="H202" s="108">
        <v>46082</v>
      </c>
      <c r="I202" s="7">
        <v>4047</v>
      </c>
      <c r="J202" s="6" t="s">
        <v>1333</v>
      </c>
      <c r="K202" s="148">
        <v>2331.88</v>
      </c>
      <c r="L202" s="9">
        <v>32900</v>
      </c>
      <c r="M202" s="112">
        <f>+L202*0.08</f>
        <v>2632</v>
      </c>
      <c r="N202" s="9">
        <f t="shared" si="24"/>
        <v>16450</v>
      </c>
      <c r="O202" s="9">
        <f t="shared" si="25"/>
        <v>11486.119999999999</v>
      </c>
      <c r="P202" s="9">
        <f t="shared" si="26"/>
        <v>4963.88</v>
      </c>
      <c r="Q202" s="139">
        <f t="shared" si="27"/>
        <v>0.69824437689969598</v>
      </c>
      <c r="R202" s="395">
        <f>VLOOKUP(C202,'[1]ORIGINAL (2)'!$A:$C,3,FALSE)</f>
        <v>944</v>
      </c>
      <c r="S202" s="24" t="e">
        <f>VLOOKUP(C202,#REF!,6,FALSE)</f>
        <v>#REF!</v>
      </c>
      <c r="T202" s="24" t="e">
        <f>VLOOKUP(C202,#REF!,7,FALSE)</f>
        <v>#REF!</v>
      </c>
      <c r="U202" s="24" t="e">
        <f>VLOOKUP(C202,#REF!,12,FALSE)</f>
        <v>#REF!</v>
      </c>
      <c r="V202" s="24" t="e">
        <f>VLOOKUP(C202,#REF!,13,FALSE)</f>
        <v>#REF!</v>
      </c>
    </row>
    <row r="203" spans="1:22" x14ac:dyDescent="0.25">
      <c r="A203" s="6" t="s">
        <v>2254</v>
      </c>
      <c r="B203" s="153">
        <v>9789500217316</v>
      </c>
      <c r="C203" s="6">
        <v>741697</v>
      </c>
      <c r="D203" s="41">
        <v>288</v>
      </c>
      <c r="E203" s="6" t="s">
        <v>1938</v>
      </c>
      <c r="F203" s="6" t="s">
        <v>2255</v>
      </c>
      <c r="G203" s="107">
        <v>46082</v>
      </c>
      <c r="H203" s="108">
        <v>46054</v>
      </c>
      <c r="I203" s="7">
        <v>2018</v>
      </c>
      <c r="J203" s="8" t="s">
        <v>2258</v>
      </c>
      <c r="K203" s="148">
        <v>4554.67</v>
      </c>
      <c r="L203" s="9">
        <v>32900</v>
      </c>
      <c r="M203" s="9">
        <f>+L203*0.08</f>
        <v>2632</v>
      </c>
      <c r="N203" s="9">
        <f t="shared" si="24"/>
        <v>16450</v>
      </c>
      <c r="O203" s="9">
        <f t="shared" si="25"/>
        <v>9263.33</v>
      </c>
      <c r="P203" s="9">
        <f t="shared" si="26"/>
        <v>7186.67</v>
      </c>
      <c r="Q203" s="109">
        <f t="shared" si="27"/>
        <v>0.56312036474164129</v>
      </c>
      <c r="R203" s="395">
        <f>VLOOKUP(C203,'[1]ORIGINAL (2)'!$A:$C,3,FALSE)</f>
        <v>170</v>
      </c>
      <c r="S203" s="24" t="e">
        <f>VLOOKUP(C203,#REF!,6,FALSE)</f>
        <v>#REF!</v>
      </c>
      <c r="T203" s="24" t="e">
        <f>VLOOKUP(C203,#REF!,7,FALSE)</f>
        <v>#REF!</v>
      </c>
      <c r="U203" s="24" t="e">
        <f>VLOOKUP(C203,#REF!,12,FALSE)</f>
        <v>#REF!</v>
      </c>
      <c r="V203" s="24" t="e">
        <f>VLOOKUP(C203,#REF!,13,FALSE)</f>
        <v>#REF!</v>
      </c>
    </row>
    <row r="204" spans="1:22" x14ac:dyDescent="0.25">
      <c r="A204" s="6" t="s">
        <v>2166</v>
      </c>
      <c r="B204" s="153">
        <v>9789500216821</v>
      </c>
      <c r="C204" s="6">
        <v>737013</v>
      </c>
      <c r="D204" s="41">
        <v>336</v>
      </c>
      <c r="E204" s="316" t="s">
        <v>2167</v>
      </c>
      <c r="F204" s="29" t="s">
        <v>2168</v>
      </c>
      <c r="G204" s="329">
        <v>45962</v>
      </c>
      <c r="H204" s="108">
        <v>45931</v>
      </c>
      <c r="I204" s="7">
        <v>4117</v>
      </c>
      <c r="J204" s="7" t="s">
        <v>1946</v>
      </c>
      <c r="K204" s="292">
        <v>6557.28</v>
      </c>
      <c r="L204" s="9">
        <v>47900</v>
      </c>
      <c r="M204" s="9"/>
      <c r="N204" s="9">
        <f t="shared" si="24"/>
        <v>23950</v>
      </c>
      <c r="O204" s="9">
        <f t="shared" si="25"/>
        <v>17392.72</v>
      </c>
      <c r="P204" s="9">
        <f t="shared" si="26"/>
        <v>6557.28</v>
      </c>
      <c r="Q204" s="109">
        <f t="shared" si="27"/>
        <v>0.72620960334029228</v>
      </c>
      <c r="R204" s="395">
        <f>VLOOKUP(C204,'[1]ORIGINAL (2)'!$A:$C,3,FALSE)</f>
        <v>618</v>
      </c>
      <c r="S204" s="24" t="e">
        <f>VLOOKUP(C204,#REF!,6,FALSE)</f>
        <v>#REF!</v>
      </c>
      <c r="T204" s="24" t="e">
        <f>VLOOKUP(C204,#REF!,7,FALSE)</f>
        <v>#REF!</v>
      </c>
      <c r="U204" s="24" t="e">
        <f>VLOOKUP(C204,#REF!,12,FALSE)</f>
        <v>#REF!</v>
      </c>
      <c r="V204" s="24" t="e">
        <f>VLOOKUP(C204,#REF!,13,FALSE)</f>
        <v>#REF!</v>
      </c>
    </row>
    <row r="205" spans="1:22" x14ac:dyDescent="0.25">
      <c r="A205" s="6" t="s">
        <v>2172</v>
      </c>
      <c r="B205" s="153">
        <v>9789500216852</v>
      </c>
      <c r="C205" s="6">
        <v>737015</v>
      </c>
      <c r="D205" s="41">
        <v>272</v>
      </c>
      <c r="E205" s="6" t="s">
        <v>2173</v>
      </c>
      <c r="F205" s="29" t="s">
        <v>2174</v>
      </c>
      <c r="G205" s="329">
        <v>45962</v>
      </c>
      <c r="H205" s="108">
        <v>45931</v>
      </c>
      <c r="I205" s="7">
        <v>4000</v>
      </c>
      <c r="J205" s="7" t="s">
        <v>1762</v>
      </c>
      <c r="K205" s="148">
        <v>2519.5100000000002</v>
      </c>
      <c r="L205" s="9">
        <v>24900</v>
      </c>
      <c r="M205" s="9">
        <f>+L205*0.08</f>
        <v>1992</v>
      </c>
      <c r="N205" s="9">
        <f t="shared" si="24"/>
        <v>12450</v>
      </c>
      <c r="O205" s="9">
        <f t="shared" si="25"/>
        <v>7938.49</v>
      </c>
      <c r="P205" s="9">
        <f t="shared" si="26"/>
        <v>4511.51</v>
      </c>
      <c r="Q205" s="109">
        <f t="shared" si="27"/>
        <v>0.63762971887550202</v>
      </c>
      <c r="R205" s="395">
        <f>VLOOKUP(C205,'[1]ORIGINAL (2)'!$A:$C,3,FALSE)</f>
        <v>649</v>
      </c>
      <c r="S205" s="24" t="e">
        <f>VLOOKUP(C205,#REF!,6,FALSE)</f>
        <v>#REF!</v>
      </c>
      <c r="T205" s="24" t="e">
        <f>VLOOKUP(C205,#REF!,7,FALSE)</f>
        <v>#REF!</v>
      </c>
      <c r="U205" s="24" t="e">
        <f>VLOOKUP(C205,#REF!,12,FALSE)</f>
        <v>#REF!</v>
      </c>
      <c r="V205" s="24" t="e">
        <f>VLOOKUP(C205,#REF!,13,FALSE)</f>
        <v>#REF!</v>
      </c>
    </row>
    <row r="206" spans="1:22" x14ac:dyDescent="0.25">
      <c r="A206" s="6" t="s">
        <v>2151</v>
      </c>
      <c r="B206" s="153">
        <v>9789500216784</v>
      </c>
      <c r="C206" s="6">
        <v>735112</v>
      </c>
      <c r="D206" s="41">
        <v>416</v>
      </c>
      <c r="E206" s="6" t="s">
        <v>2152</v>
      </c>
      <c r="F206" s="6" t="s">
        <v>2153</v>
      </c>
      <c r="G206" s="107">
        <v>45931</v>
      </c>
      <c r="H206" s="108">
        <v>46023</v>
      </c>
      <c r="I206" s="7">
        <v>2059</v>
      </c>
      <c r="J206" s="7" t="s">
        <v>1762</v>
      </c>
      <c r="K206" s="148">
        <v>3354.42</v>
      </c>
      <c r="L206" s="9">
        <v>32500</v>
      </c>
      <c r="M206" s="9">
        <f>+L206*0.09</f>
        <v>2925</v>
      </c>
      <c r="N206" s="9">
        <f t="shared" si="24"/>
        <v>16250</v>
      </c>
      <c r="O206" s="9">
        <f t="shared" si="25"/>
        <v>9970.58</v>
      </c>
      <c r="P206" s="9">
        <f t="shared" si="26"/>
        <v>6279.42</v>
      </c>
      <c r="Q206" s="109">
        <f t="shared" si="27"/>
        <v>0.61357415384615388</v>
      </c>
      <c r="R206" s="395">
        <f>VLOOKUP(C206,'[1]ORIGINAL (2)'!$A:$C,3,FALSE)</f>
        <v>2867</v>
      </c>
      <c r="S206" s="24" t="e">
        <f>VLOOKUP(C206,#REF!,6,FALSE)</f>
        <v>#REF!</v>
      </c>
      <c r="T206" s="24" t="e">
        <f>VLOOKUP(C206,#REF!,7,FALSE)</f>
        <v>#REF!</v>
      </c>
      <c r="U206" s="24" t="e">
        <f>VLOOKUP(C206,#REF!,12,FALSE)</f>
        <v>#REF!</v>
      </c>
      <c r="V206" s="24" t="e">
        <f>VLOOKUP(C206,#REF!,13,FALSE)</f>
        <v>#REF!</v>
      </c>
    </row>
    <row r="207" spans="1:22" x14ac:dyDescent="0.25">
      <c r="A207" s="6" t="s">
        <v>2113</v>
      </c>
      <c r="B207" s="153">
        <v>9789500216616</v>
      </c>
      <c r="C207" s="6">
        <v>734148</v>
      </c>
      <c r="D207" s="41">
        <v>384</v>
      </c>
      <c r="E207" s="6" t="s">
        <v>2120</v>
      </c>
      <c r="F207" s="6" t="s">
        <v>2139</v>
      </c>
      <c r="G207" s="107">
        <v>45901</v>
      </c>
      <c r="H207" s="108">
        <v>45870</v>
      </c>
      <c r="I207" s="7">
        <v>5010</v>
      </c>
      <c r="J207" s="7" t="s">
        <v>1762</v>
      </c>
      <c r="K207" s="148">
        <v>2806.4</v>
      </c>
      <c r="L207" s="9">
        <v>32500</v>
      </c>
      <c r="M207" s="9">
        <f>+L207*0.08</f>
        <v>2600</v>
      </c>
      <c r="N207" s="9">
        <f t="shared" si="24"/>
        <v>16250</v>
      </c>
      <c r="O207" s="9">
        <f t="shared" si="25"/>
        <v>10843.6</v>
      </c>
      <c r="P207" s="9">
        <f t="shared" si="26"/>
        <v>5406.4</v>
      </c>
      <c r="Q207" s="109">
        <f t="shared" si="27"/>
        <v>0.66729846153846151</v>
      </c>
      <c r="R207" s="395">
        <f>VLOOKUP(C207,'[1]ORIGINAL (2)'!$A:$C,3,FALSE)</f>
        <v>1064</v>
      </c>
      <c r="S207" s="24" t="e">
        <f>VLOOKUP(C207,#REF!,6,FALSE)</f>
        <v>#REF!</v>
      </c>
      <c r="T207" s="24" t="e">
        <f>VLOOKUP(C207,#REF!,7,FALSE)</f>
        <v>#REF!</v>
      </c>
      <c r="U207" s="24" t="e">
        <f>VLOOKUP(C207,#REF!,12,FALSE)</f>
        <v>#REF!</v>
      </c>
      <c r="V207" s="24" t="e">
        <f>VLOOKUP(C207,#REF!,13,FALSE)</f>
        <v>#REF!</v>
      </c>
    </row>
    <row r="208" spans="1:22" x14ac:dyDescent="0.25">
      <c r="A208" s="6" t="s">
        <v>2013</v>
      </c>
      <c r="B208" s="279">
        <v>9789500216050</v>
      </c>
      <c r="C208" s="6">
        <v>728112</v>
      </c>
      <c r="D208" s="41">
        <v>448</v>
      </c>
      <c r="E208" s="6" t="s">
        <v>2014</v>
      </c>
      <c r="F208" s="6" t="s">
        <v>2015</v>
      </c>
      <c r="G208" s="118">
        <v>45748</v>
      </c>
      <c r="H208" s="108">
        <v>45901</v>
      </c>
      <c r="I208" s="264">
        <v>2024</v>
      </c>
      <c r="J208" s="8" t="s">
        <v>2258</v>
      </c>
      <c r="K208" s="292">
        <v>2893.44</v>
      </c>
      <c r="L208" s="9">
        <v>36900</v>
      </c>
      <c r="M208" s="112">
        <f>+L208*0.12</f>
        <v>4428</v>
      </c>
      <c r="N208" s="9">
        <f t="shared" si="24"/>
        <v>18450</v>
      </c>
      <c r="O208" s="9">
        <f t="shared" si="25"/>
        <v>11128.56</v>
      </c>
      <c r="P208" s="9">
        <f t="shared" si="26"/>
        <v>7321.4400000000005</v>
      </c>
      <c r="Q208" s="109">
        <f t="shared" si="27"/>
        <v>0.60317398373983733</v>
      </c>
      <c r="R208" s="395">
        <f>VLOOKUP(C208,'[1]ORIGINAL (2)'!$A:$C,3,FALSE)</f>
        <v>1283</v>
      </c>
      <c r="S208" s="24" t="e">
        <f>VLOOKUP(C208,#REF!,6,FALSE)</f>
        <v>#REF!</v>
      </c>
      <c r="T208" s="24" t="e">
        <f>VLOOKUP(C208,#REF!,7,FALSE)</f>
        <v>#REF!</v>
      </c>
      <c r="U208" s="24" t="e">
        <f>VLOOKUP(C208,#REF!,12,FALSE)</f>
        <v>#REF!</v>
      </c>
      <c r="V208" s="24" t="e">
        <f>VLOOKUP(C208,#REF!,13,FALSE)</f>
        <v>#REF!</v>
      </c>
    </row>
    <row r="209" spans="1:22" x14ac:dyDescent="0.25">
      <c r="A209" s="6" t="s">
        <v>1964</v>
      </c>
      <c r="B209" s="8">
        <v>9789500216203</v>
      </c>
      <c r="C209" s="8">
        <v>728655</v>
      </c>
      <c r="D209" s="41">
        <v>400</v>
      </c>
      <c r="E209" s="6" t="s">
        <v>534</v>
      </c>
      <c r="F209" s="6" t="s">
        <v>2033</v>
      </c>
      <c r="G209" s="107">
        <v>45748</v>
      </c>
      <c r="H209" s="108">
        <v>45992</v>
      </c>
      <c r="I209" s="264">
        <v>2002</v>
      </c>
      <c r="J209" s="28" t="s">
        <v>1946</v>
      </c>
      <c r="K209" s="148">
        <v>3393.08</v>
      </c>
      <c r="L209" s="9">
        <v>38700</v>
      </c>
      <c r="M209" s="112">
        <f>+L209*0.12</f>
        <v>4644</v>
      </c>
      <c r="N209" s="9">
        <f t="shared" si="24"/>
        <v>19350</v>
      </c>
      <c r="O209" s="9">
        <f t="shared" si="25"/>
        <v>11312.92</v>
      </c>
      <c r="P209" s="9">
        <f t="shared" si="26"/>
        <v>8037.08</v>
      </c>
      <c r="Q209" s="139">
        <f t="shared" si="27"/>
        <v>0.58464702842377259</v>
      </c>
      <c r="R209" s="395">
        <f>VLOOKUP(C209,'[1]ORIGINAL (2)'!$A:$C,3,FALSE)</f>
        <v>1096</v>
      </c>
      <c r="S209" s="24" t="e">
        <f>VLOOKUP(C209,#REF!,6,FALSE)</f>
        <v>#REF!</v>
      </c>
      <c r="T209" s="24" t="e">
        <f>VLOOKUP(C209,#REF!,7,FALSE)</f>
        <v>#REF!</v>
      </c>
      <c r="U209" s="24" t="e">
        <f>VLOOKUP(C209,#REF!,12,FALSE)</f>
        <v>#REF!</v>
      </c>
      <c r="V209" s="24" t="e">
        <f>VLOOKUP(C209,#REF!,13,FALSE)</f>
        <v>#REF!</v>
      </c>
    </row>
    <row r="210" spans="1:22" x14ac:dyDescent="0.25">
      <c r="A210" s="6" t="s">
        <v>1964</v>
      </c>
      <c r="B210" s="279">
        <v>9789500215787</v>
      </c>
      <c r="C210" s="8">
        <v>725178</v>
      </c>
      <c r="D210" s="41">
        <v>400</v>
      </c>
      <c r="E210" s="6" t="s">
        <v>534</v>
      </c>
      <c r="F210" s="6" t="s">
        <v>1965</v>
      </c>
      <c r="G210" s="107">
        <v>45658</v>
      </c>
      <c r="H210" s="108">
        <v>45627</v>
      </c>
      <c r="I210" s="264">
        <v>5043</v>
      </c>
      <c r="J210" s="28" t="s">
        <v>1946</v>
      </c>
      <c r="K210" s="148">
        <v>3122.16</v>
      </c>
      <c r="L210" s="9">
        <v>38700</v>
      </c>
      <c r="M210" s="112">
        <f>+L210*0.1</f>
        <v>3870</v>
      </c>
      <c r="N210" s="9">
        <f t="shared" si="24"/>
        <v>19350</v>
      </c>
      <c r="O210" s="9">
        <f t="shared" si="25"/>
        <v>12357.84</v>
      </c>
      <c r="P210" s="9">
        <f t="shared" si="26"/>
        <v>6992.16</v>
      </c>
      <c r="Q210" s="139">
        <f t="shared" si="27"/>
        <v>0.63864806201550384</v>
      </c>
      <c r="R210" s="395">
        <f>VLOOKUP(C210,'[1]ORIGINAL (2)'!$A:$C,3,FALSE)</f>
        <v>104</v>
      </c>
      <c r="S210" s="24" t="e">
        <f>VLOOKUP(C210,#REF!,6,FALSE)</f>
        <v>#REF!</v>
      </c>
      <c r="T210" s="24" t="e">
        <f>VLOOKUP(C210,#REF!,7,FALSE)</f>
        <v>#REF!</v>
      </c>
      <c r="U210" s="24" t="e">
        <f>VLOOKUP(C210,#REF!,12,FALSE)</f>
        <v>#REF!</v>
      </c>
      <c r="V210" s="24" t="e">
        <f>VLOOKUP(C210,#REF!,13,FALSE)</f>
        <v>#REF!</v>
      </c>
    </row>
    <row r="211" spans="1:22" x14ac:dyDescent="0.25">
      <c r="A211" s="7" t="s">
        <v>1911</v>
      </c>
      <c r="B211" s="279">
        <v>9789500215527</v>
      </c>
      <c r="C211" s="8">
        <v>721548</v>
      </c>
      <c r="D211" s="41">
        <v>520</v>
      </c>
      <c r="E211" s="7" t="s">
        <v>844</v>
      </c>
      <c r="F211" s="278" t="s">
        <v>1912</v>
      </c>
      <c r="G211" s="107">
        <v>45566</v>
      </c>
      <c r="H211" s="108">
        <v>45962</v>
      </c>
      <c r="I211" s="264">
        <v>2035</v>
      </c>
      <c r="J211" s="8" t="s">
        <v>2258</v>
      </c>
      <c r="K211" s="148">
        <v>4054.6400000000003</v>
      </c>
      <c r="L211" s="9">
        <v>37700</v>
      </c>
      <c r="M211" s="112">
        <f>+L211*0.1</f>
        <v>3770</v>
      </c>
      <c r="N211" s="9">
        <f t="shared" si="24"/>
        <v>18850</v>
      </c>
      <c r="O211" s="9">
        <f t="shared" si="25"/>
        <v>11025.36</v>
      </c>
      <c r="P211" s="9">
        <f t="shared" si="26"/>
        <v>7824.64</v>
      </c>
      <c r="Q211" s="139">
        <f t="shared" si="27"/>
        <v>0.5848997347480106</v>
      </c>
      <c r="R211" s="395">
        <f>VLOOKUP(C211,'[1]ORIGINAL (2)'!$A:$C,3,FALSE)</f>
        <v>1730</v>
      </c>
      <c r="S211" s="24" t="e">
        <f>VLOOKUP(C211,#REF!,6,FALSE)</f>
        <v>#REF!</v>
      </c>
      <c r="T211" s="24" t="e">
        <f>VLOOKUP(C211,#REF!,7,FALSE)</f>
        <v>#REF!</v>
      </c>
      <c r="U211" s="24" t="e">
        <f>VLOOKUP(C211,#REF!,12,FALSE)</f>
        <v>#REF!</v>
      </c>
      <c r="V211" s="24" t="e">
        <f>VLOOKUP(C211,#REF!,13,FALSE)</f>
        <v>#REF!</v>
      </c>
    </row>
    <row r="212" spans="1:22" x14ac:dyDescent="0.25">
      <c r="A212" s="7" t="s">
        <v>1789</v>
      </c>
      <c r="B212" s="8">
        <v>9789500214773</v>
      </c>
      <c r="C212" s="8">
        <v>714590</v>
      </c>
      <c r="D212" s="25">
        <v>256</v>
      </c>
      <c r="E212" s="25" t="s">
        <v>1790</v>
      </c>
      <c r="F212" s="25" t="s">
        <v>1791</v>
      </c>
      <c r="G212" s="107">
        <v>45383</v>
      </c>
      <c r="H212" s="108">
        <v>45352</v>
      </c>
      <c r="I212" s="7">
        <v>3028</v>
      </c>
      <c r="J212" s="8" t="s">
        <v>2258</v>
      </c>
      <c r="K212" s="148">
        <v>2228.36</v>
      </c>
      <c r="L212" s="9">
        <v>21900</v>
      </c>
      <c r="M212" s="112">
        <f>+L212*0.1</f>
        <v>2190</v>
      </c>
      <c r="N212" s="9">
        <f t="shared" si="24"/>
        <v>10950</v>
      </c>
      <c r="O212" s="9">
        <f t="shared" si="25"/>
        <v>6531.6399999999994</v>
      </c>
      <c r="P212" s="9">
        <f t="shared" si="26"/>
        <v>4418.3600000000006</v>
      </c>
      <c r="Q212" s="139">
        <f t="shared" si="27"/>
        <v>0.59649680365296798</v>
      </c>
      <c r="R212" s="395">
        <f>VLOOKUP(C212,'[1]ORIGINAL (2)'!$A:$C,3,FALSE)</f>
        <v>208</v>
      </c>
      <c r="S212" s="24" t="e">
        <f>VLOOKUP(C212,#REF!,6,FALSE)</f>
        <v>#REF!</v>
      </c>
      <c r="T212" s="24" t="e">
        <f>VLOOKUP(C212,#REF!,7,FALSE)</f>
        <v>#REF!</v>
      </c>
      <c r="U212" s="24" t="e">
        <f>VLOOKUP(C212,#REF!,12,FALSE)</f>
        <v>#REF!</v>
      </c>
      <c r="V212" s="24" t="e">
        <f>VLOOKUP(C212,#REF!,13,FALSE)</f>
        <v>#REF!</v>
      </c>
    </row>
    <row r="213" spans="1:22" x14ac:dyDescent="0.25">
      <c r="A213" s="6" t="s">
        <v>890</v>
      </c>
      <c r="B213" s="8">
        <v>9789500214803</v>
      </c>
      <c r="C213" s="8">
        <v>713925</v>
      </c>
      <c r="D213" s="41">
        <v>192</v>
      </c>
      <c r="E213" s="7" t="s">
        <v>891</v>
      </c>
      <c r="F213" s="7" t="s">
        <v>880</v>
      </c>
      <c r="G213" s="107">
        <v>45352</v>
      </c>
      <c r="H213" s="108">
        <v>45323</v>
      </c>
      <c r="I213" s="7">
        <v>4069</v>
      </c>
      <c r="J213" s="7" t="s">
        <v>1762</v>
      </c>
      <c r="K213" s="148">
        <v>1548.56</v>
      </c>
      <c r="L213" s="9">
        <v>22900</v>
      </c>
      <c r="M213" s="112">
        <f>+L213*0.08</f>
        <v>1832</v>
      </c>
      <c r="N213" s="9">
        <f t="shared" si="24"/>
        <v>11450</v>
      </c>
      <c r="O213" s="9">
        <f t="shared" si="25"/>
        <v>8069.4400000000005</v>
      </c>
      <c r="P213" s="9">
        <f t="shared" si="26"/>
        <v>3380.56</v>
      </c>
      <c r="Q213" s="139">
        <f t="shared" si="27"/>
        <v>0.70475458515283851</v>
      </c>
      <c r="R213" s="395">
        <f>VLOOKUP(C213,'[1]ORIGINAL (2)'!$A:$C,3,FALSE)</f>
        <v>603</v>
      </c>
      <c r="S213" s="24" t="e">
        <f>VLOOKUP(C213,#REF!,6,FALSE)</f>
        <v>#REF!</v>
      </c>
      <c r="T213" s="24" t="e">
        <f>VLOOKUP(C213,#REF!,7,FALSE)</f>
        <v>#REF!</v>
      </c>
      <c r="U213" s="24" t="e">
        <f>VLOOKUP(C213,#REF!,12,FALSE)</f>
        <v>#REF!</v>
      </c>
      <c r="V213" s="24" t="e">
        <f>VLOOKUP(C213,#REF!,13,FALSE)</f>
        <v>#REF!</v>
      </c>
    </row>
    <row r="214" spans="1:22" x14ac:dyDescent="0.25">
      <c r="A214" s="36" t="s">
        <v>1182</v>
      </c>
      <c r="B214" s="37">
        <v>9789500214728</v>
      </c>
      <c r="C214" s="37">
        <v>713083</v>
      </c>
      <c r="D214" s="149">
        <v>176</v>
      </c>
      <c r="E214" s="38" t="s">
        <v>876</v>
      </c>
      <c r="F214" s="38" t="s">
        <v>874</v>
      </c>
      <c r="G214" s="107">
        <v>45292</v>
      </c>
      <c r="H214" s="108">
        <v>45261</v>
      </c>
      <c r="I214" s="7">
        <v>3045</v>
      </c>
      <c r="J214" s="8" t="s">
        <v>2258</v>
      </c>
      <c r="K214" s="148">
        <v>975.98</v>
      </c>
      <c r="L214" s="9">
        <v>19700</v>
      </c>
      <c r="M214" s="112">
        <f>+L214*0.08</f>
        <v>1576</v>
      </c>
      <c r="N214" s="9">
        <f t="shared" si="24"/>
        <v>9850</v>
      </c>
      <c r="O214" s="9">
        <f t="shared" si="25"/>
        <v>7298.02</v>
      </c>
      <c r="P214" s="9">
        <f t="shared" si="26"/>
        <v>2551.98</v>
      </c>
      <c r="Q214" s="139">
        <f t="shared" si="27"/>
        <v>0.74091573604060923</v>
      </c>
      <c r="R214" s="395">
        <f>VLOOKUP(C214,'[1]ORIGINAL (2)'!$A:$C,3,FALSE)</f>
        <v>71</v>
      </c>
      <c r="S214" s="24" t="e">
        <f>VLOOKUP(C214,#REF!,6,FALSE)</f>
        <v>#REF!</v>
      </c>
      <c r="T214" s="24" t="e">
        <f>VLOOKUP(C214,#REF!,7,FALSE)</f>
        <v>#REF!</v>
      </c>
      <c r="U214" s="24" t="e">
        <f>VLOOKUP(C214,#REF!,12,FALSE)</f>
        <v>#REF!</v>
      </c>
      <c r="V214" s="24" t="e">
        <f>VLOOKUP(C214,#REF!,13,FALSE)</f>
        <v>#REF!</v>
      </c>
    </row>
    <row r="215" spans="1:22" x14ac:dyDescent="0.25">
      <c r="A215" s="6" t="s">
        <v>1183</v>
      </c>
      <c r="B215" s="8">
        <v>9789500214513</v>
      </c>
      <c r="C215" s="6">
        <v>711847</v>
      </c>
      <c r="D215" s="41">
        <v>320</v>
      </c>
      <c r="E215" s="7" t="s">
        <v>710</v>
      </c>
      <c r="F215" s="7" t="s">
        <v>863</v>
      </c>
      <c r="G215" s="107">
        <v>45261</v>
      </c>
      <c r="H215" s="108">
        <v>45231</v>
      </c>
      <c r="I215" s="7">
        <v>3090</v>
      </c>
      <c r="J215" s="8" t="s">
        <v>2258</v>
      </c>
      <c r="K215" s="9">
        <v>1108.6199999999999</v>
      </c>
      <c r="L215" s="9">
        <v>24900</v>
      </c>
      <c r="M215" s="112">
        <f>+L215*0.08</f>
        <v>1992</v>
      </c>
      <c r="N215" s="9">
        <f t="shared" si="24"/>
        <v>12450</v>
      </c>
      <c r="O215" s="9">
        <f t="shared" si="25"/>
        <v>9349.380000000001</v>
      </c>
      <c r="P215" s="9">
        <f t="shared" si="26"/>
        <v>3100.62</v>
      </c>
      <c r="Q215" s="139">
        <f t="shared" si="27"/>
        <v>0.75095421686746999</v>
      </c>
      <c r="R215" s="395">
        <f>VLOOKUP(C215,'[1]ORIGINAL (2)'!$A:$C,3,FALSE)</f>
        <v>283</v>
      </c>
      <c r="S215" s="24" t="e">
        <f>VLOOKUP(C215,#REF!,6,FALSE)</f>
        <v>#REF!</v>
      </c>
      <c r="T215" s="24" t="e">
        <f>VLOOKUP(C215,#REF!,7,FALSE)</f>
        <v>#REF!</v>
      </c>
      <c r="U215" s="24" t="e">
        <f>VLOOKUP(C215,#REF!,12,FALSE)</f>
        <v>#REF!</v>
      </c>
      <c r="V215" s="24" t="e">
        <f>VLOOKUP(C215,#REF!,13,FALSE)</f>
        <v>#REF!</v>
      </c>
    </row>
    <row r="216" spans="1:22" x14ac:dyDescent="0.25">
      <c r="A216" s="6" t="s">
        <v>1184</v>
      </c>
      <c r="B216" s="8">
        <v>9789500214285</v>
      </c>
      <c r="C216" s="8">
        <v>710536</v>
      </c>
      <c r="D216" s="41">
        <v>256</v>
      </c>
      <c r="E216" s="7" t="s">
        <v>479</v>
      </c>
      <c r="F216" s="6" t="s">
        <v>853</v>
      </c>
      <c r="G216" s="107">
        <v>45231</v>
      </c>
      <c r="H216" s="108">
        <v>46174</v>
      </c>
      <c r="I216" s="116">
        <v>1093</v>
      </c>
      <c r="J216" s="7" t="s">
        <v>1762</v>
      </c>
      <c r="K216" s="148">
        <v>2611.89</v>
      </c>
      <c r="L216" s="9">
        <v>27500</v>
      </c>
      <c r="M216" s="9">
        <f>+L216*0.1</f>
        <v>2750</v>
      </c>
      <c r="N216" s="9">
        <f t="shared" si="24"/>
        <v>13750</v>
      </c>
      <c r="O216" s="9">
        <f t="shared" si="25"/>
        <v>8388.11</v>
      </c>
      <c r="P216" s="9">
        <f t="shared" si="26"/>
        <v>5361.8899999999994</v>
      </c>
      <c r="Q216" s="139">
        <f t="shared" si="27"/>
        <v>0.61004436363636372</v>
      </c>
      <c r="R216" s="395">
        <f>VLOOKUP(C216,'[1]ORIGINAL (2)'!$A:$C,3,FALSE)</f>
        <v>792</v>
      </c>
      <c r="S216" s="24" t="e">
        <f>VLOOKUP(C216,#REF!,6,FALSE)</f>
        <v>#REF!</v>
      </c>
      <c r="T216" s="24" t="e">
        <f>VLOOKUP(C216,#REF!,7,FALSE)</f>
        <v>#REF!</v>
      </c>
      <c r="U216" s="24" t="e">
        <f>VLOOKUP(C216,#REF!,12,FALSE)</f>
        <v>#REF!</v>
      </c>
      <c r="V216" s="24" t="e">
        <f>VLOOKUP(C216,#REF!,13,FALSE)</f>
        <v>#REF!</v>
      </c>
    </row>
    <row r="217" spans="1:22" x14ac:dyDescent="0.25">
      <c r="A217" s="6" t="s">
        <v>1185</v>
      </c>
      <c r="B217" s="8">
        <v>9789500214193</v>
      </c>
      <c r="C217" s="8">
        <v>709895</v>
      </c>
      <c r="D217" s="41">
        <v>544</v>
      </c>
      <c r="E217" s="7" t="s">
        <v>844</v>
      </c>
      <c r="F217" s="6" t="s">
        <v>845</v>
      </c>
      <c r="G217" s="107">
        <v>45200</v>
      </c>
      <c r="H217" s="108">
        <v>46054</v>
      </c>
      <c r="I217" s="264">
        <v>2091</v>
      </c>
      <c r="J217" s="8" t="s">
        <v>2258</v>
      </c>
      <c r="K217" s="117">
        <v>4255.6499999999996</v>
      </c>
      <c r="L217" s="9">
        <v>37700</v>
      </c>
      <c r="M217" s="9">
        <f>+L217*0.08</f>
        <v>3016</v>
      </c>
      <c r="N217" s="9">
        <f t="shared" si="24"/>
        <v>18850</v>
      </c>
      <c r="O217" s="9">
        <f t="shared" si="25"/>
        <v>11578.35</v>
      </c>
      <c r="P217" s="9">
        <f t="shared" si="26"/>
        <v>7271.65</v>
      </c>
      <c r="Q217" s="139">
        <f t="shared" si="27"/>
        <v>0.61423607427055704</v>
      </c>
      <c r="R217" s="395">
        <f>VLOOKUP(C217,'[1]ORIGINAL (2)'!$A:$C,3,FALSE)</f>
        <v>1586</v>
      </c>
      <c r="S217" s="24" t="e">
        <f>VLOOKUP(C217,#REF!,6,FALSE)</f>
        <v>#REF!</v>
      </c>
      <c r="T217" s="24" t="e">
        <f>VLOOKUP(C217,#REF!,7,FALSE)</f>
        <v>#REF!</v>
      </c>
      <c r="U217" s="24" t="e">
        <f>VLOOKUP(C217,#REF!,12,FALSE)</f>
        <v>#REF!</v>
      </c>
      <c r="V217" s="24" t="e">
        <f>VLOOKUP(C217,#REF!,13,FALSE)</f>
        <v>#REF!</v>
      </c>
    </row>
    <row r="218" spans="1:22" x14ac:dyDescent="0.25">
      <c r="A218" s="6" t="s">
        <v>1186</v>
      </c>
      <c r="B218" s="8">
        <v>9789500213479</v>
      </c>
      <c r="C218" s="8">
        <v>707247</v>
      </c>
      <c r="D218" s="41">
        <v>544</v>
      </c>
      <c r="E218" s="7" t="s">
        <v>810</v>
      </c>
      <c r="F218" s="7" t="s">
        <v>809</v>
      </c>
      <c r="G218" s="107">
        <v>45108</v>
      </c>
      <c r="H218" s="108">
        <v>45078</v>
      </c>
      <c r="I218" s="7">
        <v>3078</v>
      </c>
      <c r="J218" s="8" t="s">
        <v>2258</v>
      </c>
      <c r="K218" s="9">
        <v>1061.46</v>
      </c>
      <c r="L218" s="9">
        <v>22900</v>
      </c>
      <c r="M218" s="9">
        <f>+L218*0.08</f>
        <v>1832</v>
      </c>
      <c r="N218" s="9">
        <f t="shared" si="24"/>
        <v>11450</v>
      </c>
      <c r="O218" s="9">
        <f t="shared" si="25"/>
        <v>8556.5400000000009</v>
      </c>
      <c r="P218" s="9">
        <f t="shared" si="26"/>
        <v>2893.46</v>
      </c>
      <c r="Q218" s="139">
        <f t="shared" si="27"/>
        <v>0.74729606986899566</v>
      </c>
      <c r="R218" s="395">
        <f>VLOOKUP(C218,'[1]ORIGINAL (2)'!$A:$C,3,FALSE)</f>
        <v>62</v>
      </c>
      <c r="S218" s="24" t="e">
        <f>VLOOKUP(C218,#REF!,6,FALSE)</f>
        <v>#REF!</v>
      </c>
      <c r="T218" s="24" t="e">
        <f>VLOOKUP(C218,#REF!,7,FALSE)</f>
        <v>#REF!</v>
      </c>
      <c r="U218" s="24" t="e">
        <f>VLOOKUP(C218,#REF!,12,FALSE)</f>
        <v>#REF!</v>
      </c>
      <c r="V218" s="24" t="e">
        <f>VLOOKUP(C218,#REF!,13,FALSE)</f>
        <v>#REF!</v>
      </c>
    </row>
    <row r="219" spans="1:22" x14ac:dyDescent="0.25">
      <c r="A219" s="6" t="s">
        <v>1187</v>
      </c>
      <c r="B219" s="8">
        <v>9789500214063</v>
      </c>
      <c r="C219" s="8">
        <v>709128</v>
      </c>
      <c r="D219" s="41">
        <v>432</v>
      </c>
      <c r="E219" s="7" t="s">
        <v>156</v>
      </c>
      <c r="F219" s="6" t="s">
        <v>814</v>
      </c>
      <c r="G219" s="107">
        <v>45170</v>
      </c>
      <c r="H219" s="108">
        <v>45139</v>
      </c>
      <c r="I219" s="7">
        <v>4000</v>
      </c>
      <c r="J219" s="7" t="s">
        <v>1762</v>
      </c>
      <c r="K219" s="117">
        <v>1725.8</v>
      </c>
      <c r="L219" s="9">
        <v>32900</v>
      </c>
      <c r="M219" s="9"/>
      <c r="N219" s="9">
        <f t="shared" si="24"/>
        <v>16450</v>
      </c>
      <c r="O219" s="9">
        <f t="shared" si="25"/>
        <v>14724.2</v>
      </c>
      <c r="P219" s="9">
        <f t="shared" si="26"/>
        <v>1725.8</v>
      </c>
      <c r="Q219" s="139">
        <f t="shared" si="27"/>
        <v>0.89508814589665653</v>
      </c>
      <c r="R219" s="395">
        <f>VLOOKUP(C219,'[1]ORIGINAL (2)'!$A:$C,3,FALSE)</f>
        <v>482</v>
      </c>
      <c r="S219" s="24" t="e">
        <f>VLOOKUP(C219,#REF!,6,FALSE)</f>
        <v>#REF!</v>
      </c>
      <c r="T219" s="24" t="e">
        <f>VLOOKUP(C219,#REF!,7,FALSE)</f>
        <v>#REF!</v>
      </c>
      <c r="U219" s="24" t="e">
        <f>VLOOKUP(C219,#REF!,12,FALSE)</f>
        <v>#REF!</v>
      </c>
      <c r="V219" s="24" t="e">
        <f>VLOOKUP(C219,#REF!,13,FALSE)</f>
        <v>#REF!</v>
      </c>
    </row>
    <row r="220" spans="1:22" x14ac:dyDescent="0.25">
      <c r="A220" s="6" t="s">
        <v>1188</v>
      </c>
      <c r="B220" s="8">
        <v>9789500213318</v>
      </c>
      <c r="C220" s="8">
        <v>706234</v>
      </c>
      <c r="D220" s="41">
        <v>336</v>
      </c>
      <c r="E220" s="7" t="s">
        <v>774</v>
      </c>
      <c r="F220" s="7" t="s">
        <v>775</v>
      </c>
      <c r="G220" s="107">
        <v>45078</v>
      </c>
      <c r="H220" s="108">
        <v>45536</v>
      </c>
      <c r="I220" s="7">
        <v>2089</v>
      </c>
      <c r="J220" s="8" t="s">
        <v>1333</v>
      </c>
      <c r="K220" s="9">
        <v>2370.91</v>
      </c>
      <c r="L220" s="9">
        <v>27900</v>
      </c>
      <c r="M220" s="9">
        <f>+L220*0.1</f>
        <v>2790</v>
      </c>
      <c r="N220" s="9">
        <f t="shared" si="24"/>
        <v>13950</v>
      </c>
      <c r="O220" s="9">
        <f t="shared" si="25"/>
        <v>8789.09</v>
      </c>
      <c r="P220" s="9">
        <f t="shared" si="26"/>
        <v>5160.91</v>
      </c>
      <c r="Q220" s="139">
        <f t="shared" si="27"/>
        <v>0.63004229390680999</v>
      </c>
      <c r="R220" s="395">
        <f>VLOOKUP(C220,'[1]ORIGINAL (2)'!$A:$C,3,FALSE)</f>
        <v>787</v>
      </c>
      <c r="S220" s="24" t="e">
        <f>VLOOKUP(C220,#REF!,6,FALSE)</f>
        <v>#REF!</v>
      </c>
      <c r="T220" s="24" t="e">
        <f>VLOOKUP(C220,#REF!,7,FALSE)</f>
        <v>#REF!</v>
      </c>
      <c r="U220" s="24" t="e">
        <f>VLOOKUP(C220,#REF!,12,FALSE)</f>
        <v>#REF!</v>
      </c>
      <c r="V220" s="24" t="e">
        <f>VLOOKUP(C220,#REF!,13,FALSE)</f>
        <v>#REF!</v>
      </c>
    </row>
    <row r="221" spans="1:22" x14ac:dyDescent="0.25">
      <c r="A221" s="7" t="s">
        <v>1189</v>
      </c>
      <c r="B221" s="8">
        <v>9789500213684</v>
      </c>
      <c r="C221" s="8">
        <v>705125</v>
      </c>
      <c r="D221" s="25">
        <v>352</v>
      </c>
      <c r="E221" s="6" t="s">
        <v>784</v>
      </c>
      <c r="F221" s="7" t="s">
        <v>785</v>
      </c>
      <c r="G221" s="107">
        <v>45047</v>
      </c>
      <c r="H221" s="108">
        <v>45017</v>
      </c>
      <c r="I221" s="7">
        <v>3083</v>
      </c>
      <c r="J221" s="7" t="s">
        <v>1762</v>
      </c>
      <c r="K221" s="117">
        <v>690.85</v>
      </c>
      <c r="L221" s="9">
        <v>26900</v>
      </c>
      <c r="M221" s="112">
        <f>+L221*0.1</f>
        <v>2690</v>
      </c>
      <c r="N221" s="9">
        <f t="shared" si="24"/>
        <v>13450</v>
      </c>
      <c r="O221" s="9">
        <f t="shared" si="25"/>
        <v>10069.15</v>
      </c>
      <c r="P221" s="9">
        <f t="shared" si="26"/>
        <v>3380.85</v>
      </c>
      <c r="Q221" s="139">
        <f t="shared" si="27"/>
        <v>0.74863568773234201</v>
      </c>
      <c r="R221" s="395">
        <f>VLOOKUP(C221,'[1]ORIGINAL (2)'!$A:$C,3,FALSE)</f>
        <v>170</v>
      </c>
      <c r="S221" s="24" t="e">
        <f>VLOOKUP(C221,#REF!,6,FALSE)</f>
        <v>#REF!</v>
      </c>
      <c r="T221" s="24" t="e">
        <f>VLOOKUP(C221,#REF!,7,FALSE)</f>
        <v>#REF!</v>
      </c>
      <c r="U221" s="24" t="e">
        <f>VLOOKUP(C221,#REF!,12,FALSE)</f>
        <v>#REF!</v>
      </c>
      <c r="V221" s="24" t="e">
        <f>VLOOKUP(C221,#REF!,13,FALSE)</f>
        <v>#REF!</v>
      </c>
    </row>
    <row r="222" spans="1:22" x14ac:dyDescent="0.25">
      <c r="A222" s="6" t="s">
        <v>1190</v>
      </c>
      <c r="B222" s="8">
        <v>9789500213585</v>
      </c>
      <c r="C222" s="6">
        <v>704434</v>
      </c>
      <c r="D222" s="41">
        <v>512</v>
      </c>
      <c r="E222" s="7" t="s">
        <v>534</v>
      </c>
      <c r="F222" s="7" t="s">
        <v>768</v>
      </c>
      <c r="G222" s="107">
        <v>45017</v>
      </c>
      <c r="H222" s="108">
        <v>46082</v>
      </c>
      <c r="I222" s="7">
        <v>2079</v>
      </c>
      <c r="J222" s="8" t="s">
        <v>2258</v>
      </c>
      <c r="K222" s="9">
        <v>2778.41</v>
      </c>
      <c r="L222" s="9">
        <v>45900</v>
      </c>
      <c r="M222" s="112">
        <f>+L222*0.12</f>
        <v>5508</v>
      </c>
      <c r="N222" s="9">
        <f t="shared" si="24"/>
        <v>22950</v>
      </c>
      <c r="O222" s="9">
        <f t="shared" si="25"/>
        <v>14663.59</v>
      </c>
      <c r="P222" s="9">
        <f t="shared" si="26"/>
        <v>8286.41</v>
      </c>
      <c r="Q222" s="139">
        <f t="shared" si="27"/>
        <v>0.63893638344226578</v>
      </c>
      <c r="R222" s="395">
        <f>VLOOKUP(C222,'[1]ORIGINAL (2)'!$A:$C,3,FALSE)</f>
        <v>1334</v>
      </c>
      <c r="S222" s="24" t="e">
        <f>VLOOKUP(C222,#REF!,6,FALSE)</f>
        <v>#REF!</v>
      </c>
      <c r="T222" s="24" t="e">
        <f>VLOOKUP(C222,#REF!,7,FALSE)</f>
        <v>#REF!</v>
      </c>
      <c r="U222" s="24" t="e">
        <f>VLOOKUP(C222,#REF!,12,FALSE)</f>
        <v>#REF!</v>
      </c>
      <c r="V222" s="24" t="e">
        <f>VLOOKUP(C222,#REF!,13,FALSE)</f>
        <v>#REF!</v>
      </c>
    </row>
    <row r="223" spans="1:22" x14ac:dyDescent="0.25">
      <c r="A223" s="6" t="s">
        <v>1191</v>
      </c>
      <c r="B223" s="8">
        <v>9789500213301</v>
      </c>
      <c r="C223" s="8">
        <v>702717</v>
      </c>
      <c r="D223" s="41">
        <v>176</v>
      </c>
      <c r="E223" s="7" t="s">
        <v>751</v>
      </c>
      <c r="F223" s="7" t="s">
        <v>752</v>
      </c>
      <c r="G223" s="107">
        <v>44927</v>
      </c>
      <c r="H223" s="108">
        <v>45078</v>
      </c>
      <c r="I223" s="7">
        <v>2043</v>
      </c>
      <c r="J223" s="8" t="s">
        <v>2258</v>
      </c>
      <c r="K223" s="9">
        <v>828.4</v>
      </c>
      <c r="L223" s="9">
        <v>26900</v>
      </c>
      <c r="M223" s="112">
        <f>+L223*0.08</f>
        <v>2152</v>
      </c>
      <c r="N223" s="9">
        <f t="shared" si="24"/>
        <v>13450</v>
      </c>
      <c r="O223" s="9">
        <f t="shared" si="25"/>
        <v>10469.6</v>
      </c>
      <c r="P223" s="9">
        <f t="shared" si="26"/>
        <v>2980.4</v>
      </c>
      <c r="Q223" s="139">
        <f t="shared" si="27"/>
        <v>0.77840892193308553</v>
      </c>
      <c r="R223" s="395">
        <f>VLOOKUP(C223,'[1]ORIGINAL (2)'!$A:$C,3,FALSE)</f>
        <v>202</v>
      </c>
      <c r="S223" s="24" t="e">
        <f>VLOOKUP(C223,#REF!,6,FALSE)</f>
        <v>#REF!</v>
      </c>
      <c r="T223" s="24" t="e">
        <f>VLOOKUP(C223,#REF!,7,FALSE)</f>
        <v>#REF!</v>
      </c>
      <c r="U223" s="24" t="e">
        <f>VLOOKUP(C223,#REF!,12,FALSE)</f>
        <v>#REF!</v>
      </c>
      <c r="V223" s="24" t="e">
        <f>VLOOKUP(C223,#REF!,13,FALSE)</f>
        <v>#REF!</v>
      </c>
    </row>
    <row r="224" spans="1:22" x14ac:dyDescent="0.25">
      <c r="A224" s="7" t="s">
        <v>1193</v>
      </c>
      <c r="B224" s="8">
        <v>9789500210393</v>
      </c>
      <c r="C224" s="13">
        <v>673645</v>
      </c>
      <c r="D224" s="25">
        <v>304</v>
      </c>
      <c r="E224" s="7" t="s">
        <v>479</v>
      </c>
      <c r="F224" s="7" t="s">
        <v>480</v>
      </c>
      <c r="G224" s="107">
        <v>43862</v>
      </c>
      <c r="H224" s="108">
        <v>46174</v>
      </c>
      <c r="I224" s="7">
        <v>1076</v>
      </c>
      <c r="J224" s="8" t="s">
        <v>2258</v>
      </c>
      <c r="K224" s="117">
        <v>3737.1</v>
      </c>
      <c r="L224" s="9">
        <v>26900</v>
      </c>
      <c r="M224" s="112">
        <f>+L224*0.08</f>
        <v>2152</v>
      </c>
      <c r="N224" s="9">
        <f t="shared" si="24"/>
        <v>13450</v>
      </c>
      <c r="O224" s="9">
        <f t="shared" si="25"/>
        <v>7560.9</v>
      </c>
      <c r="P224" s="9">
        <f t="shared" si="26"/>
        <v>5889.1</v>
      </c>
      <c r="Q224" s="139">
        <f t="shared" si="27"/>
        <v>0.56214869888475838</v>
      </c>
      <c r="R224" s="395">
        <f>VLOOKUP(C224,'[1]ORIGINAL (2)'!$A:$C,3,FALSE)</f>
        <v>559</v>
      </c>
      <c r="S224" s="24" t="e">
        <f>VLOOKUP(C224,#REF!,6,FALSE)</f>
        <v>#REF!</v>
      </c>
      <c r="T224" s="24" t="e">
        <f>VLOOKUP(C224,#REF!,7,FALSE)</f>
        <v>#REF!</v>
      </c>
      <c r="U224" s="24" t="e">
        <f>VLOOKUP(C224,#REF!,12,FALSE)</f>
        <v>#REF!</v>
      </c>
      <c r="V224" s="24" t="e">
        <f>VLOOKUP(C224,#REF!,13,FALSE)</f>
        <v>#REF!</v>
      </c>
    </row>
    <row r="225" spans="1:22" x14ac:dyDescent="0.25">
      <c r="A225" s="6" t="s">
        <v>1194</v>
      </c>
      <c r="B225" s="8">
        <v>9789500211598</v>
      </c>
      <c r="C225" s="8">
        <v>682010</v>
      </c>
      <c r="D225" s="7">
        <v>528</v>
      </c>
      <c r="E225" s="7" t="s">
        <v>534</v>
      </c>
      <c r="F225" s="7" t="s">
        <v>535</v>
      </c>
      <c r="G225" s="107">
        <v>44256</v>
      </c>
      <c r="H225" s="108">
        <v>45474</v>
      </c>
      <c r="I225" s="264">
        <v>3009</v>
      </c>
      <c r="J225" s="28" t="s">
        <v>1946</v>
      </c>
      <c r="K225" s="9">
        <v>3064.1700000000005</v>
      </c>
      <c r="L225" s="9">
        <v>45900</v>
      </c>
      <c r="M225" s="112">
        <f>+L225*0.12</f>
        <v>5508</v>
      </c>
      <c r="N225" s="9">
        <f t="shared" si="24"/>
        <v>22950</v>
      </c>
      <c r="O225" s="9">
        <f t="shared" si="25"/>
        <v>14377.83</v>
      </c>
      <c r="P225" s="9">
        <f t="shared" si="26"/>
        <v>8572.17</v>
      </c>
      <c r="Q225" s="139">
        <f t="shared" si="27"/>
        <v>0.62648496732026149</v>
      </c>
      <c r="R225" s="395">
        <f>VLOOKUP(C225,'[1]ORIGINAL (2)'!$A:$C,3,FALSE)</f>
        <v>1546</v>
      </c>
      <c r="S225" s="24" t="e">
        <f>VLOOKUP(C225,#REF!,6,FALSE)</f>
        <v>#REF!</v>
      </c>
      <c r="T225" s="24" t="e">
        <f>VLOOKUP(C225,#REF!,7,FALSE)</f>
        <v>#REF!</v>
      </c>
      <c r="U225" s="24" t="e">
        <f>VLOOKUP(C225,#REF!,12,FALSE)</f>
        <v>#REF!</v>
      </c>
      <c r="V225" s="24" t="e">
        <f>VLOOKUP(C225,#REF!,13,FALSE)</f>
        <v>#REF!</v>
      </c>
    </row>
    <row r="226" spans="1:22" x14ac:dyDescent="0.25">
      <c r="A226" s="7" t="s">
        <v>1195</v>
      </c>
      <c r="B226" s="8">
        <v>9789500211888</v>
      </c>
      <c r="C226" s="8">
        <v>684661</v>
      </c>
      <c r="D226" s="25">
        <v>480</v>
      </c>
      <c r="E226" s="7" t="s">
        <v>545</v>
      </c>
      <c r="F226" s="7" t="s">
        <v>531</v>
      </c>
      <c r="G226" s="107">
        <v>44378</v>
      </c>
      <c r="H226" s="108">
        <v>44348</v>
      </c>
      <c r="I226" s="7">
        <v>3065</v>
      </c>
      <c r="J226" s="28" t="s">
        <v>1946</v>
      </c>
      <c r="K226" s="9">
        <v>133.57</v>
      </c>
      <c r="L226" s="112">
        <v>35700</v>
      </c>
      <c r="M226" s="112">
        <f>+L226*0.15</f>
        <v>5355</v>
      </c>
      <c r="N226" s="9">
        <f t="shared" si="24"/>
        <v>17850</v>
      </c>
      <c r="O226" s="9">
        <f t="shared" si="25"/>
        <v>12361.43</v>
      </c>
      <c r="P226" s="9">
        <f t="shared" si="26"/>
        <v>5488.57</v>
      </c>
      <c r="Q226" s="139">
        <f t="shared" si="27"/>
        <v>0.6925170868347339</v>
      </c>
      <c r="R226" s="395" t="e">
        <f>VLOOKUP(C226,'[1]ORIGINAL (2)'!$A:$C,3,FALSE)</f>
        <v>#N/A</v>
      </c>
      <c r="S226" s="24" t="e">
        <f>VLOOKUP(C226,#REF!,6,FALSE)</f>
        <v>#REF!</v>
      </c>
      <c r="T226" s="24" t="e">
        <f>VLOOKUP(C226,#REF!,7,FALSE)</f>
        <v>#REF!</v>
      </c>
      <c r="U226" s="24" t="e">
        <f>VLOOKUP(C226,#REF!,12,FALSE)</f>
        <v>#REF!</v>
      </c>
      <c r="V226" s="24" t="e">
        <f>VLOOKUP(C226,#REF!,13,FALSE)</f>
        <v>#REF!</v>
      </c>
    </row>
    <row r="227" spans="1:22" x14ac:dyDescent="0.25">
      <c r="A227" s="7" t="s">
        <v>1196</v>
      </c>
      <c r="B227" s="8">
        <v>9789500207294</v>
      </c>
      <c r="C227" s="8">
        <v>572863</v>
      </c>
      <c r="D227" s="25">
        <v>528</v>
      </c>
      <c r="E227" s="22" t="s">
        <v>156</v>
      </c>
      <c r="F227" s="6" t="s">
        <v>1197</v>
      </c>
      <c r="G227" s="107">
        <v>41609</v>
      </c>
      <c r="H227" s="108">
        <v>43282</v>
      </c>
      <c r="I227" s="24">
        <v>1983</v>
      </c>
      <c r="J227" s="28" t="s">
        <v>1946</v>
      </c>
      <c r="K227" s="28">
        <v>72.84</v>
      </c>
      <c r="L227" s="9">
        <v>26300</v>
      </c>
      <c r="M227" s="112"/>
      <c r="N227" s="9">
        <f t="shared" si="24"/>
        <v>13150</v>
      </c>
      <c r="O227" s="9">
        <f t="shared" si="25"/>
        <v>13077.16</v>
      </c>
      <c r="P227" s="9">
        <f t="shared" si="26"/>
        <v>72.84</v>
      </c>
      <c r="Q227" s="139">
        <f t="shared" si="27"/>
        <v>0.99446083650190109</v>
      </c>
      <c r="R227" s="395">
        <f>VLOOKUP(C227,'[1]ORIGINAL (2)'!$A:$C,3,FALSE)</f>
        <v>1</v>
      </c>
      <c r="S227" s="24" t="e">
        <f>VLOOKUP(C227,#REF!,6,FALSE)</f>
        <v>#REF!</v>
      </c>
      <c r="T227" s="24" t="e">
        <f>VLOOKUP(C227,#REF!,7,FALSE)</f>
        <v>#REF!</v>
      </c>
      <c r="U227" s="24" t="e">
        <f>VLOOKUP(C227,#REF!,12,FALSE)</f>
        <v>#REF!</v>
      </c>
      <c r="V227" s="24" t="e">
        <f>VLOOKUP(C227,#REF!,13,FALSE)</f>
        <v>#REF!</v>
      </c>
    </row>
    <row r="228" spans="1:22" x14ac:dyDescent="0.25">
      <c r="A228" s="7" t="s">
        <v>1198</v>
      </c>
      <c r="B228" s="8">
        <v>9789500206969</v>
      </c>
      <c r="C228" s="8">
        <v>556085</v>
      </c>
      <c r="D228" s="25">
        <v>184</v>
      </c>
      <c r="E228" s="9" t="s">
        <v>148</v>
      </c>
      <c r="F228" s="7" t="s">
        <v>149</v>
      </c>
      <c r="G228" s="107">
        <v>38991</v>
      </c>
      <c r="H228" s="107">
        <v>41153</v>
      </c>
      <c r="I228" s="25">
        <v>4030</v>
      </c>
      <c r="J228" s="28" t="s">
        <v>1894</v>
      </c>
      <c r="K228" s="9">
        <v>8.32</v>
      </c>
      <c r="L228" s="9">
        <v>19000</v>
      </c>
      <c r="M228" s="112">
        <f>+L228*0.1</f>
        <v>1900</v>
      </c>
      <c r="N228" s="9">
        <f t="shared" si="24"/>
        <v>9500</v>
      </c>
      <c r="O228" s="9">
        <f t="shared" si="25"/>
        <v>7591.68</v>
      </c>
      <c r="P228" s="9">
        <f t="shared" si="26"/>
        <v>1908.32</v>
      </c>
      <c r="Q228" s="139">
        <f t="shared" si="27"/>
        <v>0.79912421052631577</v>
      </c>
      <c r="R228" s="395" t="e">
        <f>VLOOKUP(C228,'[1]ORIGINAL (2)'!$A:$C,3,FALSE)</f>
        <v>#N/A</v>
      </c>
      <c r="S228" s="24" t="e">
        <f>VLOOKUP(C228,#REF!,6,FALSE)</f>
        <v>#REF!</v>
      </c>
      <c r="T228" s="24" t="e">
        <f>VLOOKUP(C228,#REF!,7,FALSE)</f>
        <v>#REF!</v>
      </c>
      <c r="U228" s="24" t="e">
        <f>VLOOKUP(C228,#REF!,12,FALSE)</f>
        <v>#REF!</v>
      </c>
      <c r="V228" s="24" t="e">
        <f>VLOOKUP(C228,#REF!,13,FALSE)</f>
        <v>#REF!</v>
      </c>
    </row>
    <row r="229" spans="1:22" x14ac:dyDescent="0.25">
      <c r="A229" s="7" t="s">
        <v>1199</v>
      </c>
      <c r="B229" s="8">
        <v>9789500212786</v>
      </c>
      <c r="C229" s="8">
        <v>695679</v>
      </c>
      <c r="D229" s="25">
        <v>224</v>
      </c>
      <c r="E229" s="7" t="s">
        <v>479</v>
      </c>
      <c r="F229" s="7" t="s">
        <v>695</v>
      </c>
      <c r="G229" s="107">
        <v>44743</v>
      </c>
      <c r="H229" s="108">
        <v>45139</v>
      </c>
      <c r="I229" s="7">
        <v>2088</v>
      </c>
      <c r="J229" s="8" t="s">
        <v>2258</v>
      </c>
      <c r="K229" s="9">
        <v>1131.1600000000001</v>
      </c>
      <c r="L229" s="9">
        <v>12000</v>
      </c>
      <c r="M229" s="112">
        <f>+L229*0.08</f>
        <v>960</v>
      </c>
      <c r="N229" s="9">
        <f t="shared" si="24"/>
        <v>6000</v>
      </c>
      <c r="O229" s="9">
        <f t="shared" si="25"/>
        <v>3908.84</v>
      </c>
      <c r="P229" s="9">
        <f t="shared" si="26"/>
        <v>2091.16</v>
      </c>
      <c r="Q229" s="139">
        <f t="shared" si="27"/>
        <v>0.65147333333333335</v>
      </c>
      <c r="R229" s="395">
        <f>VLOOKUP(C229,'[1]ORIGINAL (2)'!$A:$C,3,FALSE)</f>
        <v>470</v>
      </c>
      <c r="S229" s="24" t="e">
        <f>VLOOKUP(C229,#REF!,6,FALSE)</f>
        <v>#REF!</v>
      </c>
      <c r="T229" s="24" t="e">
        <f>VLOOKUP(C229,#REF!,7,FALSE)</f>
        <v>#REF!</v>
      </c>
      <c r="U229" s="24" t="e">
        <f>VLOOKUP(C229,#REF!,12,FALSE)</f>
        <v>#REF!</v>
      </c>
      <c r="V229" s="24" t="e">
        <f>VLOOKUP(C229,#REF!,13,FALSE)</f>
        <v>#REF!</v>
      </c>
    </row>
    <row r="230" spans="1:22" x14ac:dyDescent="0.25">
      <c r="A230" s="6" t="s">
        <v>1200</v>
      </c>
      <c r="B230" s="8">
        <v>9789500207867</v>
      </c>
      <c r="C230" s="8">
        <v>579604</v>
      </c>
      <c r="D230" s="25">
        <v>168</v>
      </c>
      <c r="E230" s="22" t="s">
        <v>160</v>
      </c>
      <c r="F230" s="6" t="s">
        <v>1201</v>
      </c>
      <c r="G230" s="107">
        <v>41821</v>
      </c>
      <c r="H230" s="108">
        <v>41791</v>
      </c>
      <c r="I230" s="24">
        <v>3000</v>
      </c>
      <c r="J230" s="28" t="s">
        <v>2136</v>
      </c>
      <c r="K230" s="28">
        <v>44.66</v>
      </c>
      <c r="L230" s="128">
        <v>20800</v>
      </c>
      <c r="M230" s="112">
        <f>+L230*0.05</f>
        <v>1040</v>
      </c>
      <c r="N230" s="9">
        <f t="shared" si="24"/>
        <v>10400</v>
      </c>
      <c r="O230" s="9">
        <f t="shared" si="25"/>
        <v>9315.34</v>
      </c>
      <c r="P230" s="9">
        <f t="shared" si="26"/>
        <v>1084.6600000000001</v>
      </c>
      <c r="Q230" s="139">
        <f t="shared" si="27"/>
        <v>0.89570576923076928</v>
      </c>
      <c r="R230" s="395">
        <f>VLOOKUP(C230,'[1]ORIGINAL (2)'!$A:$C,3,FALSE)</f>
        <v>1</v>
      </c>
      <c r="S230" s="24" t="e">
        <f>VLOOKUP(C230,#REF!,6,FALSE)</f>
        <v>#REF!</v>
      </c>
      <c r="T230" s="24" t="e">
        <f>VLOOKUP(C230,#REF!,7,FALSE)</f>
        <v>#REF!</v>
      </c>
      <c r="U230" s="24" t="e">
        <f>VLOOKUP(C230,#REF!,12,FALSE)</f>
        <v>#REF!</v>
      </c>
      <c r="V230" s="24" t="e">
        <f>VLOOKUP(C230,#REF!,13,FALSE)</f>
        <v>#REF!</v>
      </c>
    </row>
    <row r="231" spans="1:22" x14ac:dyDescent="0.25">
      <c r="A231" s="7" t="s">
        <v>1202</v>
      </c>
      <c r="B231" s="8">
        <v>9789500207164</v>
      </c>
      <c r="C231" s="8">
        <v>567503</v>
      </c>
      <c r="D231" s="25">
        <v>208</v>
      </c>
      <c r="E231" s="22" t="s">
        <v>152</v>
      </c>
      <c r="F231" s="6" t="s">
        <v>153</v>
      </c>
      <c r="G231" s="107">
        <v>41487</v>
      </c>
      <c r="H231" s="108">
        <v>41456</v>
      </c>
      <c r="I231" s="24">
        <v>3031</v>
      </c>
      <c r="J231" s="28" t="s">
        <v>1894</v>
      </c>
      <c r="K231" s="28">
        <v>12.01</v>
      </c>
      <c r="L231" s="128">
        <v>16000</v>
      </c>
      <c r="M231" s="112">
        <f>+L231*0.08</f>
        <v>1280</v>
      </c>
      <c r="N231" s="9">
        <f t="shared" si="24"/>
        <v>8000</v>
      </c>
      <c r="O231" s="9">
        <f t="shared" si="25"/>
        <v>6707.99</v>
      </c>
      <c r="P231" s="9">
        <f t="shared" si="26"/>
        <v>1292.01</v>
      </c>
      <c r="Q231" s="139">
        <f t="shared" si="27"/>
        <v>0.83849874999999996</v>
      </c>
      <c r="R231" s="395" t="e">
        <f>VLOOKUP(C231,'[1]ORIGINAL (2)'!$A:$C,3,FALSE)</f>
        <v>#N/A</v>
      </c>
      <c r="S231" s="24" t="e">
        <f>VLOOKUP(C231,#REF!,6,FALSE)</f>
        <v>#REF!</v>
      </c>
      <c r="T231" s="24" t="e">
        <f>VLOOKUP(C231,#REF!,7,FALSE)</f>
        <v>#REF!</v>
      </c>
      <c r="U231" s="24" t="e">
        <f>VLOOKUP(C231,#REF!,12,FALSE)</f>
        <v>#REF!</v>
      </c>
      <c r="V231" s="24" t="e">
        <f>VLOOKUP(C231,#REF!,13,FALSE)</f>
        <v>#REF!</v>
      </c>
    </row>
    <row r="232" spans="1:22" x14ac:dyDescent="0.25">
      <c r="A232" s="6" t="s">
        <v>1203</v>
      </c>
      <c r="B232" s="8">
        <v>9789500207874</v>
      </c>
      <c r="C232" s="21">
        <v>577625</v>
      </c>
      <c r="D232" s="25">
        <v>248</v>
      </c>
      <c r="E232" s="22" t="s">
        <v>156</v>
      </c>
      <c r="F232" s="6" t="s">
        <v>157</v>
      </c>
      <c r="G232" s="107">
        <v>41760</v>
      </c>
      <c r="H232" s="108">
        <v>41730</v>
      </c>
      <c r="I232" s="24">
        <v>3050</v>
      </c>
      <c r="J232" s="28" t="s">
        <v>1894</v>
      </c>
      <c r="K232" s="28">
        <v>19.38</v>
      </c>
      <c r="L232" s="112">
        <v>16000</v>
      </c>
      <c r="M232" s="112">
        <f>+L232*0.03</f>
        <v>480</v>
      </c>
      <c r="N232" s="9">
        <f t="shared" si="24"/>
        <v>8000</v>
      </c>
      <c r="O232" s="9">
        <f t="shared" si="25"/>
        <v>7500.62</v>
      </c>
      <c r="P232" s="9">
        <f t="shared" si="26"/>
        <v>499.38</v>
      </c>
      <c r="Q232" s="139">
        <f t="shared" si="27"/>
        <v>0.93757749999999995</v>
      </c>
      <c r="R232" s="395" t="e">
        <f>VLOOKUP(C232,'[1]ORIGINAL (2)'!$A:$C,3,FALSE)</f>
        <v>#N/A</v>
      </c>
      <c r="S232" s="24" t="e">
        <f>VLOOKUP(C232,#REF!,6,FALSE)</f>
        <v>#REF!</v>
      </c>
      <c r="T232" s="24" t="e">
        <f>VLOOKUP(C232,#REF!,7,FALSE)</f>
        <v>#REF!</v>
      </c>
      <c r="U232" s="24" t="e">
        <f>VLOOKUP(C232,#REF!,12,FALSE)</f>
        <v>#REF!</v>
      </c>
      <c r="V232" s="24" t="e">
        <f>VLOOKUP(C232,#REF!,13,FALSE)</f>
        <v>#REF!</v>
      </c>
    </row>
    <row r="233" spans="1:22" x14ac:dyDescent="0.25">
      <c r="A233" s="6" t="s">
        <v>1204</v>
      </c>
      <c r="B233" s="8">
        <v>9789500209199</v>
      </c>
      <c r="C233" s="8">
        <v>636946</v>
      </c>
      <c r="D233" s="7">
        <v>176</v>
      </c>
      <c r="E233" s="7" t="s">
        <v>155</v>
      </c>
      <c r="F233" s="7" t="s">
        <v>608</v>
      </c>
      <c r="G233" s="107">
        <v>43009</v>
      </c>
      <c r="H233" s="108">
        <v>43344</v>
      </c>
      <c r="I233" s="24">
        <v>1097</v>
      </c>
      <c r="J233" s="28" t="s">
        <v>2136</v>
      </c>
      <c r="K233" s="28">
        <v>54.43</v>
      </c>
      <c r="L233" s="112">
        <v>24000</v>
      </c>
      <c r="M233" s="112">
        <f>+L233*0.15</f>
        <v>3600</v>
      </c>
      <c r="N233" s="9">
        <f t="shared" si="24"/>
        <v>12000</v>
      </c>
      <c r="O233" s="9">
        <f t="shared" si="25"/>
        <v>8345.57</v>
      </c>
      <c r="P233" s="9">
        <f t="shared" si="26"/>
        <v>3654.43</v>
      </c>
      <c r="Q233" s="139">
        <f t="shared" si="27"/>
        <v>0.69546416666666666</v>
      </c>
      <c r="R233" s="395">
        <f>VLOOKUP(C233,'[1]ORIGINAL (2)'!$A:$C,3,FALSE)</f>
        <v>-1</v>
      </c>
      <c r="S233" s="24" t="e">
        <f>VLOOKUP(C233,#REF!,6,FALSE)</f>
        <v>#REF!</v>
      </c>
      <c r="T233" s="24" t="e">
        <f>VLOOKUP(C233,#REF!,7,FALSE)</f>
        <v>#REF!</v>
      </c>
      <c r="U233" s="24" t="e">
        <f>VLOOKUP(C233,#REF!,12,FALSE)</f>
        <v>#REF!</v>
      </c>
      <c r="V233" s="24" t="e">
        <f>VLOOKUP(C233,#REF!,13,FALSE)</f>
        <v>#REF!</v>
      </c>
    </row>
    <row r="234" spans="1:22" x14ac:dyDescent="0.25">
      <c r="A234" s="7" t="s">
        <v>1205</v>
      </c>
      <c r="B234" s="8">
        <v>9789500210140</v>
      </c>
      <c r="C234" s="11">
        <v>668112</v>
      </c>
      <c r="D234" s="25">
        <v>176</v>
      </c>
      <c r="E234" s="7" t="s">
        <v>155</v>
      </c>
      <c r="F234" s="7" t="s">
        <v>1206</v>
      </c>
      <c r="G234" s="107">
        <v>43709</v>
      </c>
      <c r="H234" s="107">
        <v>45231</v>
      </c>
      <c r="I234" s="7">
        <v>3059</v>
      </c>
      <c r="J234" s="8" t="s">
        <v>2258</v>
      </c>
      <c r="K234" s="117">
        <v>858.93</v>
      </c>
      <c r="L234" s="9">
        <v>21900</v>
      </c>
      <c r="M234" s="9">
        <f>+L234*0.15</f>
        <v>3285</v>
      </c>
      <c r="N234" s="9">
        <f t="shared" si="24"/>
        <v>10950</v>
      </c>
      <c r="O234" s="9">
        <f t="shared" si="25"/>
        <v>6806.07</v>
      </c>
      <c r="P234" s="9">
        <f t="shared" si="26"/>
        <v>4143.93</v>
      </c>
      <c r="Q234" s="139">
        <f t="shared" si="27"/>
        <v>0.62155890410958903</v>
      </c>
      <c r="R234" s="395">
        <f>VLOOKUP(C234,'[1]ORIGINAL (2)'!$A:$C,3,FALSE)</f>
        <v>806</v>
      </c>
      <c r="S234" s="24" t="e">
        <f>VLOOKUP(C234,#REF!,6,FALSE)</f>
        <v>#REF!</v>
      </c>
      <c r="T234" s="24" t="e">
        <f>VLOOKUP(C234,#REF!,7,FALSE)</f>
        <v>#REF!</v>
      </c>
      <c r="U234" s="24" t="e">
        <f>VLOOKUP(C234,#REF!,12,FALSE)</f>
        <v>#REF!</v>
      </c>
      <c r="V234" s="24" t="e">
        <f>VLOOKUP(C234,#REF!,13,FALSE)</f>
        <v>#REF!</v>
      </c>
    </row>
    <row r="235" spans="1:22" x14ac:dyDescent="0.25">
      <c r="A235" s="7" t="s">
        <v>1207</v>
      </c>
      <c r="B235" s="25">
        <v>9789500211086</v>
      </c>
      <c r="C235" s="8">
        <v>677839</v>
      </c>
      <c r="D235" s="25">
        <v>368</v>
      </c>
      <c r="E235" s="165" t="s">
        <v>503</v>
      </c>
      <c r="F235" s="165" t="s">
        <v>500</v>
      </c>
      <c r="G235" s="107">
        <v>44105</v>
      </c>
      <c r="H235" s="107">
        <v>46174</v>
      </c>
      <c r="I235" s="7">
        <v>500</v>
      </c>
      <c r="J235" s="7" t="s">
        <v>1867</v>
      </c>
      <c r="K235" s="148">
        <v>5144.3500000000004</v>
      </c>
      <c r="L235" s="9">
        <v>32000</v>
      </c>
      <c r="M235" s="9">
        <f>+L235*0.1</f>
        <v>3200</v>
      </c>
      <c r="N235" s="9">
        <f t="shared" si="24"/>
        <v>16000</v>
      </c>
      <c r="O235" s="9">
        <f t="shared" si="25"/>
        <v>7655.65</v>
      </c>
      <c r="P235" s="9">
        <f t="shared" si="26"/>
        <v>8344.35</v>
      </c>
      <c r="Q235" s="139">
        <f t="shared" si="27"/>
        <v>0.47847812499999998</v>
      </c>
      <c r="R235" s="395">
        <f>VLOOKUP(C235,'[1]ORIGINAL (2)'!$A:$C,3,FALSE)</f>
        <v>780</v>
      </c>
      <c r="S235" s="24" t="e">
        <f>VLOOKUP(C235,#REF!,6,FALSE)</f>
        <v>#REF!</v>
      </c>
      <c r="T235" s="24" t="e">
        <f>VLOOKUP(C235,#REF!,7,FALSE)</f>
        <v>#REF!</v>
      </c>
      <c r="U235" s="24" t="e">
        <f>VLOOKUP(C235,#REF!,12,FALSE)</f>
        <v>#REF!</v>
      </c>
      <c r="V235" s="24" t="e">
        <f>VLOOKUP(C235,#REF!,13,FALSE)</f>
        <v>#REF!</v>
      </c>
    </row>
    <row r="236" spans="1:22" x14ac:dyDescent="0.25">
      <c r="A236" s="6" t="s">
        <v>1208</v>
      </c>
      <c r="B236" s="8">
        <v>9789500213202</v>
      </c>
      <c r="C236" s="25">
        <v>699695</v>
      </c>
      <c r="D236" s="41">
        <v>192</v>
      </c>
      <c r="E236" s="7" t="s">
        <v>731</v>
      </c>
      <c r="F236" s="7" t="s">
        <v>730</v>
      </c>
      <c r="G236" s="107">
        <v>44562</v>
      </c>
      <c r="H236" s="108">
        <v>44835</v>
      </c>
      <c r="I236" s="7">
        <v>2550</v>
      </c>
      <c r="J236" s="8" t="s">
        <v>2258</v>
      </c>
      <c r="K236" s="9">
        <v>339.23</v>
      </c>
      <c r="L236" s="9">
        <v>17600</v>
      </c>
      <c r="M236" s="112">
        <f>+L236*0.1</f>
        <v>1760</v>
      </c>
      <c r="N236" s="9">
        <f t="shared" si="24"/>
        <v>8800</v>
      </c>
      <c r="O236" s="9">
        <f t="shared" si="25"/>
        <v>6700.77</v>
      </c>
      <c r="P236" s="9">
        <f t="shared" si="26"/>
        <v>2099.23</v>
      </c>
      <c r="Q236" s="139">
        <f t="shared" si="27"/>
        <v>0.76145113636363637</v>
      </c>
      <c r="R236" s="395">
        <f>VLOOKUP(C236,'[1]ORIGINAL (2)'!$A:$C,3,FALSE)</f>
        <v>140</v>
      </c>
      <c r="S236" s="24" t="e">
        <f>VLOOKUP(C236,#REF!,6,FALSE)</f>
        <v>#REF!</v>
      </c>
      <c r="T236" s="24" t="e">
        <f>VLOOKUP(C236,#REF!,7,FALSE)</f>
        <v>#REF!</v>
      </c>
      <c r="U236" s="24" t="e">
        <f>VLOOKUP(C236,#REF!,12,FALSE)</f>
        <v>#REF!</v>
      </c>
      <c r="V236" s="24" t="e">
        <f>VLOOKUP(C236,#REF!,13,FALSE)</f>
        <v>#REF!</v>
      </c>
    </row>
    <row r="237" spans="1:22" x14ac:dyDescent="0.25">
      <c r="A237" s="7" t="s">
        <v>1209</v>
      </c>
      <c r="B237" s="8">
        <v>9789500210195</v>
      </c>
      <c r="C237" s="14">
        <v>669515</v>
      </c>
      <c r="D237" s="25">
        <v>256</v>
      </c>
      <c r="E237" s="7" t="s">
        <v>455</v>
      </c>
      <c r="F237" s="7" t="s">
        <v>456</v>
      </c>
      <c r="G237" s="107">
        <v>43739</v>
      </c>
      <c r="H237" s="108">
        <v>45231</v>
      </c>
      <c r="I237" s="24">
        <v>3063</v>
      </c>
      <c r="J237" s="7" t="s">
        <v>1762</v>
      </c>
      <c r="K237" s="28">
        <v>1045.2</v>
      </c>
      <c r="L237" s="9">
        <v>12000</v>
      </c>
      <c r="M237" s="112">
        <f>+L237*0.08</f>
        <v>960</v>
      </c>
      <c r="N237" s="9">
        <f t="shared" si="24"/>
        <v>6000</v>
      </c>
      <c r="O237" s="9">
        <f t="shared" si="25"/>
        <v>3994.8</v>
      </c>
      <c r="P237" s="9">
        <f t="shared" si="26"/>
        <v>2005.2</v>
      </c>
      <c r="Q237" s="139">
        <f t="shared" si="27"/>
        <v>0.66580000000000006</v>
      </c>
      <c r="R237" s="395">
        <f>VLOOKUP(C237,'[1]ORIGINAL (2)'!$A:$C,3,FALSE)</f>
        <v>303</v>
      </c>
      <c r="S237" s="24" t="e">
        <f>VLOOKUP(C237,#REF!,6,FALSE)</f>
        <v>#REF!</v>
      </c>
      <c r="T237" s="24" t="e">
        <f>VLOOKUP(C237,#REF!,7,FALSE)</f>
        <v>#REF!</v>
      </c>
      <c r="U237" s="24" t="e">
        <f>VLOOKUP(C237,#REF!,12,FALSE)</f>
        <v>#REF!</v>
      </c>
      <c r="V237" s="24" t="e">
        <f>VLOOKUP(C237,#REF!,13,FALSE)</f>
        <v>#REF!</v>
      </c>
    </row>
    <row r="238" spans="1:22" x14ac:dyDescent="0.25">
      <c r="A238" s="165" t="s">
        <v>1210</v>
      </c>
      <c r="B238" s="158">
        <v>9789500212427</v>
      </c>
      <c r="C238" s="8">
        <v>690477</v>
      </c>
      <c r="D238" s="25">
        <v>432</v>
      </c>
      <c r="E238" s="9" t="s">
        <v>638</v>
      </c>
      <c r="F238" s="7" t="s">
        <v>639</v>
      </c>
      <c r="G238" s="107">
        <v>44562</v>
      </c>
      <c r="H238" s="108">
        <v>45231</v>
      </c>
      <c r="I238" s="7">
        <v>3103</v>
      </c>
      <c r="J238" s="8" t="s">
        <v>2258</v>
      </c>
      <c r="K238" s="151">
        <v>1289.94</v>
      </c>
      <c r="L238" s="9">
        <v>12000</v>
      </c>
      <c r="M238" s="112">
        <f>+L238*0.1</f>
        <v>1200</v>
      </c>
      <c r="N238" s="9">
        <f t="shared" si="24"/>
        <v>6000</v>
      </c>
      <c r="O238" s="9">
        <f t="shared" si="25"/>
        <v>3510.06</v>
      </c>
      <c r="P238" s="9">
        <f t="shared" si="26"/>
        <v>2489.94</v>
      </c>
      <c r="Q238" s="139">
        <f t="shared" si="27"/>
        <v>0.58501000000000003</v>
      </c>
      <c r="R238" s="395">
        <f>VLOOKUP(C238,'[1]ORIGINAL (2)'!$A:$C,3,FALSE)</f>
        <v>722</v>
      </c>
      <c r="S238" s="24" t="e">
        <f>VLOOKUP(C238,#REF!,6,FALSE)</f>
        <v>#REF!</v>
      </c>
      <c r="T238" s="24" t="e">
        <f>VLOOKUP(C238,#REF!,7,FALSE)</f>
        <v>#REF!</v>
      </c>
      <c r="U238" s="24" t="e">
        <f>VLOOKUP(C238,#REF!,12,FALSE)</f>
        <v>#REF!</v>
      </c>
      <c r="V238" s="24" t="e">
        <f>VLOOKUP(C238,#REF!,13,FALSE)</f>
        <v>#REF!</v>
      </c>
    </row>
    <row r="239" spans="1:22" x14ac:dyDescent="0.25">
      <c r="A239" s="7" t="s">
        <v>1211</v>
      </c>
      <c r="B239" s="8">
        <v>9789500210607</v>
      </c>
      <c r="C239" s="8">
        <v>677291</v>
      </c>
      <c r="D239" s="25">
        <v>192</v>
      </c>
      <c r="E239" s="7" t="s">
        <v>495</v>
      </c>
      <c r="F239" s="7" t="s">
        <v>493</v>
      </c>
      <c r="G239" s="107">
        <v>44075</v>
      </c>
      <c r="H239" s="108">
        <v>44044</v>
      </c>
      <c r="I239" s="24">
        <v>3047</v>
      </c>
      <c r="J239" s="8" t="s">
        <v>2258</v>
      </c>
      <c r="K239" s="28">
        <v>82.3</v>
      </c>
      <c r="L239" s="9">
        <v>12000</v>
      </c>
      <c r="M239" s="9">
        <f>+L239*0.1</f>
        <v>1200</v>
      </c>
      <c r="N239" s="9">
        <f t="shared" si="24"/>
        <v>6000</v>
      </c>
      <c r="O239" s="9">
        <f t="shared" si="25"/>
        <v>4717.7</v>
      </c>
      <c r="P239" s="9">
        <f t="shared" si="26"/>
        <v>1282.3</v>
      </c>
      <c r="Q239" s="139">
        <f t="shared" si="27"/>
        <v>0.78628333333333333</v>
      </c>
      <c r="R239" s="395">
        <f>VLOOKUP(C239,'[1]ORIGINAL (2)'!$A:$C,3,FALSE)</f>
        <v>132</v>
      </c>
      <c r="S239" s="24" t="e">
        <f>VLOOKUP(C239,#REF!,6,FALSE)</f>
        <v>#REF!</v>
      </c>
      <c r="T239" s="24" t="e">
        <f>VLOOKUP(C239,#REF!,7,FALSE)</f>
        <v>#REF!</v>
      </c>
      <c r="U239" s="24" t="e">
        <f>VLOOKUP(C239,#REF!,12,FALSE)</f>
        <v>#REF!</v>
      </c>
      <c r="V239" s="24" t="e">
        <f>VLOOKUP(C239,#REF!,13,FALSE)</f>
        <v>#REF!</v>
      </c>
    </row>
    <row r="240" spans="1:22" x14ac:dyDescent="0.25">
      <c r="A240" s="7" t="s">
        <v>1212</v>
      </c>
      <c r="B240" s="8">
        <v>9789500230865</v>
      </c>
      <c r="C240" s="8">
        <v>440211</v>
      </c>
      <c r="D240" s="25">
        <v>416</v>
      </c>
      <c r="E240" s="9" t="s">
        <v>158</v>
      </c>
      <c r="F240" s="7" t="s">
        <v>159</v>
      </c>
      <c r="G240" s="107">
        <v>39022</v>
      </c>
      <c r="H240" s="108">
        <v>41395</v>
      </c>
      <c r="I240" s="24">
        <v>1092</v>
      </c>
      <c r="J240" s="28" t="s">
        <v>1894</v>
      </c>
      <c r="K240" s="28">
        <v>13.23</v>
      </c>
      <c r="L240" s="128">
        <v>13100</v>
      </c>
      <c r="M240" s="9">
        <f>+L240*0.1</f>
        <v>1310</v>
      </c>
      <c r="N240" s="9">
        <f t="shared" si="24"/>
        <v>6550</v>
      </c>
      <c r="O240" s="9">
        <f t="shared" si="25"/>
        <v>5226.7700000000004</v>
      </c>
      <c r="P240" s="9">
        <f t="shared" si="26"/>
        <v>1323.23</v>
      </c>
      <c r="Q240" s="139">
        <f t="shared" si="27"/>
        <v>0.79798015267175582</v>
      </c>
      <c r="R240" s="395" t="e">
        <f>VLOOKUP(C240,'[1]ORIGINAL (2)'!$A:$C,3,FALSE)</f>
        <v>#N/A</v>
      </c>
      <c r="S240" s="24" t="e">
        <f>VLOOKUP(C240,#REF!,6,FALSE)</f>
        <v>#REF!</v>
      </c>
      <c r="T240" s="24" t="e">
        <f>VLOOKUP(C240,#REF!,7,FALSE)</f>
        <v>#REF!</v>
      </c>
      <c r="U240" s="24" t="e">
        <f>VLOOKUP(C240,#REF!,12,FALSE)</f>
        <v>#REF!</v>
      </c>
      <c r="V240" s="24" t="e">
        <f>VLOOKUP(C240,#REF!,13,FALSE)</f>
        <v>#REF!</v>
      </c>
    </row>
    <row r="241" spans="1:22" x14ac:dyDescent="0.25">
      <c r="A241" s="7" t="s">
        <v>1213</v>
      </c>
      <c r="B241" s="16">
        <v>9789500205290</v>
      </c>
      <c r="C241" s="8">
        <v>513074</v>
      </c>
      <c r="D241" s="25">
        <v>208</v>
      </c>
      <c r="E241" s="22" t="s">
        <v>154</v>
      </c>
      <c r="F241" s="7" t="s">
        <v>1214</v>
      </c>
      <c r="G241" s="107">
        <v>40360</v>
      </c>
      <c r="H241" s="108">
        <v>41791</v>
      </c>
      <c r="I241" s="24">
        <v>1963</v>
      </c>
      <c r="J241" s="28" t="s">
        <v>1894</v>
      </c>
      <c r="K241" s="28">
        <v>13.59</v>
      </c>
      <c r="L241" s="128">
        <v>15000</v>
      </c>
      <c r="M241" s="9">
        <f>+L241*0.1</f>
        <v>1500</v>
      </c>
      <c r="N241" s="9">
        <f t="shared" si="24"/>
        <v>7500</v>
      </c>
      <c r="O241" s="9">
        <f t="shared" si="25"/>
        <v>5986.41</v>
      </c>
      <c r="P241" s="9">
        <f t="shared" si="26"/>
        <v>1513.59</v>
      </c>
      <c r="Q241" s="139">
        <f t="shared" si="27"/>
        <v>0.79818800000000001</v>
      </c>
      <c r="R241" s="395">
        <f>VLOOKUP(C241,'[1]ORIGINAL (2)'!$A:$C,3,FALSE)</f>
        <v>1</v>
      </c>
      <c r="S241" s="24" t="e">
        <f>VLOOKUP(C241,#REF!,6,FALSE)</f>
        <v>#REF!</v>
      </c>
      <c r="T241" s="24" t="e">
        <f>VLOOKUP(C241,#REF!,7,FALSE)</f>
        <v>#REF!</v>
      </c>
      <c r="U241" s="24" t="e">
        <f>VLOOKUP(C241,#REF!,12,FALSE)</f>
        <v>#REF!</v>
      </c>
      <c r="V241" s="24" t="e">
        <f>VLOOKUP(C241,#REF!,13,FALSE)</f>
        <v>#REF!</v>
      </c>
    </row>
    <row r="242" spans="1:22" x14ac:dyDescent="0.25">
      <c r="A242" s="7" t="s">
        <v>1215</v>
      </c>
      <c r="B242" s="8">
        <v>9789500212526</v>
      </c>
      <c r="C242" s="8">
        <v>692878</v>
      </c>
      <c r="D242" s="25">
        <v>560</v>
      </c>
      <c r="E242" s="9" t="s">
        <v>678</v>
      </c>
      <c r="F242" s="7" t="s">
        <v>679</v>
      </c>
      <c r="G242" s="107">
        <v>44652</v>
      </c>
      <c r="H242" s="108">
        <v>45139</v>
      </c>
      <c r="I242" s="116">
        <v>3117</v>
      </c>
      <c r="J242" s="8" t="s">
        <v>2258</v>
      </c>
      <c r="K242" s="9">
        <v>1713.63</v>
      </c>
      <c r="L242" s="9">
        <v>43700</v>
      </c>
      <c r="M242" s="112">
        <f>+L242*0.12</f>
        <v>5244</v>
      </c>
      <c r="N242" s="9">
        <f t="shared" si="24"/>
        <v>21850</v>
      </c>
      <c r="O242" s="9">
        <f t="shared" si="25"/>
        <v>14892.369999999999</v>
      </c>
      <c r="P242" s="9">
        <f t="shared" si="26"/>
        <v>6957.63</v>
      </c>
      <c r="Q242" s="139">
        <f t="shared" si="27"/>
        <v>0.68157299771167046</v>
      </c>
      <c r="R242" s="395">
        <f>VLOOKUP(C242,'[1]ORIGINAL (2)'!$A:$C,3,FALSE)</f>
        <v>661</v>
      </c>
      <c r="S242" s="24" t="e">
        <f>VLOOKUP(C242,#REF!,6,FALSE)</f>
        <v>#REF!</v>
      </c>
      <c r="T242" s="24" t="e">
        <f>VLOOKUP(C242,#REF!,7,FALSE)</f>
        <v>#REF!</v>
      </c>
      <c r="U242" s="24" t="e">
        <f>VLOOKUP(C242,#REF!,12,FALSE)</f>
        <v>#REF!</v>
      </c>
      <c r="V242" s="24" t="e">
        <f>VLOOKUP(C242,#REF!,13,FALSE)</f>
        <v>#REF!</v>
      </c>
    </row>
    <row r="243" spans="1:22" x14ac:dyDescent="0.25">
      <c r="A243" s="7" t="s">
        <v>1216</v>
      </c>
      <c r="B243" s="8">
        <v>9789500210270</v>
      </c>
      <c r="C243" s="14">
        <v>671437</v>
      </c>
      <c r="D243" s="25">
        <v>192</v>
      </c>
      <c r="E243" s="7" t="s">
        <v>468</v>
      </c>
      <c r="F243" s="7" t="s">
        <v>469</v>
      </c>
      <c r="G243" s="107">
        <v>43800</v>
      </c>
      <c r="H243" s="108">
        <v>43770</v>
      </c>
      <c r="I243" s="24">
        <v>3064</v>
      </c>
      <c r="J243" s="8" t="s">
        <v>2258</v>
      </c>
      <c r="K243" s="150">
        <v>82.93</v>
      </c>
      <c r="L243" s="9">
        <v>21900</v>
      </c>
      <c r="M243" s="9">
        <f>+L243*0.08</f>
        <v>1752</v>
      </c>
      <c r="N243" s="9">
        <f t="shared" si="24"/>
        <v>10950</v>
      </c>
      <c r="O243" s="9">
        <f t="shared" si="25"/>
        <v>9115.07</v>
      </c>
      <c r="P243" s="9">
        <f t="shared" si="26"/>
        <v>1834.93</v>
      </c>
      <c r="Q243" s="139">
        <f t="shared" si="27"/>
        <v>0.8324264840182648</v>
      </c>
      <c r="R243" s="395">
        <f>VLOOKUP(C243,'[1]ORIGINAL (2)'!$A:$C,3,FALSE)</f>
        <v>64</v>
      </c>
      <c r="S243" s="24" t="e">
        <f>VLOOKUP(C243,#REF!,6,FALSE)</f>
        <v>#REF!</v>
      </c>
      <c r="T243" s="24" t="e">
        <f>VLOOKUP(C243,#REF!,7,FALSE)</f>
        <v>#REF!</v>
      </c>
      <c r="U243" s="24" t="e">
        <f>VLOOKUP(C243,#REF!,12,FALSE)</f>
        <v>#REF!</v>
      </c>
      <c r="V243" s="24" t="e">
        <f>VLOOKUP(C243,#REF!,13,FALSE)</f>
        <v>#REF!</v>
      </c>
    </row>
    <row r="244" spans="1:22" x14ac:dyDescent="0.25">
      <c r="A244" s="7" t="s">
        <v>1217</v>
      </c>
      <c r="B244" s="8">
        <v>9789500211383</v>
      </c>
      <c r="C244" s="8">
        <v>680634</v>
      </c>
      <c r="D244" s="25">
        <v>304</v>
      </c>
      <c r="E244" s="7" t="s">
        <v>479</v>
      </c>
      <c r="F244" s="7" t="s">
        <v>518</v>
      </c>
      <c r="G244" s="107">
        <v>44197</v>
      </c>
      <c r="H244" s="108">
        <v>45139</v>
      </c>
      <c r="I244" s="7">
        <v>2125</v>
      </c>
      <c r="J244" s="8" t="s">
        <v>2258</v>
      </c>
      <c r="K244" s="9">
        <v>785</v>
      </c>
      <c r="L244" s="9">
        <v>26900</v>
      </c>
      <c r="M244" s="9">
        <f>+L244*0.08</f>
        <v>2152</v>
      </c>
      <c r="N244" s="9">
        <f t="shared" si="24"/>
        <v>13450</v>
      </c>
      <c r="O244" s="9">
        <f t="shared" si="25"/>
        <v>10513</v>
      </c>
      <c r="P244" s="9">
        <f t="shared" si="26"/>
        <v>2937</v>
      </c>
      <c r="Q244" s="139">
        <f t="shared" si="27"/>
        <v>0.78163568773234204</v>
      </c>
      <c r="R244" s="395">
        <f>VLOOKUP(C244,'[1]ORIGINAL (2)'!$A:$C,3,FALSE)</f>
        <v>278</v>
      </c>
      <c r="S244" s="24" t="e">
        <f>VLOOKUP(C244,#REF!,6,FALSE)</f>
        <v>#REF!</v>
      </c>
      <c r="T244" s="24" t="e">
        <f>VLOOKUP(C244,#REF!,7,FALSE)</f>
        <v>#REF!</v>
      </c>
      <c r="U244" s="24" t="e">
        <f>VLOOKUP(C244,#REF!,12,FALSE)</f>
        <v>#REF!</v>
      </c>
      <c r="V244" s="24" t="e">
        <f>VLOOKUP(C244,#REF!,13,FALSE)</f>
        <v>#REF!</v>
      </c>
    </row>
    <row r="245" spans="1:22" x14ac:dyDescent="0.25">
      <c r="A245" s="166" t="s">
        <v>1218</v>
      </c>
      <c r="B245" s="167">
        <v>9789500210027</v>
      </c>
      <c r="C245" s="8">
        <v>662546</v>
      </c>
      <c r="D245" s="25">
        <v>416</v>
      </c>
      <c r="E245" s="7" t="s">
        <v>439</v>
      </c>
      <c r="F245" s="7" t="s">
        <v>440</v>
      </c>
      <c r="G245" s="107">
        <v>43586</v>
      </c>
      <c r="H245" s="108">
        <v>44197</v>
      </c>
      <c r="I245" s="7">
        <v>3000</v>
      </c>
      <c r="J245" s="8" t="s">
        <v>2258</v>
      </c>
      <c r="K245" s="9">
        <v>134</v>
      </c>
      <c r="L245" s="9">
        <v>28500</v>
      </c>
      <c r="M245" s="9">
        <f>+L245*0.15</f>
        <v>4275</v>
      </c>
      <c r="N245" s="9">
        <f t="shared" si="24"/>
        <v>14250</v>
      </c>
      <c r="O245" s="9">
        <f t="shared" si="25"/>
        <v>9841</v>
      </c>
      <c r="P245" s="9">
        <f t="shared" si="26"/>
        <v>4409</v>
      </c>
      <c r="Q245" s="139">
        <f t="shared" si="27"/>
        <v>0.69059649122807021</v>
      </c>
      <c r="R245" s="395">
        <f>VLOOKUP(C245,'[1]ORIGINAL (2)'!$A:$C,3,FALSE)</f>
        <v>393</v>
      </c>
      <c r="S245" s="24" t="e">
        <f>VLOOKUP(C245,#REF!,6,FALSE)</f>
        <v>#REF!</v>
      </c>
      <c r="T245" s="24" t="e">
        <f>VLOOKUP(C245,#REF!,7,FALSE)</f>
        <v>#REF!</v>
      </c>
      <c r="U245" s="24" t="e">
        <f>VLOOKUP(C245,#REF!,12,FALSE)</f>
        <v>#REF!</v>
      </c>
      <c r="V245" s="24" t="e">
        <f>VLOOKUP(C245,#REF!,13,FALSE)</f>
        <v>#REF!</v>
      </c>
    </row>
    <row r="246" spans="1:22" x14ac:dyDescent="0.25">
      <c r="A246" s="6" t="s">
        <v>1219</v>
      </c>
      <c r="B246" s="8">
        <v>9789500212922</v>
      </c>
      <c r="C246" s="6">
        <v>697472</v>
      </c>
      <c r="D246" s="41">
        <v>320</v>
      </c>
      <c r="E246" s="7" t="s">
        <v>710</v>
      </c>
      <c r="F246" s="7" t="s">
        <v>711</v>
      </c>
      <c r="G246" s="107">
        <v>44805</v>
      </c>
      <c r="H246" s="108">
        <v>45231</v>
      </c>
      <c r="I246" s="7">
        <v>3090</v>
      </c>
      <c r="J246" s="8" t="s">
        <v>2258</v>
      </c>
      <c r="K246" s="9">
        <v>1079.97</v>
      </c>
      <c r="L246" s="9">
        <v>12000</v>
      </c>
      <c r="M246" s="112">
        <f>+L246*0.08</f>
        <v>960</v>
      </c>
      <c r="N246" s="9">
        <f t="shared" si="24"/>
        <v>6000</v>
      </c>
      <c r="O246" s="9">
        <f t="shared" si="25"/>
        <v>3960.0299999999997</v>
      </c>
      <c r="P246" s="9">
        <f t="shared" si="26"/>
        <v>2039.97</v>
      </c>
      <c r="Q246" s="139">
        <f t="shared" si="27"/>
        <v>0.66000499999999995</v>
      </c>
      <c r="R246" s="395">
        <f>VLOOKUP(C246,'[1]ORIGINAL (2)'!$A:$C,3,FALSE)</f>
        <v>307</v>
      </c>
      <c r="S246" s="24" t="e">
        <f>VLOOKUP(C246,#REF!,6,FALSE)</f>
        <v>#REF!</v>
      </c>
      <c r="T246" s="24" t="e">
        <f>VLOOKUP(C246,#REF!,7,FALSE)</f>
        <v>#REF!</v>
      </c>
      <c r="U246" s="24" t="e">
        <f>VLOOKUP(C246,#REF!,12,FALSE)</f>
        <v>#REF!</v>
      </c>
      <c r="V246" s="24" t="e">
        <f>VLOOKUP(C246,#REF!,13,FALSE)</f>
        <v>#REF!</v>
      </c>
    </row>
    <row r="247" spans="1:22" x14ac:dyDescent="0.25">
      <c r="A247" s="6" t="s">
        <v>1220</v>
      </c>
      <c r="B247" s="8">
        <v>9789500208369</v>
      </c>
      <c r="C247" s="21">
        <v>589611</v>
      </c>
      <c r="D247" s="7">
        <v>192</v>
      </c>
      <c r="E247" s="7" t="s">
        <v>150</v>
      </c>
      <c r="F247" s="7" t="s">
        <v>151</v>
      </c>
      <c r="G247" s="107">
        <v>42036</v>
      </c>
      <c r="H247" s="108">
        <v>42005</v>
      </c>
      <c r="I247" s="24">
        <v>3062</v>
      </c>
      <c r="J247" s="28" t="s">
        <v>1894</v>
      </c>
      <c r="K247" s="28">
        <v>16.600000000000001</v>
      </c>
      <c r="L247" s="112">
        <v>16000</v>
      </c>
      <c r="M247" s="112">
        <f>+L247*0.1</f>
        <v>1600</v>
      </c>
      <c r="N247" s="9">
        <f t="shared" si="24"/>
        <v>8000</v>
      </c>
      <c r="O247" s="9">
        <f t="shared" si="25"/>
        <v>6383.4</v>
      </c>
      <c r="P247" s="9">
        <f t="shared" si="26"/>
        <v>1616.6</v>
      </c>
      <c r="Q247" s="139">
        <f t="shared" si="27"/>
        <v>0.797925</v>
      </c>
      <c r="R247" s="395">
        <f>VLOOKUP(C247,'[1]ORIGINAL (2)'!$A:$C,3,FALSE)</f>
        <v>1</v>
      </c>
      <c r="S247" s="24" t="e">
        <f>VLOOKUP(C247,#REF!,6,FALSE)</f>
        <v>#REF!</v>
      </c>
      <c r="T247" s="24" t="e">
        <f>VLOOKUP(C247,#REF!,7,FALSE)</f>
        <v>#REF!</v>
      </c>
      <c r="U247" s="24" t="e">
        <f>VLOOKUP(C247,#REF!,12,FALSE)</f>
        <v>#REF!</v>
      </c>
      <c r="V247" s="24" t="e">
        <f>VLOOKUP(C247,#REF!,13,FALSE)</f>
        <v>#REF!</v>
      </c>
    </row>
    <row r="248" spans="1:22" x14ac:dyDescent="0.25">
      <c r="A248" s="6" t="s">
        <v>1221</v>
      </c>
      <c r="B248" s="8">
        <v>9789500211871</v>
      </c>
      <c r="C248" s="8">
        <v>685396</v>
      </c>
      <c r="D248" s="7">
        <v>512</v>
      </c>
      <c r="E248" s="30" t="s">
        <v>557</v>
      </c>
      <c r="F248" s="7" t="s">
        <v>558</v>
      </c>
      <c r="G248" s="118">
        <v>44409</v>
      </c>
      <c r="H248" s="107">
        <v>45597</v>
      </c>
      <c r="I248" s="7">
        <v>2052</v>
      </c>
      <c r="J248" s="28" t="s">
        <v>2136</v>
      </c>
      <c r="K248" s="148">
        <v>3838.6500000000005</v>
      </c>
      <c r="L248" s="112">
        <v>32900</v>
      </c>
      <c r="M248" s="112">
        <f>+L248*0.1</f>
        <v>3290</v>
      </c>
      <c r="N248" s="9">
        <f t="shared" si="24"/>
        <v>16450</v>
      </c>
      <c r="O248" s="9">
        <f t="shared" si="25"/>
        <v>9321.3499999999985</v>
      </c>
      <c r="P248" s="9">
        <f t="shared" si="26"/>
        <v>7128.6500000000005</v>
      </c>
      <c r="Q248" s="139">
        <f t="shared" si="27"/>
        <v>0.56664741641337379</v>
      </c>
      <c r="R248" s="395">
        <f>VLOOKUP(C248,'[1]ORIGINAL (2)'!$A:$C,3,FALSE)</f>
        <v>141</v>
      </c>
      <c r="S248" s="24" t="e">
        <f>VLOOKUP(C248,#REF!,6,FALSE)</f>
        <v>#REF!</v>
      </c>
      <c r="T248" s="24" t="e">
        <f>VLOOKUP(C248,#REF!,7,FALSE)</f>
        <v>#REF!</v>
      </c>
      <c r="U248" s="24" t="e">
        <f>VLOOKUP(C248,#REF!,12,FALSE)</f>
        <v>#REF!</v>
      </c>
      <c r="V248" s="24" t="e">
        <f>VLOOKUP(C248,#REF!,13,FALSE)</f>
        <v>#REF!</v>
      </c>
    </row>
    <row r="249" spans="1:22" x14ac:dyDescent="0.25">
      <c r="A249" s="2"/>
      <c r="B249" s="3"/>
      <c r="C249" s="3"/>
      <c r="D249" s="2"/>
      <c r="E249" s="2"/>
      <c r="F249" s="2"/>
      <c r="G249" s="2"/>
      <c r="H249" s="132"/>
      <c r="I249" s="132"/>
      <c r="J249" s="134"/>
      <c r="K249" s="132"/>
      <c r="L249" s="134"/>
      <c r="M249" s="132"/>
      <c r="N249" s="132"/>
      <c r="O249" s="132"/>
      <c r="P249" s="132"/>
      <c r="Q249" s="147"/>
      <c r="R249" s="395" t="e">
        <f>VLOOKUP(C249,'[1]ORIGINAL (2)'!$A:$C,3,FALSE)</f>
        <v>#N/A</v>
      </c>
      <c r="S249" s="100"/>
      <c r="T249" s="100"/>
      <c r="U249" s="100"/>
      <c r="V249" s="100"/>
    </row>
    <row r="250" spans="1:22" x14ac:dyDescent="0.25">
      <c r="A250" s="160" t="s">
        <v>660</v>
      </c>
      <c r="B250" s="168"/>
      <c r="C250" s="168"/>
      <c r="D250" s="169"/>
      <c r="E250" s="348"/>
      <c r="F250" s="348"/>
      <c r="G250" s="162"/>
      <c r="H250" s="132"/>
      <c r="I250" s="132"/>
      <c r="J250" s="134"/>
      <c r="K250" s="132"/>
      <c r="L250" s="134"/>
      <c r="M250" s="132"/>
      <c r="N250" s="132"/>
      <c r="O250" s="132"/>
      <c r="P250" s="132"/>
      <c r="Q250" s="147"/>
      <c r="R250" s="395" t="e">
        <f>VLOOKUP(C250,'[1]ORIGINAL (2)'!$A:$C,3,FALSE)</f>
        <v>#N/A</v>
      </c>
      <c r="S250" s="100"/>
      <c r="T250" s="100"/>
      <c r="U250" s="100"/>
      <c r="V250" s="100"/>
    </row>
    <row r="251" spans="1:22" x14ac:dyDescent="0.25">
      <c r="A251" s="7" t="s">
        <v>2400</v>
      </c>
      <c r="B251" s="8">
        <v>9789500217293</v>
      </c>
      <c r="C251" s="8">
        <v>748669</v>
      </c>
      <c r="D251" s="7">
        <v>416</v>
      </c>
      <c r="E251" s="7" t="s">
        <v>402</v>
      </c>
      <c r="F251" s="7" t="s">
        <v>2401</v>
      </c>
      <c r="G251" s="107">
        <v>46235</v>
      </c>
      <c r="H251" s="108">
        <v>46204</v>
      </c>
      <c r="I251" s="267">
        <v>3000</v>
      </c>
      <c r="J251" s="7" t="s">
        <v>1894</v>
      </c>
      <c r="K251" s="148">
        <v>2797.05</v>
      </c>
      <c r="L251" s="352">
        <v>17900</v>
      </c>
      <c r="M251" s="352"/>
      <c r="N251" s="9">
        <f t="shared" ref="N251:N263" si="28">+L251/2</f>
        <v>8950</v>
      </c>
      <c r="O251" s="9">
        <f t="shared" ref="O251:O263" si="29">+N251-M251-K251</f>
        <v>6152.95</v>
      </c>
      <c r="P251" s="9">
        <f t="shared" ref="P251:P263" si="30">+M251+K251</f>
        <v>2797.05</v>
      </c>
      <c r="Q251" s="139">
        <f t="shared" ref="Q251:Q263" si="31">+O251/N251</f>
        <v>0.68748044692737431</v>
      </c>
      <c r="R251" s="395">
        <f>VLOOKUP(C251,'[1]ORIGINAL (2)'!$A:$C,3,FALSE)</f>
        <v>95</v>
      </c>
      <c r="S251" s="24" t="e">
        <f>VLOOKUP(C251,#REF!,6,FALSE)</f>
        <v>#REF!</v>
      </c>
      <c r="T251" s="24" t="e">
        <f>VLOOKUP(C251,#REF!,7,FALSE)</f>
        <v>#REF!</v>
      </c>
      <c r="U251" s="24" t="e">
        <f>VLOOKUP(C251,#REF!,12,FALSE)</f>
        <v>#REF!</v>
      </c>
      <c r="V251" s="24" t="e">
        <f>VLOOKUP(C251,#REF!,13,FALSE)</f>
        <v>#REF!</v>
      </c>
    </row>
    <row r="252" spans="1:22" x14ac:dyDescent="0.25">
      <c r="A252" s="7" t="s">
        <v>2365</v>
      </c>
      <c r="B252" s="8">
        <v>9789500217842</v>
      </c>
      <c r="C252" s="8">
        <v>747598</v>
      </c>
      <c r="D252" s="7">
        <v>224</v>
      </c>
      <c r="E252" s="6" t="s">
        <v>402</v>
      </c>
      <c r="F252" s="7" t="s">
        <v>877</v>
      </c>
      <c r="G252" s="107">
        <v>46204</v>
      </c>
      <c r="H252" s="108">
        <v>46174</v>
      </c>
      <c r="I252" s="116">
        <v>4049</v>
      </c>
      <c r="J252" s="315" t="s">
        <v>1867</v>
      </c>
      <c r="K252" s="148">
        <v>1225.3499999999999</v>
      </c>
      <c r="L252" s="352">
        <v>17900</v>
      </c>
      <c r="M252" s="112"/>
      <c r="N252" s="9">
        <f t="shared" si="28"/>
        <v>8950</v>
      </c>
      <c r="O252" s="9">
        <f t="shared" si="29"/>
        <v>7724.65</v>
      </c>
      <c r="P252" s="9">
        <f t="shared" si="30"/>
        <v>1225.3499999999999</v>
      </c>
      <c r="Q252" s="139">
        <f t="shared" si="31"/>
        <v>0.86308938547486025</v>
      </c>
      <c r="R252" s="395">
        <f>VLOOKUP(C252,'[1]ORIGINAL (2)'!$A:$C,3,FALSE)</f>
        <v>146</v>
      </c>
      <c r="S252" s="24" t="e">
        <f>VLOOKUP(C252,#REF!,6,FALSE)</f>
        <v>#REF!</v>
      </c>
      <c r="T252" s="24" t="e">
        <f>VLOOKUP(C252,#REF!,7,FALSE)</f>
        <v>#REF!</v>
      </c>
      <c r="U252" s="24" t="e">
        <f>VLOOKUP(C252,#REF!,12,FALSE)</f>
        <v>#REF!</v>
      </c>
      <c r="V252" s="24" t="e">
        <f>VLOOKUP(C252,#REF!,13,FALSE)</f>
        <v>#REF!</v>
      </c>
    </row>
    <row r="253" spans="1:22" x14ac:dyDescent="0.25">
      <c r="A253" s="6" t="s">
        <v>2345</v>
      </c>
      <c r="B253" s="8">
        <v>9789500217743</v>
      </c>
      <c r="C253" s="8">
        <v>745991</v>
      </c>
      <c r="D253" s="343">
        <v>304</v>
      </c>
      <c r="E253" s="6" t="s">
        <v>402</v>
      </c>
      <c r="F253" s="6" t="s">
        <v>2346</v>
      </c>
      <c r="G253" s="107">
        <v>46174</v>
      </c>
      <c r="H253" s="108">
        <v>46143</v>
      </c>
      <c r="I253" s="116">
        <v>4036</v>
      </c>
      <c r="J253" s="8" t="s">
        <v>1762</v>
      </c>
      <c r="K253" s="148">
        <v>2450.59</v>
      </c>
      <c r="L253" s="352">
        <v>17900</v>
      </c>
      <c r="M253" s="112"/>
      <c r="N253" s="9">
        <f t="shared" si="28"/>
        <v>8950</v>
      </c>
      <c r="O253" s="9">
        <f t="shared" si="29"/>
        <v>6499.41</v>
      </c>
      <c r="P253" s="9">
        <f t="shared" si="30"/>
        <v>2450.59</v>
      </c>
      <c r="Q253" s="139">
        <f t="shared" si="31"/>
        <v>0.726191061452514</v>
      </c>
      <c r="R253" s="395">
        <f>VLOOKUP(C253,'[1]ORIGINAL (2)'!$A:$C,3,FALSE)</f>
        <v>169</v>
      </c>
      <c r="S253" s="24" t="e">
        <f>VLOOKUP(C253,#REF!,6,FALSE)</f>
        <v>#REF!</v>
      </c>
      <c r="T253" s="24" t="e">
        <f>VLOOKUP(C253,#REF!,7,FALSE)</f>
        <v>#REF!</v>
      </c>
      <c r="U253" s="24" t="e">
        <f>VLOOKUP(C253,#REF!,12,FALSE)</f>
        <v>#REF!</v>
      </c>
      <c r="V253" s="24" t="e">
        <f>VLOOKUP(C253,#REF!,13,FALSE)</f>
        <v>#REF!</v>
      </c>
    </row>
    <row r="254" spans="1:22" x14ac:dyDescent="0.25">
      <c r="A254" s="6" t="s">
        <v>2317</v>
      </c>
      <c r="B254" s="153">
        <v>9789500217651</v>
      </c>
      <c r="C254" s="6">
        <v>744137</v>
      </c>
      <c r="D254" s="41">
        <v>304</v>
      </c>
      <c r="E254" s="6" t="s">
        <v>402</v>
      </c>
      <c r="F254" s="7" t="s">
        <v>2318</v>
      </c>
      <c r="G254" s="107">
        <v>46143</v>
      </c>
      <c r="H254" s="108">
        <v>46113</v>
      </c>
      <c r="I254" s="7">
        <v>1988</v>
      </c>
      <c r="J254" s="7" t="s">
        <v>2329</v>
      </c>
      <c r="K254" s="148">
        <v>2900.78</v>
      </c>
      <c r="L254" s="9">
        <v>17900</v>
      </c>
      <c r="M254" s="112"/>
      <c r="N254" s="9">
        <f t="shared" si="28"/>
        <v>8950</v>
      </c>
      <c r="O254" s="9">
        <f t="shared" si="29"/>
        <v>6049.2199999999993</v>
      </c>
      <c r="P254" s="9">
        <f t="shared" si="30"/>
        <v>2900.78</v>
      </c>
      <c r="Q254" s="139">
        <f t="shared" si="31"/>
        <v>0.67589050279329599</v>
      </c>
      <c r="R254" s="395">
        <f>VLOOKUP(C254,'[1]ORIGINAL (2)'!$A:$C,3,FALSE)</f>
        <v>258</v>
      </c>
      <c r="S254" s="24" t="e">
        <f>VLOOKUP(C254,#REF!,6,FALSE)</f>
        <v>#REF!</v>
      </c>
      <c r="T254" s="24" t="e">
        <f>VLOOKUP(C254,#REF!,7,FALSE)</f>
        <v>#REF!</v>
      </c>
      <c r="U254" s="24" t="e">
        <f>VLOOKUP(C254,#REF!,12,FALSE)</f>
        <v>#REF!</v>
      </c>
      <c r="V254" s="24" t="e">
        <f>VLOOKUP(C254,#REF!,13,FALSE)</f>
        <v>#REF!</v>
      </c>
    </row>
    <row r="255" spans="1:22" x14ac:dyDescent="0.25">
      <c r="A255" s="6" t="s">
        <v>2292</v>
      </c>
      <c r="B255" s="153">
        <v>9789500217521</v>
      </c>
      <c r="C255" s="6">
        <v>743066</v>
      </c>
      <c r="D255" s="41">
        <v>480</v>
      </c>
      <c r="E255" s="6" t="s">
        <v>402</v>
      </c>
      <c r="F255" s="6" t="s">
        <v>2355</v>
      </c>
      <c r="G255" s="107">
        <v>46113</v>
      </c>
      <c r="H255" s="108">
        <v>46082</v>
      </c>
      <c r="I255" s="7">
        <v>3064</v>
      </c>
      <c r="J255" s="6" t="s">
        <v>1333</v>
      </c>
      <c r="K255" s="148">
        <v>2211.84</v>
      </c>
      <c r="L255" s="9">
        <v>17900</v>
      </c>
      <c r="M255" s="112"/>
      <c r="N255" s="9">
        <f t="shared" si="28"/>
        <v>8950</v>
      </c>
      <c r="O255" s="9">
        <f t="shared" si="29"/>
        <v>6738.16</v>
      </c>
      <c r="P255" s="9">
        <f t="shared" si="30"/>
        <v>2211.84</v>
      </c>
      <c r="Q255" s="139">
        <f t="shared" si="31"/>
        <v>0.75286703910614527</v>
      </c>
      <c r="R255" s="395">
        <f>VLOOKUP(C255,'[1]ORIGINAL (2)'!$A:$C,3,FALSE)</f>
        <v>458</v>
      </c>
      <c r="S255" s="24" t="e">
        <f>VLOOKUP(C255,#REF!,6,FALSE)</f>
        <v>#REF!</v>
      </c>
      <c r="T255" s="24" t="e">
        <f>VLOOKUP(C255,#REF!,7,FALSE)</f>
        <v>#REF!</v>
      </c>
      <c r="U255" s="24" t="e">
        <f>VLOOKUP(C255,#REF!,12,FALSE)</f>
        <v>#REF!</v>
      </c>
      <c r="V255" s="24" t="e">
        <f>VLOOKUP(C255,#REF!,13,FALSE)</f>
        <v>#REF!</v>
      </c>
    </row>
    <row r="256" spans="1:22" x14ac:dyDescent="0.25">
      <c r="A256" s="36" t="s">
        <v>2259</v>
      </c>
      <c r="B256" s="37">
        <v>9789500217347</v>
      </c>
      <c r="C256" s="37">
        <v>741702</v>
      </c>
      <c r="D256" s="149">
        <v>224</v>
      </c>
      <c r="E256" s="38" t="s">
        <v>402</v>
      </c>
      <c r="F256" s="38" t="s">
        <v>2266</v>
      </c>
      <c r="G256" s="107">
        <v>46082</v>
      </c>
      <c r="H256" s="108">
        <v>46054</v>
      </c>
      <c r="I256" s="267">
        <v>6000</v>
      </c>
      <c r="J256" s="28" t="s">
        <v>2258</v>
      </c>
      <c r="K256" s="148">
        <v>1308.22</v>
      </c>
      <c r="L256" s="9">
        <v>17900</v>
      </c>
      <c r="M256" s="112"/>
      <c r="N256" s="9">
        <f t="shared" si="28"/>
        <v>8950</v>
      </c>
      <c r="O256" s="9">
        <f t="shared" si="29"/>
        <v>7641.78</v>
      </c>
      <c r="P256" s="9">
        <f t="shared" si="30"/>
        <v>1308.22</v>
      </c>
      <c r="Q256" s="139">
        <f t="shared" si="31"/>
        <v>0.85383016759776531</v>
      </c>
      <c r="R256" s="395">
        <f>VLOOKUP(C256,'[1]ORIGINAL (2)'!$A:$C,3,FALSE)</f>
        <v>532</v>
      </c>
      <c r="S256" s="24" t="e">
        <f>VLOOKUP(C256,#REF!,6,FALSE)</f>
        <v>#REF!</v>
      </c>
      <c r="T256" s="24" t="e">
        <f>VLOOKUP(C256,#REF!,7,FALSE)</f>
        <v>#REF!</v>
      </c>
      <c r="U256" s="24" t="e">
        <f>VLOOKUP(C256,#REF!,12,FALSE)</f>
        <v>#REF!</v>
      </c>
      <c r="V256" s="24" t="e">
        <f>VLOOKUP(C256,#REF!,13,FALSE)</f>
        <v>#REF!</v>
      </c>
    </row>
    <row r="257" spans="1:22" x14ac:dyDescent="0.25">
      <c r="A257" s="36" t="s">
        <v>1222</v>
      </c>
      <c r="B257" s="37">
        <v>9789500214704</v>
      </c>
      <c r="C257" s="37">
        <v>713084</v>
      </c>
      <c r="D257" s="149">
        <v>224</v>
      </c>
      <c r="E257" s="38" t="s">
        <v>402</v>
      </c>
      <c r="F257" s="38" t="s">
        <v>877</v>
      </c>
      <c r="G257" s="107">
        <v>45292</v>
      </c>
      <c r="H257" s="108">
        <v>45748</v>
      </c>
      <c r="I257" s="7">
        <v>3000</v>
      </c>
      <c r="J257" s="28" t="s">
        <v>2136</v>
      </c>
      <c r="K257" s="148">
        <v>1931.22</v>
      </c>
      <c r="L257" s="9">
        <v>39900</v>
      </c>
      <c r="M257" s="112"/>
      <c r="N257" s="9">
        <f t="shared" si="28"/>
        <v>19950</v>
      </c>
      <c r="O257" s="9">
        <f t="shared" si="29"/>
        <v>18018.78</v>
      </c>
      <c r="P257" s="9">
        <f t="shared" si="30"/>
        <v>1931.22</v>
      </c>
      <c r="Q257" s="139">
        <f t="shared" si="31"/>
        <v>0.903196992481203</v>
      </c>
      <c r="R257" s="395">
        <f>VLOOKUP(C257,'[1]ORIGINAL (2)'!$A:$C,3,FALSE)</f>
        <v>423</v>
      </c>
      <c r="S257" s="24" t="e">
        <f>VLOOKUP(C257,#REF!,6,FALSE)</f>
        <v>#REF!</v>
      </c>
      <c r="T257" s="24" t="e">
        <f>VLOOKUP(C257,#REF!,7,FALSE)</f>
        <v>#REF!</v>
      </c>
      <c r="U257" s="24" t="e">
        <f>VLOOKUP(C257,#REF!,12,FALSE)</f>
        <v>#REF!</v>
      </c>
      <c r="V257" s="24" t="e">
        <f>VLOOKUP(C257,#REF!,13,FALSE)</f>
        <v>#REF!</v>
      </c>
    </row>
    <row r="258" spans="1:22" x14ac:dyDescent="0.25">
      <c r="A258" s="6" t="s">
        <v>1223</v>
      </c>
      <c r="B258" s="8">
        <v>9789500213882</v>
      </c>
      <c r="C258" s="6">
        <v>707248</v>
      </c>
      <c r="D258" s="41">
        <v>304</v>
      </c>
      <c r="E258" s="7" t="s">
        <v>402</v>
      </c>
      <c r="F258" s="7" t="s">
        <v>619</v>
      </c>
      <c r="G258" s="107">
        <v>45108</v>
      </c>
      <c r="H258" s="108">
        <v>45748</v>
      </c>
      <c r="I258" s="7">
        <v>3024</v>
      </c>
      <c r="J258" s="28" t="s">
        <v>2136</v>
      </c>
      <c r="K258" s="9">
        <v>2385.63</v>
      </c>
      <c r="L258" s="9">
        <v>39900</v>
      </c>
      <c r="M258" s="9"/>
      <c r="N258" s="9">
        <f t="shared" si="28"/>
        <v>19950</v>
      </c>
      <c r="O258" s="9">
        <f t="shared" si="29"/>
        <v>17564.37</v>
      </c>
      <c r="P258" s="9">
        <f t="shared" si="30"/>
        <v>2385.63</v>
      </c>
      <c r="Q258" s="139">
        <f t="shared" si="31"/>
        <v>0.88041954887218044</v>
      </c>
      <c r="R258" s="395">
        <f>VLOOKUP(C258,'[1]ORIGINAL (2)'!$A:$C,3,FALSE)</f>
        <v>249</v>
      </c>
      <c r="S258" s="24" t="e">
        <f>VLOOKUP(C258,#REF!,6,FALSE)</f>
        <v>#REF!</v>
      </c>
      <c r="T258" s="24" t="e">
        <f>VLOOKUP(C258,#REF!,7,FALSE)</f>
        <v>#REF!</v>
      </c>
      <c r="U258" s="24" t="e">
        <f>VLOOKUP(C258,#REF!,12,FALSE)</f>
        <v>#REF!</v>
      </c>
      <c r="V258" s="24" t="e">
        <f>VLOOKUP(C258,#REF!,13,FALSE)</f>
        <v>#REF!</v>
      </c>
    </row>
    <row r="259" spans="1:22" x14ac:dyDescent="0.25">
      <c r="A259" s="6" t="s">
        <v>1224</v>
      </c>
      <c r="B259" s="8">
        <v>9789500213059</v>
      </c>
      <c r="C259" s="6">
        <v>698752</v>
      </c>
      <c r="D259" s="41">
        <v>224</v>
      </c>
      <c r="E259" s="7" t="s">
        <v>402</v>
      </c>
      <c r="F259" s="7" t="s">
        <v>722</v>
      </c>
      <c r="G259" s="107">
        <v>44835</v>
      </c>
      <c r="H259" s="108">
        <v>45748</v>
      </c>
      <c r="I259" s="7">
        <v>3030</v>
      </c>
      <c r="J259" s="28" t="s">
        <v>2136</v>
      </c>
      <c r="K259" s="148">
        <v>1931.23</v>
      </c>
      <c r="L259" s="9">
        <v>39900</v>
      </c>
      <c r="M259" s="112"/>
      <c r="N259" s="9">
        <f t="shared" si="28"/>
        <v>19950</v>
      </c>
      <c r="O259" s="9">
        <f t="shared" si="29"/>
        <v>18018.77</v>
      </c>
      <c r="P259" s="9">
        <f t="shared" si="30"/>
        <v>1931.23</v>
      </c>
      <c r="Q259" s="139">
        <f t="shared" si="31"/>
        <v>0.90319649122807022</v>
      </c>
      <c r="R259" s="395">
        <f>VLOOKUP(C259,'[1]ORIGINAL (2)'!$A:$C,3,FALSE)</f>
        <v>330</v>
      </c>
      <c r="S259" s="24" t="e">
        <f>VLOOKUP(C259,#REF!,6,FALSE)</f>
        <v>#REF!</v>
      </c>
      <c r="T259" s="24" t="e">
        <f>VLOOKUP(C259,#REF!,7,FALSE)</f>
        <v>#REF!</v>
      </c>
      <c r="U259" s="24" t="e">
        <f>VLOOKUP(C259,#REF!,12,FALSE)</f>
        <v>#REF!</v>
      </c>
      <c r="V259" s="24" t="e">
        <f>VLOOKUP(C259,#REF!,13,FALSE)</f>
        <v>#REF!</v>
      </c>
    </row>
    <row r="260" spans="1:22" x14ac:dyDescent="0.25">
      <c r="A260" s="7" t="s">
        <v>1225</v>
      </c>
      <c r="B260" s="8">
        <v>9789500209816</v>
      </c>
      <c r="C260" s="6">
        <v>655251</v>
      </c>
      <c r="D260" s="7">
        <v>384</v>
      </c>
      <c r="E260" s="22" t="s">
        <v>402</v>
      </c>
      <c r="F260" s="7" t="s">
        <v>403</v>
      </c>
      <c r="G260" s="107">
        <v>43374</v>
      </c>
      <c r="H260" s="108">
        <v>44986</v>
      </c>
      <c r="I260" s="24">
        <v>2000</v>
      </c>
      <c r="J260" s="8" t="s">
        <v>2258</v>
      </c>
      <c r="K260" s="9">
        <v>860.25</v>
      </c>
      <c r="L260" s="9">
        <v>31300</v>
      </c>
      <c r="M260" s="112"/>
      <c r="N260" s="9">
        <f t="shared" si="28"/>
        <v>15650</v>
      </c>
      <c r="O260" s="9">
        <f t="shared" si="29"/>
        <v>14789.75</v>
      </c>
      <c r="P260" s="9">
        <f t="shared" si="30"/>
        <v>860.25</v>
      </c>
      <c r="Q260" s="139">
        <f t="shared" si="31"/>
        <v>0.9450319488817891</v>
      </c>
      <c r="R260" s="395">
        <f>VLOOKUP(C260,'[1]ORIGINAL (2)'!$A:$C,3,FALSE)</f>
        <v>259</v>
      </c>
      <c r="S260" s="24" t="e">
        <f>VLOOKUP(C260,#REF!,6,FALSE)</f>
        <v>#REF!</v>
      </c>
      <c r="T260" s="24" t="e">
        <f>VLOOKUP(C260,#REF!,7,FALSE)</f>
        <v>#REF!</v>
      </c>
      <c r="U260" s="24" t="e">
        <f>VLOOKUP(C260,#REF!,12,FALSE)</f>
        <v>#REF!</v>
      </c>
      <c r="V260" s="24" t="e">
        <f>VLOOKUP(C260,#REF!,13,FALSE)</f>
        <v>#REF!</v>
      </c>
    </row>
    <row r="261" spans="1:22" x14ac:dyDescent="0.25">
      <c r="A261" s="6" t="s">
        <v>1226</v>
      </c>
      <c r="B261" s="8">
        <v>9789500209823</v>
      </c>
      <c r="C261" s="6">
        <v>655252</v>
      </c>
      <c r="D261" s="7">
        <v>416</v>
      </c>
      <c r="E261" s="22" t="s">
        <v>402</v>
      </c>
      <c r="F261" s="10" t="s">
        <v>404</v>
      </c>
      <c r="G261" s="107">
        <v>43374</v>
      </c>
      <c r="H261" s="108">
        <v>44986</v>
      </c>
      <c r="I261" s="24">
        <v>2000</v>
      </c>
      <c r="J261" s="28" t="s">
        <v>2136</v>
      </c>
      <c r="K261" s="9">
        <v>914.12</v>
      </c>
      <c r="L261" s="9">
        <v>31800</v>
      </c>
      <c r="M261" s="112"/>
      <c r="N261" s="9">
        <f t="shared" si="28"/>
        <v>15900</v>
      </c>
      <c r="O261" s="9">
        <f t="shared" si="29"/>
        <v>14985.88</v>
      </c>
      <c r="P261" s="9">
        <f t="shared" si="30"/>
        <v>914.12</v>
      </c>
      <c r="Q261" s="139">
        <f t="shared" si="31"/>
        <v>0.94250817610062887</v>
      </c>
      <c r="R261" s="395">
        <f>VLOOKUP(C261,'[1]ORIGINAL (2)'!$A:$C,3,FALSE)</f>
        <v>66</v>
      </c>
      <c r="S261" s="24" t="e">
        <f>VLOOKUP(C261,#REF!,6,FALSE)</f>
        <v>#REF!</v>
      </c>
      <c r="T261" s="24" t="e">
        <f>VLOOKUP(C261,#REF!,7,FALSE)</f>
        <v>#REF!</v>
      </c>
      <c r="U261" s="24" t="e">
        <f>VLOOKUP(C261,#REF!,12,FALSE)</f>
        <v>#REF!</v>
      </c>
      <c r="V261" s="24" t="e">
        <f>VLOOKUP(C261,#REF!,13,FALSE)</f>
        <v>#REF!</v>
      </c>
    </row>
    <row r="262" spans="1:22" x14ac:dyDescent="0.25">
      <c r="A262" s="11" t="s">
        <v>1227</v>
      </c>
      <c r="B262" s="13">
        <v>9789500209922</v>
      </c>
      <c r="C262" s="6">
        <v>657294</v>
      </c>
      <c r="D262" s="7">
        <v>608</v>
      </c>
      <c r="E262" s="22" t="s">
        <v>402</v>
      </c>
      <c r="F262" s="11" t="s">
        <v>1228</v>
      </c>
      <c r="G262" s="107">
        <v>43435</v>
      </c>
      <c r="H262" s="108">
        <v>44958</v>
      </c>
      <c r="I262" s="24">
        <v>2000</v>
      </c>
      <c r="J262" s="8" t="s">
        <v>2258</v>
      </c>
      <c r="K262" s="28">
        <v>1237.33</v>
      </c>
      <c r="L262" s="9">
        <v>41900</v>
      </c>
      <c r="M262" s="112"/>
      <c r="N262" s="9">
        <f t="shared" si="28"/>
        <v>20950</v>
      </c>
      <c r="O262" s="9">
        <f t="shared" si="29"/>
        <v>19712.669999999998</v>
      </c>
      <c r="P262" s="9">
        <f t="shared" si="30"/>
        <v>1237.33</v>
      </c>
      <c r="Q262" s="139">
        <f t="shared" si="31"/>
        <v>0.94093890214797127</v>
      </c>
      <c r="R262" s="395">
        <f>VLOOKUP(C262,'[1]ORIGINAL (2)'!$A:$C,3,FALSE)</f>
        <v>263</v>
      </c>
      <c r="S262" s="24" t="e">
        <f>VLOOKUP(C262,#REF!,6,FALSE)</f>
        <v>#REF!</v>
      </c>
      <c r="T262" s="24" t="e">
        <f>VLOOKUP(C262,#REF!,7,FALSE)</f>
        <v>#REF!</v>
      </c>
      <c r="U262" s="24" t="e">
        <f>VLOOKUP(C262,#REF!,12,FALSE)</f>
        <v>#REF!</v>
      </c>
      <c r="V262" s="24" t="e">
        <f>VLOOKUP(C262,#REF!,13,FALSE)</f>
        <v>#REF!</v>
      </c>
    </row>
    <row r="263" spans="1:22" x14ac:dyDescent="0.25">
      <c r="A263" s="7" t="s">
        <v>1229</v>
      </c>
      <c r="B263" s="8">
        <v>9789500209977</v>
      </c>
      <c r="C263" s="145">
        <v>660112</v>
      </c>
      <c r="D263" s="7">
        <v>352</v>
      </c>
      <c r="E263" s="22" t="s">
        <v>402</v>
      </c>
      <c r="F263" s="11" t="s">
        <v>427</v>
      </c>
      <c r="G263" s="107">
        <v>43525</v>
      </c>
      <c r="H263" s="108">
        <v>44958</v>
      </c>
      <c r="I263" s="24">
        <v>2000</v>
      </c>
      <c r="J263" s="8" t="s">
        <v>2258</v>
      </c>
      <c r="K263" s="28">
        <v>806.38</v>
      </c>
      <c r="L263" s="9">
        <v>28500</v>
      </c>
      <c r="M263" s="112"/>
      <c r="N263" s="9">
        <f t="shared" si="28"/>
        <v>14250</v>
      </c>
      <c r="O263" s="9">
        <f t="shared" si="29"/>
        <v>13443.62</v>
      </c>
      <c r="P263" s="9">
        <f t="shared" si="30"/>
        <v>806.38</v>
      </c>
      <c r="Q263" s="139">
        <f t="shared" si="31"/>
        <v>0.94341192982456146</v>
      </c>
      <c r="R263" s="395">
        <f>VLOOKUP(C263,'[1]ORIGINAL (2)'!$A:$C,3,FALSE)</f>
        <v>219</v>
      </c>
      <c r="S263" s="24" t="e">
        <f>VLOOKUP(C263,#REF!,6,FALSE)</f>
        <v>#REF!</v>
      </c>
      <c r="T263" s="24" t="e">
        <f>VLOOKUP(C263,#REF!,7,FALSE)</f>
        <v>#REF!</v>
      </c>
      <c r="U263" s="24" t="e">
        <f>VLOOKUP(C263,#REF!,12,FALSE)</f>
        <v>#REF!</v>
      </c>
      <c r="V263" s="24" t="e">
        <f>VLOOKUP(C263,#REF!,13,FALSE)</f>
        <v>#REF!</v>
      </c>
    </row>
    <row r="264" spans="1:22" x14ac:dyDescent="0.25">
      <c r="A264" s="2"/>
      <c r="B264" s="3"/>
      <c r="C264" s="3"/>
      <c r="D264" s="2"/>
      <c r="E264" s="2"/>
      <c r="F264" s="2"/>
      <c r="G264" s="2"/>
      <c r="H264" s="132"/>
      <c r="I264" s="132"/>
      <c r="J264" s="134"/>
      <c r="K264" s="132"/>
      <c r="L264" s="134"/>
      <c r="M264" s="132"/>
      <c r="N264" s="132"/>
      <c r="O264" s="132"/>
      <c r="P264" s="132"/>
      <c r="Q264" s="147"/>
      <c r="R264" s="395" t="e">
        <f>VLOOKUP(C264,'[1]ORIGINAL (2)'!$A:$C,3,FALSE)</f>
        <v>#N/A</v>
      </c>
      <c r="S264" s="100"/>
      <c r="T264" s="100"/>
      <c r="U264" s="100"/>
      <c r="V264" s="100"/>
    </row>
    <row r="265" spans="1:22" x14ac:dyDescent="0.25">
      <c r="A265" s="160" t="s">
        <v>1230</v>
      </c>
      <c r="B265" s="168"/>
      <c r="C265" s="161"/>
      <c r="D265" s="162"/>
      <c r="E265" s="162"/>
      <c r="F265" s="162"/>
      <c r="G265" s="162"/>
      <c r="H265" s="132"/>
      <c r="I265" s="132"/>
      <c r="J265" s="134"/>
      <c r="K265" s="132"/>
      <c r="L265" s="134"/>
      <c r="M265" s="132"/>
      <c r="N265" s="132"/>
      <c r="O265" s="132"/>
      <c r="P265" s="132"/>
      <c r="Q265" s="147"/>
      <c r="R265" s="395" t="e">
        <f>VLOOKUP(C265,'[1]ORIGINAL (2)'!$A:$C,3,FALSE)</f>
        <v>#N/A</v>
      </c>
      <c r="S265" s="100"/>
      <c r="T265" s="100"/>
      <c r="U265" s="100"/>
      <c r="V265" s="100"/>
    </row>
    <row r="266" spans="1:22" x14ac:dyDescent="0.25">
      <c r="A266" s="7" t="s">
        <v>1235</v>
      </c>
      <c r="B266" s="8">
        <v>9789500209311</v>
      </c>
      <c r="C266" s="6">
        <v>647069</v>
      </c>
      <c r="D266" s="7">
        <v>192</v>
      </c>
      <c r="E266" s="8" t="s">
        <v>366</v>
      </c>
      <c r="F266" s="7" t="s">
        <v>375</v>
      </c>
      <c r="G266" s="107">
        <v>43221</v>
      </c>
      <c r="H266" s="108">
        <v>43160</v>
      </c>
      <c r="I266" s="24">
        <v>3050</v>
      </c>
      <c r="J266" s="6" t="s">
        <v>2219</v>
      </c>
      <c r="K266" s="172">
        <v>35.78</v>
      </c>
      <c r="L266" s="112">
        <v>18900</v>
      </c>
      <c r="M266" s="112"/>
      <c r="N266" s="9">
        <f t="shared" ref="N266:N280" si="32">+L266/2</f>
        <v>9450</v>
      </c>
      <c r="O266" s="9">
        <f t="shared" ref="O266:O280" si="33">+N266-M266-K266</f>
        <v>9414.2199999999993</v>
      </c>
      <c r="P266" s="9">
        <f t="shared" ref="P266:P280" si="34">+M266+K266</f>
        <v>35.78</v>
      </c>
      <c r="Q266" s="139">
        <f t="shared" ref="Q266:Q280" si="35">+O266/N266</f>
        <v>0.99621375661375655</v>
      </c>
      <c r="R266" s="395">
        <f>VLOOKUP(C266,'[1]ORIGINAL (2)'!$A:$C,3,FALSE)</f>
        <v>88</v>
      </c>
      <c r="S266" s="24" t="e">
        <f>VLOOKUP(C266,#REF!,6,FALSE)</f>
        <v>#REF!</v>
      </c>
      <c r="T266" s="24" t="e">
        <f>VLOOKUP(C266,#REF!,7,FALSE)</f>
        <v>#REF!</v>
      </c>
      <c r="U266" s="24" t="e">
        <f>VLOOKUP(C266,#REF!,12,FALSE)</f>
        <v>#REF!</v>
      </c>
      <c r="V266" s="24" t="e">
        <f>VLOOKUP(C266,#REF!,13,FALSE)</f>
        <v>#REF!</v>
      </c>
    </row>
    <row r="267" spans="1:22" x14ac:dyDescent="0.25">
      <c r="A267" s="7" t="s">
        <v>1236</v>
      </c>
      <c r="B267" s="8">
        <v>9789500209328</v>
      </c>
      <c r="C267" s="6">
        <v>647076</v>
      </c>
      <c r="D267" s="7">
        <v>192</v>
      </c>
      <c r="E267" s="8" t="s">
        <v>366</v>
      </c>
      <c r="F267" s="7" t="s">
        <v>823</v>
      </c>
      <c r="G267" s="107">
        <v>43221</v>
      </c>
      <c r="H267" s="108">
        <v>43160</v>
      </c>
      <c r="I267" s="24">
        <v>3024</v>
      </c>
      <c r="J267" s="6" t="s">
        <v>2219</v>
      </c>
      <c r="K267" s="172">
        <v>35.79</v>
      </c>
      <c r="L267" s="112">
        <v>18900</v>
      </c>
      <c r="M267" s="112"/>
      <c r="N267" s="9">
        <f t="shared" si="32"/>
        <v>9450</v>
      </c>
      <c r="O267" s="9">
        <f t="shared" si="33"/>
        <v>9414.2099999999991</v>
      </c>
      <c r="P267" s="9">
        <f t="shared" si="34"/>
        <v>35.79</v>
      </c>
      <c r="Q267" s="139">
        <f t="shared" si="35"/>
        <v>0.99621269841269833</v>
      </c>
      <c r="R267" s="395">
        <f>VLOOKUP(C267,'[1]ORIGINAL (2)'!$A:$C,3,FALSE)</f>
        <v>14</v>
      </c>
      <c r="S267" s="24" t="e">
        <f>VLOOKUP(C267,#REF!,6,FALSE)</f>
        <v>#REF!</v>
      </c>
      <c r="T267" s="24" t="e">
        <f>VLOOKUP(C267,#REF!,7,FALSE)</f>
        <v>#REF!</v>
      </c>
      <c r="U267" s="24" t="e">
        <f>VLOOKUP(C267,#REF!,12,FALSE)</f>
        <v>#REF!</v>
      </c>
      <c r="V267" s="24" t="e">
        <f>VLOOKUP(C267,#REF!,13,FALSE)</f>
        <v>#REF!</v>
      </c>
    </row>
    <row r="268" spans="1:22" x14ac:dyDescent="0.25">
      <c r="A268" s="7" t="s">
        <v>1231</v>
      </c>
      <c r="B268" s="8">
        <v>9789500209366</v>
      </c>
      <c r="C268" s="170">
        <v>647077</v>
      </c>
      <c r="D268" s="7">
        <v>192</v>
      </c>
      <c r="E268" s="8" t="s">
        <v>366</v>
      </c>
      <c r="F268" s="7" t="s">
        <v>372</v>
      </c>
      <c r="G268" s="107">
        <v>43221</v>
      </c>
      <c r="H268" s="108">
        <v>45931</v>
      </c>
      <c r="I268" s="7">
        <v>4028</v>
      </c>
      <c r="J268" s="6" t="s">
        <v>2219</v>
      </c>
      <c r="K268" s="110">
        <v>2269.5500000000002</v>
      </c>
      <c r="L268" s="112">
        <v>18900</v>
      </c>
      <c r="M268" s="112"/>
      <c r="N268" s="9">
        <f t="shared" si="32"/>
        <v>9450</v>
      </c>
      <c r="O268" s="9">
        <f t="shared" si="33"/>
        <v>7180.45</v>
      </c>
      <c r="P268" s="9">
        <f t="shared" si="34"/>
        <v>2269.5500000000002</v>
      </c>
      <c r="Q268" s="139">
        <f t="shared" si="35"/>
        <v>0.75983597883597886</v>
      </c>
      <c r="R268" s="395">
        <f>VLOOKUP(C268,'[1]ORIGINAL (2)'!$A:$C,3,FALSE)</f>
        <v>174</v>
      </c>
      <c r="S268" s="24" t="e">
        <f>VLOOKUP(C268,#REF!,6,FALSE)</f>
        <v>#REF!</v>
      </c>
      <c r="T268" s="24" t="e">
        <f>VLOOKUP(C268,#REF!,7,FALSE)</f>
        <v>#REF!</v>
      </c>
      <c r="U268" s="24" t="e">
        <f>VLOOKUP(C268,#REF!,12,FALSE)</f>
        <v>#REF!</v>
      </c>
      <c r="V268" s="24" t="e">
        <f>VLOOKUP(C268,#REF!,13,FALSE)</f>
        <v>#REF!</v>
      </c>
    </row>
    <row r="269" spans="1:22" x14ac:dyDescent="0.25">
      <c r="A269" s="7" t="s">
        <v>1232</v>
      </c>
      <c r="B269" s="8">
        <v>9789500209342</v>
      </c>
      <c r="C269" s="170">
        <v>647074</v>
      </c>
      <c r="D269" s="7">
        <v>192</v>
      </c>
      <c r="E269" s="8" t="s">
        <v>366</v>
      </c>
      <c r="F269" s="7" t="s">
        <v>373</v>
      </c>
      <c r="G269" s="107">
        <v>43221</v>
      </c>
      <c r="H269" s="108">
        <v>45931</v>
      </c>
      <c r="I269" s="7">
        <v>4028</v>
      </c>
      <c r="J269" s="6" t="s">
        <v>2219</v>
      </c>
      <c r="K269" s="110">
        <v>2269.5500000000002</v>
      </c>
      <c r="L269" s="112">
        <v>18900</v>
      </c>
      <c r="M269" s="112"/>
      <c r="N269" s="9">
        <f t="shared" si="32"/>
        <v>9450</v>
      </c>
      <c r="O269" s="9">
        <f t="shared" si="33"/>
        <v>7180.45</v>
      </c>
      <c r="P269" s="9">
        <f t="shared" si="34"/>
        <v>2269.5500000000002</v>
      </c>
      <c r="Q269" s="139">
        <f t="shared" si="35"/>
        <v>0.75983597883597886</v>
      </c>
      <c r="R269" s="395">
        <f>VLOOKUP(C269,'[1]ORIGINAL (2)'!$A:$C,3,FALSE)</f>
        <v>212</v>
      </c>
      <c r="S269" s="24" t="e">
        <f>VLOOKUP(C269,#REF!,6,FALSE)</f>
        <v>#REF!</v>
      </c>
      <c r="T269" s="24" t="e">
        <f>VLOOKUP(C269,#REF!,7,FALSE)</f>
        <v>#REF!</v>
      </c>
      <c r="U269" s="24" t="e">
        <f>VLOOKUP(C269,#REF!,12,FALSE)</f>
        <v>#REF!</v>
      </c>
      <c r="V269" s="24" t="e">
        <f>VLOOKUP(C269,#REF!,13,FALSE)</f>
        <v>#REF!</v>
      </c>
    </row>
    <row r="270" spans="1:22" x14ac:dyDescent="0.25">
      <c r="A270" s="7" t="s">
        <v>1233</v>
      </c>
      <c r="B270" s="8">
        <v>9789500209335</v>
      </c>
      <c r="C270" s="6">
        <v>647071</v>
      </c>
      <c r="D270" s="7">
        <v>192</v>
      </c>
      <c r="E270" s="8" t="s">
        <v>366</v>
      </c>
      <c r="F270" s="7" t="s">
        <v>870</v>
      </c>
      <c r="G270" s="107">
        <v>43221</v>
      </c>
      <c r="H270" s="108">
        <v>45931</v>
      </c>
      <c r="I270" s="7">
        <v>3996</v>
      </c>
      <c r="J270" s="6" t="s">
        <v>2219</v>
      </c>
      <c r="K270" s="110">
        <v>2269.5500000000002</v>
      </c>
      <c r="L270" s="112">
        <v>18900</v>
      </c>
      <c r="M270" s="112"/>
      <c r="N270" s="9">
        <f t="shared" si="32"/>
        <v>9450</v>
      </c>
      <c r="O270" s="9">
        <f t="shared" si="33"/>
        <v>7180.45</v>
      </c>
      <c r="P270" s="9">
        <f t="shared" si="34"/>
        <v>2269.5500000000002</v>
      </c>
      <c r="Q270" s="139">
        <f t="shared" si="35"/>
        <v>0.75983597883597886</v>
      </c>
      <c r="R270" s="395">
        <f>VLOOKUP(C270,'[1]ORIGINAL (2)'!$A:$C,3,FALSE)</f>
        <v>161</v>
      </c>
      <c r="S270" s="24" t="e">
        <f>VLOOKUP(C270,#REF!,6,FALSE)</f>
        <v>#REF!</v>
      </c>
      <c r="T270" s="24" t="e">
        <f>VLOOKUP(C270,#REF!,7,FALSE)</f>
        <v>#REF!</v>
      </c>
      <c r="U270" s="24" t="e">
        <f>VLOOKUP(C270,#REF!,12,FALSE)</f>
        <v>#REF!</v>
      </c>
      <c r="V270" s="24" t="e">
        <f>VLOOKUP(C270,#REF!,13,FALSE)</f>
        <v>#REF!</v>
      </c>
    </row>
    <row r="271" spans="1:22" x14ac:dyDescent="0.25">
      <c r="A271" s="7" t="s">
        <v>1234</v>
      </c>
      <c r="B271" s="8">
        <v>9789500209359</v>
      </c>
      <c r="C271" s="6">
        <v>647070</v>
      </c>
      <c r="D271" s="7">
        <v>192</v>
      </c>
      <c r="E271" s="8" t="s">
        <v>366</v>
      </c>
      <c r="F271" s="7" t="s">
        <v>374</v>
      </c>
      <c r="G271" s="107">
        <v>43221</v>
      </c>
      <c r="H271" s="108">
        <v>45931</v>
      </c>
      <c r="I271" s="7">
        <v>4028</v>
      </c>
      <c r="J271" s="6" t="s">
        <v>2219</v>
      </c>
      <c r="K271" s="110">
        <v>2269.5500000000002</v>
      </c>
      <c r="L271" s="112">
        <v>18900</v>
      </c>
      <c r="M271" s="112"/>
      <c r="N271" s="9">
        <f t="shared" si="32"/>
        <v>9450</v>
      </c>
      <c r="O271" s="9">
        <f t="shared" si="33"/>
        <v>7180.45</v>
      </c>
      <c r="P271" s="9">
        <f t="shared" si="34"/>
        <v>2269.5500000000002</v>
      </c>
      <c r="Q271" s="139">
        <f t="shared" si="35"/>
        <v>0.75983597883597886</v>
      </c>
      <c r="R271" s="395">
        <f>VLOOKUP(C271,'[1]ORIGINAL (2)'!$A:$C,3,FALSE)</f>
        <v>321</v>
      </c>
      <c r="S271" s="24" t="e">
        <f>VLOOKUP(C271,#REF!,6,FALSE)</f>
        <v>#REF!</v>
      </c>
      <c r="T271" s="24" t="e">
        <f>VLOOKUP(C271,#REF!,7,FALSE)</f>
        <v>#REF!</v>
      </c>
      <c r="U271" s="24" t="e">
        <f>VLOOKUP(C271,#REF!,12,FALSE)</f>
        <v>#REF!</v>
      </c>
      <c r="V271" s="24" t="e">
        <f>VLOOKUP(C271,#REF!,13,FALSE)</f>
        <v>#REF!</v>
      </c>
    </row>
    <row r="272" spans="1:22" x14ac:dyDescent="0.25">
      <c r="A272" s="7" t="s">
        <v>1237</v>
      </c>
      <c r="B272" s="8">
        <v>9789500209304</v>
      </c>
      <c r="C272" s="6">
        <v>647075</v>
      </c>
      <c r="D272" s="7">
        <v>192</v>
      </c>
      <c r="E272" s="8" t="s">
        <v>367</v>
      </c>
      <c r="F272" s="7" t="s">
        <v>376</v>
      </c>
      <c r="G272" s="107">
        <v>43221</v>
      </c>
      <c r="H272" s="108">
        <v>45931</v>
      </c>
      <c r="I272" s="7">
        <v>4028</v>
      </c>
      <c r="J272" s="6" t="s">
        <v>2219</v>
      </c>
      <c r="K272" s="110">
        <v>2269.5500000000002</v>
      </c>
      <c r="L272" s="112">
        <v>18900</v>
      </c>
      <c r="M272" s="112"/>
      <c r="N272" s="9">
        <f t="shared" si="32"/>
        <v>9450</v>
      </c>
      <c r="O272" s="9">
        <f t="shared" si="33"/>
        <v>7180.45</v>
      </c>
      <c r="P272" s="9">
        <f t="shared" si="34"/>
        <v>2269.5500000000002</v>
      </c>
      <c r="Q272" s="139">
        <f t="shared" si="35"/>
        <v>0.75983597883597886</v>
      </c>
      <c r="R272" s="395">
        <f>VLOOKUP(C272,'[1]ORIGINAL (2)'!$A:$C,3,FALSE)</f>
        <v>322</v>
      </c>
      <c r="S272" s="24" t="e">
        <f>VLOOKUP(C272,#REF!,6,FALSE)</f>
        <v>#REF!</v>
      </c>
      <c r="T272" s="24" t="e">
        <f>VLOOKUP(C272,#REF!,7,FALSE)</f>
        <v>#REF!</v>
      </c>
      <c r="U272" s="24" t="e">
        <f>VLOOKUP(C272,#REF!,12,FALSE)</f>
        <v>#REF!</v>
      </c>
      <c r="V272" s="24" t="e">
        <f>VLOOKUP(C272,#REF!,13,FALSE)</f>
        <v>#REF!</v>
      </c>
    </row>
    <row r="273" spans="1:22" x14ac:dyDescent="0.25">
      <c r="A273" s="7" t="s">
        <v>1238</v>
      </c>
      <c r="B273" s="8">
        <v>9789500209250</v>
      </c>
      <c r="C273" s="6">
        <v>647078</v>
      </c>
      <c r="D273" s="7">
        <v>256</v>
      </c>
      <c r="E273" s="8" t="s">
        <v>368</v>
      </c>
      <c r="F273" s="7" t="s">
        <v>377</v>
      </c>
      <c r="G273" s="107">
        <v>43221</v>
      </c>
      <c r="H273" s="108">
        <v>45931</v>
      </c>
      <c r="I273" s="7">
        <v>4021</v>
      </c>
      <c r="J273" s="6" t="s">
        <v>2219</v>
      </c>
      <c r="K273" s="172">
        <v>2492.61</v>
      </c>
      <c r="L273" s="112">
        <v>18900</v>
      </c>
      <c r="M273" s="112"/>
      <c r="N273" s="9">
        <f t="shared" si="32"/>
        <v>9450</v>
      </c>
      <c r="O273" s="9">
        <f t="shared" si="33"/>
        <v>6957.3899999999994</v>
      </c>
      <c r="P273" s="9">
        <f t="shared" si="34"/>
        <v>2492.61</v>
      </c>
      <c r="Q273" s="139">
        <f t="shared" si="35"/>
        <v>0.73623174603174601</v>
      </c>
      <c r="R273" s="395">
        <f>VLOOKUP(C273,'[1]ORIGINAL (2)'!$A:$C,3,FALSE)</f>
        <v>418</v>
      </c>
      <c r="S273" s="24" t="e">
        <f>VLOOKUP(C273,#REF!,6,FALSE)</f>
        <v>#REF!</v>
      </c>
      <c r="T273" s="24" t="e">
        <f>VLOOKUP(C273,#REF!,7,FALSE)</f>
        <v>#REF!</v>
      </c>
      <c r="U273" s="24" t="e">
        <f>VLOOKUP(C273,#REF!,12,FALSE)</f>
        <v>#REF!</v>
      </c>
      <c r="V273" s="24" t="e">
        <f>VLOOKUP(C273,#REF!,13,FALSE)</f>
        <v>#REF!</v>
      </c>
    </row>
    <row r="274" spans="1:22" x14ac:dyDescent="0.25">
      <c r="A274" s="7" t="s">
        <v>1239</v>
      </c>
      <c r="B274" s="8">
        <v>9789500209274</v>
      </c>
      <c r="C274" s="6">
        <v>647073</v>
      </c>
      <c r="D274" s="7">
        <v>224</v>
      </c>
      <c r="E274" s="8" t="s">
        <v>369</v>
      </c>
      <c r="F274" s="7" t="s">
        <v>824</v>
      </c>
      <c r="G274" s="107">
        <v>43221</v>
      </c>
      <c r="H274" s="108">
        <v>43160</v>
      </c>
      <c r="I274" s="24">
        <v>3065</v>
      </c>
      <c r="J274" s="6" t="s">
        <v>2219</v>
      </c>
      <c r="K274" s="28">
        <v>39.07</v>
      </c>
      <c r="L274" s="112">
        <v>18900</v>
      </c>
      <c r="M274" s="141"/>
      <c r="N274" s="9">
        <f t="shared" si="32"/>
        <v>9450</v>
      </c>
      <c r="O274" s="9">
        <f t="shared" si="33"/>
        <v>9410.93</v>
      </c>
      <c r="P274" s="9">
        <f t="shared" si="34"/>
        <v>39.07</v>
      </c>
      <c r="Q274" s="139">
        <f t="shared" si="35"/>
        <v>0.99586560846560845</v>
      </c>
      <c r="R274" s="395">
        <f>VLOOKUP(C274,'[1]ORIGINAL (2)'!$A:$C,3,FALSE)</f>
        <v>15</v>
      </c>
      <c r="S274" s="24" t="e">
        <f>VLOOKUP(C274,#REF!,6,FALSE)</f>
        <v>#REF!</v>
      </c>
      <c r="T274" s="24" t="e">
        <f>VLOOKUP(C274,#REF!,7,FALSE)</f>
        <v>#REF!</v>
      </c>
      <c r="U274" s="24" t="e">
        <f>VLOOKUP(C274,#REF!,12,FALSE)</f>
        <v>#REF!</v>
      </c>
      <c r="V274" s="24" t="e">
        <f>VLOOKUP(C274,#REF!,13,FALSE)</f>
        <v>#REF!</v>
      </c>
    </row>
    <row r="275" spans="1:22" x14ac:dyDescent="0.25">
      <c r="A275" s="7" t="s">
        <v>1240</v>
      </c>
      <c r="B275" s="8">
        <v>9789500209267</v>
      </c>
      <c r="C275" s="6">
        <v>647072</v>
      </c>
      <c r="D275" s="7">
        <v>288</v>
      </c>
      <c r="E275" s="8" t="s">
        <v>272</v>
      </c>
      <c r="F275" s="7" t="s">
        <v>825</v>
      </c>
      <c r="G275" s="107">
        <v>43221</v>
      </c>
      <c r="H275" s="108">
        <v>43160</v>
      </c>
      <c r="I275" s="24">
        <v>3014</v>
      </c>
      <c r="J275" s="6" t="s">
        <v>2219</v>
      </c>
      <c r="K275" s="28">
        <v>41.63</v>
      </c>
      <c r="L275" s="112">
        <v>18900</v>
      </c>
      <c r="M275" s="112"/>
      <c r="N275" s="9">
        <f t="shared" si="32"/>
        <v>9450</v>
      </c>
      <c r="O275" s="9">
        <f t="shared" si="33"/>
        <v>9408.3700000000008</v>
      </c>
      <c r="P275" s="9">
        <f t="shared" si="34"/>
        <v>41.63</v>
      </c>
      <c r="Q275" s="139">
        <f t="shared" si="35"/>
        <v>0.99559470899470903</v>
      </c>
      <c r="R275" s="395" t="e">
        <f>VLOOKUP(C275,'[1]ORIGINAL (2)'!$A:$C,3,FALSE)</f>
        <v>#N/A</v>
      </c>
      <c r="S275" s="24" t="e">
        <f>VLOOKUP(C275,#REF!,6,FALSE)</f>
        <v>#REF!</v>
      </c>
      <c r="T275" s="24" t="e">
        <f>VLOOKUP(C275,#REF!,7,FALSE)</f>
        <v>#REF!</v>
      </c>
      <c r="U275" s="24" t="e">
        <f>VLOOKUP(C275,#REF!,12,FALSE)</f>
        <v>#REF!</v>
      </c>
      <c r="V275" s="24" t="e">
        <f>VLOOKUP(C275,#REF!,13,FALSE)</f>
        <v>#REF!</v>
      </c>
    </row>
    <row r="276" spans="1:22" x14ac:dyDescent="0.25">
      <c r="A276" s="7" t="s">
        <v>1241</v>
      </c>
      <c r="B276" s="8">
        <v>9789500209298</v>
      </c>
      <c r="C276" s="6">
        <v>647068</v>
      </c>
      <c r="D276" s="7">
        <v>320</v>
      </c>
      <c r="E276" s="8" t="s">
        <v>370</v>
      </c>
      <c r="F276" s="7" t="s">
        <v>826</v>
      </c>
      <c r="G276" s="107">
        <v>43221</v>
      </c>
      <c r="H276" s="108">
        <v>43160</v>
      </c>
      <c r="I276" s="24">
        <v>3028</v>
      </c>
      <c r="J276" s="6" t="s">
        <v>2219</v>
      </c>
      <c r="K276" s="28">
        <v>42.17</v>
      </c>
      <c r="L276" s="112">
        <v>18900</v>
      </c>
      <c r="M276" s="112"/>
      <c r="N276" s="9">
        <f t="shared" si="32"/>
        <v>9450</v>
      </c>
      <c r="O276" s="9">
        <f t="shared" si="33"/>
        <v>9407.83</v>
      </c>
      <c r="P276" s="9">
        <f t="shared" si="34"/>
        <v>42.17</v>
      </c>
      <c r="Q276" s="139">
        <f t="shared" si="35"/>
        <v>0.99553756613756617</v>
      </c>
      <c r="R276" s="395">
        <f>VLOOKUP(C276,'[1]ORIGINAL (2)'!$A:$C,3,FALSE)</f>
        <v>29</v>
      </c>
      <c r="S276" s="24" t="e">
        <f>VLOOKUP(C276,#REF!,6,FALSE)</f>
        <v>#REF!</v>
      </c>
      <c r="T276" s="24" t="e">
        <f>VLOOKUP(C276,#REF!,7,FALSE)</f>
        <v>#REF!</v>
      </c>
      <c r="U276" s="24" t="e">
        <f>VLOOKUP(C276,#REF!,12,FALSE)</f>
        <v>#REF!</v>
      </c>
      <c r="V276" s="24" t="e">
        <f>VLOOKUP(C276,#REF!,13,FALSE)</f>
        <v>#REF!</v>
      </c>
    </row>
    <row r="277" spans="1:22" x14ac:dyDescent="0.25">
      <c r="A277" s="7" t="s">
        <v>1242</v>
      </c>
      <c r="B277" s="8">
        <v>9789500209281</v>
      </c>
      <c r="C277" s="6">
        <v>647079</v>
      </c>
      <c r="D277" s="7">
        <v>320</v>
      </c>
      <c r="E277" s="8" t="s">
        <v>371</v>
      </c>
      <c r="F277" s="7" t="s">
        <v>362</v>
      </c>
      <c r="G277" s="107">
        <v>43221</v>
      </c>
      <c r="H277" s="108">
        <v>43160</v>
      </c>
      <c r="I277" s="24">
        <v>3010</v>
      </c>
      <c r="J277" s="6" t="s">
        <v>2219</v>
      </c>
      <c r="K277" s="28">
        <v>42.19</v>
      </c>
      <c r="L277" s="112">
        <v>18900</v>
      </c>
      <c r="M277" s="112"/>
      <c r="N277" s="9">
        <f t="shared" si="32"/>
        <v>9450</v>
      </c>
      <c r="O277" s="9">
        <f t="shared" si="33"/>
        <v>9407.81</v>
      </c>
      <c r="P277" s="9">
        <f t="shared" si="34"/>
        <v>42.19</v>
      </c>
      <c r="Q277" s="139">
        <f t="shared" si="35"/>
        <v>0.99553544973544972</v>
      </c>
      <c r="R277" s="395" t="e">
        <f>VLOOKUP(C277,'[1]ORIGINAL (2)'!$A:$C,3,FALSE)</f>
        <v>#N/A</v>
      </c>
      <c r="S277" s="24" t="e">
        <f>VLOOKUP(C277,#REF!,6,FALSE)</f>
        <v>#REF!</v>
      </c>
      <c r="T277" s="24" t="e">
        <f>VLOOKUP(C277,#REF!,7,FALSE)</f>
        <v>#REF!</v>
      </c>
      <c r="U277" s="24" t="e">
        <f>VLOOKUP(C277,#REF!,12,FALSE)</f>
        <v>#REF!</v>
      </c>
      <c r="V277" s="24" t="e">
        <f>VLOOKUP(C277,#REF!,13,FALSE)</f>
        <v>#REF!</v>
      </c>
    </row>
    <row r="278" spans="1:22" x14ac:dyDescent="0.25">
      <c r="A278" s="6" t="s">
        <v>2188</v>
      </c>
      <c r="B278" s="153">
        <v>9789500216371</v>
      </c>
      <c r="C278" s="6">
        <v>737450</v>
      </c>
      <c r="D278" s="41">
        <v>96</v>
      </c>
      <c r="E278" s="6" t="s">
        <v>2189</v>
      </c>
      <c r="F278" s="6" t="s">
        <v>2190</v>
      </c>
      <c r="G278" s="107">
        <v>46023</v>
      </c>
      <c r="H278" s="108">
        <v>45931</v>
      </c>
      <c r="I278" s="7">
        <v>4010</v>
      </c>
      <c r="J278" s="6" t="s">
        <v>2219</v>
      </c>
      <c r="K278" s="148">
        <v>1937.24</v>
      </c>
      <c r="L278" s="112">
        <v>18900</v>
      </c>
      <c r="M278" s="112"/>
      <c r="N278" s="9">
        <f t="shared" si="32"/>
        <v>9450</v>
      </c>
      <c r="O278" s="9">
        <f t="shared" si="33"/>
        <v>7512.76</v>
      </c>
      <c r="P278" s="9">
        <f t="shared" si="34"/>
        <v>1937.24</v>
      </c>
      <c r="Q278" s="139">
        <f t="shared" si="35"/>
        <v>0.79500105820105826</v>
      </c>
      <c r="R278" s="395">
        <f>VLOOKUP(C278,'[1]ORIGINAL (2)'!$A:$C,3,FALSE)</f>
        <v>1862</v>
      </c>
      <c r="S278" s="24" t="e">
        <f>VLOOKUP(C278,#REF!,6,FALSE)</f>
        <v>#REF!</v>
      </c>
      <c r="T278" s="24" t="e">
        <f>VLOOKUP(C278,#REF!,7,FALSE)</f>
        <v>#REF!</v>
      </c>
      <c r="U278" s="24" t="e">
        <f>VLOOKUP(C278,#REF!,12,FALSE)</f>
        <v>#REF!</v>
      </c>
      <c r="V278" s="24" t="e">
        <f>VLOOKUP(C278,#REF!,13,FALSE)</f>
        <v>#REF!</v>
      </c>
    </row>
    <row r="279" spans="1:22" x14ac:dyDescent="0.25">
      <c r="A279" s="6" t="s">
        <v>2166</v>
      </c>
      <c r="B279" s="153">
        <v>9789500216388</v>
      </c>
      <c r="C279" s="6">
        <v>737451</v>
      </c>
      <c r="D279" s="41">
        <v>128</v>
      </c>
      <c r="E279" s="6" t="s">
        <v>2191</v>
      </c>
      <c r="F279" s="6" t="s">
        <v>2192</v>
      </c>
      <c r="G279" s="107">
        <v>46023</v>
      </c>
      <c r="H279" s="108">
        <v>45931</v>
      </c>
      <c r="I279" s="7">
        <v>4058</v>
      </c>
      <c r="J279" s="6" t="s">
        <v>2219</v>
      </c>
      <c r="K279" s="148">
        <v>2162.21</v>
      </c>
      <c r="L279" s="112">
        <v>18900</v>
      </c>
      <c r="M279" s="112"/>
      <c r="N279" s="9">
        <f t="shared" si="32"/>
        <v>9450</v>
      </c>
      <c r="O279" s="9">
        <f t="shared" si="33"/>
        <v>7287.79</v>
      </c>
      <c r="P279" s="9">
        <f t="shared" si="34"/>
        <v>2162.21</v>
      </c>
      <c r="Q279" s="139">
        <f t="shared" si="35"/>
        <v>0.77119470899470899</v>
      </c>
      <c r="R279" s="395">
        <f>VLOOKUP(C279,'[1]ORIGINAL (2)'!$A:$C,3,FALSE)</f>
        <v>2037</v>
      </c>
      <c r="S279" s="24" t="e">
        <f>VLOOKUP(C279,#REF!,6,FALSE)</f>
        <v>#REF!</v>
      </c>
      <c r="T279" s="24" t="e">
        <f>VLOOKUP(C279,#REF!,7,FALSE)</f>
        <v>#REF!</v>
      </c>
      <c r="U279" s="24" t="e">
        <f>VLOOKUP(C279,#REF!,12,FALSE)</f>
        <v>#REF!</v>
      </c>
      <c r="V279" s="24" t="e">
        <f>VLOOKUP(C279,#REF!,13,FALSE)</f>
        <v>#REF!</v>
      </c>
    </row>
    <row r="280" spans="1:22" x14ac:dyDescent="0.25">
      <c r="A280" s="6" t="s">
        <v>2193</v>
      </c>
      <c r="B280" s="153">
        <v>9789500216395</v>
      </c>
      <c r="C280" s="6">
        <v>737452</v>
      </c>
      <c r="D280" s="41">
        <v>128</v>
      </c>
      <c r="E280" s="6" t="s">
        <v>2194</v>
      </c>
      <c r="F280" s="6" t="s">
        <v>2195</v>
      </c>
      <c r="G280" s="107">
        <v>46023</v>
      </c>
      <c r="H280" s="108">
        <v>45931</v>
      </c>
      <c r="I280" s="7">
        <v>4058</v>
      </c>
      <c r="J280" s="6" t="s">
        <v>2219</v>
      </c>
      <c r="K280" s="292">
        <v>2162.21</v>
      </c>
      <c r="L280" s="112">
        <v>18900</v>
      </c>
      <c r="M280" s="112"/>
      <c r="N280" s="9">
        <f t="shared" si="32"/>
        <v>9450</v>
      </c>
      <c r="O280" s="9">
        <f t="shared" si="33"/>
        <v>7287.79</v>
      </c>
      <c r="P280" s="9">
        <f t="shared" si="34"/>
        <v>2162.21</v>
      </c>
      <c r="Q280" s="139">
        <f t="shared" si="35"/>
        <v>0.77119470899470899</v>
      </c>
      <c r="R280" s="395">
        <f>VLOOKUP(C280,'[1]ORIGINAL (2)'!$A:$C,3,FALSE)</f>
        <v>548</v>
      </c>
      <c r="S280" s="24" t="e">
        <f>VLOOKUP(C280,#REF!,6,FALSE)</f>
        <v>#REF!</v>
      </c>
      <c r="T280" s="24" t="e">
        <f>VLOOKUP(C280,#REF!,7,FALSE)</f>
        <v>#REF!</v>
      </c>
      <c r="U280" s="24" t="e">
        <f>VLOOKUP(C280,#REF!,12,FALSE)</f>
        <v>#REF!</v>
      </c>
      <c r="V280" s="24" t="e">
        <f>VLOOKUP(C280,#REF!,13,FALSE)</f>
        <v>#REF!</v>
      </c>
    </row>
    <row r="281" spans="1:22" x14ac:dyDescent="0.25">
      <c r="A281" s="2"/>
      <c r="B281" s="3"/>
      <c r="C281" s="3"/>
      <c r="D281" s="2"/>
      <c r="E281" s="2"/>
      <c r="F281" s="2"/>
      <c r="G281" s="2"/>
      <c r="H281" s="132"/>
      <c r="I281" s="132"/>
      <c r="J281" s="134"/>
      <c r="K281" s="132"/>
      <c r="L281" s="134"/>
      <c r="M281" s="132"/>
      <c r="N281" s="132"/>
      <c r="O281" s="132"/>
      <c r="P281" s="132"/>
      <c r="Q281" s="147"/>
      <c r="R281" s="395" t="e">
        <f>VLOOKUP(C281,'[1]ORIGINAL (2)'!$A:$C,3,FALSE)</f>
        <v>#N/A</v>
      </c>
      <c r="S281" s="100"/>
      <c r="T281" s="100"/>
      <c r="U281" s="100"/>
      <c r="V281" s="100"/>
    </row>
    <row r="282" spans="1:22" x14ac:dyDescent="0.25">
      <c r="A282" s="160" t="s">
        <v>661</v>
      </c>
      <c r="B282" s="168"/>
      <c r="C282" s="161"/>
      <c r="D282" s="162"/>
      <c r="E282" s="162"/>
      <c r="F282" s="162"/>
      <c r="G282" s="162"/>
      <c r="H282" s="132"/>
      <c r="I282" s="132"/>
      <c r="J282" s="134"/>
      <c r="K282" s="132"/>
      <c r="L282" s="134"/>
      <c r="M282" s="132"/>
      <c r="N282" s="132"/>
      <c r="O282" s="132"/>
      <c r="P282" s="132"/>
      <c r="Q282" s="147"/>
      <c r="R282" s="395" t="e">
        <f>VLOOKUP(C282,'[1]ORIGINAL (2)'!$A:$C,3,FALSE)</f>
        <v>#N/A</v>
      </c>
      <c r="S282" s="100"/>
      <c r="T282" s="100"/>
      <c r="U282" s="100"/>
      <c r="V282" s="100"/>
    </row>
    <row r="283" spans="1:22" x14ac:dyDescent="0.25">
      <c r="A283" s="7" t="s">
        <v>1243</v>
      </c>
      <c r="B283" s="8">
        <v>9789500207720</v>
      </c>
      <c r="C283" s="21">
        <v>572865</v>
      </c>
      <c r="D283" s="25">
        <v>400</v>
      </c>
      <c r="E283" s="22" t="s">
        <v>161</v>
      </c>
      <c r="F283" s="6" t="s">
        <v>1244</v>
      </c>
      <c r="G283" s="107">
        <v>41609</v>
      </c>
      <c r="H283" s="108">
        <v>42736</v>
      </c>
      <c r="I283" s="24">
        <v>1016</v>
      </c>
      <c r="J283" s="28" t="s">
        <v>1894</v>
      </c>
      <c r="K283" s="28">
        <v>46.6</v>
      </c>
      <c r="L283" s="9">
        <v>19300</v>
      </c>
      <c r="M283" s="112">
        <f t="shared" ref="M283:M289" si="36">+L283*0.15</f>
        <v>2895</v>
      </c>
      <c r="N283" s="9">
        <f t="shared" ref="N283:N292" si="37">+L283/2</f>
        <v>9650</v>
      </c>
      <c r="O283" s="9">
        <f t="shared" ref="O283:O292" si="38">+N283-M283-K283</f>
        <v>6708.4</v>
      </c>
      <c r="P283" s="9">
        <f t="shared" ref="P283:P292" si="39">+M283+K283</f>
        <v>2941.6</v>
      </c>
      <c r="Q283" s="139">
        <f t="shared" ref="Q283:Q292" si="40">+O283/N283</f>
        <v>0.69517098445595848</v>
      </c>
      <c r="R283" s="395" t="e">
        <f>VLOOKUP(C283,'[1]ORIGINAL (2)'!$A:$C,3,FALSE)</f>
        <v>#N/A</v>
      </c>
      <c r="S283" s="24" t="e">
        <f>VLOOKUP(C283,#REF!,6,FALSE)</f>
        <v>#REF!</v>
      </c>
      <c r="T283" s="24" t="e">
        <f>VLOOKUP(C283,#REF!,7,FALSE)</f>
        <v>#REF!</v>
      </c>
      <c r="U283" s="24" t="e">
        <f>VLOOKUP(C283,#REF!,12,FALSE)</f>
        <v>#REF!</v>
      </c>
      <c r="V283" s="24" t="e">
        <f>VLOOKUP(C283,#REF!,13,FALSE)</f>
        <v>#REF!</v>
      </c>
    </row>
    <row r="284" spans="1:22" x14ac:dyDescent="0.25">
      <c r="A284" s="6" t="s">
        <v>1245</v>
      </c>
      <c r="B284" s="8">
        <v>9789500207799</v>
      </c>
      <c r="C284" s="21">
        <v>575175</v>
      </c>
      <c r="D284" s="25">
        <v>352</v>
      </c>
      <c r="E284" s="22" t="s">
        <v>161</v>
      </c>
      <c r="F284" s="6" t="s">
        <v>1246</v>
      </c>
      <c r="G284" s="107">
        <v>41699</v>
      </c>
      <c r="H284" s="108">
        <v>42736</v>
      </c>
      <c r="I284" s="24">
        <v>1008</v>
      </c>
      <c r="J284" s="28" t="s">
        <v>1894</v>
      </c>
      <c r="K284" s="28">
        <v>45.57</v>
      </c>
      <c r="L284" s="9">
        <v>19300</v>
      </c>
      <c r="M284" s="112">
        <f t="shared" si="36"/>
        <v>2895</v>
      </c>
      <c r="N284" s="9">
        <f t="shared" si="37"/>
        <v>9650</v>
      </c>
      <c r="O284" s="9">
        <f t="shared" si="38"/>
        <v>6709.43</v>
      </c>
      <c r="P284" s="9">
        <f t="shared" si="39"/>
        <v>2940.57</v>
      </c>
      <c r="Q284" s="139">
        <f t="shared" si="40"/>
        <v>0.69527772020725387</v>
      </c>
      <c r="R284" s="395" t="e">
        <f>VLOOKUP(C284,'[1]ORIGINAL (2)'!$A:$C,3,FALSE)</f>
        <v>#N/A</v>
      </c>
      <c r="S284" s="24" t="e">
        <f>VLOOKUP(C284,#REF!,6,FALSE)</f>
        <v>#REF!</v>
      </c>
      <c r="T284" s="24" t="e">
        <f>VLOOKUP(C284,#REF!,7,FALSE)</f>
        <v>#REF!</v>
      </c>
      <c r="U284" s="24" t="e">
        <f>VLOOKUP(C284,#REF!,12,FALSE)</f>
        <v>#REF!</v>
      </c>
      <c r="V284" s="24" t="e">
        <f>VLOOKUP(C284,#REF!,13,FALSE)</f>
        <v>#REF!</v>
      </c>
    </row>
    <row r="285" spans="1:22" x14ac:dyDescent="0.25">
      <c r="A285" s="6" t="s">
        <v>1247</v>
      </c>
      <c r="B285" s="8">
        <v>9789500207805</v>
      </c>
      <c r="C285" s="21">
        <v>575176</v>
      </c>
      <c r="D285" s="25">
        <v>400</v>
      </c>
      <c r="E285" s="22" t="s">
        <v>161</v>
      </c>
      <c r="F285" s="6" t="s">
        <v>1248</v>
      </c>
      <c r="G285" s="107">
        <v>41699</v>
      </c>
      <c r="H285" s="108">
        <v>42491</v>
      </c>
      <c r="I285" s="24">
        <v>2027</v>
      </c>
      <c r="J285" s="28" t="s">
        <v>1894</v>
      </c>
      <c r="K285" s="28">
        <v>32.79</v>
      </c>
      <c r="L285" s="9">
        <v>19300</v>
      </c>
      <c r="M285" s="112">
        <f t="shared" si="36"/>
        <v>2895</v>
      </c>
      <c r="N285" s="9">
        <f t="shared" si="37"/>
        <v>9650</v>
      </c>
      <c r="O285" s="9">
        <f t="shared" si="38"/>
        <v>6722.21</v>
      </c>
      <c r="P285" s="9">
        <f t="shared" si="39"/>
        <v>2927.79</v>
      </c>
      <c r="Q285" s="139">
        <f t="shared" si="40"/>
        <v>0.69660207253886008</v>
      </c>
      <c r="R285" s="395" t="e">
        <f>VLOOKUP(C285,'[1]ORIGINAL (2)'!$A:$C,3,FALSE)</f>
        <v>#N/A</v>
      </c>
      <c r="S285" s="24" t="e">
        <f>VLOOKUP(C285,#REF!,6,FALSE)</f>
        <v>#REF!</v>
      </c>
      <c r="T285" s="24" t="e">
        <f>VLOOKUP(C285,#REF!,7,FALSE)</f>
        <v>#REF!</v>
      </c>
      <c r="U285" s="24" t="e">
        <f>VLOOKUP(C285,#REF!,12,FALSE)</f>
        <v>#REF!</v>
      </c>
      <c r="V285" s="24" t="e">
        <f>VLOOKUP(C285,#REF!,13,FALSE)</f>
        <v>#REF!</v>
      </c>
    </row>
    <row r="286" spans="1:22" x14ac:dyDescent="0.25">
      <c r="A286" s="6" t="s">
        <v>1249</v>
      </c>
      <c r="B286" s="8">
        <v>9789500207836</v>
      </c>
      <c r="C286" s="21">
        <v>576584</v>
      </c>
      <c r="D286" s="25">
        <v>352</v>
      </c>
      <c r="E286" s="22" t="s">
        <v>161</v>
      </c>
      <c r="F286" s="6" t="s">
        <v>1250</v>
      </c>
      <c r="G286" s="107">
        <v>41730</v>
      </c>
      <c r="H286" s="108">
        <v>42583</v>
      </c>
      <c r="I286" s="24">
        <v>2030</v>
      </c>
      <c r="J286" s="28" t="s">
        <v>1894</v>
      </c>
      <c r="K286" s="28">
        <v>31.39</v>
      </c>
      <c r="L286" s="9">
        <v>19300</v>
      </c>
      <c r="M286" s="112">
        <f t="shared" si="36"/>
        <v>2895</v>
      </c>
      <c r="N286" s="9">
        <f t="shared" si="37"/>
        <v>9650</v>
      </c>
      <c r="O286" s="9">
        <f t="shared" si="38"/>
        <v>6723.61</v>
      </c>
      <c r="P286" s="9">
        <f t="shared" si="39"/>
        <v>2926.39</v>
      </c>
      <c r="Q286" s="139">
        <f t="shared" si="40"/>
        <v>0.6967471502590673</v>
      </c>
      <c r="R286" s="395" t="e">
        <f>VLOOKUP(C286,'[1]ORIGINAL (2)'!$A:$C,3,FALSE)</f>
        <v>#N/A</v>
      </c>
      <c r="S286" s="24" t="e">
        <f>VLOOKUP(C286,#REF!,6,FALSE)</f>
        <v>#REF!</v>
      </c>
      <c r="T286" s="24" t="e">
        <f>VLOOKUP(C286,#REF!,7,FALSE)</f>
        <v>#REF!</v>
      </c>
      <c r="U286" s="24" t="e">
        <f>VLOOKUP(C286,#REF!,12,FALSE)</f>
        <v>#REF!</v>
      </c>
      <c r="V286" s="24" t="e">
        <f>VLOOKUP(C286,#REF!,13,FALSE)</f>
        <v>#REF!</v>
      </c>
    </row>
    <row r="287" spans="1:22" x14ac:dyDescent="0.25">
      <c r="A287" s="6" t="s">
        <v>1251</v>
      </c>
      <c r="B287" s="8">
        <v>9789500299039</v>
      </c>
      <c r="C287" s="8">
        <v>613395</v>
      </c>
      <c r="D287" s="7">
        <v>392</v>
      </c>
      <c r="E287" s="22" t="s">
        <v>162</v>
      </c>
      <c r="F287" s="32" t="s">
        <v>1252</v>
      </c>
      <c r="G287" s="107">
        <v>42491</v>
      </c>
      <c r="H287" s="108">
        <v>42736</v>
      </c>
      <c r="I287" s="24">
        <v>1012</v>
      </c>
      <c r="J287" s="28" t="s">
        <v>1894</v>
      </c>
      <c r="K287" s="28">
        <v>48.05</v>
      </c>
      <c r="L287" s="9">
        <v>19300</v>
      </c>
      <c r="M287" s="112">
        <f t="shared" si="36"/>
        <v>2895</v>
      </c>
      <c r="N287" s="9">
        <f t="shared" si="37"/>
        <v>9650</v>
      </c>
      <c r="O287" s="9">
        <f t="shared" si="38"/>
        <v>6706.95</v>
      </c>
      <c r="P287" s="9">
        <f t="shared" si="39"/>
        <v>2943.05</v>
      </c>
      <c r="Q287" s="139">
        <f t="shared" si="40"/>
        <v>0.69502072538860105</v>
      </c>
      <c r="R287" s="395" t="e">
        <f>VLOOKUP(C287,'[1]ORIGINAL (2)'!$A:$C,3,FALSE)</f>
        <v>#N/A</v>
      </c>
      <c r="S287" s="24" t="e">
        <f>VLOOKUP(C287,#REF!,6,FALSE)</f>
        <v>#REF!</v>
      </c>
      <c r="T287" s="24" t="e">
        <f>VLOOKUP(C287,#REF!,7,FALSE)</f>
        <v>#REF!</v>
      </c>
      <c r="U287" s="24" t="e">
        <f>VLOOKUP(C287,#REF!,12,FALSE)</f>
        <v>#REF!</v>
      </c>
      <c r="V287" s="24" t="e">
        <f>VLOOKUP(C287,#REF!,13,FALSE)</f>
        <v>#REF!</v>
      </c>
    </row>
    <row r="288" spans="1:22" x14ac:dyDescent="0.25">
      <c r="A288" s="6" t="s">
        <v>1253</v>
      </c>
      <c r="B288" s="8">
        <v>9789500298964</v>
      </c>
      <c r="C288" s="8">
        <v>614586</v>
      </c>
      <c r="D288" s="7">
        <v>432</v>
      </c>
      <c r="E288" s="22" t="s">
        <v>162</v>
      </c>
      <c r="F288" s="6" t="s">
        <v>1254</v>
      </c>
      <c r="G288" s="107">
        <v>42522</v>
      </c>
      <c r="H288" s="108">
        <v>42614</v>
      </c>
      <c r="I288" s="24">
        <v>1550</v>
      </c>
      <c r="J288" s="28" t="s">
        <v>1894</v>
      </c>
      <c r="K288" s="28">
        <v>39.630000000000003</v>
      </c>
      <c r="L288" s="9">
        <v>19300</v>
      </c>
      <c r="M288" s="112">
        <f t="shared" si="36"/>
        <v>2895</v>
      </c>
      <c r="N288" s="9">
        <f t="shared" si="37"/>
        <v>9650</v>
      </c>
      <c r="O288" s="9">
        <f t="shared" si="38"/>
        <v>6715.37</v>
      </c>
      <c r="P288" s="9">
        <f t="shared" si="39"/>
        <v>2934.63</v>
      </c>
      <c r="Q288" s="139">
        <f t="shared" si="40"/>
        <v>0.69589326424870468</v>
      </c>
      <c r="R288" s="395" t="e">
        <f>VLOOKUP(C288,'[1]ORIGINAL (2)'!$A:$C,3,FALSE)</f>
        <v>#N/A</v>
      </c>
      <c r="S288" s="24" t="e">
        <f>VLOOKUP(C288,#REF!,6,FALSE)</f>
        <v>#REF!</v>
      </c>
      <c r="T288" s="24" t="e">
        <f>VLOOKUP(C288,#REF!,7,FALSE)</f>
        <v>#REF!</v>
      </c>
      <c r="U288" s="24" t="e">
        <f>VLOOKUP(C288,#REF!,12,FALSE)</f>
        <v>#REF!</v>
      </c>
      <c r="V288" s="24" t="e">
        <f>VLOOKUP(C288,#REF!,13,FALSE)</f>
        <v>#REF!</v>
      </c>
    </row>
    <row r="289" spans="1:22" x14ac:dyDescent="0.25">
      <c r="A289" s="6" t="s">
        <v>1255</v>
      </c>
      <c r="B289" s="8">
        <v>9789500299893</v>
      </c>
      <c r="C289" s="6">
        <v>631528</v>
      </c>
      <c r="D289" s="25">
        <v>416</v>
      </c>
      <c r="E289" s="22" t="s">
        <v>162</v>
      </c>
      <c r="F289" s="32" t="s">
        <v>163</v>
      </c>
      <c r="G289" s="107">
        <v>42979</v>
      </c>
      <c r="H289" s="108">
        <v>39234</v>
      </c>
      <c r="I289" s="24">
        <v>3008</v>
      </c>
      <c r="J289" s="28" t="s">
        <v>1894</v>
      </c>
      <c r="K289" s="28">
        <v>34.47</v>
      </c>
      <c r="L289" s="9">
        <v>19300</v>
      </c>
      <c r="M289" s="112">
        <f t="shared" si="36"/>
        <v>2895</v>
      </c>
      <c r="N289" s="9">
        <f t="shared" si="37"/>
        <v>9650</v>
      </c>
      <c r="O289" s="9">
        <f t="shared" si="38"/>
        <v>6720.53</v>
      </c>
      <c r="P289" s="9">
        <f t="shared" si="39"/>
        <v>2929.47</v>
      </c>
      <c r="Q289" s="139">
        <f t="shared" si="40"/>
        <v>0.69642797927461142</v>
      </c>
      <c r="R289" s="395" t="e">
        <f>VLOOKUP(C289,'[1]ORIGINAL (2)'!$A:$C,3,FALSE)</f>
        <v>#N/A</v>
      </c>
      <c r="S289" s="24" t="e">
        <f>VLOOKUP(C289,#REF!,6,FALSE)</f>
        <v>#REF!</v>
      </c>
      <c r="T289" s="24" t="e">
        <f>VLOOKUP(C289,#REF!,7,FALSE)</f>
        <v>#REF!</v>
      </c>
      <c r="U289" s="24" t="e">
        <f>VLOOKUP(C289,#REF!,12,FALSE)</f>
        <v>#REF!</v>
      </c>
      <c r="V289" s="24" t="e">
        <f>VLOOKUP(C289,#REF!,13,FALSE)</f>
        <v>#REF!</v>
      </c>
    </row>
    <row r="290" spans="1:22" x14ac:dyDescent="0.25">
      <c r="A290" s="6" t="s">
        <v>1256</v>
      </c>
      <c r="B290" s="8">
        <v>9789500209243</v>
      </c>
      <c r="C290" s="8">
        <v>640867</v>
      </c>
      <c r="D290" s="25">
        <v>368</v>
      </c>
      <c r="E290" s="11" t="s">
        <v>339</v>
      </c>
      <c r="F290" s="6" t="s">
        <v>1257</v>
      </c>
      <c r="G290" s="107">
        <v>43070</v>
      </c>
      <c r="H290" s="108">
        <v>43040</v>
      </c>
      <c r="I290" s="24">
        <v>3089</v>
      </c>
      <c r="J290" s="28" t="s">
        <v>1894</v>
      </c>
      <c r="K290" s="28">
        <v>33.26</v>
      </c>
      <c r="L290" s="9">
        <v>19300</v>
      </c>
      <c r="M290" s="141">
        <f>+L290*0.13</f>
        <v>2509</v>
      </c>
      <c r="N290" s="9">
        <f t="shared" si="37"/>
        <v>9650</v>
      </c>
      <c r="O290" s="9">
        <f t="shared" si="38"/>
        <v>7107.74</v>
      </c>
      <c r="P290" s="9">
        <f t="shared" si="39"/>
        <v>2542.2600000000002</v>
      </c>
      <c r="Q290" s="139">
        <f t="shared" si="40"/>
        <v>0.73655336787564762</v>
      </c>
      <c r="R290" s="395" t="e">
        <f>VLOOKUP(C290,'[1]ORIGINAL (2)'!$A:$C,3,FALSE)</f>
        <v>#N/A</v>
      </c>
      <c r="S290" s="24" t="e">
        <f>VLOOKUP(C290,#REF!,6,FALSE)</f>
        <v>#REF!</v>
      </c>
      <c r="T290" s="24" t="e">
        <f>VLOOKUP(C290,#REF!,7,FALSE)</f>
        <v>#REF!</v>
      </c>
      <c r="U290" s="24" t="e">
        <f>VLOOKUP(C290,#REF!,12,FALSE)</f>
        <v>#REF!</v>
      </c>
      <c r="V290" s="24" t="e">
        <f>VLOOKUP(C290,#REF!,13,FALSE)</f>
        <v>#REF!</v>
      </c>
    </row>
    <row r="291" spans="1:22" x14ac:dyDescent="0.25">
      <c r="A291" s="6" t="s">
        <v>1258</v>
      </c>
      <c r="B291" s="8">
        <v>9788499709376</v>
      </c>
      <c r="C291" s="8">
        <v>614907</v>
      </c>
      <c r="D291" s="7">
        <v>144</v>
      </c>
      <c r="E291" s="31" t="s">
        <v>156</v>
      </c>
      <c r="F291" s="32" t="s">
        <v>164</v>
      </c>
      <c r="G291" s="107">
        <v>42522</v>
      </c>
      <c r="H291" s="108">
        <v>42491</v>
      </c>
      <c r="I291" s="24">
        <v>2600</v>
      </c>
      <c r="J291" s="28" t="s">
        <v>1894</v>
      </c>
      <c r="K291" s="28">
        <v>82.53</v>
      </c>
      <c r="L291" s="112">
        <v>23400</v>
      </c>
      <c r="M291" s="112"/>
      <c r="N291" s="9">
        <f t="shared" si="37"/>
        <v>11700</v>
      </c>
      <c r="O291" s="9">
        <f t="shared" si="38"/>
        <v>11617.47</v>
      </c>
      <c r="P291" s="9">
        <f t="shared" si="39"/>
        <v>82.53</v>
      </c>
      <c r="Q291" s="139">
        <f t="shared" si="40"/>
        <v>0.99294615384615381</v>
      </c>
      <c r="R291" s="395" t="e">
        <f>VLOOKUP(C291,'[1]ORIGINAL (2)'!$A:$C,3,FALSE)</f>
        <v>#N/A</v>
      </c>
      <c r="S291" s="24" t="e">
        <f>VLOOKUP(C291,#REF!,6,FALSE)</f>
        <v>#REF!</v>
      </c>
      <c r="T291" s="24" t="e">
        <f>VLOOKUP(C291,#REF!,7,FALSE)</f>
        <v>#REF!</v>
      </c>
      <c r="U291" s="24" t="e">
        <f>VLOOKUP(C291,#REF!,12,FALSE)</f>
        <v>#REF!</v>
      </c>
      <c r="V291" s="24" t="e">
        <f>VLOOKUP(C291,#REF!,13,FALSE)</f>
        <v>#REF!</v>
      </c>
    </row>
    <row r="292" spans="1:22" x14ac:dyDescent="0.25">
      <c r="A292" s="6" t="s">
        <v>1259</v>
      </c>
      <c r="B292" s="8">
        <v>9788499709383</v>
      </c>
      <c r="C292" s="8">
        <v>614908</v>
      </c>
      <c r="D292" s="7">
        <v>192</v>
      </c>
      <c r="E292" s="31" t="s">
        <v>156</v>
      </c>
      <c r="F292" s="32" t="s">
        <v>1260</v>
      </c>
      <c r="G292" s="107">
        <v>42583</v>
      </c>
      <c r="H292" s="108">
        <v>42491</v>
      </c>
      <c r="I292" s="24">
        <v>1471</v>
      </c>
      <c r="J292" s="28" t="s">
        <v>1894</v>
      </c>
      <c r="K292" s="28">
        <v>106.11</v>
      </c>
      <c r="L292" s="9">
        <v>23400</v>
      </c>
      <c r="M292" s="112"/>
      <c r="N292" s="9">
        <f t="shared" si="37"/>
        <v>11700</v>
      </c>
      <c r="O292" s="9">
        <f t="shared" si="38"/>
        <v>11593.89</v>
      </c>
      <c r="P292" s="9">
        <f t="shared" si="39"/>
        <v>106.11</v>
      </c>
      <c r="Q292" s="139">
        <f t="shared" si="40"/>
        <v>0.99093076923076917</v>
      </c>
      <c r="R292" s="395" t="e">
        <f>VLOOKUP(C292,'[1]ORIGINAL (2)'!$A:$C,3,FALSE)</f>
        <v>#N/A</v>
      </c>
      <c r="S292" s="24" t="e">
        <f>VLOOKUP(C292,#REF!,6,FALSE)</f>
        <v>#REF!</v>
      </c>
      <c r="T292" s="24" t="e">
        <f>VLOOKUP(C292,#REF!,7,FALSE)</f>
        <v>#REF!</v>
      </c>
      <c r="U292" s="24" t="e">
        <f>VLOOKUP(C292,#REF!,12,FALSE)</f>
        <v>#REF!</v>
      </c>
      <c r="V292" s="24" t="e">
        <f>VLOOKUP(C292,#REF!,13,FALSE)</f>
        <v>#REF!</v>
      </c>
    </row>
    <row r="293" spans="1:22" x14ac:dyDescent="0.25">
      <c r="A293" s="2"/>
      <c r="B293" s="3"/>
      <c r="C293" s="3"/>
      <c r="D293" s="2"/>
      <c r="E293" s="2"/>
      <c r="F293" s="2"/>
      <c r="G293" s="2"/>
      <c r="H293" s="132"/>
      <c r="I293" s="132"/>
      <c r="J293" s="134"/>
      <c r="K293" s="132"/>
      <c r="L293" s="134"/>
      <c r="M293" s="132"/>
      <c r="N293" s="132"/>
      <c r="O293" s="132"/>
      <c r="P293" s="132"/>
      <c r="Q293" s="147"/>
      <c r="R293" s="395" t="e">
        <f>VLOOKUP(C293,'[1]ORIGINAL (2)'!$A:$C,3,FALSE)</f>
        <v>#N/A</v>
      </c>
      <c r="S293" s="100"/>
      <c r="T293" s="100"/>
      <c r="U293" s="100"/>
      <c r="V293" s="100"/>
    </row>
    <row r="294" spans="1:22" x14ac:dyDescent="0.25">
      <c r="A294" s="160" t="s">
        <v>1261</v>
      </c>
      <c r="B294" s="161"/>
      <c r="C294" s="168"/>
      <c r="D294" s="173"/>
      <c r="E294" s="174"/>
      <c r="F294" s="162"/>
      <c r="G294" s="162"/>
      <c r="H294" s="132"/>
      <c r="I294" s="132"/>
      <c r="J294" s="134"/>
      <c r="K294" s="132"/>
      <c r="L294" s="134"/>
      <c r="M294" s="132"/>
      <c r="N294" s="132"/>
      <c r="O294" s="132"/>
      <c r="P294" s="132"/>
      <c r="Q294" s="147"/>
      <c r="R294" s="395" t="e">
        <f>VLOOKUP(C294,'[1]ORIGINAL (2)'!$A:$C,3,FALSE)</f>
        <v>#N/A</v>
      </c>
      <c r="S294" s="100"/>
      <c r="T294" s="100"/>
      <c r="U294" s="100"/>
      <c r="V294" s="100"/>
    </row>
    <row r="295" spans="1:22" x14ac:dyDescent="0.25">
      <c r="A295" s="6" t="s">
        <v>1262</v>
      </c>
      <c r="B295" s="33">
        <v>9789500209625</v>
      </c>
      <c r="C295" s="145">
        <v>648589</v>
      </c>
      <c r="D295" s="7">
        <v>496</v>
      </c>
      <c r="E295" s="7" t="s">
        <v>165</v>
      </c>
      <c r="F295" s="11" t="s">
        <v>365</v>
      </c>
      <c r="G295" s="107">
        <v>43221</v>
      </c>
      <c r="H295" s="108">
        <v>43191</v>
      </c>
      <c r="I295" s="24">
        <v>2980</v>
      </c>
      <c r="J295" s="28" t="s">
        <v>1894</v>
      </c>
      <c r="K295" s="28">
        <v>83.77</v>
      </c>
      <c r="L295" s="28">
        <v>13900</v>
      </c>
      <c r="M295" s="9">
        <f>+L295*0.08</f>
        <v>1112</v>
      </c>
      <c r="N295" s="9">
        <f>+L295/2</f>
        <v>6950</v>
      </c>
      <c r="O295" s="9">
        <f>+N295-M295-K295</f>
        <v>5754.23</v>
      </c>
      <c r="P295" s="9">
        <f>+M295+K295</f>
        <v>1195.77</v>
      </c>
      <c r="Q295" s="139">
        <f>+O295/N295</f>
        <v>0.82794676258992794</v>
      </c>
      <c r="R295" s="395" t="e">
        <f>VLOOKUP(C295,'[1]ORIGINAL (2)'!$A:$C,3,FALSE)</f>
        <v>#N/A</v>
      </c>
      <c r="S295" s="24" t="e">
        <f>VLOOKUP(C295,#REF!,6,FALSE)</f>
        <v>#REF!</v>
      </c>
      <c r="T295" s="24" t="e">
        <f>VLOOKUP(C295,#REF!,7,FALSE)</f>
        <v>#REF!</v>
      </c>
      <c r="U295" s="24" t="e">
        <f>VLOOKUP(C295,#REF!,12,FALSE)</f>
        <v>#REF!</v>
      </c>
      <c r="V295" s="24" t="e">
        <f>VLOOKUP(C295,#REF!,13,FALSE)</f>
        <v>#REF!</v>
      </c>
    </row>
    <row r="296" spans="1:22" x14ac:dyDescent="0.25">
      <c r="A296" s="6" t="s">
        <v>1263</v>
      </c>
      <c r="B296" s="8">
        <v>9789500299886</v>
      </c>
      <c r="C296" s="6">
        <v>628865</v>
      </c>
      <c r="D296" s="25">
        <v>464</v>
      </c>
      <c r="E296" s="7" t="s">
        <v>1264</v>
      </c>
      <c r="F296" s="175" t="s">
        <v>166</v>
      </c>
      <c r="G296" s="107">
        <v>42856</v>
      </c>
      <c r="H296" s="108">
        <v>42826</v>
      </c>
      <c r="I296" s="24">
        <v>2991</v>
      </c>
      <c r="J296" s="28" t="s">
        <v>1894</v>
      </c>
      <c r="K296" s="28">
        <v>57.59</v>
      </c>
      <c r="L296" s="28">
        <v>13900</v>
      </c>
      <c r="M296" s="9">
        <f>+L296*0.08</f>
        <v>1112</v>
      </c>
      <c r="N296" s="9">
        <f>+L296/2</f>
        <v>6950</v>
      </c>
      <c r="O296" s="9">
        <f>+N296-M296-K296</f>
        <v>5780.41</v>
      </c>
      <c r="P296" s="9">
        <f>+M296+K296</f>
        <v>1169.5899999999999</v>
      </c>
      <c r="Q296" s="139">
        <f>+O296/N296</f>
        <v>0.8317136690647482</v>
      </c>
      <c r="R296" s="395" t="e">
        <f>VLOOKUP(C296,'[1]ORIGINAL (2)'!$A:$C,3,FALSE)</f>
        <v>#N/A</v>
      </c>
      <c r="S296" s="24" t="e">
        <f>VLOOKUP(C296,#REF!,6,FALSE)</f>
        <v>#REF!</v>
      </c>
      <c r="T296" s="24" t="e">
        <f>VLOOKUP(C296,#REF!,7,FALSE)</f>
        <v>#REF!</v>
      </c>
      <c r="U296" s="24" t="e">
        <f>VLOOKUP(C296,#REF!,12,FALSE)</f>
        <v>#REF!</v>
      </c>
      <c r="V296" s="24" t="e">
        <f>VLOOKUP(C296,#REF!,13,FALSE)</f>
        <v>#REF!</v>
      </c>
    </row>
    <row r="297" spans="1:22" x14ac:dyDescent="0.25">
      <c r="A297" s="2"/>
      <c r="B297" s="3"/>
      <c r="C297" s="3"/>
      <c r="D297" s="2"/>
      <c r="E297" s="2"/>
      <c r="F297" s="2"/>
      <c r="G297" s="2"/>
      <c r="H297" s="132"/>
      <c r="I297" s="132"/>
      <c r="J297" s="134"/>
      <c r="K297" s="132"/>
      <c r="L297" s="134"/>
      <c r="M297" s="132"/>
      <c r="N297" s="132"/>
      <c r="O297" s="132"/>
      <c r="P297" s="132"/>
      <c r="Q297" s="147"/>
      <c r="R297" s="395" t="e">
        <f>VLOOKUP(C297,'[1]ORIGINAL (2)'!$A:$C,3,FALSE)</f>
        <v>#N/A</v>
      </c>
      <c r="S297" s="100"/>
      <c r="T297" s="100"/>
      <c r="U297" s="100"/>
      <c r="V297" s="100"/>
    </row>
    <row r="298" spans="1:22" x14ac:dyDescent="0.25">
      <c r="A298" s="160" t="s">
        <v>1265</v>
      </c>
      <c r="B298" s="161"/>
      <c r="C298" s="168"/>
      <c r="D298" s="173"/>
      <c r="E298" s="174"/>
      <c r="F298" s="162"/>
      <c r="G298" s="162"/>
      <c r="H298" s="132"/>
      <c r="I298" s="132"/>
      <c r="J298" s="134"/>
      <c r="K298" s="132"/>
      <c r="L298" s="134"/>
      <c r="M298" s="132"/>
      <c r="N298" s="132"/>
      <c r="O298" s="132"/>
      <c r="P298" s="132"/>
      <c r="Q298" s="147"/>
      <c r="R298" s="395" t="e">
        <f>VLOOKUP(C298,'[1]ORIGINAL (2)'!$A:$C,3,FALSE)</f>
        <v>#N/A</v>
      </c>
      <c r="S298" s="100"/>
      <c r="T298" s="100"/>
      <c r="U298" s="100"/>
      <c r="V298" s="100"/>
    </row>
    <row r="299" spans="1:22" x14ac:dyDescent="0.25">
      <c r="A299" s="6" t="s">
        <v>1978</v>
      </c>
      <c r="B299" s="8">
        <v>9789500215848</v>
      </c>
      <c r="C299" s="6">
        <v>725692</v>
      </c>
      <c r="D299" s="41">
        <v>512</v>
      </c>
      <c r="E299" s="288" t="s">
        <v>165</v>
      </c>
      <c r="F299" s="6" t="s">
        <v>170</v>
      </c>
      <c r="G299" s="107">
        <v>45689</v>
      </c>
      <c r="H299" s="108">
        <v>45658</v>
      </c>
      <c r="I299" s="264">
        <v>1980</v>
      </c>
      <c r="J299" s="28" t="s">
        <v>2136</v>
      </c>
      <c r="K299" s="292">
        <v>4152.3</v>
      </c>
      <c r="L299" s="9">
        <v>35700</v>
      </c>
      <c r="M299" s="9">
        <f>+L299*0.08</f>
        <v>2856</v>
      </c>
      <c r="N299" s="9">
        <f t="shared" ref="N299:N306" si="41">+L299/2</f>
        <v>17850</v>
      </c>
      <c r="O299" s="9">
        <f t="shared" ref="O299:O306" si="42">+N299-M299-K299</f>
        <v>10841.7</v>
      </c>
      <c r="P299" s="9">
        <f t="shared" ref="P299:P306" si="43">+M299+K299</f>
        <v>7008.3</v>
      </c>
      <c r="Q299" s="109">
        <f t="shared" ref="Q299:Q306" si="44">+O299/N299</f>
        <v>0.60737815126050421</v>
      </c>
      <c r="R299" s="395">
        <f>VLOOKUP(C299,'[1]ORIGINAL (2)'!$A:$C,3,FALSE)</f>
        <v>105</v>
      </c>
      <c r="S299" s="24" t="e">
        <f>VLOOKUP(C299,#REF!,6,FALSE)</f>
        <v>#REF!</v>
      </c>
      <c r="T299" s="24" t="e">
        <f>VLOOKUP(C299,#REF!,7,FALSE)</f>
        <v>#REF!</v>
      </c>
      <c r="U299" s="24" t="e">
        <f>VLOOKUP(C299,#REF!,12,FALSE)</f>
        <v>#REF!</v>
      </c>
      <c r="V299" s="24" t="e">
        <f>VLOOKUP(C299,#REF!,13,FALSE)</f>
        <v>#REF!</v>
      </c>
    </row>
    <row r="300" spans="1:22" x14ac:dyDescent="0.25">
      <c r="A300" s="6" t="s">
        <v>1890</v>
      </c>
      <c r="B300" s="8">
        <v>9789500215404</v>
      </c>
      <c r="C300" s="8">
        <v>718918</v>
      </c>
      <c r="D300" s="25">
        <v>480</v>
      </c>
      <c r="E300" s="6" t="s">
        <v>165</v>
      </c>
      <c r="F300" s="25" t="s">
        <v>167</v>
      </c>
      <c r="G300" s="118">
        <v>45505</v>
      </c>
      <c r="H300" s="107">
        <v>46266</v>
      </c>
      <c r="I300" s="239" t="s">
        <v>2435</v>
      </c>
      <c r="J300" s="6" t="s">
        <v>2136</v>
      </c>
      <c r="K300" s="148">
        <v>4164.62</v>
      </c>
      <c r="L300" s="9">
        <v>35700</v>
      </c>
      <c r="M300" s="12">
        <f>+L300*0.1</f>
        <v>3570</v>
      </c>
      <c r="N300" s="9">
        <f t="shared" si="41"/>
        <v>17850</v>
      </c>
      <c r="O300" s="9">
        <f t="shared" si="42"/>
        <v>10115.380000000001</v>
      </c>
      <c r="P300" s="9">
        <f t="shared" si="43"/>
        <v>7734.62</v>
      </c>
      <c r="Q300" s="139">
        <f t="shared" si="44"/>
        <v>0.56668795518207293</v>
      </c>
      <c r="R300" s="395">
        <f>VLOOKUP(C300,'[1]ORIGINAL (2)'!$A:$C,3,FALSE)</f>
        <v>1011</v>
      </c>
      <c r="S300" s="24" t="e">
        <f>VLOOKUP(C300,#REF!,6,FALSE)</f>
        <v>#REF!</v>
      </c>
      <c r="T300" s="24" t="e">
        <f>VLOOKUP(C300,#REF!,7,FALSE)</f>
        <v>#REF!</v>
      </c>
      <c r="U300" s="24" t="e">
        <f>VLOOKUP(C300,#REF!,12,FALSE)</f>
        <v>#REF!</v>
      </c>
      <c r="V300" s="24" t="e">
        <f>VLOOKUP(C300,#REF!,13,FALSE)</f>
        <v>#REF!</v>
      </c>
    </row>
    <row r="301" spans="1:22" x14ac:dyDescent="0.25">
      <c r="A301" s="6" t="s">
        <v>1266</v>
      </c>
      <c r="B301" s="8">
        <v>9789500298544</v>
      </c>
      <c r="C301" s="8">
        <v>598209</v>
      </c>
      <c r="D301" s="7">
        <v>480</v>
      </c>
      <c r="E301" s="7" t="s">
        <v>165</v>
      </c>
      <c r="F301" s="6" t="s">
        <v>167</v>
      </c>
      <c r="G301" s="107">
        <v>42309</v>
      </c>
      <c r="H301" s="108">
        <v>42795</v>
      </c>
      <c r="I301" s="24">
        <v>1531</v>
      </c>
      <c r="J301" s="28" t="s">
        <v>1894</v>
      </c>
      <c r="K301" s="28">
        <v>46.27</v>
      </c>
      <c r="L301" s="28">
        <v>13900</v>
      </c>
      <c r="M301" s="12">
        <f>+L301*0.1</f>
        <v>1390</v>
      </c>
      <c r="N301" s="9">
        <f t="shared" si="41"/>
        <v>6950</v>
      </c>
      <c r="O301" s="9">
        <f t="shared" si="42"/>
        <v>5513.73</v>
      </c>
      <c r="P301" s="9">
        <f t="shared" si="43"/>
        <v>1436.27</v>
      </c>
      <c r="Q301" s="139">
        <f t="shared" si="44"/>
        <v>0.79334244604316539</v>
      </c>
      <c r="R301" s="395" t="e">
        <f>VLOOKUP(C301,'[1]ORIGINAL (2)'!$A:$C,3,FALSE)</f>
        <v>#N/A</v>
      </c>
      <c r="S301" s="24" t="e">
        <f>VLOOKUP(C301,#REF!,6,FALSE)</f>
        <v>#REF!</v>
      </c>
      <c r="T301" s="24" t="e">
        <f>VLOOKUP(C301,#REF!,7,FALSE)</f>
        <v>#REF!</v>
      </c>
      <c r="U301" s="24" t="e">
        <f>VLOOKUP(C301,#REF!,12,FALSE)</f>
        <v>#REF!</v>
      </c>
      <c r="V301" s="24" t="e">
        <f>VLOOKUP(C301,#REF!,13,FALSE)</f>
        <v>#REF!</v>
      </c>
    </row>
    <row r="302" spans="1:22" x14ac:dyDescent="0.25">
      <c r="A302" s="7" t="s">
        <v>1904</v>
      </c>
      <c r="B302" s="8">
        <v>9789500215480</v>
      </c>
      <c r="C302" s="8">
        <v>719961</v>
      </c>
      <c r="D302" s="25">
        <v>480</v>
      </c>
      <c r="E302" s="6" t="s">
        <v>165</v>
      </c>
      <c r="F302" s="25" t="s">
        <v>168</v>
      </c>
      <c r="G302" s="107">
        <v>45536</v>
      </c>
      <c r="H302" s="108">
        <v>45505</v>
      </c>
      <c r="I302" s="267">
        <v>3065</v>
      </c>
      <c r="J302" s="28" t="s">
        <v>2136</v>
      </c>
      <c r="K302" s="9">
        <v>3354.42</v>
      </c>
      <c r="L302" s="9">
        <v>35700</v>
      </c>
      <c r="M302" s="9">
        <f>+L302*0.08</f>
        <v>2856</v>
      </c>
      <c r="N302" s="9">
        <f t="shared" si="41"/>
        <v>17850</v>
      </c>
      <c r="O302" s="9">
        <f t="shared" si="42"/>
        <v>11639.58</v>
      </c>
      <c r="P302" s="9">
        <f t="shared" si="43"/>
        <v>6210.42</v>
      </c>
      <c r="Q302" s="139">
        <f t="shared" si="44"/>
        <v>0.65207731092436971</v>
      </c>
      <c r="R302" s="395">
        <f>VLOOKUP(C302,'[1]ORIGINAL (2)'!$A:$C,3,FALSE)</f>
        <v>233</v>
      </c>
      <c r="S302" s="24" t="e">
        <f>VLOOKUP(C302,#REF!,6,FALSE)</f>
        <v>#REF!</v>
      </c>
      <c r="T302" s="24" t="e">
        <f>VLOOKUP(C302,#REF!,7,FALSE)</f>
        <v>#REF!</v>
      </c>
      <c r="U302" s="24" t="e">
        <f>VLOOKUP(C302,#REF!,12,FALSE)</f>
        <v>#REF!</v>
      </c>
      <c r="V302" s="24" t="e">
        <f>VLOOKUP(C302,#REF!,13,FALSE)</f>
        <v>#REF!</v>
      </c>
    </row>
    <row r="303" spans="1:22" x14ac:dyDescent="0.25">
      <c r="A303" s="6" t="s">
        <v>1267</v>
      </c>
      <c r="B303" s="8">
        <v>9789500298636</v>
      </c>
      <c r="C303" s="8">
        <v>599839</v>
      </c>
      <c r="D303" s="7">
        <v>496</v>
      </c>
      <c r="E303" s="7" t="s">
        <v>165</v>
      </c>
      <c r="F303" s="6" t="s">
        <v>168</v>
      </c>
      <c r="G303" s="107">
        <v>42339</v>
      </c>
      <c r="H303" s="108">
        <v>42309</v>
      </c>
      <c r="I303" s="24">
        <v>3045</v>
      </c>
      <c r="J303" s="28" t="s">
        <v>1894</v>
      </c>
      <c r="K303" s="28">
        <v>42.66</v>
      </c>
      <c r="L303" s="28">
        <v>13900</v>
      </c>
      <c r="M303" s="9">
        <f>+L303*0.08</f>
        <v>1112</v>
      </c>
      <c r="N303" s="9">
        <f t="shared" si="41"/>
        <v>6950</v>
      </c>
      <c r="O303" s="9">
        <f t="shared" si="42"/>
        <v>5795.34</v>
      </c>
      <c r="P303" s="9">
        <f t="shared" si="43"/>
        <v>1154.6600000000001</v>
      </c>
      <c r="Q303" s="139">
        <f t="shared" si="44"/>
        <v>0.83386187050359717</v>
      </c>
      <c r="R303" s="395" t="e">
        <f>VLOOKUP(C303,'[1]ORIGINAL (2)'!$A:$C,3,FALSE)</f>
        <v>#N/A</v>
      </c>
      <c r="S303" s="24" t="e">
        <f>VLOOKUP(C303,#REF!,6,FALSE)</f>
        <v>#REF!</v>
      </c>
      <c r="T303" s="24" t="e">
        <f>VLOOKUP(C303,#REF!,7,FALSE)</f>
        <v>#REF!</v>
      </c>
      <c r="U303" s="24" t="e">
        <f>VLOOKUP(C303,#REF!,12,FALSE)</f>
        <v>#REF!</v>
      </c>
      <c r="V303" s="24" t="e">
        <f>VLOOKUP(C303,#REF!,13,FALSE)</f>
        <v>#REF!</v>
      </c>
    </row>
    <row r="304" spans="1:22" x14ac:dyDescent="0.25">
      <c r="A304" s="6" t="s">
        <v>1958</v>
      </c>
      <c r="B304" s="279">
        <v>9789500215572</v>
      </c>
      <c r="C304" s="8">
        <v>725181</v>
      </c>
      <c r="D304" s="41">
        <v>496</v>
      </c>
      <c r="E304" s="8" t="s">
        <v>165</v>
      </c>
      <c r="F304" s="6" t="s">
        <v>169</v>
      </c>
      <c r="G304" s="107">
        <v>45658</v>
      </c>
      <c r="H304" s="108">
        <v>45627</v>
      </c>
      <c r="I304" s="264">
        <v>2000</v>
      </c>
      <c r="J304" s="28" t="s">
        <v>2136</v>
      </c>
      <c r="K304" s="148">
        <v>4561.5</v>
      </c>
      <c r="L304" s="9">
        <v>35700</v>
      </c>
      <c r="M304" s="9">
        <f>+L304*0.08</f>
        <v>2856</v>
      </c>
      <c r="N304" s="9">
        <f t="shared" si="41"/>
        <v>17850</v>
      </c>
      <c r="O304" s="9">
        <f t="shared" si="42"/>
        <v>10432.5</v>
      </c>
      <c r="P304" s="9">
        <f t="shared" si="43"/>
        <v>7417.5</v>
      </c>
      <c r="Q304" s="139">
        <f t="shared" si="44"/>
        <v>0.58445378151260508</v>
      </c>
      <c r="R304" s="395">
        <f>VLOOKUP(C304,'[1]ORIGINAL (2)'!$A:$C,3,FALSE)</f>
        <v>137</v>
      </c>
      <c r="S304" s="24" t="e">
        <f>VLOOKUP(C304,#REF!,6,FALSE)</f>
        <v>#REF!</v>
      </c>
      <c r="T304" s="24" t="e">
        <f>VLOOKUP(C304,#REF!,7,FALSE)</f>
        <v>#REF!</v>
      </c>
      <c r="U304" s="24" t="e">
        <f>VLOOKUP(C304,#REF!,12,FALSE)</f>
        <v>#REF!</v>
      </c>
      <c r="V304" s="24" t="e">
        <f>VLOOKUP(C304,#REF!,13,FALSE)</f>
        <v>#REF!</v>
      </c>
    </row>
    <row r="305" spans="1:22" x14ac:dyDescent="0.25">
      <c r="A305" s="6" t="s">
        <v>1268</v>
      </c>
      <c r="B305" s="8">
        <v>9789500298773</v>
      </c>
      <c r="C305" s="8">
        <v>609575</v>
      </c>
      <c r="D305" s="25">
        <v>512</v>
      </c>
      <c r="E305" s="7" t="s">
        <v>165</v>
      </c>
      <c r="F305" s="6" t="s">
        <v>169</v>
      </c>
      <c r="G305" s="107">
        <v>42430</v>
      </c>
      <c r="H305" s="108">
        <v>42401</v>
      </c>
      <c r="I305" s="24">
        <v>3059</v>
      </c>
      <c r="J305" s="28" t="s">
        <v>1894</v>
      </c>
      <c r="K305" s="28">
        <v>47.01</v>
      </c>
      <c r="L305" s="28">
        <v>13900</v>
      </c>
      <c r="M305" s="9">
        <f>+L305*0.08</f>
        <v>1112</v>
      </c>
      <c r="N305" s="9">
        <f t="shared" si="41"/>
        <v>6950</v>
      </c>
      <c r="O305" s="9">
        <f t="shared" si="42"/>
        <v>5790.99</v>
      </c>
      <c r="P305" s="9">
        <f t="shared" si="43"/>
        <v>1159.01</v>
      </c>
      <c r="Q305" s="139">
        <f t="shared" si="44"/>
        <v>0.83323597122302151</v>
      </c>
      <c r="R305" s="395" t="e">
        <f>VLOOKUP(C305,'[1]ORIGINAL (2)'!$A:$C,3,FALSE)</f>
        <v>#N/A</v>
      </c>
      <c r="S305" s="24" t="e">
        <f>VLOOKUP(C305,#REF!,6,FALSE)</f>
        <v>#REF!</v>
      </c>
      <c r="T305" s="24" t="e">
        <f>VLOOKUP(C305,#REF!,7,FALSE)</f>
        <v>#REF!</v>
      </c>
      <c r="U305" s="24" t="e">
        <f>VLOOKUP(C305,#REF!,12,FALSE)</f>
        <v>#REF!</v>
      </c>
      <c r="V305" s="24" t="e">
        <f>VLOOKUP(C305,#REF!,13,FALSE)</f>
        <v>#REF!</v>
      </c>
    </row>
    <row r="306" spans="1:22" x14ac:dyDescent="0.25">
      <c r="A306" s="6" t="s">
        <v>1269</v>
      </c>
      <c r="B306" s="8">
        <v>9789500299442</v>
      </c>
      <c r="C306" s="8">
        <v>620183</v>
      </c>
      <c r="D306" s="7">
        <v>528</v>
      </c>
      <c r="E306" s="7" t="s">
        <v>165</v>
      </c>
      <c r="F306" s="7" t="s">
        <v>170</v>
      </c>
      <c r="G306" s="107">
        <v>42644</v>
      </c>
      <c r="H306" s="108">
        <v>42614</v>
      </c>
      <c r="I306" s="24">
        <v>3008</v>
      </c>
      <c r="J306" s="28" t="s">
        <v>1894</v>
      </c>
      <c r="K306" s="28">
        <v>52.97</v>
      </c>
      <c r="L306" s="28">
        <v>13900</v>
      </c>
      <c r="M306" s="9">
        <f>+L306*0.08</f>
        <v>1112</v>
      </c>
      <c r="N306" s="9">
        <f t="shared" si="41"/>
        <v>6950</v>
      </c>
      <c r="O306" s="9">
        <f t="shared" si="42"/>
        <v>5785.03</v>
      </c>
      <c r="P306" s="9">
        <f t="shared" si="43"/>
        <v>1164.97</v>
      </c>
      <c r="Q306" s="139">
        <f t="shared" si="44"/>
        <v>0.832378417266187</v>
      </c>
      <c r="R306" s="395" t="e">
        <f>VLOOKUP(C306,'[1]ORIGINAL (2)'!$A:$C,3,FALSE)</f>
        <v>#N/A</v>
      </c>
      <c r="S306" s="24" t="e">
        <f>VLOOKUP(C306,#REF!,6,FALSE)</f>
        <v>#REF!</v>
      </c>
      <c r="T306" s="24" t="e">
        <f>VLOOKUP(C306,#REF!,7,FALSE)</f>
        <v>#REF!</v>
      </c>
      <c r="U306" s="24" t="e">
        <f>VLOOKUP(C306,#REF!,12,FALSE)</f>
        <v>#REF!</v>
      </c>
      <c r="V306" s="24" t="e">
        <f>VLOOKUP(C306,#REF!,13,FALSE)</f>
        <v>#REF!</v>
      </c>
    </row>
    <row r="307" spans="1:22" x14ac:dyDescent="0.25">
      <c r="A307" s="2"/>
      <c r="B307" s="3"/>
      <c r="C307" s="3"/>
      <c r="D307" s="2"/>
      <c r="E307" s="2"/>
      <c r="F307" s="2"/>
      <c r="G307" s="2"/>
      <c r="H307" s="132"/>
      <c r="I307" s="132"/>
      <c r="J307" s="134"/>
      <c r="K307" s="132"/>
      <c r="L307" s="134"/>
      <c r="M307" s="132"/>
      <c r="N307" s="132"/>
      <c r="O307" s="132"/>
      <c r="P307" s="132"/>
      <c r="Q307" s="147"/>
      <c r="R307" s="395" t="e">
        <f>VLOOKUP(C307,'[1]ORIGINAL (2)'!$A:$C,3,FALSE)</f>
        <v>#N/A</v>
      </c>
      <c r="S307" s="100"/>
      <c r="T307" s="100"/>
      <c r="U307" s="100"/>
      <c r="V307" s="100"/>
    </row>
    <row r="308" spans="1:22" x14ac:dyDescent="0.25">
      <c r="A308" s="160" t="s">
        <v>662</v>
      </c>
      <c r="B308" s="161"/>
      <c r="C308" s="375"/>
      <c r="D308" s="376"/>
      <c r="E308" s="162"/>
      <c r="F308" s="162"/>
      <c r="G308" s="162"/>
      <c r="H308" s="132"/>
      <c r="I308" s="132"/>
      <c r="J308" s="134"/>
      <c r="K308" s="132"/>
      <c r="L308" s="134"/>
      <c r="M308" s="132"/>
      <c r="N308" s="132"/>
      <c r="O308" s="132"/>
      <c r="P308" s="132"/>
      <c r="Q308" s="147"/>
      <c r="R308" s="395" t="e">
        <f>VLOOKUP(C308,'[1]ORIGINAL (2)'!$A:$C,3,FALSE)</f>
        <v>#N/A</v>
      </c>
      <c r="S308" s="100"/>
      <c r="T308" s="100"/>
      <c r="U308" s="100"/>
      <c r="V308" s="100"/>
    </row>
    <row r="309" spans="1:22" x14ac:dyDescent="0.25">
      <c r="A309" s="6" t="s">
        <v>1271</v>
      </c>
      <c r="B309" s="8">
        <v>9789500209038</v>
      </c>
      <c r="C309" s="8">
        <v>595691</v>
      </c>
      <c r="D309" s="25">
        <v>352</v>
      </c>
      <c r="E309" s="22" t="s">
        <v>1270</v>
      </c>
      <c r="F309" s="6" t="s">
        <v>171</v>
      </c>
      <c r="G309" s="107">
        <v>42248</v>
      </c>
      <c r="H309" s="108">
        <v>42217</v>
      </c>
      <c r="I309" s="24">
        <v>3020</v>
      </c>
      <c r="J309" s="28" t="s">
        <v>1894</v>
      </c>
      <c r="K309" s="28">
        <v>31.52</v>
      </c>
      <c r="L309" s="128">
        <v>13900</v>
      </c>
      <c r="M309" s="9">
        <f>+L309*0.08</f>
        <v>1112</v>
      </c>
      <c r="N309" s="9">
        <f>+L309/2</f>
        <v>6950</v>
      </c>
      <c r="O309" s="9">
        <f>+N309-M309-K309</f>
        <v>5806.48</v>
      </c>
      <c r="P309" s="9">
        <f>+M309+K309</f>
        <v>1143.52</v>
      </c>
      <c r="Q309" s="139">
        <f>+O309/N309</f>
        <v>0.83546474820143879</v>
      </c>
      <c r="R309" s="395" t="e">
        <f>VLOOKUP(C309,'[1]ORIGINAL (2)'!$A:$C,3,FALSE)</f>
        <v>#N/A</v>
      </c>
      <c r="S309" s="24" t="e">
        <f>VLOOKUP(C309,#REF!,6,FALSE)</f>
        <v>#REF!</v>
      </c>
      <c r="T309" s="24" t="e">
        <f>VLOOKUP(C309,#REF!,7,FALSE)</f>
        <v>#REF!</v>
      </c>
      <c r="U309" s="24" t="e">
        <f>VLOOKUP(C309,#REF!,12,FALSE)</f>
        <v>#REF!</v>
      </c>
      <c r="V309" s="24" t="e">
        <f>VLOOKUP(C309,#REF!,13,FALSE)</f>
        <v>#REF!</v>
      </c>
    </row>
    <row r="310" spans="1:22" x14ac:dyDescent="0.25">
      <c r="A310" s="6" t="s">
        <v>1272</v>
      </c>
      <c r="B310" s="8">
        <v>9789500298520</v>
      </c>
      <c r="C310" s="8">
        <v>596842</v>
      </c>
      <c r="D310" s="25">
        <v>336</v>
      </c>
      <c r="E310" s="22" t="s">
        <v>1270</v>
      </c>
      <c r="F310" s="6" t="s">
        <v>172</v>
      </c>
      <c r="G310" s="107">
        <v>42278</v>
      </c>
      <c r="H310" s="108">
        <v>42248</v>
      </c>
      <c r="I310" s="24">
        <v>3025</v>
      </c>
      <c r="J310" s="28" t="s">
        <v>1894</v>
      </c>
      <c r="K310" s="28">
        <v>30.87</v>
      </c>
      <c r="L310" s="128">
        <v>13900</v>
      </c>
      <c r="M310" s="9">
        <f>+L310*0.08</f>
        <v>1112</v>
      </c>
      <c r="N310" s="9">
        <f>+L310/2</f>
        <v>6950</v>
      </c>
      <c r="O310" s="9">
        <f>+N310-M310-K310</f>
        <v>5807.13</v>
      </c>
      <c r="P310" s="9">
        <f>+M310+K310</f>
        <v>1142.8699999999999</v>
      </c>
      <c r="Q310" s="139">
        <f>+O310/N310</f>
        <v>0.83555827338129496</v>
      </c>
      <c r="R310" s="395" t="e">
        <f>VLOOKUP(C310,'[1]ORIGINAL (2)'!$A:$C,3,FALSE)</f>
        <v>#N/A</v>
      </c>
      <c r="S310" s="24" t="e">
        <f>VLOOKUP(C310,#REF!,6,FALSE)</f>
        <v>#REF!</v>
      </c>
      <c r="T310" s="24" t="e">
        <f>VLOOKUP(C310,#REF!,7,FALSE)</f>
        <v>#REF!</v>
      </c>
      <c r="U310" s="24" t="e">
        <f>VLOOKUP(C310,#REF!,12,FALSE)</f>
        <v>#REF!</v>
      </c>
      <c r="V310" s="24" t="e">
        <f>VLOOKUP(C310,#REF!,13,FALSE)</f>
        <v>#REF!</v>
      </c>
    </row>
    <row r="311" spans="1:22" x14ac:dyDescent="0.25">
      <c r="A311" s="2"/>
      <c r="B311" s="3"/>
      <c r="C311" s="3"/>
      <c r="D311" s="2"/>
      <c r="E311" s="2"/>
      <c r="F311" s="2"/>
      <c r="G311" s="2"/>
      <c r="H311" s="132"/>
      <c r="I311" s="132"/>
      <c r="J311" s="134"/>
      <c r="K311" s="132"/>
      <c r="L311" s="134"/>
      <c r="M311" s="132"/>
      <c r="N311" s="132"/>
      <c r="O311" s="132"/>
      <c r="P311" s="132"/>
      <c r="Q311" s="147"/>
      <c r="R311" s="395" t="e">
        <f>VLOOKUP(C311,'[1]ORIGINAL (2)'!$A:$C,3,FALSE)</f>
        <v>#N/A</v>
      </c>
      <c r="S311" s="100"/>
      <c r="T311" s="100"/>
      <c r="U311" s="100"/>
      <c r="V311" s="100"/>
    </row>
    <row r="312" spans="1:22" ht="15.75" thickBot="1" x14ac:dyDescent="0.3">
      <c r="A312" s="2"/>
      <c r="B312" s="3"/>
      <c r="C312" s="3"/>
      <c r="D312" s="2"/>
      <c r="E312" s="2"/>
      <c r="F312" s="2"/>
      <c r="G312" s="2"/>
      <c r="H312" s="132"/>
      <c r="I312" s="2"/>
      <c r="J312" s="134"/>
      <c r="K312" s="132"/>
      <c r="L312" s="134"/>
      <c r="M312" s="132"/>
      <c r="N312" s="132"/>
      <c r="O312" s="132"/>
      <c r="P312" s="132"/>
      <c r="Q312" s="147"/>
      <c r="R312" s="395" t="e">
        <f>VLOOKUP(C312,'[1]ORIGINAL (2)'!$A:$C,3,FALSE)</f>
        <v>#N/A</v>
      </c>
      <c r="S312" s="100"/>
      <c r="T312" s="100"/>
      <c r="U312" s="100"/>
      <c r="V312" s="100"/>
    </row>
    <row r="313" spans="1:22" x14ac:dyDescent="0.25">
      <c r="A313" s="132"/>
      <c r="B313" s="133"/>
      <c r="C313" s="133"/>
      <c r="D313" s="154"/>
      <c r="E313" s="155" t="s">
        <v>593</v>
      </c>
      <c r="F313" s="156"/>
      <c r="G313" s="132"/>
      <c r="H313" s="132"/>
      <c r="I313" s="132"/>
      <c r="J313" s="134"/>
      <c r="K313" s="132"/>
      <c r="L313" s="134"/>
      <c r="M313" s="132"/>
      <c r="N313" s="132"/>
      <c r="O313" s="132"/>
      <c r="P313" s="132"/>
      <c r="Q313" s="147"/>
      <c r="R313" s="395" t="e">
        <f>VLOOKUP(C313,'[1]ORIGINAL (2)'!$A:$C,3,FALSE)</f>
        <v>#N/A</v>
      </c>
      <c r="S313" s="100"/>
      <c r="T313" s="100"/>
      <c r="U313" s="100"/>
      <c r="V313" s="100"/>
    </row>
    <row r="314" spans="1:22" x14ac:dyDescent="0.25">
      <c r="A314" s="7" t="s">
        <v>2446</v>
      </c>
      <c r="B314" s="8">
        <v>9789500218269</v>
      </c>
      <c r="C314" s="8">
        <v>751234</v>
      </c>
      <c r="D314" s="7">
        <v>160</v>
      </c>
      <c r="E314" s="7" t="s">
        <v>686</v>
      </c>
      <c r="F314" s="7" t="s">
        <v>2447</v>
      </c>
      <c r="G314" s="107">
        <v>46296</v>
      </c>
      <c r="H314" s="108">
        <v>46266</v>
      </c>
      <c r="I314" s="116">
        <v>5130</v>
      </c>
      <c r="J314" s="6" t="s">
        <v>2160</v>
      </c>
      <c r="K314" s="148">
        <v>1482.07</v>
      </c>
      <c r="L314" s="9">
        <v>22900</v>
      </c>
      <c r="M314" s="9">
        <f>+L314*0.11</f>
        <v>2519</v>
      </c>
      <c r="N314" s="9">
        <f t="shared" ref="N314:N332" si="45">+L314/2</f>
        <v>11450</v>
      </c>
      <c r="O314" s="9">
        <f t="shared" ref="O314:O358" si="46">+N314-M314-K314</f>
        <v>7448.93</v>
      </c>
      <c r="P314" s="9">
        <f t="shared" ref="P314:P358" si="47">+M314+K314</f>
        <v>4001.0699999999997</v>
      </c>
      <c r="Q314" s="139">
        <f t="shared" ref="Q314:Q358" si="48">+O314/N314</f>
        <v>0.65056157205240173</v>
      </c>
      <c r="R314" s="395">
        <f>VLOOKUP(C314,'[1]ORIGINAL (2)'!$A:$C,3,FALSE)</f>
        <v>86</v>
      </c>
      <c r="S314" s="24" t="e">
        <f>VLOOKUP(C314,#REF!,6,FALSE)</f>
        <v>#REF!</v>
      </c>
      <c r="T314" s="24" t="e">
        <f>VLOOKUP(C314,#REF!,7,FALSE)</f>
        <v>#REF!</v>
      </c>
      <c r="U314" s="24" t="e">
        <f>VLOOKUP(C314,#REF!,12,FALSE)</f>
        <v>#REF!</v>
      </c>
      <c r="V314" s="24" t="e">
        <f>VLOOKUP(C314,#REF!,13,FALSE)</f>
        <v>#REF!</v>
      </c>
    </row>
    <row r="315" spans="1:22" x14ac:dyDescent="0.25">
      <c r="A315" s="7" t="s">
        <v>2388</v>
      </c>
      <c r="B315" s="8">
        <v>9789500218030</v>
      </c>
      <c r="C315" s="8">
        <v>748665</v>
      </c>
      <c r="D315" s="7">
        <v>192</v>
      </c>
      <c r="E315" s="7" t="s">
        <v>2389</v>
      </c>
      <c r="F315" s="7" t="s">
        <v>2390</v>
      </c>
      <c r="G315" s="107">
        <v>46235</v>
      </c>
      <c r="H315" s="108">
        <v>46204</v>
      </c>
      <c r="I315" s="116">
        <v>4053</v>
      </c>
      <c r="J315" s="7" t="s">
        <v>1894</v>
      </c>
      <c r="K315" s="148">
        <v>2031.09</v>
      </c>
      <c r="L315" s="352">
        <v>25900</v>
      </c>
      <c r="M315" s="9">
        <f>+L315*0.08</f>
        <v>2072</v>
      </c>
      <c r="N315" s="9">
        <f t="shared" si="45"/>
        <v>12950</v>
      </c>
      <c r="O315" s="9">
        <f t="shared" si="46"/>
        <v>8846.91</v>
      </c>
      <c r="P315" s="9">
        <f t="shared" si="47"/>
        <v>4103.09</v>
      </c>
      <c r="Q315" s="139">
        <f t="shared" si="48"/>
        <v>0.68315907335907333</v>
      </c>
      <c r="R315" s="395">
        <f>VLOOKUP(C315,'[1]ORIGINAL (2)'!$A:$C,3,FALSE)</f>
        <v>318</v>
      </c>
      <c r="S315" s="24" t="e">
        <f>VLOOKUP(C315,#REF!,6,FALSE)</f>
        <v>#REF!</v>
      </c>
      <c r="T315" s="24" t="e">
        <f>VLOOKUP(C315,#REF!,7,FALSE)</f>
        <v>#REF!</v>
      </c>
      <c r="U315" s="24" t="e">
        <f>VLOOKUP(C315,#REF!,12,FALSE)</f>
        <v>#REF!</v>
      </c>
      <c r="V315" s="24" t="e">
        <f>VLOOKUP(C315,#REF!,13,FALSE)</f>
        <v>#REF!</v>
      </c>
    </row>
    <row r="316" spans="1:22" x14ac:dyDescent="0.25">
      <c r="A316" s="7" t="s">
        <v>2391</v>
      </c>
      <c r="B316" s="8">
        <v>9789500218016</v>
      </c>
      <c r="C316" s="8">
        <v>748666</v>
      </c>
      <c r="D316" s="7">
        <v>144</v>
      </c>
      <c r="E316" s="7" t="s">
        <v>2392</v>
      </c>
      <c r="F316" s="7" t="s">
        <v>2393</v>
      </c>
      <c r="G316" s="107">
        <v>46235</v>
      </c>
      <c r="H316" s="108">
        <v>46204</v>
      </c>
      <c r="I316" s="116">
        <v>4000</v>
      </c>
      <c r="J316" s="7" t="s">
        <v>1894</v>
      </c>
      <c r="K316" s="148">
        <v>2056.89</v>
      </c>
      <c r="L316" s="352">
        <v>22500</v>
      </c>
      <c r="M316" s="9">
        <f>+L316*0.08</f>
        <v>1800</v>
      </c>
      <c r="N316" s="9">
        <f t="shared" si="45"/>
        <v>11250</v>
      </c>
      <c r="O316" s="9">
        <f t="shared" si="46"/>
        <v>7393.1100000000006</v>
      </c>
      <c r="P316" s="9">
        <f t="shared" si="47"/>
        <v>3856.89</v>
      </c>
      <c r="Q316" s="139">
        <f t="shared" si="48"/>
        <v>0.65716533333333338</v>
      </c>
      <c r="R316" s="395">
        <f>VLOOKUP(C316,'[1]ORIGINAL (2)'!$A:$C,3,FALSE)</f>
        <v>778</v>
      </c>
      <c r="S316" s="24" t="e">
        <f>VLOOKUP(C316,#REF!,6,FALSE)</f>
        <v>#REF!</v>
      </c>
      <c r="T316" s="24" t="e">
        <f>VLOOKUP(C316,#REF!,7,FALSE)</f>
        <v>#REF!</v>
      </c>
      <c r="U316" s="24" t="e">
        <f>VLOOKUP(C316,#REF!,12,FALSE)</f>
        <v>#REF!</v>
      </c>
      <c r="V316" s="24" t="e">
        <f>VLOOKUP(C316,#REF!,13,FALSE)</f>
        <v>#REF!</v>
      </c>
    </row>
    <row r="317" spans="1:22" x14ac:dyDescent="0.25">
      <c r="A317" s="7" t="s">
        <v>2356</v>
      </c>
      <c r="B317" s="8">
        <v>9789500217866</v>
      </c>
      <c r="C317" s="8">
        <v>747595</v>
      </c>
      <c r="D317" s="7">
        <v>176</v>
      </c>
      <c r="E317" s="7" t="s">
        <v>2357</v>
      </c>
      <c r="F317" s="7" t="s">
        <v>2358</v>
      </c>
      <c r="G317" s="107">
        <v>46204</v>
      </c>
      <c r="H317" s="108">
        <v>46204</v>
      </c>
      <c r="I317" s="7">
        <v>3057</v>
      </c>
      <c r="J317" s="7" t="s">
        <v>1867</v>
      </c>
      <c r="K317" s="148">
        <v>1592.99</v>
      </c>
      <c r="L317" s="9">
        <v>34500</v>
      </c>
      <c r="M317" s="9">
        <f>+L317*0.1</f>
        <v>3450</v>
      </c>
      <c r="N317" s="9">
        <f t="shared" si="45"/>
        <v>17250</v>
      </c>
      <c r="O317" s="9">
        <f t="shared" si="46"/>
        <v>12207.01</v>
      </c>
      <c r="P317" s="9">
        <f t="shared" si="47"/>
        <v>5042.99</v>
      </c>
      <c r="Q317" s="139">
        <f t="shared" si="48"/>
        <v>0.70765275362318847</v>
      </c>
      <c r="R317" s="395">
        <f>VLOOKUP(C317,'[1]ORIGINAL (2)'!$A:$C,3,FALSE)</f>
        <v>1702</v>
      </c>
      <c r="S317" s="24" t="e">
        <f>VLOOKUP(C317,#REF!,6,FALSE)</f>
        <v>#REF!</v>
      </c>
      <c r="T317" s="24" t="e">
        <f>VLOOKUP(C317,#REF!,7,FALSE)</f>
        <v>#REF!</v>
      </c>
      <c r="U317" s="24" t="e">
        <f>VLOOKUP(C317,#REF!,12,FALSE)</f>
        <v>#REF!</v>
      </c>
      <c r="V317" s="24" t="e">
        <f>VLOOKUP(C317,#REF!,13,FALSE)</f>
        <v>#REF!</v>
      </c>
    </row>
    <row r="318" spans="1:22" x14ac:dyDescent="0.25">
      <c r="A318" s="6" t="s">
        <v>2016</v>
      </c>
      <c r="B318" s="279">
        <v>9789500216128</v>
      </c>
      <c r="C318" s="6">
        <v>728113</v>
      </c>
      <c r="D318" s="41">
        <v>176</v>
      </c>
      <c r="E318" s="6" t="s">
        <v>750</v>
      </c>
      <c r="F318" s="6" t="s">
        <v>2017</v>
      </c>
      <c r="G318" s="107">
        <v>45748</v>
      </c>
      <c r="H318" s="108">
        <v>45931</v>
      </c>
      <c r="I318" s="264">
        <v>2000</v>
      </c>
      <c r="J318" s="7" t="s">
        <v>1762</v>
      </c>
      <c r="K318" s="292">
        <v>1224.1600000000001</v>
      </c>
      <c r="L318" s="9">
        <v>29900</v>
      </c>
      <c r="M318" s="9">
        <f>+L318*0.08</f>
        <v>2392</v>
      </c>
      <c r="N318" s="9">
        <f t="shared" si="45"/>
        <v>14950</v>
      </c>
      <c r="O318" s="9">
        <f t="shared" si="46"/>
        <v>11333.84</v>
      </c>
      <c r="P318" s="9">
        <f t="shared" si="47"/>
        <v>3616.16</v>
      </c>
      <c r="Q318" s="109">
        <f t="shared" si="48"/>
        <v>0.75811638795986624</v>
      </c>
      <c r="R318" s="395">
        <f>VLOOKUP(C318,'[1]ORIGINAL (2)'!$A:$C,3,FALSE)</f>
        <v>608</v>
      </c>
      <c r="S318" s="24" t="e">
        <f>VLOOKUP(C318,#REF!,6,FALSE)</f>
        <v>#REF!</v>
      </c>
      <c r="T318" s="24" t="e">
        <f>VLOOKUP(C318,#REF!,7,FALSE)</f>
        <v>#REF!</v>
      </c>
      <c r="U318" s="24" t="e">
        <f>VLOOKUP(C318,#REF!,12,FALSE)</f>
        <v>#REF!</v>
      </c>
      <c r="V318" s="24" t="e">
        <f>VLOOKUP(C318,#REF!,13,FALSE)</f>
        <v>#REF!</v>
      </c>
    </row>
    <row r="319" spans="1:22" x14ac:dyDescent="0.25">
      <c r="A319" s="6" t="s">
        <v>1970</v>
      </c>
      <c r="B319" s="8">
        <v>9789500215855</v>
      </c>
      <c r="C319" s="6">
        <v>725690</v>
      </c>
      <c r="D319" s="41">
        <v>176</v>
      </c>
      <c r="E319" s="288" t="s">
        <v>686</v>
      </c>
      <c r="F319" s="6" t="s">
        <v>1971</v>
      </c>
      <c r="G319" s="107">
        <v>45689</v>
      </c>
      <c r="H319" s="108">
        <v>46082</v>
      </c>
      <c r="I319" s="264">
        <v>2061</v>
      </c>
      <c r="J319" s="7" t="s">
        <v>1762</v>
      </c>
      <c r="K319" s="292">
        <v>1454.58</v>
      </c>
      <c r="L319" s="9">
        <v>22500</v>
      </c>
      <c r="M319" s="9">
        <f>+L319*0.12</f>
        <v>2700</v>
      </c>
      <c r="N319" s="9">
        <f t="shared" si="45"/>
        <v>11250</v>
      </c>
      <c r="O319" s="9">
        <f t="shared" si="46"/>
        <v>7095.42</v>
      </c>
      <c r="P319" s="9">
        <f t="shared" si="47"/>
        <v>4154.58</v>
      </c>
      <c r="Q319" s="109">
        <f t="shared" si="48"/>
        <v>0.63070400000000004</v>
      </c>
      <c r="R319" s="395">
        <f>VLOOKUP(C319,'[1]ORIGINAL (2)'!$A:$C,3,FALSE)</f>
        <v>1067</v>
      </c>
      <c r="S319" s="24" t="e">
        <f>VLOOKUP(C319,#REF!,6,FALSE)</f>
        <v>#REF!</v>
      </c>
      <c r="T319" s="24" t="e">
        <f>VLOOKUP(C319,#REF!,7,FALSE)</f>
        <v>#REF!</v>
      </c>
      <c r="U319" s="24" t="e">
        <f>VLOOKUP(C319,#REF!,12,FALSE)</f>
        <v>#REF!</v>
      </c>
      <c r="V319" s="24" t="e">
        <f>VLOOKUP(C319,#REF!,13,FALSE)</f>
        <v>#REF!</v>
      </c>
    </row>
    <row r="320" spans="1:22" x14ac:dyDescent="0.25">
      <c r="A320" s="6" t="s">
        <v>1831</v>
      </c>
      <c r="B320" s="8">
        <v>9789500215053</v>
      </c>
      <c r="C320" s="8">
        <v>715421</v>
      </c>
      <c r="D320" s="41">
        <v>192</v>
      </c>
      <c r="E320" s="25" t="s">
        <v>1832</v>
      </c>
      <c r="F320" s="25" t="s">
        <v>1814</v>
      </c>
      <c r="G320" s="107">
        <v>45566</v>
      </c>
      <c r="H320" s="108">
        <v>45658</v>
      </c>
      <c r="I320" s="264">
        <v>2032</v>
      </c>
      <c r="J320" s="28" t="s">
        <v>2136</v>
      </c>
      <c r="K320" s="148">
        <v>1150.1500000000001</v>
      </c>
      <c r="L320" s="9">
        <v>28500</v>
      </c>
      <c r="M320" s="112">
        <f>+L320*0.08</f>
        <v>2280</v>
      </c>
      <c r="N320" s="9">
        <f t="shared" si="45"/>
        <v>14250</v>
      </c>
      <c r="O320" s="9">
        <f t="shared" si="46"/>
        <v>10819.85</v>
      </c>
      <c r="P320" s="9">
        <f t="shared" si="47"/>
        <v>3430.15</v>
      </c>
      <c r="Q320" s="139">
        <f t="shared" si="48"/>
        <v>0.75928771929824568</v>
      </c>
      <c r="R320" s="395">
        <f>VLOOKUP(C320,'[1]ORIGINAL (2)'!$A:$C,3,FALSE)</f>
        <v>291</v>
      </c>
      <c r="S320" s="24" t="e">
        <f>VLOOKUP(C320,#REF!,6,FALSE)</f>
        <v>#REF!</v>
      </c>
      <c r="T320" s="24" t="e">
        <f>VLOOKUP(C320,#REF!,7,FALSE)</f>
        <v>#REF!</v>
      </c>
      <c r="U320" s="24" t="e">
        <f>VLOOKUP(C320,#REF!,12,FALSE)</f>
        <v>#REF!</v>
      </c>
      <c r="V320" s="24" t="e">
        <f>VLOOKUP(C320,#REF!,13,FALSE)</f>
        <v>#REF!</v>
      </c>
    </row>
    <row r="321" spans="1:22" x14ac:dyDescent="0.25">
      <c r="A321" s="7" t="s">
        <v>1887</v>
      </c>
      <c r="B321" s="8">
        <v>9789500215428</v>
      </c>
      <c r="C321" s="8">
        <v>718921</v>
      </c>
      <c r="D321" s="41">
        <v>224</v>
      </c>
      <c r="E321" s="7" t="s">
        <v>1888</v>
      </c>
      <c r="F321" s="25" t="s">
        <v>1889</v>
      </c>
      <c r="G321" s="118">
        <v>45505</v>
      </c>
      <c r="H321" s="107">
        <v>45474</v>
      </c>
      <c r="I321" s="267">
        <v>3006</v>
      </c>
      <c r="J321" s="28" t="s">
        <v>2136</v>
      </c>
      <c r="K321" s="148">
        <v>2226.5700000000002</v>
      </c>
      <c r="L321" s="9">
        <v>25900</v>
      </c>
      <c r="M321" s="112">
        <f>+L321*0.08</f>
        <v>2072</v>
      </c>
      <c r="N321" s="9">
        <f t="shared" si="45"/>
        <v>12950</v>
      </c>
      <c r="O321" s="9">
        <f t="shared" si="46"/>
        <v>8651.43</v>
      </c>
      <c r="P321" s="9">
        <f t="shared" si="47"/>
        <v>4298.57</v>
      </c>
      <c r="Q321" s="139">
        <f t="shared" si="48"/>
        <v>0.66806409266409272</v>
      </c>
      <c r="R321" s="395">
        <f>VLOOKUP(C321,'[1]ORIGINAL (2)'!$A:$C,3,FALSE)</f>
        <v>76</v>
      </c>
      <c r="S321" s="24" t="e">
        <f>VLOOKUP(C321,#REF!,6,FALSE)</f>
        <v>#REF!</v>
      </c>
      <c r="T321" s="24" t="e">
        <f>VLOOKUP(C321,#REF!,7,FALSE)</f>
        <v>#REF!</v>
      </c>
      <c r="U321" s="24" t="e">
        <f>VLOOKUP(C321,#REF!,12,FALSE)</f>
        <v>#REF!</v>
      </c>
      <c r="V321" s="24" t="e">
        <f>VLOOKUP(C321,#REF!,13,FALSE)</f>
        <v>#REF!</v>
      </c>
    </row>
    <row r="322" spans="1:22" x14ac:dyDescent="0.25">
      <c r="A322" s="6" t="s">
        <v>1819</v>
      </c>
      <c r="B322" s="8">
        <v>9789500215015</v>
      </c>
      <c r="C322" s="8">
        <v>715419</v>
      </c>
      <c r="D322" s="41">
        <v>320</v>
      </c>
      <c r="E322" s="7" t="s">
        <v>1820</v>
      </c>
      <c r="F322" s="7" t="s">
        <v>1815</v>
      </c>
      <c r="G322" s="107">
        <v>45413</v>
      </c>
      <c r="H322" s="108">
        <v>46174</v>
      </c>
      <c r="I322" s="264">
        <v>2107</v>
      </c>
      <c r="J322" s="25" t="s">
        <v>2219</v>
      </c>
      <c r="K322" s="148">
        <v>2668.12</v>
      </c>
      <c r="L322" s="9">
        <v>29900</v>
      </c>
      <c r="M322" s="112">
        <f>+L322*0.08</f>
        <v>2392</v>
      </c>
      <c r="N322" s="9">
        <f t="shared" si="45"/>
        <v>14950</v>
      </c>
      <c r="O322" s="9">
        <f t="shared" si="46"/>
        <v>9889.880000000001</v>
      </c>
      <c r="P322" s="9">
        <f t="shared" si="47"/>
        <v>5060.12</v>
      </c>
      <c r="Q322" s="139">
        <f t="shared" si="48"/>
        <v>0.66153043478260876</v>
      </c>
      <c r="R322" s="395">
        <f>VLOOKUP(C322,'[1]ORIGINAL (2)'!$A:$C,3,FALSE)</f>
        <v>3379</v>
      </c>
      <c r="S322" s="24" t="e">
        <f>VLOOKUP(C322,#REF!,6,FALSE)</f>
        <v>#REF!</v>
      </c>
      <c r="T322" s="24" t="e">
        <f>VLOOKUP(C322,#REF!,7,FALSE)</f>
        <v>#REF!</v>
      </c>
      <c r="U322" s="24" t="e">
        <f>VLOOKUP(C322,#REF!,12,FALSE)</f>
        <v>#REF!</v>
      </c>
      <c r="V322" s="24" t="e">
        <f>VLOOKUP(C322,#REF!,13,FALSE)</f>
        <v>#REF!</v>
      </c>
    </row>
    <row r="323" spans="1:22" x14ac:dyDescent="0.25">
      <c r="A323" s="6" t="s">
        <v>1821</v>
      </c>
      <c r="B323" s="8">
        <v>9789500215077</v>
      </c>
      <c r="C323" s="8">
        <v>715420</v>
      </c>
      <c r="D323" s="41">
        <v>288</v>
      </c>
      <c r="E323" s="7" t="s">
        <v>1822</v>
      </c>
      <c r="F323" s="7" t="s">
        <v>1816</v>
      </c>
      <c r="G323" s="107">
        <v>45413</v>
      </c>
      <c r="H323" s="108">
        <v>46054</v>
      </c>
      <c r="I323" s="264">
        <v>2072</v>
      </c>
      <c r="J323" s="28" t="s">
        <v>2258</v>
      </c>
      <c r="K323" s="292">
        <v>3141</v>
      </c>
      <c r="L323" s="9">
        <v>32900</v>
      </c>
      <c r="M323" s="112">
        <f>+L323*0.08</f>
        <v>2632</v>
      </c>
      <c r="N323" s="9">
        <f t="shared" si="45"/>
        <v>16450</v>
      </c>
      <c r="O323" s="9">
        <f t="shared" si="46"/>
        <v>10677</v>
      </c>
      <c r="P323" s="9">
        <f t="shared" si="47"/>
        <v>5773</v>
      </c>
      <c r="Q323" s="139">
        <f t="shared" si="48"/>
        <v>0.64905775075987837</v>
      </c>
      <c r="R323" s="395">
        <f>VLOOKUP(C323,'[1]ORIGINAL (2)'!$A:$C,3,FALSE)</f>
        <v>1403</v>
      </c>
      <c r="S323" s="24" t="e">
        <f>VLOOKUP(C323,#REF!,6,FALSE)</f>
        <v>#REF!</v>
      </c>
      <c r="T323" s="24" t="e">
        <f>VLOOKUP(C323,#REF!,7,FALSE)</f>
        <v>#REF!</v>
      </c>
      <c r="U323" s="24" t="e">
        <f>VLOOKUP(C323,#REF!,12,FALSE)</f>
        <v>#REF!</v>
      </c>
      <c r="V323" s="24" t="e">
        <f>VLOOKUP(C323,#REF!,13,FALSE)</f>
        <v>#REF!</v>
      </c>
    </row>
    <row r="324" spans="1:22" x14ac:dyDescent="0.25">
      <c r="A324" s="6" t="s">
        <v>1778</v>
      </c>
      <c r="B324" s="8">
        <v>9789500214933</v>
      </c>
      <c r="C324" s="8">
        <v>714586</v>
      </c>
      <c r="D324" s="41">
        <v>208</v>
      </c>
      <c r="E324" s="7" t="s">
        <v>1779</v>
      </c>
      <c r="F324" s="7" t="s">
        <v>1780</v>
      </c>
      <c r="G324" s="107">
        <v>45383</v>
      </c>
      <c r="H324" s="108">
        <v>45962</v>
      </c>
      <c r="I324" s="7">
        <v>3082</v>
      </c>
      <c r="J324" s="7" t="s">
        <v>1762</v>
      </c>
      <c r="K324" s="148">
        <v>1307.0999999999999</v>
      </c>
      <c r="L324" s="9">
        <v>22500</v>
      </c>
      <c r="M324" s="112">
        <f>+L324*0.12</f>
        <v>2700</v>
      </c>
      <c r="N324" s="9">
        <f t="shared" si="45"/>
        <v>11250</v>
      </c>
      <c r="O324" s="9">
        <f t="shared" si="46"/>
        <v>7242.9</v>
      </c>
      <c r="P324" s="9">
        <f t="shared" si="47"/>
        <v>4007.1</v>
      </c>
      <c r="Q324" s="139">
        <f t="shared" si="48"/>
        <v>0.64381333333333335</v>
      </c>
      <c r="R324" s="395">
        <f>VLOOKUP(C324,'[1]ORIGINAL (2)'!$A:$C,3,FALSE)</f>
        <v>1680</v>
      </c>
      <c r="S324" s="24" t="e">
        <f>VLOOKUP(C324,#REF!,6,FALSE)</f>
        <v>#REF!</v>
      </c>
      <c r="T324" s="24" t="e">
        <f>VLOOKUP(C324,#REF!,7,FALSE)</f>
        <v>#REF!</v>
      </c>
      <c r="U324" s="24" t="e">
        <f>VLOOKUP(C324,#REF!,12,FALSE)</f>
        <v>#REF!</v>
      </c>
      <c r="V324" s="24" t="e">
        <f>VLOOKUP(C324,#REF!,13,FALSE)</f>
        <v>#REF!</v>
      </c>
    </row>
    <row r="325" spans="1:22" x14ac:dyDescent="0.25">
      <c r="A325" s="6" t="s">
        <v>1784</v>
      </c>
      <c r="B325" s="8">
        <v>9789500214926</v>
      </c>
      <c r="C325" s="8">
        <v>714588</v>
      </c>
      <c r="D325" s="41">
        <v>320</v>
      </c>
      <c r="E325" s="7" t="s">
        <v>1785</v>
      </c>
      <c r="F325" s="25" t="s">
        <v>1786</v>
      </c>
      <c r="G325" s="107">
        <v>45383</v>
      </c>
      <c r="H325" s="108">
        <v>45717</v>
      </c>
      <c r="I325" s="293">
        <v>2088</v>
      </c>
      <c r="J325" s="8" t="s">
        <v>2136</v>
      </c>
      <c r="K325" s="148">
        <v>3465.81</v>
      </c>
      <c r="L325" s="295">
        <v>35900</v>
      </c>
      <c r="M325" s="112">
        <f>+L325*0.08</f>
        <v>2872</v>
      </c>
      <c r="N325" s="9">
        <f t="shared" si="45"/>
        <v>17950</v>
      </c>
      <c r="O325" s="9">
        <f t="shared" si="46"/>
        <v>11612.19</v>
      </c>
      <c r="P325" s="9">
        <f t="shared" si="47"/>
        <v>6337.8099999999995</v>
      </c>
      <c r="Q325" s="139">
        <f t="shared" si="48"/>
        <v>0.64691866295264622</v>
      </c>
      <c r="R325" s="395">
        <f>VLOOKUP(C325,'[1]ORIGINAL (2)'!$A:$C,3,FALSE)</f>
        <v>155</v>
      </c>
      <c r="S325" s="24" t="e">
        <f>VLOOKUP(C325,#REF!,6,FALSE)</f>
        <v>#REF!</v>
      </c>
      <c r="T325" s="24" t="e">
        <f>VLOOKUP(C325,#REF!,7,FALSE)</f>
        <v>#REF!</v>
      </c>
      <c r="U325" s="24" t="e">
        <f>VLOOKUP(C325,#REF!,12,FALSE)</f>
        <v>#REF!</v>
      </c>
      <c r="V325" s="24" t="e">
        <f>VLOOKUP(C325,#REF!,13,FALSE)</f>
        <v>#REF!</v>
      </c>
    </row>
    <row r="326" spans="1:22" x14ac:dyDescent="0.25">
      <c r="A326" s="7" t="s">
        <v>1787</v>
      </c>
      <c r="B326" s="8">
        <v>9789500214988</v>
      </c>
      <c r="C326" s="8">
        <v>714589</v>
      </c>
      <c r="D326" s="25">
        <v>224</v>
      </c>
      <c r="E326" s="7" t="s">
        <v>580</v>
      </c>
      <c r="F326" s="25" t="s">
        <v>1788</v>
      </c>
      <c r="G326" s="107">
        <v>45383</v>
      </c>
      <c r="H326" s="108">
        <v>45474</v>
      </c>
      <c r="I326" s="264">
        <v>2097</v>
      </c>
      <c r="J326" s="28" t="s">
        <v>2136</v>
      </c>
      <c r="K326" s="117">
        <v>1873.41</v>
      </c>
      <c r="L326" s="9">
        <v>29900</v>
      </c>
      <c r="M326" s="9">
        <f>+L326*0.1</f>
        <v>2990</v>
      </c>
      <c r="N326" s="9">
        <f t="shared" si="45"/>
        <v>14950</v>
      </c>
      <c r="O326" s="9">
        <f t="shared" si="46"/>
        <v>10086.59</v>
      </c>
      <c r="P326" s="9">
        <f t="shared" si="47"/>
        <v>4863.41</v>
      </c>
      <c r="Q326" s="139">
        <f t="shared" si="48"/>
        <v>0.67468829431438126</v>
      </c>
      <c r="R326" s="395">
        <f>VLOOKUP(C326,'[1]ORIGINAL (2)'!$A:$C,3,FALSE)</f>
        <v>46</v>
      </c>
      <c r="S326" s="24" t="e">
        <f>VLOOKUP(C326,#REF!,6,FALSE)</f>
        <v>#REF!</v>
      </c>
      <c r="T326" s="24" t="e">
        <f>VLOOKUP(C326,#REF!,7,FALSE)</f>
        <v>#REF!</v>
      </c>
      <c r="U326" s="24" t="e">
        <f>VLOOKUP(C326,#REF!,12,FALSE)</f>
        <v>#REF!</v>
      </c>
      <c r="V326" s="24" t="e">
        <f>VLOOKUP(C326,#REF!,13,FALSE)</f>
        <v>#REF!</v>
      </c>
    </row>
    <row r="327" spans="1:22" x14ac:dyDescent="0.25">
      <c r="A327" s="6" t="s">
        <v>1273</v>
      </c>
      <c r="B327" s="8">
        <v>9789500214278</v>
      </c>
      <c r="C327" s="8">
        <v>710537</v>
      </c>
      <c r="D327" s="41">
        <v>256</v>
      </c>
      <c r="E327" s="7" t="s">
        <v>854</v>
      </c>
      <c r="F327" s="6" t="s">
        <v>855</v>
      </c>
      <c r="G327" s="107">
        <v>45231</v>
      </c>
      <c r="H327" s="108">
        <v>45200</v>
      </c>
      <c r="I327" s="7">
        <v>4112</v>
      </c>
      <c r="J327" s="7" t="s">
        <v>1762</v>
      </c>
      <c r="K327" s="117">
        <v>755.8</v>
      </c>
      <c r="L327" s="9">
        <v>30500</v>
      </c>
      <c r="M327" s="9">
        <f>+L327*0.08</f>
        <v>2440</v>
      </c>
      <c r="N327" s="9">
        <f t="shared" si="45"/>
        <v>15250</v>
      </c>
      <c r="O327" s="9">
        <f t="shared" si="46"/>
        <v>12054.2</v>
      </c>
      <c r="P327" s="9">
        <f t="shared" si="47"/>
        <v>3195.8</v>
      </c>
      <c r="Q327" s="139">
        <f t="shared" si="48"/>
        <v>0.79043934426229512</v>
      </c>
      <c r="R327" s="395">
        <f>VLOOKUP(C327,'[1]ORIGINAL (2)'!$A:$C,3,FALSE)</f>
        <v>84</v>
      </c>
      <c r="S327" s="24" t="e">
        <f>VLOOKUP(C327,#REF!,6,FALSE)</f>
        <v>#REF!</v>
      </c>
      <c r="T327" s="24" t="e">
        <f>VLOOKUP(C327,#REF!,7,FALSE)</f>
        <v>#REF!</v>
      </c>
      <c r="U327" s="24" t="e">
        <f>VLOOKUP(C327,#REF!,12,FALSE)</f>
        <v>#REF!</v>
      </c>
      <c r="V327" s="24" t="e">
        <f>VLOOKUP(C327,#REF!,13,FALSE)</f>
        <v>#REF!</v>
      </c>
    </row>
    <row r="328" spans="1:22" x14ac:dyDescent="0.25">
      <c r="A328" s="6" t="s">
        <v>1274</v>
      </c>
      <c r="B328" s="8">
        <v>9789500213332</v>
      </c>
      <c r="C328" s="8">
        <v>702715</v>
      </c>
      <c r="D328" s="41">
        <v>160</v>
      </c>
      <c r="E328" s="7" t="s">
        <v>749</v>
      </c>
      <c r="F328" s="7" t="s">
        <v>746</v>
      </c>
      <c r="G328" s="107">
        <v>44927</v>
      </c>
      <c r="H328" s="108">
        <v>46082</v>
      </c>
      <c r="I328" s="7">
        <v>2094</v>
      </c>
      <c r="J328" s="28" t="s">
        <v>2136</v>
      </c>
      <c r="K328" s="9">
        <v>1571.19</v>
      </c>
      <c r="L328" s="9">
        <v>25900</v>
      </c>
      <c r="M328" s="112">
        <f>+L328*0.08</f>
        <v>2072</v>
      </c>
      <c r="N328" s="9">
        <f t="shared" si="45"/>
        <v>12950</v>
      </c>
      <c r="O328" s="9">
        <f t="shared" si="46"/>
        <v>9306.81</v>
      </c>
      <c r="P328" s="9">
        <f t="shared" si="47"/>
        <v>3643.19</v>
      </c>
      <c r="Q328" s="139">
        <f t="shared" si="48"/>
        <v>0.71867258687258684</v>
      </c>
      <c r="R328" s="395">
        <f>VLOOKUP(C328,'[1]ORIGINAL (2)'!$A:$C,3,FALSE)</f>
        <v>365</v>
      </c>
      <c r="S328" s="24" t="e">
        <f>VLOOKUP(C328,#REF!,6,FALSE)</f>
        <v>#REF!</v>
      </c>
      <c r="T328" s="24" t="e">
        <f>VLOOKUP(C328,#REF!,7,FALSE)</f>
        <v>#REF!</v>
      </c>
      <c r="U328" s="24" t="e">
        <f>VLOOKUP(C328,#REF!,12,FALSE)</f>
        <v>#REF!</v>
      </c>
      <c r="V328" s="24" t="e">
        <f>VLOOKUP(C328,#REF!,13,FALSE)</f>
        <v>#REF!</v>
      </c>
    </row>
    <row r="329" spans="1:22" x14ac:dyDescent="0.25">
      <c r="A329" s="6" t="s">
        <v>1275</v>
      </c>
      <c r="B329" s="8">
        <v>9789500213943</v>
      </c>
      <c r="C329" s="8">
        <v>707943</v>
      </c>
      <c r="D329" s="41">
        <v>208</v>
      </c>
      <c r="E329" s="7" t="s">
        <v>798</v>
      </c>
      <c r="F329" s="6" t="s">
        <v>793</v>
      </c>
      <c r="G329" s="107">
        <v>45139</v>
      </c>
      <c r="H329" s="108">
        <v>45108</v>
      </c>
      <c r="I329" s="116">
        <v>4125</v>
      </c>
      <c r="J329" s="28" t="s">
        <v>2136</v>
      </c>
      <c r="K329" s="117">
        <v>562.97</v>
      </c>
      <c r="L329" s="9">
        <v>26900</v>
      </c>
      <c r="M329" s="112">
        <f>+L329*0.08</f>
        <v>2152</v>
      </c>
      <c r="N329" s="9">
        <f t="shared" si="45"/>
        <v>13450</v>
      </c>
      <c r="O329" s="9">
        <f t="shared" si="46"/>
        <v>10735.03</v>
      </c>
      <c r="P329" s="9">
        <f t="shared" si="47"/>
        <v>2714.9700000000003</v>
      </c>
      <c r="Q329" s="139">
        <f t="shared" si="48"/>
        <v>0.79814349442379184</v>
      </c>
      <c r="R329" s="395">
        <f>VLOOKUP(C329,'[1]ORIGINAL (2)'!$A:$C,3,FALSE)</f>
        <v>108</v>
      </c>
      <c r="S329" s="24" t="e">
        <f>VLOOKUP(C329,#REF!,6,FALSE)</f>
        <v>#REF!</v>
      </c>
      <c r="T329" s="24" t="e">
        <f>VLOOKUP(C329,#REF!,7,FALSE)</f>
        <v>#REF!</v>
      </c>
      <c r="U329" s="24" t="e">
        <f>VLOOKUP(C329,#REF!,12,FALSE)</f>
        <v>#REF!</v>
      </c>
      <c r="V329" s="24" t="e">
        <f>VLOOKUP(C329,#REF!,13,FALSE)</f>
        <v>#REF!</v>
      </c>
    </row>
    <row r="330" spans="1:22" x14ac:dyDescent="0.25">
      <c r="A330" s="6" t="s">
        <v>1276</v>
      </c>
      <c r="B330" s="8">
        <v>9789500213349</v>
      </c>
      <c r="C330" s="6">
        <v>702716</v>
      </c>
      <c r="D330" s="41">
        <v>256</v>
      </c>
      <c r="E330" s="7" t="s">
        <v>750</v>
      </c>
      <c r="F330" s="7" t="s">
        <v>747</v>
      </c>
      <c r="G330" s="107">
        <v>44927</v>
      </c>
      <c r="H330" s="108">
        <v>46143</v>
      </c>
      <c r="I330" s="7">
        <v>2060</v>
      </c>
      <c r="J330" s="108" t="s">
        <v>1946</v>
      </c>
      <c r="K330" s="148">
        <v>4594.6099999999997</v>
      </c>
      <c r="L330" s="9">
        <v>36500</v>
      </c>
      <c r="M330" s="112">
        <f>+L330*0.08</f>
        <v>2920</v>
      </c>
      <c r="N330" s="9">
        <f t="shared" si="45"/>
        <v>18250</v>
      </c>
      <c r="O330" s="9">
        <f t="shared" si="46"/>
        <v>10735.39</v>
      </c>
      <c r="P330" s="9">
        <f t="shared" si="47"/>
        <v>7514.61</v>
      </c>
      <c r="Q330" s="139">
        <f t="shared" si="48"/>
        <v>0.58824054794520542</v>
      </c>
      <c r="R330" s="395">
        <f>VLOOKUP(C330,'[1]ORIGINAL (2)'!$A:$C,3,FALSE)</f>
        <v>2181</v>
      </c>
      <c r="S330" s="24" t="e">
        <f>VLOOKUP(C330,#REF!,6,FALSE)</f>
        <v>#REF!</v>
      </c>
      <c r="T330" s="24" t="e">
        <f>VLOOKUP(C330,#REF!,7,FALSE)</f>
        <v>#REF!</v>
      </c>
      <c r="U330" s="24" t="e">
        <f>VLOOKUP(C330,#REF!,12,FALSE)</f>
        <v>#REF!</v>
      </c>
      <c r="V330" s="24" t="e">
        <f>VLOOKUP(C330,#REF!,13,FALSE)</f>
        <v>#REF!</v>
      </c>
    </row>
    <row r="331" spans="1:22" x14ac:dyDescent="0.25">
      <c r="A331" s="6" t="s">
        <v>1007</v>
      </c>
      <c r="B331" s="8">
        <v>9789500299923</v>
      </c>
      <c r="C331" s="6">
        <v>631530</v>
      </c>
      <c r="D331" s="7">
        <v>224</v>
      </c>
      <c r="E331" s="7" t="s">
        <v>106</v>
      </c>
      <c r="F331" s="11" t="s">
        <v>107</v>
      </c>
      <c r="G331" s="107">
        <v>42917</v>
      </c>
      <c r="H331" s="108">
        <v>42887</v>
      </c>
      <c r="I331" s="24">
        <v>2980</v>
      </c>
      <c r="J331" s="28" t="s">
        <v>1894</v>
      </c>
      <c r="K331" s="28">
        <v>22.19</v>
      </c>
      <c r="L331" s="9">
        <v>18400</v>
      </c>
      <c r="M331" s="112">
        <f>+L331*0.13</f>
        <v>2392</v>
      </c>
      <c r="N331" s="9">
        <f t="shared" si="45"/>
        <v>9200</v>
      </c>
      <c r="O331" s="9">
        <f t="shared" si="46"/>
        <v>6785.81</v>
      </c>
      <c r="P331" s="9">
        <f t="shared" si="47"/>
        <v>2414.19</v>
      </c>
      <c r="Q331" s="139">
        <f t="shared" si="48"/>
        <v>0.7375880434782609</v>
      </c>
      <c r="R331" s="395">
        <f>VLOOKUP(C331,'[1]ORIGINAL (2)'!$A:$C,3,FALSE)</f>
        <v>2</v>
      </c>
      <c r="S331" s="24" t="e">
        <f>VLOOKUP(C331,#REF!,6,FALSE)</f>
        <v>#REF!</v>
      </c>
      <c r="T331" s="24" t="e">
        <f>VLOOKUP(C331,#REF!,7,FALSE)</f>
        <v>#REF!</v>
      </c>
      <c r="U331" s="24" t="e">
        <f>VLOOKUP(C331,#REF!,12,FALSE)</f>
        <v>#REF!</v>
      </c>
      <c r="V331" s="24" t="e">
        <f>VLOOKUP(C331,#REF!,13,FALSE)</f>
        <v>#REF!</v>
      </c>
    </row>
    <row r="332" spans="1:22" x14ac:dyDescent="0.25">
      <c r="A332" s="6" t="s">
        <v>1277</v>
      </c>
      <c r="B332" s="8">
        <v>9789500211444</v>
      </c>
      <c r="C332" s="8">
        <v>682011</v>
      </c>
      <c r="D332" s="7">
        <v>224</v>
      </c>
      <c r="E332" s="7" t="s">
        <v>536</v>
      </c>
      <c r="F332" s="7" t="s">
        <v>1278</v>
      </c>
      <c r="G332" s="107">
        <v>44256</v>
      </c>
      <c r="H332" s="108">
        <v>44228</v>
      </c>
      <c r="I332" s="7">
        <v>1373</v>
      </c>
      <c r="J332" s="28" t="s">
        <v>1894</v>
      </c>
      <c r="K332" s="7">
        <v>85.63</v>
      </c>
      <c r="L332" s="9">
        <v>18400</v>
      </c>
      <c r="M332" s="9">
        <f>+L332*0.13</f>
        <v>2392</v>
      </c>
      <c r="N332" s="9">
        <f t="shared" si="45"/>
        <v>9200</v>
      </c>
      <c r="O332" s="9">
        <f t="shared" si="46"/>
        <v>6722.37</v>
      </c>
      <c r="P332" s="9">
        <f t="shared" si="47"/>
        <v>2477.63</v>
      </c>
      <c r="Q332" s="139">
        <f t="shared" si="48"/>
        <v>0.73069239130434782</v>
      </c>
      <c r="R332" s="395">
        <f>VLOOKUP(C332,'[1]ORIGINAL (2)'!$A:$C,3,FALSE)</f>
        <v>1</v>
      </c>
      <c r="S332" s="24" t="e">
        <f>VLOOKUP(C332,#REF!,6,FALSE)</f>
        <v>#REF!</v>
      </c>
      <c r="T332" s="24" t="e">
        <f>VLOOKUP(C332,#REF!,7,FALSE)</f>
        <v>#REF!</v>
      </c>
      <c r="U332" s="24" t="e">
        <f>VLOOKUP(C332,#REF!,12,FALSE)</f>
        <v>#REF!</v>
      </c>
      <c r="V332" s="24" t="e">
        <f>VLOOKUP(C332,#REF!,13,FALSE)</f>
        <v>#REF!</v>
      </c>
    </row>
    <row r="333" spans="1:22" x14ac:dyDescent="0.25">
      <c r="A333" s="7" t="s">
        <v>928</v>
      </c>
      <c r="B333" s="8">
        <v>9789500205320</v>
      </c>
      <c r="C333" s="8">
        <v>511852</v>
      </c>
      <c r="D333" s="25">
        <v>288</v>
      </c>
      <c r="E333" s="9" t="s">
        <v>20</v>
      </c>
      <c r="F333" s="266" t="s">
        <v>378</v>
      </c>
      <c r="G333" s="107">
        <v>40330</v>
      </c>
      <c r="H333" s="108">
        <v>44986</v>
      </c>
      <c r="I333" s="24">
        <v>500</v>
      </c>
      <c r="J333" s="7" t="s">
        <v>1762</v>
      </c>
      <c r="K333" s="28">
        <v>817.97</v>
      </c>
      <c r="L333" s="112">
        <v>38900</v>
      </c>
      <c r="M333" s="112">
        <f>+L333*0.1</f>
        <v>3890</v>
      </c>
      <c r="N333" s="9">
        <f>+L333*0.55</f>
        <v>21395</v>
      </c>
      <c r="O333" s="9">
        <f t="shared" si="46"/>
        <v>16687.03</v>
      </c>
      <c r="P333" s="9">
        <f t="shared" si="47"/>
        <v>4707.97</v>
      </c>
      <c r="Q333" s="139">
        <f t="shared" si="48"/>
        <v>0.77994998831502682</v>
      </c>
      <c r="R333" s="395">
        <f>VLOOKUP(C333,'[1]ORIGINAL (2)'!$A:$C,3,FALSE)</f>
        <v>59</v>
      </c>
      <c r="S333" s="24" t="e">
        <f>VLOOKUP(C333,#REF!,6,FALSE)</f>
        <v>#REF!</v>
      </c>
      <c r="T333" s="24" t="e">
        <f>VLOOKUP(C333,#REF!,7,FALSE)</f>
        <v>#REF!</v>
      </c>
      <c r="U333" s="24" t="e">
        <f>VLOOKUP(C333,#REF!,12,FALSE)</f>
        <v>#REF!</v>
      </c>
      <c r="V333" s="24" t="e">
        <f>VLOOKUP(C333,#REF!,13,FALSE)</f>
        <v>#REF!</v>
      </c>
    </row>
    <row r="334" spans="1:22" x14ac:dyDescent="0.25">
      <c r="A334" s="7" t="s">
        <v>1279</v>
      </c>
      <c r="B334" s="8">
        <v>9789500298322</v>
      </c>
      <c r="C334" s="8">
        <v>414107</v>
      </c>
      <c r="D334" s="25">
        <v>360</v>
      </c>
      <c r="E334" s="9" t="s">
        <v>183</v>
      </c>
      <c r="F334" s="7" t="s">
        <v>184</v>
      </c>
      <c r="G334" s="107">
        <v>38626</v>
      </c>
      <c r="H334" s="108">
        <v>38596</v>
      </c>
      <c r="I334" s="24">
        <v>4980</v>
      </c>
      <c r="J334" s="28" t="s">
        <v>1894</v>
      </c>
      <c r="K334" s="28">
        <v>5.18</v>
      </c>
      <c r="L334" s="112">
        <v>16000</v>
      </c>
      <c r="M334" s="112">
        <f>+L334*0.08</f>
        <v>1280</v>
      </c>
      <c r="N334" s="9">
        <f t="shared" ref="N334:N358" si="49">+L334/2</f>
        <v>8000</v>
      </c>
      <c r="O334" s="9">
        <f t="shared" si="46"/>
        <v>6714.82</v>
      </c>
      <c r="P334" s="9">
        <f t="shared" si="47"/>
        <v>1285.18</v>
      </c>
      <c r="Q334" s="139">
        <f t="shared" si="48"/>
        <v>0.83935249999999995</v>
      </c>
      <c r="R334" s="395" t="e">
        <f>VLOOKUP(C334,'[1]ORIGINAL (2)'!$A:$C,3,FALSE)</f>
        <v>#N/A</v>
      </c>
      <c r="S334" s="24" t="e">
        <f>VLOOKUP(C334,#REF!,6,FALSE)</f>
        <v>#REF!</v>
      </c>
      <c r="T334" s="24" t="e">
        <f>VLOOKUP(C334,#REF!,7,FALSE)</f>
        <v>#REF!</v>
      </c>
      <c r="U334" s="24" t="e">
        <f>VLOOKUP(C334,#REF!,12,FALSE)</f>
        <v>#REF!</v>
      </c>
      <c r="V334" s="24" t="e">
        <f>VLOOKUP(C334,#REF!,13,FALSE)</f>
        <v>#REF!</v>
      </c>
    </row>
    <row r="335" spans="1:22" x14ac:dyDescent="0.25">
      <c r="A335" s="7" t="s">
        <v>1280</v>
      </c>
      <c r="B335" s="8">
        <v>9789500207577</v>
      </c>
      <c r="C335" s="21">
        <v>569644</v>
      </c>
      <c r="D335" s="25">
        <v>272</v>
      </c>
      <c r="E335" s="22" t="s">
        <v>181</v>
      </c>
      <c r="F335" s="6" t="s">
        <v>182</v>
      </c>
      <c r="G335" s="107">
        <v>41548</v>
      </c>
      <c r="H335" s="108">
        <v>42522</v>
      </c>
      <c r="I335" s="24">
        <v>2019</v>
      </c>
      <c r="J335" s="28" t="s">
        <v>1762</v>
      </c>
      <c r="K335" s="28">
        <v>27.96</v>
      </c>
      <c r="L335" s="112">
        <v>23900</v>
      </c>
      <c r="M335" s="112">
        <f>+L335*0.13</f>
        <v>3107</v>
      </c>
      <c r="N335" s="9">
        <f t="shared" si="49"/>
        <v>11950</v>
      </c>
      <c r="O335" s="9">
        <f t="shared" si="46"/>
        <v>8815.0400000000009</v>
      </c>
      <c r="P335" s="9">
        <f t="shared" si="47"/>
        <v>3134.96</v>
      </c>
      <c r="Q335" s="139">
        <f t="shared" si="48"/>
        <v>0.73766025104602517</v>
      </c>
      <c r="R335" s="395" t="e">
        <f>VLOOKUP(C335,'[1]ORIGINAL (2)'!$A:$C,3,FALSE)</f>
        <v>#N/A</v>
      </c>
      <c r="S335" s="24" t="e">
        <f>VLOOKUP(C335,#REF!,6,FALSE)</f>
        <v>#REF!</v>
      </c>
      <c r="T335" s="24" t="e">
        <f>VLOOKUP(C335,#REF!,7,FALSE)</f>
        <v>#REF!</v>
      </c>
      <c r="U335" s="24" t="e">
        <f>VLOOKUP(C335,#REF!,12,FALSE)</f>
        <v>#REF!</v>
      </c>
      <c r="V335" s="24" t="e">
        <f>VLOOKUP(C335,#REF!,13,FALSE)</f>
        <v>#REF!</v>
      </c>
    </row>
    <row r="336" spans="1:22" x14ac:dyDescent="0.25">
      <c r="A336" s="7" t="s">
        <v>1282</v>
      </c>
      <c r="B336" s="8">
        <v>9789500211352</v>
      </c>
      <c r="C336" s="8">
        <v>680635</v>
      </c>
      <c r="D336" s="25">
        <v>272</v>
      </c>
      <c r="E336" s="7" t="s">
        <v>519</v>
      </c>
      <c r="F336" s="7" t="s">
        <v>1283</v>
      </c>
      <c r="G336" s="107">
        <v>44166</v>
      </c>
      <c r="H336" s="108">
        <v>44136</v>
      </c>
      <c r="I336" s="7">
        <v>3066</v>
      </c>
      <c r="J336" s="28" t="s">
        <v>1762</v>
      </c>
      <c r="K336" s="9">
        <v>80.900000000000006</v>
      </c>
      <c r="L336" s="112">
        <v>23900</v>
      </c>
      <c r="M336" s="112">
        <f>+L336*0.13</f>
        <v>3107</v>
      </c>
      <c r="N336" s="9">
        <f t="shared" si="49"/>
        <v>11950</v>
      </c>
      <c r="O336" s="9">
        <f t="shared" si="46"/>
        <v>8762.1</v>
      </c>
      <c r="P336" s="9">
        <f t="shared" si="47"/>
        <v>3187.9</v>
      </c>
      <c r="Q336" s="139">
        <f t="shared" si="48"/>
        <v>0.73323012552301259</v>
      </c>
      <c r="R336" s="395">
        <f>VLOOKUP(C336,'[1]ORIGINAL (2)'!$A:$C,3,FALSE)</f>
        <v>3</v>
      </c>
      <c r="S336" s="24" t="e">
        <f>VLOOKUP(C336,#REF!,6,FALSE)</f>
        <v>#REF!</v>
      </c>
      <c r="T336" s="24" t="e">
        <f>VLOOKUP(C336,#REF!,7,FALSE)</f>
        <v>#REF!</v>
      </c>
      <c r="U336" s="24" t="e">
        <f>VLOOKUP(C336,#REF!,12,FALSE)</f>
        <v>#REF!</v>
      </c>
      <c r="V336" s="24" t="e">
        <f>VLOOKUP(C336,#REF!,13,FALSE)</f>
        <v>#REF!</v>
      </c>
    </row>
    <row r="337" spans="1:22" x14ac:dyDescent="0.25">
      <c r="A337" s="7" t="s">
        <v>1284</v>
      </c>
      <c r="B337" s="8">
        <v>9789500206808</v>
      </c>
      <c r="C337" s="8">
        <v>553650</v>
      </c>
      <c r="D337" s="7">
        <v>304</v>
      </c>
      <c r="E337" s="7" t="s">
        <v>176</v>
      </c>
      <c r="F337" s="7" t="s">
        <v>177</v>
      </c>
      <c r="G337" s="107">
        <v>41122</v>
      </c>
      <c r="H337" s="108">
        <v>41852</v>
      </c>
      <c r="I337" s="24">
        <v>2530</v>
      </c>
      <c r="J337" s="28" t="s">
        <v>1894</v>
      </c>
      <c r="K337" s="28">
        <v>11.53</v>
      </c>
      <c r="L337" s="9">
        <v>16000</v>
      </c>
      <c r="M337" s="112">
        <f>+L337*0.14</f>
        <v>2240</v>
      </c>
      <c r="N337" s="9">
        <f t="shared" si="49"/>
        <v>8000</v>
      </c>
      <c r="O337" s="9">
        <f t="shared" si="46"/>
        <v>5748.47</v>
      </c>
      <c r="P337" s="9">
        <f t="shared" si="47"/>
        <v>2251.5300000000002</v>
      </c>
      <c r="Q337" s="139">
        <f t="shared" si="48"/>
        <v>0.71855875000000002</v>
      </c>
      <c r="R337" s="395">
        <f>VLOOKUP(C337,'[1]ORIGINAL (2)'!$A:$C,3,FALSE)</f>
        <v>1</v>
      </c>
      <c r="S337" s="24" t="e">
        <f>VLOOKUP(C337,#REF!,6,FALSE)</f>
        <v>#REF!</v>
      </c>
      <c r="T337" s="24" t="e">
        <f>VLOOKUP(C337,#REF!,7,FALSE)</f>
        <v>#REF!</v>
      </c>
      <c r="U337" s="24" t="e">
        <f>VLOOKUP(C337,#REF!,12,FALSE)</f>
        <v>#REF!</v>
      </c>
      <c r="V337" s="24" t="e">
        <f>VLOOKUP(C337,#REF!,13,FALSE)</f>
        <v>#REF!</v>
      </c>
    </row>
    <row r="338" spans="1:22" x14ac:dyDescent="0.25">
      <c r="A338" s="6" t="s">
        <v>1285</v>
      </c>
      <c r="B338" s="8">
        <v>9789500208932</v>
      </c>
      <c r="C338" s="8">
        <v>592801</v>
      </c>
      <c r="D338" s="25">
        <v>192</v>
      </c>
      <c r="E338" s="22" t="s">
        <v>180</v>
      </c>
      <c r="F338" s="176" t="s">
        <v>1286</v>
      </c>
      <c r="G338" s="107">
        <v>42156</v>
      </c>
      <c r="H338" s="108">
        <v>43405</v>
      </c>
      <c r="I338" s="24">
        <v>1000</v>
      </c>
      <c r="J338" s="28" t="s">
        <v>1894</v>
      </c>
      <c r="K338" s="28">
        <v>49.72</v>
      </c>
      <c r="L338" s="112">
        <v>18400</v>
      </c>
      <c r="M338" s="112">
        <f>+L338*0.08</f>
        <v>1472</v>
      </c>
      <c r="N338" s="9">
        <f t="shared" si="49"/>
        <v>9200</v>
      </c>
      <c r="O338" s="9">
        <f t="shared" si="46"/>
        <v>7678.28</v>
      </c>
      <c r="P338" s="9">
        <f t="shared" si="47"/>
        <v>1521.72</v>
      </c>
      <c r="Q338" s="139">
        <f t="shared" si="48"/>
        <v>0.83459565217391296</v>
      </c>
      <c r="R338" s="395">
        <f>VLOOKUP(C338,'[1]ORIGINAL (2)'!$A:$C,3,FALSE)</f>
        <v>8</v>
      </c>
      <c r="S338" s="24" t="e">
        <f>VLOOKUP(C338,#REF!,6,FALSE)</f>
        <v>#REF!</v>
      </c>
      <c r="T338" s="24" t="e">
        <f>VLOOKUP(C338,#REF!,7,FALSE)</f>
        <v>#REF!</v>
      </c>
      <c r="U338" s="24" t="e">
        <f>VLOOKUP(C338,#REF!,12,FALSE)</f>
        <v>#REF!</v>
      </c>
      <c r="V338" s="24" t="e">
        <f>VLOOKUP(C338,#REF!,13,FALSE)</f>
        <v>#REF!</v>
      </c>
    </row>
    <row r="339" spans="1:22" x14ac:dyDescent="0.25">
      <c r="A339" s="6" t="s">
        <v>1287</v>
      </c>
      <c r="B339" s="8">
        <v>9789500208772</v>
      </c>
      <c r="C339" s="21">
        <v>591835</v>
      </c>
      <c r="D339" s="25">
        <v>272</v>
      </c>
      <c r="E339" s="22" t="s">
        <v>1288</v>
      </c>
      <c r="F339" s="286" t="s">
        <v>190</v>
      </c>
      <c r="G339" s="107">
        <v>42125</v>
      </c>
      <c r="H339" s="108">
        <v>42522</v>
      </c>
      <c r="I339" s="24">
        <v>2028</v>
      </c>
      <c r="J339" s="28" t="s">
        <v>1946</v>
      </c>
      <c r="K339" s="28">
        <v>27.89</v>
      </c>
      <c r="L339" s="112">
        <v>22900</v>
      </c>
      <c r="M339" s="112">
        <f>+L339*0.13</f>
        <v>2977</v>
      </c>
      <c r="N339" s="9">
        <f t="shared" si="49"/>
        <v>11450</v>
      </c>
      <c r="O339" s="9">
        <f t="shared" si="46"/>
        <v>8445.11</v>
      </c>
      <c r="P339" s="9">
        <f t="shared" si="47"/>
        <v>3004.89</v>
      </c>
      <c r="Q339" s="139">
        <f t="shared" si="48"/>
        <v>0.73756419213973801</v>
      </c>
      <c r="R339" s="395" t="e">
        <f>VLOOKUP(C339,'[1]ORIGINAL (2)'!$A:$C,3,FALSE)</f>
        <v>#N/A</v>
      </c>
      <c r="S339" s="24" t="e">
        <f>VLOOKUP(C339,#REF!,6,FALSE)</f>
        <v>#REF!</v>
      </c>
      <c r="T339" s="24" t="e">
        <f>VLOOKUP(C339,#REF!,7,FALSE)</f>
        <v>#REF!</v>
      </c>
      <c r="U339" s="24" t="e">
        <f>VLOOKUP(C339,#REF!,12,FALSE)</f>
        <v>#REF!</v>
      </c>
      <c r="V339" s="24" t="e">
        <f>VLOOKUP(C339,#REF!,13,FALSE)</f>
        <v>#REF!</v>
      </c>
    </row>
    <row r="340" spans="1:22" x14ac:dyDescent="0.25">
      <c r="A340" s="7" t="s">
        <v>1289</v>
      </c>
      <c r="B340" s="8">
        <v>9789500212144</v>
      </c>
      <c r="C340" s="8">
        <v>687544</v>
      </c>
      <c r="D340" s="25">
        <v>208</v>
      </c>
      <c r="E340" s="7" t="s">
        <v>580</v>
      </c>
      <c r="F340" s="7" t="s">
        <v>581</v>
      </c>
      <c r="G340" s="107">
        <v>44470</v>
      </c>
      <c r="H340" s="108">
        <v>45689</v>
      </c>
      <c r="I340" s="7">
        <v>2065</v>
      </c>
      <c r="J340" s="7" t="s">
        <v>1762</v>
      </c>
      <c r="K340" s="148">
        <v>2745.28</v>
      </c>
      <c r="L340" s="9">
        <v>26900</v>
      </c>
      <c r="M340" s="112">
        <f>+L340*0.1</f>
        <v>2690</v>
      </c>
      <c r="N340" s="9">
        <f t="shared" si="49"/>
        <v>13450</v>
      </c>
      <c r="O340" s="9">
        <f t="shared" si="46"/>
        <v>8014.7199999999993</v>
      </c>
      <c r="P340" s="9">
        <f t="shared" si="47"/>
        <v>5435.2800000000007</v>
      </c>
      <c r="Q340" s="139">
        <f t="shared" si="48"/>
        <v>0.59588996282527873</v>
      </c>
      <c r="R340" s="395">
        <f>VLOOKUP(C340,'[1]ORIGINAL (2)'!$A:$C,3,FALSE)</f>
        <v>207</v>
      </c>
      <c r="S340" s="24" t="e">
        <f>VLOOKUP(C340,#REF!,6,FALSE)</f>
        <v>#REF!</v>
      </c>
      <c r="T340" s="24" t="e">
        <f>VLOOKUP(C340,#REF!,7,FALSE)</f>
        <v>#REF!</v>
      </c>
      <c r="U340" s="24" t="e">
        <f>VLOOKUP(C340,#REF!,12,FALSE)</f>
        <v>#REF!</v>
      </c>
      <c r="V340" s="24" t="e">
        <f>VLOOKUP(C340,#REF!,13,FALSE)</f>
        <v>#REF!</v>
      </c>
    </row>
    <row r="341" spans="1:22" x14ac:dyDescent="0.25">
      <c r="A341" s="6" t="s">
        <v>1290</v>
      </c>
      <c r="B341" s="8">
        <v>9789500209069</v>
      </c>
      <c r="C341" s="6">
        <v>633014</v>
      </c>
      <c r="D341" s="7">
        <v>256</v>
      </c>
      <c r="E341" s="7" t="s">
        <v>173</v>
      </c>
      <c r="F341" s="177" t="s">
        <v>174</v>
      </c>
      <c r="G341" s="107">
        <v>42948</v>
      </c>
      <c r="H341" s="108">
        <v>42948</v>
      </c>
      <c r="I341" s="24">
        <v>1534</v>
      </c>
      <c r="J341" s="28" t="s">
        <v>1894</v>
      </c>
      <c r="K341" s="28">
        <v>33.04</v>
      </c>
      <c r="L341" s="112">
        <v>17300</v>
      </c>
      <c r="M341" s="112">
        <f>+L341*0.08</f>
        <v>1384</v>
      </c>
      <c r="N341" s="9">
        <f t="shared" si="49"/>
        <v>8650</v>
      </c>
      <c r="O341" s="9">
        <f t="shared" si="46"/>
        <v>7232.96</v>
      </c>
      <c r="P341" s="9">
        <f t="shared" si="47"/>
        <v>1417.04</v>
      </c>
      <c r="Q341" s="139">
        <f t="shared" si="48"/>
        <v>0.83618034682080922</v>
      </c>
      <c r="R341" s="395" t="e">
        <f>VLOOKUP(C341,'[1]ORIGINAL (2)'!$A:$C,3,FALSE)</f>
        <v>#N/A</v>
      </c>
      <c r="S341" s="24" t="e">
        <f>VLOOKUP(C341,#REF!,6,FALSE)</f>
        <v>#REF!</v>
      </c>
      <c r="T341" s="24" t="e">
        <f>VLOOKUP(C341,#REF!,7,FALSE)</f>
        <v>#REF!</v>
      </c>
      <c r="U341" s="24" t="e">
        <f>VLOOKUP(C341,#REF!,12,FALSE)</f>
        <v>#REF!</v>
      </c>
      <c r="V341" s="24" t="e">
        <f>VLOOKUP(C341,#REF!,13,FALSE)</f>
        <v>#REF!</v>
      </c>
    </row>
    <row r="342" spans="1:22" x14ac:dyDescent="0.25">
      <c r="A342" s="7" t="s">
        <v>1291</v>
      </c>
      <c r="B342" s="8">
        <v>9789500209809</v>
      </c>
      <c r="C342" s="6">
        <v>655250</v>
      </c>
      <c r="D342" s="7">
        <v>256</v>
      </c>
      <c r="E342" s="7" t="s">
        <v>405</v>
      </c>
      <c r="F342" s="178" t="s">
        <v>406</v>
      </c>
      <c r="G342" s="107">
        <v>43374</v>
      </c>
      <c r="H342" s="108">
        <v>43344</v>
      </c>
      <c r="I342" s="24">
        <v>3000</v>
      </c>
      <c r="J342" s="28" t="s">
        <v>1894</v>
      </c>
      <c r="K342" s="28">
        <v>49.32</v>
      </c>
      <c r="L342" s="112">
        <v>17300</v>
      </c>
      <c r="M342" s="112">
        <f>+L342*0.08</f>
        <v>1384</v>
      </c>
      <c r="N342" s="9">
        <f t="shared" si="49"/>
        <v>8650</v>
      </c>
      <c r="O342" s="9">
        <f t="shared" si="46"/>
        <v>7216.68</v>
      </c>
      <c r="P342" s="9">
        <f t="shared" si="47"/>
        <v>1433.32</v>
      </c>
      <c r="Q342" s="139">
        <f t="shared" si="48"/>
        <v>0.83429826589595379</v>
      </c>
      <c r="R342" s="395">
        <f>VLOOKUP(C342,'[1]ORIGINAL (2)'!$A:$C,3,FALSE)</f>
        <v>45</v>
      </c>
      <c r="S342" s="24" t="e">
        <f>VLOOKUP(C342,#REF!,6,FALSE)</f>
        <v>#REF!</v>
      </c>
      <c r="T342" s="24" t="e">
        <f>VLOOKUP(C342,#REF!,7,FALSE)</f>
        <v>#REF!</v>
      </c>
      <c r="U342" s="24" t="e">
        <f>VLOOKUP(C342,#REF!,12,FALSE)</f>
        <v>#REF!</v>
      </c>
      <c r="V342" s="24" t="e">
        <f>VLOOKUP(C342,#REF!,13,FALSE)</f>
        <v>#REF!</v>
      </c>
    </row>
    <row r="343" spans="1:22" x14ac:dyDescent="0.25">
      <c r="A343" s="7" t="s">
        <v>1292</v>
      </c>
      <c r="B343" s="16">
        <v>9789500207614</v>
      </c>
      <c r="C343" s="21">
        <v>569653</v>
      </c>
      <c r="D343" s="25">
        <v>256</v>
      </c>
      <c r="E343" s="7" t="s">
        <v>178</v>
      </c>
      <c r="F343" s="7" t="s">
        <v>179</v>
      </c>
      <c r="G343" s="107">
        <v>40756</v>
      </c>
      <c r="H343" s="108">
        <v>42186</v>
      </c>
      <c r="I343" s="24">
        <v>1590</v>
      </c>
      <c r="J343" s="28" t="s">
        <v>1894</v>
      </c>
      <c r="K343" s="28">
        <v>18.97</v>
      </c>
      <c r="L343" s="9">
        <v>17300</v>
      </c>
      <c r="M343" s="112">
        <f>+L343*0.1</f>
        <v>1730</v>
      </c>
      <c r="N343" s="9">
        <f t="shared" si="49"/>
        <v>8650</v>
      </c>
      <c r="O343" s="9">
        <f t="shared" si="46"/>
        <v>6901.03</v>
      </c>
      <c r="P343" s="9">
        <f t="shared" si="47"/>
        <v>1748.97</v>
      </c>
      <c r="Q343" s="139">
        <f t="shared" si="48"/>
        <v>0.79780693641618494</v>
      </c>
      <c r="R343" s="395">
        <f>VLOOKUP(C343,'[1]ORIGINAL (2)'!$A:$C,3,FALSE)</f>
        <v>2</v>
      </c>
      <c r="S343" s="24" t="e">
        <f>VLOOKUP(C343,#REF!,6,FALSE)</f>
        <v>#REF!</v>
      </c>
      <c r="T343" s="24" t="e">
        <f>VLOOKUP(C343,#REF!,7,FALSE)</f>
        <v>#REF!</v>
      </c>
      <c r="U343" s="24" t="e">
        <f>VLOOKUP(C343,#REF!,12,FALSE)</f>
        <v>#REF!</v>
      </c>
      <c r="V343" s="24" t="e">
        <f>VLOOKUP(C343,#REF!,13,FALSE)</f>
        <v>#REF!</v>
      </c>
    </row>
    <row r="344" spans="1:22" x14ac:dyDescent="0.25">
      <c r="A344" s="7" t="s">
        <v>1293</v>
      </c>
      <c r="B344" s="8">
        <v>9789500212281</v>
      </c>
      <c r="C344" s="8">
        <v>689372</v>
      </c>
      <c r="D344" s="25">
        <v>304</v>
      </c>
      <c r="E344" s="7" t="s">
        <v>624</v>
      </c>
      <c r="F344" s="7" t="s">
        <v>843</v>
      </c>
      <c r="G344" s="107">
        <v>44531</v>
      </c>
      <c r="H344" s="108">
        <v>45717</v>
      </c>
      <c r="I344" s="293">
        <v>2035</v>
      </c>
      <c r="J344" s="8" t="s">
        <v>2136</v>
      </c>
      <c r="K344" s="9">
        <v>3494.1</v>
      </c>
      <c r="L344" s="295">
        <v>27900</v>
      </c>
      <c r="M344" s="112">
        <f>+L344*0.08</f>
        <v>2232</v>
      </c>
      <c r="N344" s="9">
        <f t="shared" si="49"/>
        <v>13950</v>
      </c>
      <c r="O344" s="9">
        <f t="shared" si="46"/>
        <v>8223.9</v>
      </c>
      <c r="P344" s="9">
        <f t="shared" si="47"/>
        <v>5726.1</v>
      </c>
      <c r="Q344" s="139">
        <f t="shared" si="48"/>
        <v>0.58952688172043011</v>
      </c>
      <c r="R344" s="395">
        <f>VLOOKUP(C344,'[1]ORIGINAL (2)'!$A:$C,3,FALSE)</f>
        <v>89</v>
      </c>
      <c r="S344" s="24" t="e">
        <f>VLOOKUP(C344,#REF!,6,FALSE)</f>
        <v>#REF!</v>
      </c>
      <c r="T344" s="24" t="e">
        <f>VLOOKUP(C344,#REF!,7,FALSE)</f>
        <v>#REF!</v>
      </c>
      <c r="U344" s="24" t="e">
        <f>VLOOKUP(C344,#REF!,12,FALSE)</f>
        <v>#REF!</v>
      </c>
      <c r="V344" s="24" t="e">
        <f>VLOOKUP(C344,#REF!,13,FALSE)</f>
        <v>#REF!</v>
      </c>
    </row>
    <row r="345" spans="1:22" x14ac:dyDescent="0.25">
      <c r="A345" s="6" t="s">
        <v>2293</v>
      </c>
      <c r="B345" s="282">
        <v>9789500217514</v>
      </c>
      <c r="C345" s="6">
        <v>743062</v>
      </c>
      <c r="D345" s="41">
        <v>272</v>
      </c>
      <c r="E345" s="6" t="s">
        <v>686</v>
      </c>
      <c r="F345" s="6" t="s">
        <v>2294</v>
      </c>
      <c r="G345" s="107">
        <v>46113</v>
      </c>
      <c r="H345" s="108">
        <v>46082</v>
      </c>
      <c r="I345" s="267">
        <v>5966</v>
      </c>
      <c r="J345" s="6" t="s">
        <v>1333</v>
      </c>
      <c r="K345" s="148">
        <v>2334.0700000000002</v>
      </c>
      <c r="L345" s="9">
        <v>35900</v>
      </c>
      <c r="M345" s="112">
        <f>+L345*0.08</f>
        <v>2872</v>
      </c>
      <c r="N345" s="9">
        <f t="shared" si="49"/>
        <v>17950</v>
      </c>
      <c r="O345" s="9">
        <f t="shared" si="46"/>
        <v>12743.93</v>
      </c>
      <c r="P345" s="9">
        <f t="shared" si="47"/>
        <v>5206.07</v>
      </c>
      <c r="Q345" s="139">
        <f t="shared" si="48"/>
        <v>0.70996824512534817</v>
      </c>
      <c r="R345" s="395">
        <f>VLOOKUP(C345,'[1]ORIGINAL (2)'!$A:$C,3,FALSE)</f>
        <v>1215</v>
      </c>
      <c r="S345" s="24" t="e">
        <f>VLOOKUP(C345,#REF!,6,FALSE)</f>
        <v>#REF!</v>
      </c>
      <c r="T345" s="24" t="e">
        <f>VLOOKUP(C345,#REF!,7,FALSE)</f>
        <v>#REF!</v>
      </c>
      <c r="U345" s="24" t="e">
        <f>VLOOKUP(C345,#REF!,12,FALSE)</f>
        <v>#REF!</v>
      </c>
      <c r="V345" s="24" t="e">
        <f>VLOOKUP(C345,#REF!,13,FALSE)</f>
        <v>#REF!</v>
      </c>
    </row>
    <row r="346" spans="1:22" x14ac:dyDescent="0.25">
      <c r="A346" s="7" t="s">
        <v>1294</v>
      </c>
      <c r="B346" s="8">
        <v>9789500212687</v>
      </c>
      <c r="C346" s="8">
        <v>693797</v>
      </c>
      <c r="D346" s="25">
        <v>304</v>
      </c>
      <c r="E346" s="7" t="s">
        <v>686</v>
      </c>
      <c r="F346" s="7" t="s">
        <v>687</v>
      </c>
      <c r="G346" s="107">
        <v>44682</v>
      </c>
      <c r="H346" s="108">
        <v>44986</v>
      </c>
      <c r="I346" s="7">
        <v>4090</v>
      </c>
      <c r="J346" s="28" t="s">
        <v>2136</v>
      </c>
      <c r="K346" s="9">
        <v>744.99</v>
      </c>
      <c r="L346" s="9">
        <v>34500</v>
      </c>
      <c r="M346" s="112">
        <f>+L346*0.08</f>
        <v>2760</v>
      </c>
      <c r="N346" s="9">
        <f t="shared" si="49"/>
        <v>17250</v>
      </c>
      <c r="O346" s="9">
        <f t="shared" si="46"/>
        <v>13745.01</v>
      </c>
      <c r="P346" s="9">
        <f t="shared" si="47"/>
        <v>3504.99</v>
      </c>
      <c r="Q346" s="139">
        <f t="shared" si="48"/>
        <v>0.79681217391304349</v>
      </c>
      <c r="R346" s="395" t="e">
        <f>VLOOKUP(C346,'[1]ORIGINAL (2)'!$A:$C,3,FALSE)</f>
        <v>#N/A</v>
      </c>
      <c r="S346" s="24" t="e">
        <f>VLOOKUP(C346,#REF!,6,FALSE)</f>
        <v>#REF!</v>
      </c>
      <c r="T346" s="24" t="e">
        <f>VLOOKUP(C346,#REF!,7,FALSE)</f>
        <v>#REF!</v>
      </c>
      <c r="U346" s="24" t="e">
        <f>VLOOKUP(C346,#REF!,12,FALSE)</f>
        <v>#REF!</v>
      </c>
      <c r="V346" s="24" t="e">
        <f>VLOOKUP(C346,#REF!,13,FALSE)</f>
        <v>#REF!</v>
      </c>
    </row>
    <row r="347" spans="1:22" x14ac:dyDescent="0.25">
      <c r="A347" s="6" t="s">
        <v>1295</v>
      </c>
      <c r="B347" s="8">
        <v>9789500213653</v>
      </c>
      <c r="C347" s="8">
        <v>705123</v>
      </c>
      <c r="D347" s="41">
        <v>272</v>
      </c>
      <c r="E347" s="7" t="s">
        <v>686</v>
      </c>
      <c r="F347" s="7" t="s">
        <v>786</v>
      </c>
      <c r="G347" s="107">
        <v>45047</v>
      </c>
      <c r="H347" s="108">
        <v>45931</v>
      </c>
      <c r="I347" s="7">
        <v>2013</v>
      </c>
      <c r="J347" s="25" t="s">
        <v>1946</v>
      </c>
      <c r="K347" s="9">
        <v>2365.04</v>
      </c>
      <c r="L347" s="9">
        <v>34500</v>
      </c>
      <c r="M347" s="112">
        <f>+L347*0.08</f>
        <v>2760</v>
      </c>
      <c r="N347" s="9">
        <f t="shared" si="49"/>
        <v>17250</v>
      </c>
      <c r="O347" s="9">
        <f t="shared" si="46"/>
        <v>12124.96</v>
      </c>
      <c r="P347" s="9">
        <f t="shared" si="47"/>
        <v>5125.04</v>
      </c>
      <c r="Q347" s="139">
        <f t="shared" si="48"/>
        <v>0.70289623188405792</v>
      </c>
      <c r="R347" s="395">
        <f>VLOOKUP(C347,'[1]ORIGINAL (2)'!$A:$C,3,FALSE)</f>
        <v>1010</v>
      </c>
      <c r="S347" s="24" t="e">
        <f>VLOOKUP(C347,#REF!,6,FALSE)</f>
        <v>#REF!</v>
      </c>
      <c r="T347" s="24" t="e">
        <f>VLOOKUP(C347,#REF!,7,FALSE)</f>
        <v>#REF!</v>
      </c>
      <c r="U347" s="24" t="e">
        <f>VLOOKUP(C347,#REF!,12,FALSE)</f>
        <v>#REF!</v>
      </c>
      <c r="V347" s="24" t="e">
        <f>VLOOKUP(C347,#REF!,13,FALSE)</f>
        <v>#REF!</v>
      </c>
    </row>
    <row r="348" spans="1:22" x14ac:dyDescent="0.25">
      <c r="A348" s="6" t="s">
        <v>1296</v>
      </c>
      <c r="B348" s="8">
        <v>9789500213646</v>
      </c>
      <c r="C348" s="6">
        <v>705124</v>
      </c>
      <c r="D348" s="41">
        <v>240</v>
      </c>
      <c r="E348" s="7" t="s">
        <v>686</v>
      </c>
      <c r="F348" s="7" t="s">
        <v>787</v>
      </c>
      <c r="G348" s="107">
        <v>45047</v>
      </c>
      <c r="H348" s="108">
        <v>45017</v>
      </c>
      <c r="I348" s="7">
        <v>3015</v>
      </c>
      <c r="J348" s="28" t="s">
        <v>1762</v>
      </c>
      <c r="K348" s="148">
        <v>2942.17</v>
      </c>
      <c r="L348" s="9">
        <v>39900</v>
      </c>
      <c r="M348" s="112">
        <f>+L348*0.08</f>
        <v>3192</v>
      </c>
      <c r="N348" s="9">
        <f t="shared" si="49"/>
        <v>19950</v>
      </c>
      <c r="O348" s="9">
        <f t="shared" si="46"/>
        <v>13815.83</v>
      </c>
      <c r="P348" s="9">
        <f t="shared" si="47"/>
        <v>6134.17</v>
      </c>
      <c r="Q348" s="139">
        <f t="shared" si="48"/>
        <v>0.69252280701754387</v>
      </c>
      <c r="R348" s="395">
        <f>VLOOKUP(C348,'[1]ORIGINAL (2)'!$A:$C,3,FALSE)</f>
        <v>262</v>
      </c>
      <c r="S348" s="24" t="e">
        <f>VLOOKUP(C348,#REF!,6,FALSE)</f>
        <v>#REF!</v>
      </c>
      <c r="T348" s="24" t="e">
        <f>VLOOKUP(C348,#REF!,7,FALSE)</f>
        <v>#REF!</v>
      </c>
      <c r="U348" s="24" t="e">
        <f>VLOOKUP(C348,#REF!,12,FALSE)</f>
        <v>#REF!</v>
      </c>
      <c r="V348" s="24" t="e">
        <f>VLOOKUP(C348,#REF!,13,FALSE)</f>
        <v>#REF!</v>
      </c>
    </row>
    <row r="349" spans="1:22" x14ac:dyDescent="0.25">
      <c r="A349" s="7" t="s">
        <v>1297</v>
      </c>
      <c r="B349" s="8">
        <v>9789500206693</v>
      </c>
      <c r="C349" s="8">
        <v>549273</v>
      </c>
      <c r="D349" s="7">
        <v>192</v>
      </c>
      <c r="E349" s="7" t="s">
        <v>175</v>
      </c>
      <c r="F349" s="7" t="s">
        <v>1298</v>
      </c>
      <c r="G349" s="107">
        <v>41030</v>
      </c>
      <c r="H349" s="108">
        <v>41030</v>
      </c>
      <c r="I349" s="24">
        <v>2996</v>
      </c>
      <c r="J349" s="28" t="s">
        <v>1894</v>
      </c>
      <c r="K349" s="28">
        <v>10.6</v>
      </c>
      <c r="L349" s="112">
        <v>10500</v>
      </c>
      <c r="M349" s="112">
        <f>+L349*0.1</f>
        <v>1050</v>
      </c>
      <c r="N349" s="9">
        <f t="shared" si="49"/>
        <v>5250</v>
      </c>
      <c r="O349" s="9">
        <f t="shared" si="46"/>
        <v>4189.3999999999996</v>
      </c>
      <c r="P349" s="9">
        <f t="shared" si="47"/>
        <v>1060.5999999999999</v>
      </c>
      <c r="Q349" s="139">
        <f t="shared" si="48"/>
        <v>0.79798095238095235</v>
      </c>
      <c r="R349" s="395">
        <f>VLOOKUP(C349,'[1]ORIGINAL (2)'!$A:$C,3,FALSE)</f>
        <v>1</v>
      </c>
      <c r="S349" s="24" t="e">
        <f>VLOOKUP(C349,#REF!,6,FALSE)</f>
        <v>#REF!</v>
      </c>
      <c r="T349" s="24" t="e">
        <f>VLOOKUP(C349,#REF!,7,FALSE)</f>
        <v>#REF!</v>
      </c>
      <c r="U349" s="24" t="e">
        <f>VLOOKUP(C349,#REF!,12,FALSE)</f>
        <v>#REF!</v>
      </c>
      <c r="V349" s="24" t="e">
        <f>VLOOKUP(C349,#REF!,13,FALSE)</f>
        <v>#REF!</v>
      </c>
    </row>
    <row r="350" spans="1:22" x14ac:dyDescent="0.25">
      <c r="A350" s="6" t="s">
        <v>1299</v>
      </c>
      <c r="B350" s="8">
        <v>9789500211864</v>
      </c>
      <c r="C350" s="8">
        <v>684659</v>
      </c>
      <c r="D350" s="7">
        <v>408</v>
      </c>
      <c r="E350" s="30" t="s">
        <v>552</v>
      </c>
      <c r="F350" s="7" t="s">
        <v>553</v>
      </c>
      <c r="G350" s="107">
        <v>44378</v>
      </c>
      <c r="H350" s="108">
        <v>44348</v>
      </c>
      <c r="I350" s="7">
        <v>3075</v>
      </c>
      <c r="J350" s="28" t="s">
        <v>2136</v>
      </c>
      <c r="K350" s="117">
        <v>175.49</v>
      </c>
      <c r="L350" s="112">
        <v>33900</v>
      </c>
      <c r="M350" s="112">
        <f>+L350*0.1</f>
        <v>3390</v>
      </c>
      <c r="N350" s="9">
        <f t="shared" si="49"/>
        <v>16950</v>
      </c>
      <c r="O350" s="9">
        <f t="shared" si="46"/>
        <v>13384.51</v>
      </c>
      <c r="P350" s="9">
        <f t="shared" si="47"/>
        <v>3565.49</v>
      </c>
      <c r="Q350" s="139">
        <f t="shared" si="48"/>
        <v>0.78964660766961658</v>
      </c>
      <c r="R350" s="395">
        <f>VLOOKUP(C350,'[1]ORIGINAL (2)'!$A:$C,3,FALSE)</f>
        <v>34</v>
      </c>
      <c r="S350" s="24" t="e">
        <f>VLOOKUP(C350,#REF!,6,FALSE)</f>
        <v>#REF!</v>
      </c>
      <c r="T350" s="24" t="e">
        <f>VLOOKUP(C350,#REF!,7,FALSE)</f>
        <v>#REF!</v>
      </c>
      <c r="U350" s="24" t="e">
        <f>VLOOKUP(C350,#REF!,12,FALSE)</f>
        <v>#REF!</v>
      </c>
      <c r="V350" s="24" t="e">
        <f>VLOOKUP(C350,#REF!,13,FALSE)</f>
        <v>#REF!</v>
      </c>
    </row>
    <row r="351" spans="1:22" x14ac:dyDescent="0.25">
      <c r="A351" s="7" t="s">
        <v>1300</v>
      </c>
      <c r="B351" s="8">
        <v>9789500212151</v>
      </c>
      <c r="C351" s="8">
        <v>687542</v>
      </c>
      <c r="D351" s="7">
        <v>392</v>
      </c>
      <c r="E351" s="30" t="s">
        <v>505</v>
      </c>
      <c r="F351" s="7" t="s">
        <v>579</v>
      </c>
      <c r="G351" s="107">
        <v>44470</v>
      </c>
      <c r="H351" s="108">
        <v>44440</v>
      </c>
      <c r="I351" s="7">
        <v>14910</v>
      </c>
      <c r="J351" s="28" t="s">
        <v>1333</v>
      </c>
      <c r="K351" s="117">
        <v>197.78</v>
      </c>
      <c r="L351" s="9">
        <v>28900</v>
      </c>
      <c r="M351" s="112">
        <f>+L351*0.12</f>
        <v>3468</v>
      </c>
      <c r="N351" s="9">
        <f t="shared" si="49"/>
        <v>14450</v>
      </c>
      <c r="O351" s="9">
        <f t="shared" si="46"/>
        <v>10784.22</v>
      </c>
      <c r="P351" s="9">
        <f t="shared" si="47"/>
        <v>3665.78</v>
      </c>
      <c r="Q351" s="139">
        <f t="shared" si="48"/>
        <v>0.74631280276816603</v>
      </c>
      <c r="R351" s="395">
        <f>VLOOKUP(C351,'[1]ORIGINAL (2)'!$A:$C,3,FALSE)</f>
        <v>230</v>
      </c>
      <c r="S351" s="24" t="e">
        <f>VLOOKUP(C351,#REF!,6,FALSE)</f>
        <v>#REF!</v>
      </c>
      <c r="T351" s="24" t="e">
        <f>VLOOKUP(C351,#REF!,7,FALSE)</f>
        <v>#REF!</v>
      </c>
      <c r="U351" s="24" t="e">
        <f>VLOOKUP(C351,#REF!,12,FALSE)</f>
        <v>#REF!</v>
      </c>
      <c r="V351" s="24" t="e">
        <f>VLOOKUP(C351,#REF!,13,FALSE)</f>
        <v>#REF!</v>
      </c>
    </row>
    <row r="352" spans="1:22" x14ac:dyDescent="0.25">
      <c r="A352" s="6" t="s">
        <v>1301</v>
      </c>
      <c r="B352" s="8">
        <v>9789500214094</v>
      </c>
      <c r="C352" s="6">
        <v>709134</v>
      </c>
      <c r="D352" s="41">
        <v>240</v>
      </c>
      <c r="E352" s="7" t="s">
        <v>505</v>
      </c>
      <c r="F352" s="6" t="s">
        <v>819</v>
      </c>
      <c r="G352" s="107">
        <v>45200</v>
      </c>
      <c r="H352" s="108">
        <v>45170</v>
      </c>
      <c r="I352" s="7">
        <v>5113</v>
      </c>
      <c r="J352" s="28" t="s">
        <v>1333</v>
      </c>
      <c r="K352" s="117">
        <v>671.39</v>
      </c>
      <c r="L352" s="112">
        <v>28900</v>
      </c>
      <c r="M352" s="112">
        <f>+L352*0.1</f>
        <v>2890</v>
      </c>
      <c r="N352" s="9">
        <f t="shared" si="49"/>
        <v>14450</v>
      </c>
      <c r="O352" s="9">
        <f t="shared" si="46"/>
        <v>10888.61</v>
      </c>
      <c r="P352" s="9">
        <f t="shared" si="47"/>
        <v>3561.39</v>
      </c>
      <c r="Q352" s="139">
        <f t="shared" si="48"/>
        <v>0.7535370242214533</v>
      </c>
      <c r="R352" s="395">
        <f>VLOOKUP(C352,'[1]ORIGINAL (2)'!$A:$C,3,FALSE)</f>
        <v>383</v>
      </c>
      <c r="S352" s="24" t="e">
        <f>VLOOKUP(C352,#REF!,6,FALSE)</f>
        <v>#REF!</v>
      </c>
      <c r="T352" s="24" t="e">
        <f>VLOOKUP(C352,#REF!,7,FALSE)</f>
        <v>#REF!</v>
      </c>
      <c r="U352" s="24" t="e">
        <f>VLOOKUP(C352,#REF!,12,FALSE)</f>
        <v>#REF!</v>
      </c>
      <c r="V352" s="24" t="e">
        <f>VLOOKUP(C352,#REF!,13,FALSE)</f>
        <v>#REF!</v>
      </c>
    </row>
    <row r="353" spans="1:22" x14ac:dyDescent="0.25">
      <c r="A353" s="6" t="s">
        <v>1302</v>
      </c>
      <c r="B353" s="8">
        <v>9789500298926</v>
      </c>
      <c r="C353" s="8">
        <v>616436</v>
      </c>
      <c r="D353" s="25">
        <v>272</v>
      </c>
      <c r="E353" s="7" t="s">
        <v>192</v>
      </c>
      <c r="F353" s="7" t="s">
        <v>193</v>
      </c>
      <c r="G353" s="107">
        <v>42552</v>
      </c>
      <c r="H353" s="108">
        <v>42522</v>
      </c>
      <c r="I353" s="24">
        <v>3019</v>
      </c>
      <c r="J353" s="28" t="s">
        <v>1894</v>
      </c>
      <c r="K353" s="28">
        <v>25.99</v>
      </c>
      <c r="L353" s="112">
        <v>16000</v>
      </c>
      <c r="M353" s="112">
        <f>+L353*0.13</f>
        <v>2080</v>
      </c>
      <c r="N353" s="9">
        <f t="shared" si="49"/>
        <v>8000</v>
      </c>
      <c r="O353" s="9">
        <f t="shared" si="46"/>
        <v>5894.01</v>
      </c>
      <c r="P353" s="9">
        <f t="shared" si="47"/>
        <v>2105.9899999999998</v>
      </c>
      <c r="Q353" s="139">
        <f t="shared" si="48"/>
        <v>0.73675125000000008</v>
      </c>
      <c r="R353" s="395" t="e">
        <f>VLOOKUP(C353,'[1]ORIGINAL (2)'!$A:$C,3,FALSE)</f>
        <v>#N/A</v>
      </c>
      <c r="S353" s="24" t="e">
        <f>VLOOKUP(C353,#REF!,6,FALSE)</f>
        <v>#REF!</v>
      </c>
      <c r="T353" s="24" t="e">
        <f>VLOOKUP(C353,#REF!,7,FALSE)</f>
        <v>#REF!</v>
      </c>
      <c r="U353" s="24" t="e">
        <f>VLOOKUP(C353,#REF!,12,FALSE)</f>
        <v>#REF!</v>
      </c>
      <c r="V353" s="24" t="e">
        <f>VLOOKUP(C353,#REF!,13,FALSE)</f>
        <v>#REF!</v>
      </c>
    </row>
    <row r="354" spans="1:22" x14ac:dyDescent="0.25">
      <c r="A354" s="6" t="s">
        <v>1303</v>
      </c>
      <c r="B354" s="8">
        <v>9789500208758</v>
      </c>
      <c r="C354" s="8">
        <v>599838</v>
      </c>
      <c r="D354" s="7">
        <v>240</v>
      </c>
      <c r="E354" s="7" t="s">
        <v>1304</v>
      </c>
      <c r="F354" s="6" t="s">
        <v>191</v>
      </c>
      <c r="G354" s="107">
        <v>42339</v>
      </c>
      <c r="H354" s="108">
        <v>42309</v>
      </c>
      <c r="I354" s="24">
        <v>3037</v>
      </c>
      <c r="J354" s="28" t="s">
        <v>1894</v>
      </c>
      <c r="K354" s="28">
        <v>19.079999999999998</v>
      </c>
      <c r="L354" s="128">
        <v>14200</v>
      </c>
      <c r="M354" s="112">
        <f>+L354*0.13</f>
        <v>1846</v>
      </c>
      <c r="N354" s="9">
        <f t="shared" si="49"/>
        <v>7100</v>
      </c>
      <c r="O354" s="9">
        <f t="shared" si="46"/>
        <v>5234.92</v>
      </c>
      <c r="P354" s="9">
        <f t="shared" si="47"/>
        <v>1865.08</v>
      </c>
      <c r="Q354" s="139">
        <f t="shared" si="48"/>
        <v>0.73731267605633799</v>
      </c>
      <c r="R354" s="395" t="e">
        <f>VLOOKUP(C354,'[1]ORIGINAL (2)'!$A:$C,3,FALSE)</f>
        <v>#N/A</v>
      </c>
      <c r="S354" s="24" t="e">
        <f>VLOOKUP(C354,#REF!,6,FALSE)</f>
        <v>#REF!</v>
      </c>
      <c r="T354" s="24" t="e">
        <f>VLOOKUP(C354,#REF!,7,FALSE)</f>
        <v>#REF!</v>
      </c>
      <c r="U354" s="24" t="e">
        <f>VLOOKUP(C354,#REF!,12,FALSE)</f>
        <v>#REF!</v>
      </c>
      <c r="V354" s="24" t="e">
        <f>VLOOKUP(C354,#REF!,13,FALSE)</f>
        <v>#REF!</v>
      </c>
    </row>
    <row r="355" spans="1:22" x14ac:dyDescent="0.25">
      <c r="A355" s="6" t="s">
        <v>1305</v>
      </c>
      <c r="B355" s="8">
        <v>9789500208765</v>
      </c>
      <c r="C355" s="8">
        <v>594413</v>
      </c>
      <c r="D355" s="25">
        <v>240</v>
      </c>
      <c r="E355" s="22" t="s">
        <v>187</v>
      </c>
      <c r="F355" s="6" t="s">
        <v>188</v>
      </c>
      <c r="G355" s="107">
        <v>42248</v>
      </c>
      <c r="H355" s="108">
        <v>42186</v>
      </c>
      <c r="I355" s="24">
        <v>3042</v>
      </c>
      <c r="J355" s="28" t="s">
        <v>1894</v>
      </c>
      <c r="K355" s="28">
        <v>17.11</v>
      </c>
      <c r="L355" s="128">
        <v>14200</v>
      </c>
      <c r="M355" s="112">
        <f>+L355*0.13</f>
        <v>1846</v>
      </c>
      <c r="N355" s="9">
        <f t="shared" si="49"/>
        <v>7100</v>
      </c>
      <c r="O355" s="9">
        <f t="shared" si="46"/>
        <v>5236.8900000000003</v>
      </c>
      <c r="P355" s="9">
        <f t="shared" si="47"/>
        <v>1863.11</v>
      </c>
      <c r="Q355" s="139">
        <f t="shared" si="48"/>
        <v>0.73759014084507046</v>
      </c>
      <c r="R355" s="395" t="e">
        <f>VLOOKUP(C355,'[1]ORIGINAL (2)'!$A:$C,3,FALSE)</f>
        <v>#N/A</v>
      </c>
      <c r="S355" s="24" t="e">
        <f>VLOOKUP(C355,#REF!,6,FALSE)</f>
        <v>#REF!</v>
      </c>
      <c r="T355" s="24" t="e">
        <f>VLOOKUP(C355,#REF!,7,FALSE)</f>
        <v>#REF!</v>
      </c>
      <c r="U355" s="24" t="e">
        <f>VLOOKUP(C355,#REF!,12,FALSE)</f>
        <v>#REF!</v>
      </c>
      <c r="V355" s="24" t="e">
        <f>VLOOKUP(C355,#REF!,13,FALSE)</f>
        <v>#REF!</v>
      </c>
    </row>
    <row r="356" spans="1:22" x14ac:dyDescent="0.25">
      <c r="A356" s="6" t="s">
        <v>1306</v>
      </c>
      <c r="B356" s="8">
        <v>9789500208345</v>
      </c>
      <c r="C356" s="21">
        <v>589996</v>
      </c>
      <c r="D356" s="7">
        <v>208</v>
      </c>
      <c r="E356" s="7" t="s">
        <v>185</v>
      </c>
      <c r="F356" s="7" t="s">
        <v>186</v>
      </c>
      <c r="G356" s="107">
        <v>42064</v>
      </c>
      <c r="H356" s="108">
        <v>42036</v>
      </c>
      <c r="I356" s="24">
        <v>2996</v>
      </c>
      <c r="J356" s="28" t="s">
        <v>1894</v>
      </c>
      <c r="K356" s="28">
        <v>14.51</v>
      </c>
      <c r="L356" s="112">
        <v>16000</v>
      </c>
      <c r="M356" s="112">
        <f>+L356*0.13</f>
        <v>2080</v>
      </c>
      <c r="N356" s="9">
        <f t="shared" si="49"/>
        <v>8000</v>
      </c>
      <c r="O356" s="9">
        <f t="shared" si="46"/>
        <v>5905.49</v>
      </c>
      <c r="P356" s="9">
        <f t="shared" si="47"/>
        <v>2094.5100000000002</v>
      </c>
      <c r="Q356" s="139">
        <f t="shared" si="48"/>
        <v>0.73818624999999993</v>
      </c>
      <c r="R356" s="395" t="e">
        <f>VLOOKUP(C356,'[1]ORIGINAL (2)'!$A:$C,3,FALSE)</f>
        <v>#N/A</v>
      </c>
      <c r="S356" s="24" t="e">
        <f>VLOOKUP(C356,#REF!,6,FALSE)</f>
        <v>#REF!</v>
      </c>
      <c r="T356" s="24" t="e">
        <f>VLOOKUP(C356,#REF!,7,FALSE)</f>
        <v>#REF!</v>
      </c>
      <c r="U356" s="24" t="e">
        <f>VLOOKUP(C356,#REF!,12,FALSE)</f>
        <v>#REF!</v>
      </c>
      <c r="V356" s="24" t="e">
        <f>VLOOKUP(C356,#REF!,13,FALSE)</f>
        <v>#REF!</v>
      </c>
    </row>
    <row r="357" spans="1:22" x14ac:dyDescent="0.25">
      <c r="A357" s="6" t="s">
        <v>1307</v>
      </c>
      <c r="B357" s="8">
        <v>9789500211581</v>
      </c>
      <c r="C357" s="8">
        <v>682014</v>
      </c>
      <c r="D357" s="7">
        <v>200</v>
      </c>
      <c r="E357" s="7" t="s">
        <v>405</v>
      </c>
      <c r="F357" s="7" t="s">
        <v>533</v>
      </c>
      <c r="G357" s="107">
        <v>44256</v>
      </c>
      <c r="H357" s="108">
        <v>44228</v>
      </c>
      <c r="I357" s="7">
        <v>3144</v>
      </c>
      <c r="J357" s="28" t="s">
        <v>1894</v>
      </c>
      <c r="K357" s="117">
        <v>130.46</v>
      </c>
      <c r="L357" s="112">
        <v>18400</v>
      </c>
      <c r="M357" s="112">
        <f>+L357*0.08</f>
        <v>1472</v>
      </c>
      <c r="N357" s="9">
        <f t="shared" si="49"/>
        <v>9200</v>
      </c>
      <c r="O357" s="9">
        <f t="shared" si="46"/>
        <v>7597.54</v>
      </c>
      <c r="P357" s="9">
        <f t="shared" si="47"/>
        <v>1602.46</v>
      </c>
      <c r="Q357" s="139">
        <f t="shared" si="48"/>
        <v>0.8258195652173913</v>
      </c>
      <c r="R357" s="395">
        <f>VLOOKUP(C357,'[1]ORIGINAL (2)'!$A:$C,3,FALSE)</f>
        <v>12</v>
      </c>
      <c r="S357" s="24" t="e">
        <f>VLOOKUP(C357,#REF!,6,FALSE)</f>
        <v>#REF!</v>
      </c>
      <c r="T357" s="24" t="e">
        <f>VLOOKUP(C357,#REF!,7,FALSE)</f>
        <v>#REF!</v>
      </c>
      <c r="U357" s="24" t="e">
        <f>VLOOKUP(C357,#REF!,12,FALSE)</f>
        <v>#REF!</v>
      </c>
      <c r="V357" s="24" t="e">
        <f>VLOOKUP(C357,#REF!,13,FALSE)</f>
        <v>#REF!</v>
      </c>
    </row>
    <row r="358" spans="1:22" x14ac:dyDescent="0.25">
      <c r="A358" s="7" t="s">
        <v>1308</v>
      </c>
      <c r="B358" s="8">
        <v>9789500209915</v>
      </c>
      <c r="C358" s="6">
        <v>660729</v>
      </c>
      <c r="D358" s="7">
        <v>64</v>
      </c>
      <c r="E358" s="22" t="s">
        <v>428</v>
      </c>
      <c r="F358" s="15" t="s">
        <v>429</v>
      </c>
      <c r="G358" s="107">
        <v>43525</v>
      </c>
      <c r="H358" s="108">
        <v>43497</v>
      </c>
      <c r="I358" s="24">
        <v>3120</v>
      </c>
      <c r="J358" s="28" t="s">
        <v>2136</v>
      </c>
      <c r="K358" s="28">
        <v>99.68</v>
      </c>
      <c r="L358" s="9">
        <v>15900</v>
      </c>
      <c r="M358" s="112"/>
      <c r="N358" s="9">
        <f t="shared" si="49"/>
        <v>7950</v>
      </c>
      <c r="O358" s="9">
        <f t="shared" si="46"/>
        <v>7850.32</v>
      </c>
      <c r="P358" s="9">
        <f t="shared" si="47"/>
        <v>99.68</v>
      </c>
      <c r="Q358" s="139">
        <f t="shared" si="48"/>
        <v>0.98746163522012576</v>
      </c>
      <c r="R358" s="395">
        <f>VLOOKUP(C358,'[1]ORIGINAL (2)'!$A:$C,3,FALSE)</f>
        <v>173</v>
      </c>
      <c r="S358" s="24" t="e">
        <f>VLOOKUP(C358,#REF!,6,FALSE)</f>
        <v>#REF!</v>
      </c>
      <c r="T358" s="24" t="e">
        <f>VLOOKUP(C358,#REF!,7,FALSE)</f>
        <v>#REF!</v>
      </c>
      <c r="U358" s="24" t="e">
        <f>VLOOKUP(C358,#REF!,12,FALSE)</f>
        <v>#REF!</v>
      </c>
      <c r="V358" s="24" t="e">
        <f>VLOOKUP(C358,#REF!,13,FALSE)</f>
        <v>#REF!</v>
      </c>
    </row>
    <row r="359" spans="1:22" x14ac:dyDescent="0.25">
      <c r="A359" s="2"/>
      <c r="B359" s="3"/>
      <c r="C359" s="3"/>
      <c r="D359" s="17"/>
      <c r="E359" s="2"/>
      <c r="F359" s="2"/>
      <c r="G359" s="2"/>
      <c r="H359" s="132"/>
      <c r="I359" s="132"/>
      <c r="J359" s="134"/>
      <c r="K359" s="132"/>
      <c r="L359" s="134"/>
      <c r="M359" s="132"/>
      <c r="N359" s="132"/>
      <c r="O359" s="132"/>
      <c r="P359" s="132"/>
      <c r="Q359" s="147"/>
      <c r="R359" s="395" t="e">
        <f>VLOOKUP(C359,'[1]ORIGINAL (2)'!$A:$C,3,FALSE)</f>
        <v>#N/A</v>
      </c>
      <c r="S359" s="100"/>
      <c r="T359" s="100"/>
      <c r="U359" s="100"/>
      <c r="V359" s="100"/>
    </row>
    <row r="360" spans="1:22" x14ac:dyDescent="0.25">
      <c r="A360" s="160" t="s">
        <v>630</v>
      </c>
      <c r="B360" s="168"/>
      <c r="C360" s="168"/>
      <c r="D360" s="179"/>
      <c r="E360" s="162"/>
      <c r="F360" s="162"/>
      <c r="G360" s="162"/>
      <c r="H360" s="132"/>
      <c r="I360" s="132"/>
      <c r="J360" s="134"/>
      <c r="K360" s="132"/>
      <c r="L360" s="134"/>
      <c r="M360" s="132"/>
      <c r="N360" s="132"/>
      <c r="O360" s="132"/>
      <c r="P360" s="132"/>
      <c r="Q360" s="147"/>
      <c r="R360" s="395" t="e">
        <f>VLOOKUP(C360,'[1]ORIGINAL (2)'!$A:$C,3,FALSE)</f>
        <v>#N/A</v>
      </c>
      <c r="S360" s="100"/>
      <c r="T360" s="100"/>
      <c r="U360" s="100"/>
      <c r="V360" s="100"/>
    </row>
    <row r="361" spans="1:22" x14ac:dyDescent="0.25">
      <c r="A361" s="6" t="s">
        <v>1309</v>
      </c>
      <c r="B361" s="8">
        <v>9789500299510</v>
      </c>
      <c r="C361" s="6">
        <v>628254</v>
      </c>
      <c r="D361" s="7">
        <v>96</v>
      </c>
      <c r="E361" s="7" t="s">
        <v>194</v>
      </c>
      <c r="F361" s="11" t="s">
        <v>1310</v>
      </c>
      <c r="G361" s="107">
        <v>42856</v>
      </c>
      <c r="H361" s="108">
        <v>42795</v>
      </c>
      <c r="I361" s="24">
        <v>5190</v>
      </c>
      <c r="J361" s="28" t="s">
        <v>1946</v>
      </c>
      <c r="K361" s="28">
        <v>45.43</v>
      </c>
      <c r="L361" s="9">
        <v>13900</v>
      </c>
      <c r="M361" s="112"/>
      <c r="N361" s="9">
        <f>+L361/2</f>
        <v>6950</v>
      </c>
      <c r="O361" s="9">
        <f>+N361-M361-K361</f>
        <v>6904.57</v>
      </c>
      <c r="P361" s="9">
        <f>+M361+K361</f>
        <v>45.43</v>
      </c>
      <c r="Q361" s="139">
        <f>+O361/N361</f>
        <v>0.99346330935251792</v>
      </c>
      <c r="R361" s="395" t="e">
        <f>VLOOKUP(C361,'[1]ORIGINAL (2)'!$A:$C,3,FALSE)</f>
        <v>#N/A</v>
      </c>
      <c r="S361" s="24" t="e">
        <f>VLOOKUP(C361,#REF!,6,FALSE)</f>
        <v>#REF!</v>
      </c>
      <c r="T361" s="24" t="e">
        <f>VLOOKUP(C361,#REF!,7,FALSE)</f>
        <v>#REF!</v>
      </c>
      <c r="U361" s="24" t="e">
        <f>VLOOKUP(C361,#REF!,12,FALSE)</f>
        <v>#REF!</v>
      </c>
      <c r="V361" s="24" t="e">
        <f>VLOOKUP(C361,#REF!,13,FALSE)</f>
        <v>#REF!</v>
      </c>
    </row>
    <row r="362" spans="1:22" x14ac:dyDescent="0.25">
      <c r="A362" s="6" t="s">
        <v>1311</v>
      </c>
      <c r="B362" s="8">
        <v>9789500299527</v>
      </c>
      <c r="C362" s="6">
        <v>628253</v>
      </c>
      <c r="D362" s="7">
        <v>96</v>
      </c>
      <c r="E362" s="7" t="s">
        <v>195</v>
      </c>
      <c r="F362" s="11" t="s">
        <v>1312</v>
      </c>
      <c r="G362" s="107">
        <v>42856</v>
      </c>
      <c r="H362" s="108">
        <v>42795</v>
      </c>
      <c r="I362" s="24">
        <v>5218</v>
      </c>
      <c r="J362" s="28" t="s">
        <v>1946</v>
      </c>
      <c r="K362" s="28">
        <v>45.43</v>
      </c>
      <c r="L362" s="112">
        <v>13900</v>
      </c>
      <c r="M362" s="112"/>
      <c r="N362" s="9">
        <f>+L362/2</f>
        <v>6950</v>
      </c>
      <c r="O362" s="9">
        <f>+N362-M362-K362</f>
        <v>6904.57</v>
      </c>
      <c r="P362" s="9">
        <f>+M362+K362</f>
        <v>45.43</v>
      </c>
      <c r="Q362" s="139">
        <f>+O362/N362</f>
        <v>0.99346330935251792</v>
      </c>
      <c r="R362" s="395">
        <f>VLOOKUP(C362,'[1]ORIGINAL (2)'!$A:$C,3,FALSE)</f>
        <v>5</v>
      </c>
      <c r="S362" s="24" t="e">
        <f>VLOOKUP(C362,#REF!,6,FALSE)</f>
        <v>#REF!</v>
      </c>
      <c r="T362" s="24" t="e">
        <f>VLOOKUP(C362,#REF!,7,FALSE)</f>
        <v>#REF!</v>
      </c>
      <c r="U362" s="24" t="e">
        <f>VLOOKUP(C362,#REF!,12,FALSE)</f>
        <v>#REF!</v>
      </c>
      <c r="V362" s="24" t="e">
        <f>VLOOKUP(C362,#REF!,13,FALSE)</f>
        <v>#REF!</v>
      </c>
    </row>
    <row r="363" spans="1:22" x14ac:dyDescent="0.25">
      <c r="A363" s="6" t="s">
        <v>1313</v>
      </c>
      <c r="B363" s="8">
        <v>9789500298599</v>
      </c>
      <c r="C363" s="8">
        <v>598205</v>
      </c>
      <c r="D363" s="25">
        <v>128</v>
      </c>
      <c r="E363" s="22" t="s">
        <v>196</v>
      </c>
      <c r="F363" s="6" t="s">
        <v>1314</v>
      </c>
      <c r="G363" s="107">
        <v>42309</v>
      </c>
      <c r="H363" s="108">
        <v>42522</v>
      </c>
      <c r="I363" s="24">
        <v>1643</v>
      </c>
      <c r="J363" s="28" t="s">
        <v>1946</v>
      </c>
      <c r="K363" s="28">
        <v>33.47</v>
      </c>
      <c r="L363" s="112">
        <v>13900</v>
      </c>
      <c r="M363" s="9">
        <f>+L363*0.1</f>
        <v>1390</v>
      </c>
      <c r="N363" s="9">
        <f>+L363/2</f>
        <v>6950</v>
      </c>
      <c r="O363" s="9">
        <f>+N363-M363-K363</f>
        <v>5526.53</v>
      </c>
      <c r="P363" s="9">
        <f>+M363+K363</f>
        <v>1423.47</v>
      </c>
      <c r="Q363" s="139">
        <f>+O363/N363</f>
        <v>0.79518417266187047</v>
      </c>
      <c r="R363" s="395" t="e">
        <f>VLOOKUP(C363,'[1]ORIGINAL (2)'!$A:$C,3,FALSE)</f>
        <v>#N/A</v>
      </c>
      <c r="S363" s="24" t="e">
        <f>VLOOKUP(C363,#REF!,6,FALSE)</f>
        <v>#REF!</v>
      </c>
      <c r="T363" s="24" t="e">
        <f>VLOOKUP(C363,#REF!,7,FALSE)</f>
        <v>#REF!</v>
      </c>
      <c r="U363" s="24" t="e">
        <f>VLOOKUP(C363,#REF!,12,FALSE)</f>
        <v>#REF!</v>
      </c>
      <c r="V363" s="24" t="e">
        <f>VLOOKUP(C363,#REF!,13,FALSE)</f>
        <v>#REF!</v>
      </c>
    </row>
    <row r="364" spans="1:22" x14ac:dyDescent="0.25">
      <c r="A364" s="2"/>
      <c r="B364" s="3"/>
      <c r="C364" s="3"/>
      <c r="D364" s="17"/>
      <c r="E364" s="2"/>
      <c r="F364" s="2"/>
      <c r="G364" s="2"/>
      <c r="H364" s="132"/>
      <c r="I364" s="132"/>
      <c r="J364" s="134"/>
      <c r="K364" s="132"/>
      <c r="L364" s="18"/>
      <c r="M364" s="132"/>
      <c r="N364" s="132"/>
      <c r="O364" s="132"/>
      <c r="P364" s="132"/>
      <c r="Q364" s="147"/>
      <c r="R364" s="395" t="e">
        <f>VLOOKUP(C364,'[1]ORIGINAL (2)'!$A:$C,3,FALSE)</f>
        <v>#N/A</v>
      </c>
      <c r="S364" s="100"/>
      <c r="T364" s="100"/>
      <c r="U364" s="100"/>
      <c r="V364" s="100"/>
    </row>
    <row r="365" spans="1:22" x14ac:dyDescent="0.25">
      <c r="A365" s="160" t="s">
        <v>632</v>
      </c>
      <c r="B365" s="168"/>
      <c r="C365" s="168"/>
      <c r="D365" s="179"/>
      <c r="E365" s="162"/>
      <c r="F365" s="162"/>
      <c r="G365" s="162"/>
      <c r="H365" s="132"/>
      <c r="I365" s="132"/>
      <c r="J365" s="134"/>
      <c r="K365" s="132"/>
      <c r="L365" s="18"/>
      <c r="M365" s="132"/>
      <c r="N365" s="132"/>
      <c r="O365" s="132"/>
      <c r="P365" s="132"/>
      <c r="Q365" s="147"/>
      <c r="R365" s="395" t="e">
        <f>VLOOKUP(C365,'[1]ORIGINAL (2)'!$A:$C,3,FALSE)</f>
        <v>#N/A</v>
      </c>
      <c r="S365" s="100"/>
      <c r="T365" s="100"/>
      <c r="U365" s="100"/>
      <c r="V365" s="100"/>
    </row>
    <row r="366" spans="1:22" x14ac:dyDescent="0.25">
      <c r="A366" s="7" t="s">
        <v>1315</v>
      </c>
      <c r="B366" s="8">
        <v>9789500210294</v>
      </c>
      <c r="C366" s="13">
        <v>671439</v>
      </c>
      <c r="D366" s="25">
        <v>96</v>
      </c>
      <c r="E366" s="9" t="s">
        <v>470</v>
      </c>
      <c r="F366" s="116" t="s">
        <v>1316</v>
      </c>
      <c r="G366" s="107">
        <v>43800</v>
      </c>
      <c r="H366" s="108">
        <v>43770</v>
      </c>
      <c r="I366" s="7">
        <v>2075</v>
      </c>
      <c r="J366" s="28" t="s">
        <v>1946</v>
      </c>
      <c r="K366" s="9">
        <v>64.09</v>
      </c>
      <c r="L366" s="112">
        <v>11500</v>
      </c>
      <c r="M366" s="9">
        <f>+L366*0.1</f>
        <v>1150</v>
      </c>
      <c r="N366" s="9">
        <f>+L366/2</f>
        <v>5750</v>
      </c>
      <c r="O366" s="9">
        <f>+N366-M366-K366</f>
        <v>4535.91</v>
      </c>
      <c r="P366" s="9">
        <f>+M366+K366</f>
        <v>1214.0899999999999</v>
      </c>
      <c r="Q366" s="139">
        <f>+O366/N366</f>
        <v>0.78885391304347818</v>
      </c>
      <c r="R366" s="395">
        <f>VLOOKUP(C366,'[1]ORIGINAL (2)'!$A:$C,3,FALSE)</f>
        <v>9</v>
      </c>
      <c r="S366" s="24" t="e">
        <f>VLOOKUP(C366,#REF!,6,FALSE)</f>
        <v>#REF!</v>
      </c>
      <c r="T366" s="24" t="e">
        <f>VLOOKUP(C366,#REF!,7,FALSE)</f>
        <v>#REF!</v>
      </c>
      <c r="U366" s="24" t="e">
        <f>VLOOKUP(C366,#REF!,12,FALSE)</f>
        <v>#REF!</v>
      </c>
      <c r="V366" s="24" t="e">
        <f>VLOOKUP(C366,#REF!,13,FALSE)</f>
        <v>#REF!</v>
      </c>
    </row>
    <row r="367" spans="1:22" x14ac:dyDescent="0.25">
      <c r="A367" s="7" t="s">
        <v>1315</v>
      </c>
      <c r="B367" s="8">
        <v>9789500210287</v>
      </c>
      <c r="C367" s="13">
        <v>671440</v>
      </c>
      <c r="D367" s="25">
        <v>96</v>
      </c>
      <c r="E367" s="9" t="s">
        <v>470</v>
      </c>
      <c r="F367" s="116" t="s">
        <v>1317</v>
      </c>
      <c r="G367" s="107">
        <v>43800</v>
      </c>
      <c r="H367" s="108">
        <v>43770</v>
      </c>
      <c r="I367" s="7">
        <v>2055</v>
      </c>
      <c r="J367" s="28" t="s">
        <v>1946</v>
      </c>
      <c r="K367" s="9">
        <v>65.150000000000006</v>
      </c>
      <c r="L367" s="112">
        <v>11500</v>
      </c>
      <c r="M367" s="9">
        <f>+L367*0.1</f>
        <v>1150</v>
      </c>
      <c r="N367" s="9">
        <f>+L367/2</f>
        <v>5750</v>
      </c>
      <c r="O367" s="9">
        <f>+N367-M367-K367</f>
        <v>4534.8500000000004</v>
      </c>
      <c r="P367" s="9">
        <f>+M367+K367</f>
        <v>1215.1500000000001</v>
      </c>
      <c r="Q367" s="139">
        <f>+O367/N367</f>
        <v>0.7886695652173914</v>
      </c>
      <c r="R367" s="395">
        <f>VLOOKUP(C367,'[1]ORIGINAL (2)'!$A:$C,3,FALSE)</f>
        <v>9</v>
      </c>
      <c r="S367" s="24" t="e">
        <f>VLOOKUP(C367,#REF!,6,FALSE)</f>
        <v>#REF!</v>
      </c>
      <c r="T367" s="24" t="e">
        <f>VLOOKUP(C367,#REF!,7,FALSE)</f>
        <v>#REF!</v>
      </c>
      <c r="U367" s="24" t="e">
        <f>VLOOKUP(C367,#REF!,12,FALSE)</f>
        <v>#REF!</v>
      </c>
      <c r="V367" s="24" t="e">
        <f>VLOOKUP(C367,#REF!,13,FALSE)</f>
        <v>#REF!</v>
      </c>
    </row>
    <row r="368" spans="1:22" x14ac:dyDescent="0.25">
      <c r="A368" s="132"/>
      <c r="B368" s="133"/>
      <c r="C368" s="133"/>
      <c r="D368" s="154"/>
      <c r="E368" s="132"/>
      <c r="F368" s="132"/>
      <c r="G368" s="132"/>
      <c r="H368" s="132"/>
      <c r="I368" s="132"/>
      <c r="J368" s="134"/>
      <c r="K368" s="132"/>
      <c r="L368" s="134"/>
      <c r="M368" s="132"/>
      <c r="N368" s="132"/>
      <c r="O368" s="132"/>
      <c r="P368" s="132"/>
      <c r="Q368" s="147"/>
      <c r="R368" s="395" t="e">
        <f>VLOOKUP(C368,'[1]ORIGINAL (2)'!$A:$C,3,FALSE)</f>
        <v>#N/A</v>
      </c>
      <c r="S368" s="100"/>
      <c r="T368" s="100"/>
      <c r="U368" s="100"/>
      <c r="V368" s="100"/>
    </row>
    <row r="369" spans="1:22" x14ac:dyDescent="0.25">
      <c r="A369" s="160" t="s">
        <v>2371</v>
      </c>
      <c r="B369" s="168"/>
      <c r="C369" s="168"/>
      <c r="D369" s="179"/>
      <c r="E369" s="162"/>
      <c r="F369" s="162"/>
      <c r="G369" s="162"/>
      <c r="H369" s="132"/>
      <c r="I369" s="132"/>
      <c r="J369" s="134"/>
      <c r="K369" s="132"/>
      <c r="L369" s="18"/>
      <c r="M369" s="132"/>
      <c r="N369" s="132"/>
      <c r="O369" s="132"/>
      <c r="P369" s="132"/>
      <c r="Q369" s="147"/>
      <c r="R369" s="395" t="e">
        <f>VLOOKUP(C369,'[1]ORIGINAL (2)'!$A:$C,3,FALSE)</f>
        <v>#N/A</v>
      </c>
      <c r="S369" s="100"/>
      <c r="T369" s="100"/>
      <c r="U369" s="100"/>
      <c r="V369" s="100"/>
    </row>
    <row r="370" spans="1:22" x14ac:dyDescent="0.25">
      <c r="A370" s="7" t="s">
        <v>2366</v>
      </c>
      <c r="B370" s="8">
        <v>9789500217897</v>
      </c>
      <c r="C370" s="8">
        <v>747599</v>
      </c>
      <c r="D370" s="7">
        <v>128</v>
      </c>
      <c r="E370" s="7" t="s">
        <v>2367</v>
      </c>
      <c r="F370" s="7" t="s">
        <v>2368</v>
      </c>
      <c r="G370" s="107">
        <v>46235</v>
      </c>
      <c r="H370" s="108">
        <v>46204</v>
      </c>
      <c r="I370" s="267">
        <v>5000</v>
      </c>
      <c r="J370" s="7" t="s">
        <v>1894</v>
      </c>
      <c r="K370" s="148">
        <v>3166.5</v>
      </c>
      <c r="L370" s="9">
        <v>21900</v>
      </c>
      <c r="M370" s="9"/>
      <c r="N370" s="9">
        <f>+L370/2</f>
        <v>10950</v>
      </c>
      <c r="O370" s="9">
        <f>+N370-M370-K370</f>
        <v>7783.5</v>
      </c>
      <c r="P370" s="9">
        <f>+M370+K370</f>
        <v>3166.5</v>
      </c>
      <c r="Q370" s="139">
        <f>+O370/N370</f>
        <v>0.71082191780821913</v>
      </c>
      <c r="R370" s="395">
        <f>VLOOKUP(C370,'[1]ORIGINAL (2)'!$A:$C,3,FALSE)</f>
        <v>749</v>
      </c>
      <c r="S370" s="24" t="e">
        <f>VLOOKUP(C370,#REF!,6,FALSE)</f>
        <v>#REF!</v>
      </c>
      <c r="T370" s="24" t="e">
        <f>VLOOKUP(C370,#REF!,7,FALSE)</f>
        <v>#REF!</v>
      </c>
      <c r="U370" s="24" t="e">
        <f>VLOOKUP(C370,#REF!,12,FALSE)</f>
        <v>#REF!</v>
      </c>
      <c r="V370" s="24" t="e">
        <f>VLOOKUP(C370,#REF!,13,FALSE)</f>
        <v>#REF!</v>
      </c>
    </row>
    <row r="371" spans="1:22" x14ac:dyDescent="0.25">
      <c r="A371" s="7" t="s">
        <v>2369</v>
      </c>
      <c r="B371" s="8">
        <v>9789500217880</v>
      </c>
      <c r="C371" s="8">
        <v>747600</v>
      </c>
      <c r="D371" s="7">
        <v>128</v>
      </c>
      <c r="E371" s="7" t="s">
        <v>2367</v>
      </c>
      <c r="F371" s="7" t="s">
        <v>2370</v>
      </c>
      <c r="G371" s="107">
        <v>46235</v>
      </c>
      <c r="H371" s="108">
        <v>46204</v>
      </c>
      <c r="I371" s="116">
        <v>5000</v>
      </c>
      <c r="J371" s="7" t="s">
        <v>1894</v>
      </c>
      <c r="K371" s="148">
        <v>3142.5</v>
      </c>
      <c r="L371" s="9">
        <v>21900</v>
      </c>
      <c r="M371" s="9"/>
      <c r="N371" s="9">
        <f>+L371/2</f>
        <v>10950</v>
      </c>
      <c r="O371" s="9">
        <f>+N371-M371-K371</f>
        <v>7807.5</v>
      </c>
      <c r="P371" s="9">
        <f>+M371+K371</f>
        <v>3142.5</v>
      </c>
      <c r="Q371" s="139">
        <f>+O371/N371</f>
        <v>0.71301369863013697</v>
      </c>
      <c r="R371" s="395">
        <f>VLOOKUP(C371,'[1]ORIGINAL (2)'!$A:$C,3,FALSE)</f>
        <v>896</v>
      </c>
      <c r="S371" s="24" t="e">
        <f>VLOOKUP(C371,#REF!,6,FALSE)</f>
        <v>#REF!</v>
      </c>
      <c r="T371" s="24" t="e">
        <f>VLOOKUP(C371,#REF!,7,FALSE)</f>
        <v>#REF!</v>
      </c>
      <c r="U371" s="24" t="e">
        <f>VLOOKUP(C371,#REF!,12,FALSE)</f>
        <v>#REF!</v>
      </c>
      <c r="V371" s="24" t="e">
        <f>VLOOKUP(C371,#REF!,13,FALSE)</f>
        <v>#REF!</v>
      </c>
    </row>
    <row r="372" spans="1:22" x14ac:dyDescent="0.25">
      <c r="A372" s="132"/>
      <c r="B372" s="133"/>
      <c r="C372" s="133"/>
      <c r="D372" s="154"/>
      <c r="E372" s="132"/>
      <c r="F372" s="132"/>
      <c r="G372" s="132"/>
      <c r="H372" s="132"/>
      <c r="I372" s="132"/>
      <c r="J372" s="134"/>
      <c r="K372" s="132"/>
      <c r="L372" s="134"/>
      <c r="M372" s="132"/>
      <c r="N372" s="132"/>
      <c r="O372" s="132"/>
      <c r="P372" s="132"/>
      <c r="Q372" s="147"/>
      <c r="R372" s="395" t="e">
        <f>VLOOKUP(C372,'[1]ORIGINAL (2)'!$A:$C,3,FALSE)</f>
        <v>#N/A</v>
      </c>
      <c r="S372" s="100"/>
      <c r="T372" s="100"/>
      <c r="U372" s="100"/>
      <c r="V372" s="100"/>
    </row>
    <row r="373" spans="1:22" ht="15.75" thickBot="1" x14ac:dyDescent="0.3">
      <c r="A373" s="132"/>
      <c r="B373" s="133"/>
      <c r="C373" s="133"/>
      <c r="D373" s="154"/>
      <c r="E373" s="132"/>
      <c r="F373" s="132"/>
      <c r="G373" s="132"/>
      <c r="H373" s="132"/>
      <c r="I373" s="132"/>
      <c r="J373" s="134"/>
      <c r="K373" s="132"/>
      <c r="L373" s="134"/>
      <c r="M373" s="132"/>
      <c r="N373" s="132"/>
      <c r="O373" s="132"/>
      <c r="P373" s="132"/>
      <c r="Q373" s="147"/>
      <c r="R373" s="395" t="e">
        <f>VLOOKUP(C373,'[1]ORIGINAL (2)'!$A:$C,3,FALSE)</f>
        <v>#N/A</v>
      </c>
      <c r="S373" s="100"/>
      <c r="T373" s="100"/>
      <c r="U373" s="100"/>
      <c r="V373" s="100"/>
    </row>
    <row r="374" spans="1:22" x14ac:dyDescent="0.25">
      <c r="A374" s="132"/>
      <c r="B374" s="133"/>
      <c r="C374" s="133"/>
      <c r="D374" s="154"/>
      <c r="E374" s="104" t="s">
        <v>1318</v>
      </c>
      <c r="F374" s="156"/>
      <c r="G374" s="132"/>
      <c r="H374" s="132"/>
      <c r="I374" s="132"/>
      <c r="J374" s="134"/>
      <c r="K374" s="132"/>
      <c r="L374" s="134"/>
      <c r="M374" s="132"/>
      <c r="N374" s="132"/>
      <c r="O374" s="132"/>
      <c r="P374" s="132"/>
      <c r="Q374" s="147"/>
      <c r="R374" s="395" t="e">
        <f>VLOOKUP(C374,'[1]ORIGINAL (2)'!$A:$C,3,FALSE)</f>
        <v>#N/A</v>
      </c>
      <c r="S374" s="100"/>
      <c r="T374" s="100"/>
      <c r="U374" s="100"/>
      <c r="V374" s="100"/>
    </row>
    <row r="375" spans="1:22" x14ac:dyDescent="0.25">
      <c r="A375" s="7" t="s">
        <v>2441</v>
      </c>
      <c r="B375" s="8">
        <v>9789500218351</v>
      </c>
      <c r="C375" s="8">
        <v>751232</v>
      </c>
      <c r="D375" s="7">
        <v>304</v>
      </c>
      <c r="E375" s="7" t="s">
        <v>2442</v>
      </c>
      <c r="F375" s="7" t="s">
        <v>2443</v>
      </c>
      <c r="G375" s="107">
        <v>46296</v>
      </c>
      <c r="H375" s="108">
        <v>46266</v>
      </c>
      <c r="I375" s="116">
        <v>3555</v>
      </c>
      <c r="J375" s="6" t="s">
        <v>2160</v>
      </c>
      <c r="K375" s="148">
        <v>2800.62</v>
      </c>
      <c r="L375" s="352">
        <v>32500</v>
      </c>
      <c r="M375" s="112">
        <f t="shared" ref="M375:M380" si="50">+L375*0.08</f>
        <v>2600</v>
      </c>
      <c r="N375" s="9">
        <f t="shared" ref="N375:N438" si="51">+L375/2</f>
        <v>16250</v>
      </c>
      <c r="O375" s="9">
        <f t="shared" ref="O375:O438" si="52">+N375-M375-K375</f>
        <v>10849.380000000001</v>
      </c>
      <c r="P375" s="9">
        <f t="shared" ref="P375:P438" si="53">+M375+K375</f>
        <v>5400.62</v>
      </c>
      <c r="Q375" s="139">
        <f t="shared" ref="Q375:Q438" si="54">+O375/N375</f>
        <v>0.6676541538461539</v>
      </c>
      <c r="R375" s="395">
        <f>VLOOKUP(C375,'[1]ORIGINAL (2)'!$A:$C,3,FALSE)</f>
        <v>93</v>
      </c>
      <c r="S375" s="24" t="e">
        <f>VLOOKUP(C375,#REF!,6,FALSE)</f>
        <v>#REF!</v>
      </c>
      <c r="T375" s="24" t="e">
        <f>VLOOKUP(C375,#REF!,7,FALSE)</f>
        <v>#REF!</v>
      </c>
      <c r="U375" s="24" t="e">
        <f>VLOOKUP(C375,#REF!,12,FALSE)</f>
        <v>#REF!</v>
      </c>
      <c r="V375" s="24" t="e">
        <f>VLOOKUP(C375,#REF!,13,FALSE)</f>
        <v>#REF!</v>
      </c>
    </row>
    <row r="376" spans="1:22" x14ac:dyDescent="0.25">
      <c r="A376" s="7" t="s">
        <v>2444</v>
      </c>
      <c r="B376" s="8">
        <v>9789500218252</v>
      </c>
      <c r="C376" s="8">
        <v>751233</v>
      </c>
      <c r="D376" s="7">
        <v>240</v>
      </c>
      <c r="E376" s="7" t="s">
        <v>2095</v>
      </c>
      <c r="F376" s="7" t="s">
        <v>2445</v>
      </c>
      <c r="G376" s="107">
        <v>46296</v>
      </c>
      <c r="H376" s="108">
        <v>46266</v>
      </c>
      <c r="I376" s="116">
        <v>3510</v>
      </c>
      <c r="J376" s="6" t="s">
        <v>2160</v>
      </c>
      <c r="K376" s="148">
        <v>3302.64</v>
      </c>
      <c r="L376" s="352">
        <v>31700</v>
      </c>
      <c r="M376" s="112">
        <f t="shared" si="50"/>
        <v>2536</v>
      </c>
      <c r="N376" s="9">
        <f t="shared" si="51"/>
        <v>15850</v>
      </c>
      <c r="O376" s="9">
        <f t="shared" si="52"/>
        <v>10011.36</v>
      </c>
      <c r="P376" s="9">
        <f t="shared" si="53"/>
        <v>5838.6399999999994</v>
      </c>
      <c r="Q376" s="139">
        <f t="shared" si="54"/>
        <v>0.63163154574132496</v>
      </c>
      <c r="R376" s="395">
        <f>VLOOKUP(C376,'[1]ORIGINAL (2)'!$A:$C,3,FALSE)</f>
        <v>64</v>
      </c>
      <c r="S376" s="24" t="e">
        <f>VLOOKUP(C376,#REF!,6,FALSE)</f>
        <v>#REF!</v>
      </c>
      <c r="T376" s="24" t="e">
        <f>VLOOKUP(C376,#REF!,7,FALSE)</f>
        <v>#REF!</v>
      </c>
      <c r="U376" s="24" t="e">
        <f>VLOOKUP(C376,#REF!,12,FALSE)</f>
        <v>#REF!</v>
      </c>
      <c r="V376" s="24" t="e">
        <f>VLOOKUP(C376,#REF!,13,FALSE)</f>
        <v>#REF!</v>
      </c>
    </row>
    <row r="377" spans="1:22" x14ac:dyDescent="0.25">
      <c r="A377" s="7" t="s">
        <v>2448</v>
      </c>
      <c r="B377" s="8">
        <v>9789500218276</v>
      </c>
      <c r="C377" s="8">
        <v>751235</v>
      </c>
      <c r="D377" s="7">
        <v>240</v>
      </c>
      <c r="E377" s="7" t="s">
        <v>2035</v>
      </c>
      <c r="F377" s="7" t="s">
        <v>2449</v>
      </c>
      <c r="G377" s="107">
        <v>46296</v>
      </c>
      <c r="H377" s="108">
        <v>46266</v>
      </c>
      <c r="I377" s="116">
        <v>4054</v>
      </c>
      <c r="J377" s="6" t="s">
        <v>2160</v>
      </c>
      <c r="K377" s="148">
        <v>3072.67</v>
      </c>
      <c r="L377" s="352">
        <v>29800</v>
      </c>
      <c r="M377" s="112">
        <f t="shared" si="50"/>
        <v>2384</v>
      </c>
      <c r="N377" s="9">
        <f t="shared" si="51"/>
        <v>14900</v>
      </c>
      <c r="O377" s="9">
        <f t="shared" si="52"/>
        <v>9443.33</v>
      </c>
      <c r="P377" s="9">
        <f t="shared" si="53"/>
        <v>5456.67</v>
      </c>
      <c r="Q377" s="139">
        <f t="shared" si="54"/>
        <v>0.63378053691275171</v>
      </c>
      <c r="R377" s="395">
        <f>VLOOKUP(C377,'[1]ORIGINAL (2)'!$A:$C,3,FALSE)</f>
        <v>145</v>
      </c>
      <c r="S377" s="24" t="e">
        <f>VLOOKUP(C377,#REF!,6,FALSE)</f>
        <v>#REF!</v>
      </c>
      <c r="T377" s="24" t="e">
        <f>VLOOKUP(C377,#REF!,7,FALSE)</f>
        <v>#REF!</v>
      </c>
      <c r="U377" s="24" t="e">
        <f>VLOOKUP(C377,#REF!,12,FALSE)</f>
        <v>#REF!</v>
      </c>
      <c r="V377" s="24" t="e">
        <f>VLOOKUP(C377,#REF!,13,FALSE)</f>
        <v>#REF!</v>
      </c>
    </row>
    <row r="378" spans="1:22" x14ac:dyDescent="0.25">
      <c r="A378" s="7" t="s">
        <v>2457</v>
      </c>
      <c r="B378" s="8">
        <v>9789500218207</v>
      </c>
      <c r="C378" s="8">
        <v>751239</v>
      </c>
      <c r="D378" s="7">
        <v>176</v>
      </c>
      <c r="E378" s="7" t="s">
        <v>1899</v>
      </c>
      <c r="F378" s="7" t="s">
        <v>2468</v>
      </c>
      <c r="G378" s="107">
        <v>46296</v>
      </c>
      <c r="H378" s="108">
        <v>46266</v>
      </c>
      <c r="I378" s="116">
        <v>3009</v>
      </c>
      <c r="J378" s="6" t="s">
        <v>2160</v>
      </c>
      <c r="K378" s="148">
        <v>3648.68</v>
      </c>
      <c r="L378" s="9">
        <v>35000</v>
      </c>
      <c r="M378" s="112">
        <f t="shared" si="50"/>
        <v>2800</v>
      </c>
      <c r="N378" s="9">
        <f t="shared" si="51"/>
        <v>17500</v>
      </c>
      <c r="O378" s="9">
        <f t="shared" si="52"/>
        <v>11051.32</v>
      </c>
      <c r="P378" s="9">
        <f t="shared" si="53"/>
        <v>6448.68</v>
      </c>
      <c r="Q378" s="139">
        <f t="shared" si="54"/>
        <v>0.63150399999999995</v>
      </c>
      <c r="R378" s="395">
        <f>VLOOKUP(C378,'[1]ORIGINAL (2)'!$A:$C,3,FALSE)</f>
        <v>58</v>
      </c>
      <c r="S378" s="24" t="e">
        <f>VLOOKUP(C378,#REF!,6,FALSE)</f>
        <v>#REF!</v>
      </c>
      <c r="T378" s="24" t="e">
        <f>VLOOKUP(C378,#REF!,7,FALSE)</f>
        <v>#REF!</v>
      </c>
      <c r="U378" s="24" t="e">
        <f>VLOOKUP(C378,#REF!,12,FALSE)</f>
        <v>#REF!</v>
      </c>
      <c r="V378" s="24" t="e">
        <f>VLOOKUP(C378,#REF!,13,FALSE)</f>
        <v>#REF!</v>
      </c>
    </row>
    <row r="379" spans="1:22" x14ac:dyDescent="0.25">
      <c r="A379" s="7" t="s">
        <v>2419</v>
      </c>
      <c r="B379" s="8">
        <v>9789500218153</v>
      </c>
      <c r="C379" s="8">
        <v>750373</v>
      </c>
      <c r="D379" s="7">
        <v>224</v>
      </c>
      <c r="E379" s="7" t="s">
        <v>2420</v>
      </c>
      <c r="F379" s="7" t="s">
        <v>2421</v>
      </c>
      <c r="G379" s="107">
        <v>46266</v>
      </c>
      <c r="H379" s="107">
        <v>46235</v>
      </c>
      <c r="I379" s="116">
        <v>4526</v>
      </c>
      <c r="J379" s="6" t="s">
        <v>2136</v>
      </c>
      <c r="K379" s="148">
        <v>2731.49</v>
      </c>
      <c r="L379" s="352">
        <v>29500</v>
      </c>
      <c r="M379" s="112">
        <f t="shared" si="50"/>
        <v>2360</v>
      </c>
      <c r="N379" s="9">
        <f t="shared" si="51"/>
        <v>14750</v>
      </c>
      <c r="O379" s="9">
        <f t="shared" si="52"/>
        <v>9658.51</v>
      </c>
      <c r="P379" s="9">
        <f t="shared" si="53"/>
        <v>5091.49</v>
      </c>
      <c r="Q379" s="139">
        <f t="shared" si="54"/>
        <v>0.65481423728813559</v>
      </c>
      <c r="R379" s="395">
        <f>VLOOKUP(C379,'[1]ORIGINAL (2)'!$A:$C,3,FALSE)</f>
        <v>650</v>
      </c>
      <c r="S379" s="24" t="e">
        <f>VLOOKUP(C379,#REF!,6,FALSE)</f>
        <v>#REF!</v>
      </c>
      <c r="T379" s="24" t="e">
        <f>VLOOKUP(C379,#REF!,7,FALSE)</f>
        <v>#REF!</v>
      </c>
      <c r="U379" s="24" t="e">
        <f>VLOOKUP(C379,#REF!,12,FALSE)</f>
        <v>#REF!</v>
      </c>
      <c r="V379" s="24" t="e">
        <f>VLOOKUP(C379,#REF!,13,FALSE)</f>
        <v>#REF!</v>
      </c>
    </row>
    <row r="380" spans="1:22" x14ac:dyDescent="0.25">
      <c r="A380" s="7" t="s">
        <v>2422</v>
      </c>
      <c r="B380" s="8">
        <v>9789500218184</v>
      </c>
      <c r="C380" s="8">
        <v>750384</v>
      </c>
      <c r="D380" s="7">
        <v>160</v>
      </c>
      <c r="E380" s="7" t="s">
        <v>2423</v>
      </c>
      <c r="F380" s="7" t="s">
        <v>2424</v>
      </c>
      <c r="G380" s="107">
        <v>46266</v>
      </c>
      <c r="H380" s="107">
        <v>46235</v>
      </c>
      <c r="I380" s="116">
        <v>4997</v>
      </c>
      <c r="J380" s="6" t="s">
        <v>2136</v>
      </c>
      <c r="K380" s="148">
        <v>1996.48</v>
      </c>
      <c r="L380" s="9">
        <v>25900</v>
      </c>
      <c r="M380" s="112">
        <f t="shared" si="50"/>
        <v>2072</v>
      </c>
      <c r="N380" s="9">
        <f t="shared" si="51"/>
        <v>12950</v>
      </c>
      <c r="O380" s="9">
        <f t="shared" si="52"/>
        <v>8881.52</v>
      </c>
      <c r="P380" s="9">
        <f t="shared" si="53"/>
        <v>4068.48</v>
      </c>
      <c r="Q380" s="139">
        <f t="shared" si="54"/>
        <v>0.68583166023166031</v>
      </c>
      <c r="R380" s="395">
        <f>VLOOKUP(C380,'[1]ORIGINAL (2)'!$A:$C,3,FALSE)</f>
        <v>188</v>
      </c>
      <c r="S380" s="24" t="e">
        <f>VLOOKUP(C380,#REF!,6,FALSE)</f>
        <v>#REF!</v>
      </c>
      <c r="T380" s="24" t="e">
        <f>VLOOKUP(C380,#REF!,7,FALSE)</f>
        <v>#REF!</v>
      </c>
      <c r="U380" s="24" t="e">
        <f>VLOOKUP(C380,#REF!,12,FALSE)</f>
        <v>#REF!</v>
      </c>
      <c r="V380" s="24" t="e">
        <f>VLOOKUP(C380,#REF!,13,FALSE)</f>
        <v>#REF!</v>
      </c>
    </row>
    <row r="381" spans="1:22" x14ac:dyDescent="0.25">
      <c r="A381" s="7" t="s">
        <v>2397</v>
      </c>
      <c r="B381" s="8">
        <v>9789500218023</v>
      </c>
      <c r="C381" s="8">
        <v>748668</v>
      </c>
      <c r="D381" s="7">
        <v>112</v>
      </c>
      <c r="E381" s="7" t="s">
        <v>2398</v>
      </c>
      <c r="F381" s="7" t="s">
        <v>2399</v>
      </c>
      <c r="G381" s="107">
        <v>46235</v>
      </c>
      <c r="H381" s="108">
        <v>46204</v>
      </c>
      <c r="I381" s="116">
        <v>5170</v>
      </c>
      <c r="J381" s="7" t="s">
        <v>1894</v>
      </c>
      <c r="K381" s="148">
        <v>815.57</v>
      </c>
      <c r="L381" s="9">
        <v>9900</v>
      </c>
      <c r="M381" s="9"/>
      <c r="N381" s="9">
        <f t="shared" si="51"/>
        <v>4950</v>
      </c>
      <c r="O381" s="9">
        <f t="shared" si="52"/>
        <v>4134.43</v>
      </c>
      <c r="P381" s="9">
        <f t="shared" si="53"/>
        <v>815.57</v>
      </c>
      <c r="Q381" s="139">
        <f t="shared" si="54"/>
        <v>0.83523838383838389</v>
      </c>
      <c r="R381" s="395">
        <f>VLOOKUP(C381,'[1]ORIGINAL (2)'!$A:$C,3,FALSE)</f>
        <v>1300</v>
      </c>
      <c r="S381" s="24" t="e">
        <f>VLOOKUP(C381,#REF!,6,FALSE)</f>
        <v>#REF!</v>
      </c>
      <c r="T381" s="24" t="e">
        <f>VLOOKUP(C381,#REF!,7,FALSE)</f>
        <v>#REF!</v>
      </c>
      <c r="U381" s="24" t="e">
        <f>VLOOKUP(C381,#REF!,12,FALSE)</f>
        <v>#REF!</v>
      </c>
      <c r="V381" s="24" t="e">
        <f>VLOOKUP(C381,#REF!,13,FALSE)</f>
        <v>#REF!</v>
      </c>
    </row>
    <row r="382" spans="1:22" x14ac:dyDescent="0.25">
      <c r="A382" s="7" t="s">
        <v>2359</v>
      </c>
      <c r="B382" s="8">
        <v>9789500217859</v>
      </c>
      <c r="C382" s="8">
        <v>747596</v>
      </c>
      <c r="D382" s="7">
        <v>176</v>
      </c>
      <c r="E382" s="7" t="s">
        <v>2360</v>
      </c>
      <c r="F382" s="7" t="s">
        <v>2361</v>
      </c>
      <c r="G382" s="107">
        <v>46204</v>
      </c>
      <c r="H382" s="108">
        <v>46174</v>
      </c>
      <c r="I382" s="116">
        <v>4571</v>
      </c>
      <c r="J382" s="315" t="s">
        <v>1867</v>
      </c>
      <c r="K382" s="148">
        <v>2201.63</v>
      </c>
      <c r="L382" s="9">
        <v>27900</v>
      </c>
      <c r="M382" s="112">
        <f>+L382*0.08</f>
        <v>2232</v>
      </c>
      <c r="N382" s="9">
        <f t="shared" si="51"/>
        <v>13950</v>
      </c>
      <c r="O382" s="9">
        <f t="shared" si="52"/>
        <v>9516.369999999999</v>
      </c>
      <c r="P382" s="9">
        <f t="shared" si="53"/>
        <v>4433.63</v>
      </c>
      <c r="Q382" s="139">
        <f t="shared" si="54"/>
        <v>0.68217706093189956</v>
      </c>
      <c r="R382" s="395">
        <f>VLOOKUP(C382,'[1]ORIGINAL (2)'!$A:$C,3,FALSE)</f>
        <v>1257</v>
      </c>
      <c r="S382" s="24" t="e">
        <f>VLOOKUP(C382,#REF!,6,FALSE)</f>
        <v>#REF!</v>
      </c>
      <c r="T382" s="24" t="e">
        <f>VLOOKUP(C382,#REF!,7,FALSE)</f>
        <v>#REF!</v>
      </c>
      <c r="U382" s="24" t="e">
        <f>VLOOKUP(C382,#REF!,12,FALSE)</f>
        <v>#REF!</v>
      </c>
      <c r="V382" s="24" t="e">
        <f>VLOOKUP(C382,#REF!,13,FALSE)</f>
        <v>#REF!</v>
      </c>
    </row>
    <row r="383" spans="1:22" x14ac:dyDescent="0.25">
      <c r="A383" s="6" t="s">
        <v>2332</v>
      </c>
      <c r="B383" s="8">
        <v>9789500217774</v>
      </c>
      <c r="C383" s="8">
        <v>745986</v>
      </c>
      <c r="D383" s="8">
        <v>104</v>
      </c>
      <c r="E383" s="6" t="s">
        <v>466</v>
      </c>
      <c r="F383" s="6" t="s">
        <v>2333</v>
      </c>
      <c r="G383" s="107">
        <v>46174</v>
      </c>
      <c r="H383" s="108">
        <v>46143</v>
      </c>
      <c r="I383" s="267">
        <v>3925</v>
      </c>
      <c r="J383" s="8" t="s">
        <v>1762</v>
      </c>
      <c r="K383" s="148">
        <v>2488.0300000000002</v>
      </c>
      <c r="L383" s="9">
        <v>15900</v>
      </c>
      <c r="M383" s="112"/>
      <c r="N383" s="9">
        <f t="shared" si="51"/>
        <v>7950</v>
      </c>
      <c r="O383" s="9">
        <f t="shared" si="52"/>
        <v>5461.9699999999993</v>
      </c>
      <c r="P383" s="9">
        <f t="shared" si="53"/>
        <v>2488.0300000000002</v>
      </c>
      <c r="Q383" s="139">
        <f t="shared" si="54"/>
        <v>0.68704025157232695</v>
      </c>
      <c r="R383" s="395">
        <f>VLOOKUP(C383,'[1]ORIGINAL (2)'!$A:$C,3,FALSE)</f>
        <v>232</v>
      </c>
      <c r="S383" s="24" t="e">
        <f>VLOOKUP(C383,#REF!,6,FALSE)</f>
        <v>#REF!</v>
      </c>
      <c r="T383" s="24" t="e">
        <f>VLOOKUP(C383,#REF!,7,FALSE)</f>
        <v>#REF!</v>
      </c>
      <c r="U383" s="24" t="e">
        <f>VLOOKUP(C383,#REF!,12,FALSE)</f>
        <v>#REF!</v>
      </c>
      <c r="V383" s="24" t="e">
        <f>VLOOKUP(C383,#REF!,13,FALSE)</f>
        <v>#REF!</v>
      </c>
    </row>
    <row r="384" spans="1:22" x14ac:dyDescent="0.25">
      <c r="A384" s="6" t="s">
        <v>2340</v>
      </c>
      <c r="B384" s="8">
        <v>9789500217736</v>
      </c>
      <c r="C384" s="8">
        <v>745989</v>
      </c>
      <c r="D384" s="8">
        <v>144</v>
      </c>
      <c r="E384" s="6" t="s">
        <v>1822</v>
      </c>
      <c r="F384" s="6" t="s">
        <v>2341</v>
      </c>
      <c r="G384" s="107">
        <v>46174</v>
      </c>
      <c r="H384" s="108">
        <v>46143</v>
      </c>
      <c r="I384" s="116">
        <v>5064</v>
      </c>
      <c r="J384" s="8" t="s">
        <v>1762</v>
      </c>
      <c r="K384" s="148">
        <v>1618.89</v>
      </c>
      <c r="L384" s="352">
        <v>26900</v>
      </c>
      <c r="M384" s="112">
        <f>+L384*0.08</f>
        <v>2152</v>
      </c>
      <c r="N384" s="9">
        <f t="shared" si="51"/>
        <v>13450</v>
      </c>
      <c r="O384" s="9">
        <f t="shared" si="52"/>
        <v>9679.11</v>
      </c>
      <c r="P384" s="9">
        <f t="shared" si="53"/>
        <v>3770.8900000000003</v>
      </c>
      <c r="Q384" s="139">
        <f t="shared" si="54"/>
        <v>0.71963643122676579</v>
      </c>
      <c r="R384" s="395">
        <f>VLOOKUP(C384,'[1]ORIGINAL (2)'!$A:$C,3,FALSE)</f>
        <v>693</v>
      </c>
      <c r="S384" s="24" t="e">
        <f>VLOOKUP(C384,#REF!,6,FALSE)</f>
        <v>#REF!</v>
      </c>
      <c r="T384" s="24" t="e">
        <f>VLOOKUP(C384,#REF!,7,FALSE)</f>
        <v>#REF!</v>
      </c>
      <c r="U384" s="24" t="e">
        <f>VLOOKUP(C384,#REF!,12,FALSE)</f>
        <v>#REF!</v>
      </c>
      <c r="V384" s="24" t="e">
        <f>VLOOKUP(C384,#REF!,13,FALSE)</f>
        <v>#REF!</v>
      </c>
    </row>
    <row r="385" spans="1:22" x14ac:dyDescent="0.25">
      <c r="A385" s="6" t="s">
        <v>2342</v>
      </c>
      <c r="B385" s="8">
        <v>9789500217750</v>
      </c>
      <c r="C385" s="8">
        <v>745990</v>
      </c>
      <c r="D385" s="8">
        <v>192</v>
      </c>
      <c r="E385" s="6" t="s">
        <v>2343</v>
      </c>
      <c r="F385" s="6" t="s">
        <v>2344</v>
      </c>
      <c r="G385" s="107">
        <v>46174</v>
      </c>
      <c r="H385" s="108">
        <v>46143</v>
      </c>
      <c r="I385" s="267">
        <v>5090</v>
      </c>
      <c r="J385" s="8" t="s">
        <v>1762</v>
      </c>
      <c r="K385" s="148">
        <v>1839.11</v>
      </c>
      <c r="L385" s="352">
        <v>28900</v>
      </c>
      <c r="M385" s="112">
        <f>+L385*0.08</f>
        <v>2312</v>
      </c>
      <c r="N385" s="9">
        <f t="shared" si="51"/>
        <v>14450</v>
      </c>
      <c r="O385" s="9">
        <f t="shared" si="52"/>
        <v>10298.89</v>
      </c>
      <c r="P385" s="9">
        <f t="shared" si="53"/>
        <v>4151.1099999999997</v>
      </c>
      <c r="Q385" s="139">
        <f t="shared" si="54"/>
        <v>0.7127259515570934</v>
      </c>
      <c r="R385" s="395">
        <f>VLOOKUP(C385,'[1]ORIGINAL (2)'!$A:$C,3,FALSE)</f>
        <v>440</v>
      </c>
      <c r="S385" s="24" t="e">
        <f>VLOOKUP(C385,#REF!,6,FALSE)</f>
        <v>#REF!</v>
      </c>
      <c r="T385" s="24" t="e">
        <f>VLOOKUP(C385,#REF!,7,FALSE)</f>
        <v>#REF!</v>
      </c>
      <c r="U385" s="24" t="e">
        <f>VLOOKUP(C385,#REF!,12,FALSE)</f>
        <v>#REF!</v>
      </c>
      <c r="V385" s="24" t="e">
        <f>VLOOKUP(C385,#REF!,13,FALSE)</f>
        <v>#REF!</v>
      </c>
    </row>
    <row r="386" spans="1:22" x14ac:dyDescent="0.25">
      <c r="A386" s="341" t="s">
        <v>2280</v>
      </c>
      <c r="B386" s="342">
        <v>9789500217507</v>
      </c>
      <c r="C386" s="6">
        <v>743067</v>
      </c>
      <c r="D386" s="343">
        <v>256</v>
      </c>
      <c r="E386" s="1" t="s">
        <v>2281</v>
      </c>
      <c r="F386" s="6" t="s">
        <v>2282</v>
      </c>
      <c r="G386" s="107">
        <v>46113</v>
      </c>
      <c r="H386" s="108">
        <v>46204</v>
      </c>
      <c r="I386" s="7">
        <v>1037</v>
      </c>
      <c r="J386" s="6" t="s">
        <v>1333</v>
      </c>
      <c r="K386" s="148">
        <v>2824.42</v>
      </c>
      <c r="L386" s="9">
        <v>27900</v>
      </c>
      <c r="M386" s="9">
        <f>+L386*0.08</f>
        <v>2232</v>
      </c>
      <c r="N386" s="9">
        <f t="shared" si="51"/>
        <v>13950</v>
      </c>
      <c r="O386" s="9">
        <f t="shared" si="52"/>
        <v>8893.58</v>
      </c>
      <c r="P386" s="9">
        <f t="shared" si="53"/>
        <v>5056.42</v>
      </c>
      <c r="Q386" s="109">
        <f t="shared" si="54"/>
        <v>0.63753261648745518</v>
      </c>
      <c r="R386" s="395">
        <f>VLOOKUP(C386,'[1]ORIGINAL (2)'!$A:$C,3,FALSE)</f>
        <v>1268</v>
      </c>
      <c r="S386" s="24" t="e">
        <f>VLOOKUP(C386,#REF!,6,FALSE)</f>
        <v>#REF!</v>
      </c>
      <c r="T386" s="24" t="e">
        <f>VLOOKUP(C386,#REF!,7,FALSE)</f>
        <v>#REF!</v>
      </c>
      <c r="U386" s="24" t="e">
        <f>VLOOKUP(C386,#REF!,12,FALSE)</f>
        <v>#REF!</v>
      </c>
      <c r="V386" s="24" t="e">
        <f>VLOOKUP(C386,#REF!,13,FALSE)</f>
        <v>#REF!</v>
      </c>
    </row>
    <row r="387" spans="1:22" x14ac:dyDescent="0.25">
      <c r="A387" s="6" t="s">
        <v>2256</v>
      </c>
      <c r="B387" s="153">
        <v>9789500217378</v>
      </c>
      <c r="C387" s="6">
        <v>741699</v>
      </c>
      <c r="D387" s="41">
        <v>288</v>
      </c>
      <c r="E387" s="6" t="s">
        <v>571</v>
      </c>
      <c r="F387" s="6" t="s">
        <v>2257</v>
      </c>
      <c r="G387" s="107">
        <v>46113</v>
      </c>
      <c r="H387" s="108">
        <v>46054</v>
      </c>
      <c r="I387" s="239">
        <v>6000</v>
      </c>
      <c r="J387" s="8" t="s">
        <v>2258</v>
      </c>
      <c r="K387" s="148">
        <v>2064.5</v>
      </c>
      <c r="L387" s="9">
        <v>31900</v>
      </c>
      <c r="M387" s="9">
        <f>+L387*0.08</f>
        <v>2552</v>
      </c>
      <c r="N387" s="9">
        <f t="shared" si="51"/>
        <v>15950</v>
      </c>
      <c r="O387" s="9">
        <f t="shared" si="52"/>
        <v>11333.5</v>
      </c>
      <c r="P387" s="9">
        <f t="shared" si="53"/>
        <v>4616.5</v>
      </c>
      <c r="Q387" s="109">
        <f t="shared" si="54"/>
        <v>0.71056426332288403</v>
      </c>
      <c r="R387" s="395">
        <f>VLOOKUP(C387,'[1]ORIGINAL (2)'!$A:$C,3,FALSE)</f>
        <v>819</v>
      </c>
      <c r="S387" s="24" t="e">
        <f>VLOOKUP(C387,#REF!,6,FALSE)</f>
        <v>#REF!</v>
      </c>
      <c r="T387" s="24" t="e">
        <f>VLOOKUP(C387,#REF!,7,FALSE)</f>
        <v>#REF!</v>
      </c>
      <c r="U387" s="24" t="e">
        <f>VLOOKUP(C387,#REF!,12,FALSE)</f>
        <v>#REF!</v>
      </c>
      <c r="V387" s="24" t="e">
        <f>VLOOKUP(C387,#REF!,13,FALSE)</f>
        <v>#REF!</v>
      </c>
    </row>
    <row r="388" spans="1:22" x14ac:dyDescent="0.25">
      <c r="A388" s="6" t="s">
        <v>2243</v>
      </c>
      <c r="B388" s="153">
        <v>9789500217361</v>
      </c>
      <c r="C388" s="6">
        <v>741691</v>
      </c>
      <c r="D388" s="41">
        <v>144</v>
      </c>
      <c r="E388" s="7" t="s">
        <v>2244</v>
      </c>
      <c r="F388" s="6" t="s">
        <v>2245</v>
      </c>
      <c r="G388" s="107">
        <v>46082</v>
      </c>
      <c r="H388" s="108">
        <v>46054</v>
      </c>
      <c r="I388" s="7">
        <v>6051</v>
      </c>
      <c r="J388" s="7" t="s">
        <v>1762</v>
      </c>
      <c r="K388" s="9">
        <v>1214.1300000000001</v>
      </c>
      <c r="L388" s="9">
        <v>25900</v>
      </c>
      <c r="M388" s="9">
        <f>+L388*0.08</f>
        <v>2072</v>
      </c>
      <c r="N388" s="9">
        <f t="shared" si="51"/>
        <v>12950</v>
      </c>
      <c r="O388" s="9">
        <f t="shared" si="52"/>
        <v>9663.869999999999</v>
      </c>
      <c r="P388" s="9">
        <f t="shared" si="53"/>
        <v>3286.13</v>
      </c>
      <c r="Q388" s="109">
        <f t="shared" si="54"/>
        <v>0.74624478764478752</v>
      </c>
      <c r="R388" s="395">
        <f>VLOOKUP(C388,'[1]ORIGINAL (2)'!$A:$C,3,FALSE)</f>
        <v>1970</v>
      </c>
      <c r="S388" s="24" t="e">
        <f>VLOOKUP(C388,#REF!,6,FALSE)</f>
        <v>#REF!</v>
      </c>
      <c r="T388" s="24" t="e">
        <f>VLOOKUP(C388,#REF!,7,FALSE)</f>
        <v>#REF!</v>
      </c>
      <c r="U388" s="24" t="e">
        <f>VLOOKUP(C388,#REF!,12,FALSE)</f>
        <v>#REF!</v>
      </c>
      <c r="V388" s="24" t="e">
        <f>VLOOKUP(C388,#REF!,13,FALSE)</f>
        <v>#REF!</v>
      </c>
    </row>
    <row r="389" spans="1:22" x14ac:dyDescent="0.25">
      <c r="A389" s="6" t="s">
        <v>2220</v>
      </c>
      <c r="B389" s="153">
        <v>9789500217279</v>
      </c>
      <c r="C389" s="6">
        <v>740756</v>
      </c>
      <c r="D389" s="41">
        <v>224</v>
      </c>
      <c r="E389" s="7" t="s">
        <v>2221</v>
      </c>
      <c r="F389" s="6" t="s">
        <v>2222</v>
      </c>
      <c r="G389" s="107">
        <v>46054</v>
      </c>
      <c r="H389" s="108">
        <v>46023</v>
      </c>
      <c r="I389" s="7">
        <v>5010</v>
      </c>
      <c r="J389" s="7" t="s">
        <v>2242</v>
      </c>
      <c r="K389" s="9">
        <v>1668.1</v>
      </c>
      <c r="L389" s="9">
        <v>25900</v>
      </c>
      <c r="M389" s="9">
        <f>+L389*0.1</f>
        <v>2590</v>
      </c>
      <c r="N389" s="9">
        <f t="shared" si="51"/>
        <v>12950</v>
      </c>
      <c r="O389" s="9">
        <f t="shared" si="52"/>
        <v>8691.9</v>
      </c>
      <c r="P389" s="9">
        <f t="shared" si="53"/>
        <v>4258.1000000000004</v>
      </c>
      <c r="Q389" s="109">
        <f t="shared" si="54"/>
        <v>0.67118918918918913</v>
      </c>
      <c r="R389" s="395">
        <f>VLOOKUP(C389,'[1]ORIGINAL (2)'!$A:$C,3,FALSE)</f>
        <v>605</v>
      </c>
      <c r="S389" s="24" t="e">
        <f>VLOOKUP(C389,#REF!,6,FALSE)</f>
        <v>#REF!</v>
      </c>
      <c r="T389" s="24" t="e">
        <f>VLOOKUP(C389,#REF!,7,FALSE)</f>
        <v>#REF!</v>
      </c>
      <c r="U389" s="24" t="e">
        <f>VLOOKUP(C389,#REF!,12,FALSE)</f>
        <v>#REF!</v>
      </c>
      <c r="V389" s="24" t="e">
        <f>VLOOKUP(C389,#REF!,13,FALSE)</f>
        <v>#REF!</v>
      </c>
    </row>
    <row r="390" spans="1:22" x14ac:dyDescent="0.25">
      <c r="A390" s="6" t="s">
        <v>2226</v>
      </c>
      <c r="B390" s="153">
        <v>9789500217255</v>
      </c>
      <c r="C390" s="6">
        <v>740758</v>
      </c>
      <c r="D390" s="41">
        <v>80</v>
      </c>
      <c r="E390" s="6" t="s">
        <v>2227</v>
      </c>
      <c r="F390" s="6" t="s">
        <v>2228</v>
      </c>
      <c r="G390" s="107">
        <v>46054</v>
      </c>
      <c r="H390" s="108">
        <v>46023</v>
      </c>
      <c r="I390" s="7">
        <v>4000</v>
      </c>
      <c r="J390" s="7" t="s">
        <v>2242</v>
      </c>
      <c r="K390" s="148">
        <v>1730.12</v>
      </c>
      <c r="L390" s="9">
        <v>15900</v>
      </c>
      <c r="M390" s="9"/>
      <c r="N390" s="9">
        <f t="shared" si="51"/>
        <v>7950</v>
      </c>
      <c r="O390" s="9">
        <f t="shared" si="52"/>
        <v>6219.88</v>
      </c>
      <c r="P390" s="9">
        <f t="shared" si="53"/>
        <v>1730.12</v>
      </c>
      <c r="Q390" s="109">
        <f t="shared" si="54"/>
        <v>0.78237484276729563</v>
      </c>
      <c r="R390" s="395">
        <f>VLOOKUP(C390,'[1]ORIGINAL (2)'!$A:$C,3,FALSE)</f>
        <v>485</v>
      </c>
      <c r="S390" s="24" t="e">
        <f>VLOOKUP(C390,#REF!,6,FALSE)</f>
        <v>#REF!</v>
      </c>
      <c r="T390" s="24" t="e">
        <f>VLOOKUP(C390,#REF!,7,FALSE)</f>
        <v>#REF!</v>
      </c>
      <c r="U390" s="24" t="e">
        <f>VLOOKUP(C390,#REF!,12,FALSE)</f>
        <v>#REF!</v>
      </c>
      <c r="V390" s="24" t="e">
        <f>VLOOKUP(C390,#REF!,13,FALSE)</f>
        <v>#REF!</v>
      </c>
    </row>
    <row r="391" spans="1:22" x14ac:dyDescent="0.25">
      <c r="A391" s="6" t="s">
        <v>2204</v>
      </c>
      <c r="B391" s="153">
        <v>9789500217187</v>
      </c>
      <c r="C391" s="6">
        <v>740160</v>
      </c>
      <c r="D391" s="41">
        <v>80</v>
      </c>
      <c r="E391" s="6" t="s">
        <v>2205</v>
      </c>
      <c r="F391" s="6" t="s">
        <v>2206</v>
      </c>
      <c r="G391" s="107">
        <v>46023</v>
      </c>
      <c r="H391" s="108">
        <v>45992</v>
      </c>
      <c r="I391" s="7">
        <v>4000</v>
      </c>
      <c r="J391" s="176" t="s">
        <v>2219</v>
      </c>
      <c r="K391" s="148">
        <v>1710.66</v>
      </c>
      <c r="L391" s="9">
        <v>15900</v>
      </c>
      <c r="M391" s="9"/>
      <c r="N391" s="9">
        <f t="shared" si="51"/>
        <v>7950</v>
      </c>
      <c r="O391" s="9">
        <f t="shared" si="52"/>
        <v>6239.34</v>
      </c>
      <c r="P391" s="9">
        <f t="shared" si="53"/>
        <v>1710.66</v>
      </c>
      <c r="Q391" s="109">
        <f t="shared" si="54"/>
        <v>0.78482264150943393</v>
      </c>
      <c r="R391" s="395">
        <f>VLOOKUP(C391,'[1]ORIGINAL (2)'!$A:$C,3,FALSE)</f>
        <v>547</v>
      </c>
      <c r="S391" s="24" t="e">
        <f>VLOOKUP(C391,#REF!,6,FALSE)</f>
        <v>#REF!</v>
      </c>
      <c r="T391" s="24" t="e">
        <f>VLOOKUP(C391,#REF!,7,FALSE)</f>
        <v>#REF!</v>
      </c>
      <c r="U391" s="24" t="e">
        <f>VLOOKUP(C391,#REF!,12,FALSE)</f>
        <v>#REF!</v>
      </c>
      <c r="V391" s="24" t="e">
        <f>VLOOKUP(C391,#REF!,13,FALSE)</f>
        <v>#REF!</v>
      </c>
    </row>
    <row r="392" spans="1:22" x14ac:dyDescent="0.25">
      <c r="A392" s="6" t="s">
        <v>2215</v>
      </c>
      <c r="B392" s="8">
        <v>9788466244893</v>
      </c>
      <c r="C392" s="6">
        <v>740169</v>
      </c>
      <c r="D392" s="239">
        <v>160</v>
      </c>
      <c r="E392" s="8" t="s">
        <v>2216</v>
      </c>
      <c r="F392" s="6" t="s">
        <v>2217</v>
      </c>
      <c r="G392" s="107">
        <v>46023</v>
      </c>
      <c r="H392" s="108">
        <v>46266</v>
      </c>
      <c r="I392" s="267">
        <v>4000</v>
      </c>
      <c r="J392" s="6" t="s">
        <v>2160</v>
      </c>
      <c r="K392" s="148">
        <v>11582.86</v>
      </c>
      <c r="L392" s="9">
        <v>49900</v>
      </c>
      <c r="M392" s="9"/>
      <c r="N392" s="9">
        <f t="shared" si="51"/>
        <v>24950</v>
      </c>
      <c r="O392" s="9">
        <f t="shared" si="52"/>
        <v>13367.14</v>
      </c>
      <c r="P392" s="9">
        <f t="shared" si="53"/>
        <v>11582.86</v>
      </c>
      <c r="Q392" s="109">
        <f t="shared" si="54"/>
        <v>0.53575711422845684</v>
      </c>
      <c r="R392" s="395">
        <f>VLOOKUP(C392,'[1]ORIGINAL (2)'!$A:$C,3,FALSE)</f>
        <v>1716</v>
      </c>
      <c r="S392" s="24" t="e">
        <f>VLOOKUP(C392,#REF!,6,FALSE)</f>
        <v>#REF!</v>
      </c>
      <c r="T392" s="24" t="e">
        <f>VLOOKUP(C392,#REF!,7,FALSE)</f>
        <v>#REF!</v>
      </c>
      <c r="U392" s="24" t="e">
        <f>VLOOKUP(C392,#REF!,12,FALSE)</f>
        <v>#REF!</v>
      </c>
      <c r="V392" s="24" t="e">
        <f>VLOOKUP(C392,#REF!,13,FALSE)</f>
        <v>#REF!</v>
      </c>
    </row>
    <row r="393" spans="1:22" x14ac:dyDescent="0.25">
      <c r="A393" s="6" t="s">
        <v>2164</v>
      </c>
      <c r="B393" s="153">
        <v>9789500216838</v>
      </c>
      <c r="C393" s="6">
        <v>736772</v>
      </c>
      <c r="D393" s="41">
        <v>272</v>
      </c>
      <c r="E393" s="6" t="s">
        <v>2165</v>
      </c>
      <c r="F393" s="6" t="s">
        <v>2163</v>
      </c>
      <c r="G393" s="329">
        <v>45962</v>
      </c>
      <c r="H393" s="108">
        <v>46082</v>
      </c>
      <c r="I393" s="7">
        <v>2022</v>
      </c>
      <c r="J393" s="8" t="s">
        <v>1333</v>
      </c>
      <c r="K393" s="7">
        <v>2642.58</v>
      </c>
      <c r="L393" s="9">
        <v>31500</v>
      </c>
      <c r="M393" s="9">
        <f>+L393*0.1</f>
        <v>3150</v>
      </c>
      <c r="N393" s="9">
        <f t="shared" si="51"/>
        <v>15750</v>
      </c>
      <c r="O393" s="9">
        <f t="shared" si="52"/>
        <v>9957.42</v>
      </c>
      <c r="P393" s="9">
        <f t="shared" si="53"/>
        <v>5792.58</v>
      </c>
      <c r="Q393" s="109">
        <f t="shared" si="54"/>
        <v>0.63221714285714281</v>
      </c>
      <c r="R393" s="395">
        <f>VLOOKUP(C393,'[1]ORIGINAL (2)'!$A:$C,3,FALSE)</f>
        <v>2477</v>
      </c>
      <c r="S393" s="24" t="e">
        <f>VLOOKUP(C393,#REF!,6,FALSE)</f>
        <v>#REF!</v>
      </c>
      <c r="T393" s="24" t="e">
        <f>VLOOKUP(C393,#REF!,7,FALSE)</f>
        <v>#REF!</v>
      </c>
      <c r="U393" s="24" t="e">
        <f>VLOOKUP(C393,#REF!,12,FALSE)</f>
        <v>#REF!</v>
      </c>
      <c r="V393" s="24" t="e">
        <f>VLOOKUP(C393,#REF!,13,FALSE)</f>
        <v>#REF!</v>
      </c>
    </row>
    <row r="394" spans="1:22" x14ac:dyDescent="0.25">
      <c r="A394" s="6" t="s">
        <v>2175</v>
      </c>
      <c r="B394" s="153">
        <v>9789500216869</v>
      </c>
      <c r="C394" s="6">
        <v>737016</v>
      </c>
      <c r="D394" s="41">
        <v>144</v>
      </c>
      <c r="E394" s="316" t="s">
        <v>1822</v>
      </c>
      <c r="F394" s="29" t="s">
        <v>2093</v>
      </c>
      <c r="G394" s="329">
        <v>45962</v>
      </c>
      <c r="H394" s="108">
        <v>46113</v>
      </c>
      <c r="I394" s="7">
        <v>3069</v>
      </c>
      <c r="J394" s="8" t="s">
        <v>1333</v>
      </c>
      <c r="K394" s="292">
        <v>2175.4900000000002</v>
      </c>
      <c r="L394" s="9">
        <v>25900</v>
      </c>
      <c r="M394" s="9">
        <f>+L394*0.08</f>
        <v>2072</v>
      </c>
      <c r="N394" s="9">
        <f t="shared" si="51"/>
        <v>12950</v>
      </c>
      <c r="O394" s="9">
        <f t="shared" si="52"/>
        <v>8702.51</v>
      </c>
      <c r="P394" s="9">
        <f t="shared" si="53"/>
        <v>4247.49</v>
      </c>
      <c r="Q394" s="109">
        <f t="shared" si="54"/>
        <v>0.67200849420849418</v>
      </c>
      <c r="R394" s="395">
        <f>VLOOKUP(C394,'[1]ORIGINAL (2)'!$A:$C,3,FALSE)</f>
        <v>4179</v>
      </c>
      <c r="S394" s="24" t="e">
        <f>VLOOKUP(C394,#REF!,6,FALSE)</f>
        <v>#REF!</v>
      </c>
      <c r="T394" s="24" t="e">
        <f>VLOOKUP(C394,#REF!,7,FALSE)</f>
        <v>#REF!</v>
      </c>
      <c r="U394" s="24" t="e">
        <f>VLOOKUP(C394,#REF!,12,FALSE)</f>
        <v>#REF!</v>
      </c>
      <c r="V394" s="24" t="e">
        <f>VLOOKUP(C394,#REF!,13,FALSE)</f>
        <v>#REF!</v>
      </c>
    </row>
    <row r="395" spans="1:22" x14ac:dyDescent="0.25">
      <c r="A395" s="6" t="s">
        <v>2148</v>
      </c>
      <c r="B395" s="153">
        <v>9789500216791</v>
      </c>
      <c r="C395" s="6">
        <v>735111</v>
      </c>
      <c r="D395" s="41">
        <v>176</v>
      </c>
      <c r="E395" s="316" t="s">
        <v>2149</v>
      </c>
      <c r="F395" s="316" t="s">
        <v>2150</v>
      </c>
      <c r="G395" s="107">
        <v>45931</v>
      </c>
      <c r="H395" s="108">
        <v>46113</v>
      </c>
      <c r="I395" s="7">
        <v>2079</v>
      </c>
      <c r="J395" s="8" t="s">
        <v>1333</v>
      </c>
      <c r="K395" s="292">
        <v>1584.82</v>
      </c>
      <c r="L395" s="9">
        <v>25500</v>
      </c>
      <c r="M395" s="9">
        <f>+L395*0.1</f>
        <v>2550</v>
      </c>
      <c r="N395" s="9">
        <f t="shared" si="51"/>
        <v>12750</v>
      </c>
      <c r="O395" s="9">
        <f t="shared" si="52"/>
        <v>8615.18</v>
      </c>
      <c r="P395" s="9">
        <f t="shared" si="53"/>
        <v>4134.82</v>
      </c>
      <c r="Q395" s="109">
        <f t="shared" si="54"/>
        <v>0.67570039215686273</v>
      </c>
      <c r="R395" s="395">
        <f>VLOOKUP(C395,'[1]ORIGINAL (2)'!$A:$C,3,FALSE)</f>
        <v>672</v>
      </c>
      <c r="S395" s="24" t="e">
        <f>VLOOKUP(C395,#REF!,6,FALSE)</f>
        <v>#REF!</v>
      </c>
      <c r="T395" s="24" t="e">
        <f>VLOOKUP(C395,#REF!,7,FALSE)</f>
        <v>#REF!</v>
      </c>
      <c r="U395" s="24" t="e">
        <f>VLOOKUP(C395,#REF!,12,FALSE)</f>
        <v>#REF!</v>
      </c>
      <c r="V395" s="24" t="e">
        <f>VLOOKUP(C395,#REF!,13,FALSE)</f>
        <v>#REF!</v>
      </c>
    </row>
    <row r="396" spans="1:22" x14ac:dyDescent="0.25">
      <c r="A396" s="6" t="s">
        <v>2113</v>
      </c>
      <c r="B396" s="153">
        <v>9789500216654</v>
      </c>
      <c r="C396" s="6">
        <v>734145</v>
      </c>
      <c r="D396" s="239">
        <v>144</v>
      </c>
      <c r="E396" s="316" t="s">
        <v>2114</v>
      </c>
      <c r="F396" s="316" t="s">
        <v>2115</v>
      </c>
      <c r="G396" s="107">
        <v>45901</v>
      </c>
      <c r="H396" s="108">
        <v>45962</v>
      </c>
      <c r="I396" s="7">
        <v>3000</v>
      </c>
      <c r="J396" s="7" t="s">
        <v>1762</v>
      </c>
      <c r="K396" s="292">
        <v>842.14</v>
      </c>
      <c r="L396" s="9">
        <v>22500</v>
      </c>
      <c r="M396" s="9">
        <f>+L396*0.12</f>
        <v>2700</v>
      </c>
      <c r="N396" s="9">
        <f t="shared" si="51"/>
        <v>11250</v>
      </c>
      <c r="O396" s="9">
        <f t="shared" si="52"/>
        <v>7707.86</v>
      </c>
      <c r="P396" s="9">
        <f t="shared" si="53"/>
        <v>3542.14</v>
      </c>
      <c r="Q396" s="109">
        <f t="shared" si="54"/>
        <v>0.68514311111111104</v>
      </c>
      <c r="R396" s="395">
        <f>VLOOKUP(C396,'[1]ORIGINAL (2)'!$A:$C,3,FALSE)</f>
        <v>1446</v>
      </c>
      <c r="S396" s="24" t="e">
        <f>VLOOKUP(C396,#REF!,6,FALSE)</f>
        <v>#REF!</v>
      </c>
      <c r="T396" s="24" t="e">
        <f>VLOOKUP(C396,#REF!,7,FALSE)</f>
        <v>#REF!</v>
      </c>
      <c r="U396" s="24" t="e">
        <f>VLOOKUP(C396,#REF!,12,FALSE)</f>
        <v>#REF!</v>
      </c>
      <c r="V396" s="24" t="e">
        <f>VLOOKUP(C396,#REF!,13,FALSE)</f>
        <v>#REF!</v>
      </c>
    </row>
    <row r="397" spans="1:22" x14ac:dyDescent="0.25">
      <c r="A397" s="6" t="s">
        <v>2113</v>
      </c>
      <c r="B397" s="153">
        <v>9789500216715</v>
      </c>
      <c r="C397" s="6">
        <v>734146</v>
      </c>
      <c r="D397" s="41">
        <v>208</v>
      </c>
      <c r="E397" s="316" t="s">
        <v>2116</v>
      </c>
      <c r="F397" s="316" t="s">
        <v>2117</v>
      </c>
      <c r="G397" s="107">
        <v>45901</v>
      </c>
      <c r="H397" s="108">
        <v>45870</v>
      </c>
      <c r="I397" s="7">
        <v>3125</v>
      </c>
      <c r="J397" s="319" t="s">
        <v>1333</v>
      </c>
      <c r="K397" s="292">
        <v>1744.53</v>
      </c>
      <c r="L397" s="9">
        <v>21900</v>
      </c>
      <c r="M397" s="9">
        <f>+L397*0.08</f>
        <v>1752</v>
      </c>
      <c r="N397" s="9">
        <f t="shared" si="51"/>
        <v>10950</v>
      </c>
      <c r="O397" s="9">
        <f t="shared" si="52"/>
        <v>7453.47</v>
      </c>
      <c r="P397" s="9">
        <f t="shared" si="53"/>
        <v>3496.5299999999997</v>
      </c>
      <c r="Q397" s="109">
        <f t="shared" si="54"/>
        <v>0.6806821917808219</v>
      </c>
      <c r="R397" s="395">
        <f>VLOOKUP(C397,'[1]ORIGINAL (2)'!$A:$C,3,FALSE)</f>
        <v>171</v>
      </c>
      <c r="S397" s="24" t="e">
        <f>VLOOKUP(C397,#REF!,6,FALSE)</f>
        <v>#REF!</v>
      </c>
      <c r="T397" s="24" t="e">
        <f>VLOOKUP(C397,#REF!,7,FALSE)</f>
        <v>#REF!</v>
      </c>
      <c r="U397" s="24" t="e">
        <f>VLOOKUP(C397,#REF!,12,FALSE)</f>
        <v>#REF!</v>
      </c>
      <c r="V397" s="24" t="e">
        <f>VLOOKUP(C397,#REF!,13,FALSE)</f>
        <v>#REF!</v>
      </c>
    </row>
    <row r="398" spans="1:22" x14ac:dyDescent="0.25">
      <c r="A398" s="6" t="s">
        <v>2097</v>
      </c>
      <c r="B398" s="279">
        <v>9789500216609</v>
      </c>
      <c r="C398" s="6">
        <v>732724</v>
      </c>
      <c r="D398" s="41">
        <v>192</v>
      </c>
      <c r="E398" s="316" t="s">
        <v>2098</v>
      </c>
      <c r="F398" s="316" t="s">
        <v>2112</v>
      </c>
      <c r="G398" s="107">
        <v>45870</v>
      </c>
      <c r="H398" s="108">
        <v>46082</v>
      </c>
      <c r="I398" s="264">
        <v>500</v>
      </c>
      <c r="J398" s="315" t="s">
        <v>1333</v>
      </c>
      <c r="K398" s="292">
        <v>2760.2</v>
      </c>
      <c r="L398" s="9">
        <v>24900</v>
      </c>
      <c r="M398" s="9">
        <f>+L398*0.08</f>
        <v>1992</v>
      </c>
      <c r="N398" s="9">
        <f t="shared" si="51"/>
        <v>12450</v>
      </c>
      <c r="O398" s="9">
        <f t="shared" si="52"/>
        <v>7697.8</v>
      </c>
      <c r="P398" s="9">
        <f t="shared" si="53"/>
        <v>4752.2</v>
      </c>
      <c r="Q398" s="109">
        <f t="shared" si="54"/>
        <v>0.61829718875502004</v>
      </c>
      <c r="R398" s="395">
        <f>VLOOKUP(C398,'[1]ORIGINAL (2)'!$A:$C,3,FALSE)</f>
        <v>601</v>
      </c>
      <c r="S398" s="24" t="e">
        <f>VLOOKUP(C398,#REF!,6,FALSE)</f>
        <v>#REF!</v>
      </c>
      <c r="T398" s="24" t="e">
        <f>VLOOKUP(C398,#REF!,7,FALSE)</f>
        <v>#REF!</v>
      </c>
      <c r="U398" s="24" t="e">
        <f>VLOOKUP(C398,#REF!,12,FALSE)</f>
        <v>#REF!</v>
      </c>
      <c r="V398" s="24" t="e">
        <f>VLOOKUP(C398,#REF!,13,FALSE)</f>
        <v>#REF!</v>
      </c>
    </row>
    <row r="399" spans="1:22" x14ac:dyDescent="0.25">
      <c r="A399" s="6" t="s">
        <v>2094</v>
      </c>
      <c r="B399" s="279">
        <v>9789500216593</v>
      </c>
      <c r="C399" s="6">
        <v>732723</v>
      </c>
      <c r="D399" s="239">
        <v>208</v>
      </c>
      <c r="E399" s="316" t="s">
        <v>2095</v>
      </c>
      <c r="F399" s="316" t="s">
        <v>2096</v>
      </c>
      <c r="G399" s="107">
        <v>45870</v>
      </c>
      <c r="H399" s="108">
        <v>45931</v>
      </c>
      <c r="I399" s="264">
        <v>2027</v>
      </c>
      <c r="J399" s="8" t="s">
        <v>1333</v>
      </c>
      <c r="K399" s="292">
        <v>1670.11</v>
      </c>
      <c r="L399" s="9">
        <v>26500</v>
      </c>
      <c r="M399" s="9">
        <f>+L399*0.08</f>
        <v>2120</v>
      </c>
      <c r="N399" s="9">
        <f t="shared" si="51"/>
        <v>13250</v>
      </c>
      <c r="O399" s="9">
        <f t="shared" si="52"/>
        <v>9459.89</v>
      </c>
      <c r="P399" s="9">
        <f t="shared" si="53"/>
        <v>3790.1099999999997</v>
      </c>
      <c r="Q399" s="109">
        <f t="shared" si="54"/>
        <v>0.71395396226415087</v>
      </c>
      <c r="R399" s="395">
        <f>VLOOKUP(C399,'[1]ORIGINAL (2)'!$A:$C,3,FALSE)</f>
        <v>1929</v>
      </c>
      <c r="S399" s="24" t="e">
        <f>VLOOKUP(C399,#REF!,6,FALSE)</f>
        <v>#REF!</v>
      </c>
      <c r="T399" s="24" t="e">
        <f>VLOOKUP(C399,#REF!,7,FALSE)</f>
        <v>#REF!</v>
      </c>
      <c r="U399" s="24" t="e">
        <f>VLOOKUP(C399,#REF!,12,FALSE)</f>
        <v>#REF!</v>
      </c>
      <c r="V399" s="24" t="e">
        <f>VLOOKUP(C399,#REF!,13,FALSE)</f>
        <v>#REF!</v>
      </c>
    </row>
    <row r="400" spans="1:22" x14ac:dyDescent="0.25">
      <c r="A400" s="6" t="s">
        <v>1957</v>
      </c>
      <c r="B400" s="8">
        <v>9789500215794</v>
      </c>
      <c r="C400" s="6">
        <v>725156</v>
      </c>
      <c r="D400" s="41">
        <v>176</v>
      </c>
      <c r="E400" s="288" t="s">
        <v>1959</v>
      </c>
      <c r="F400" s="6" t="s">
        <v>1960</v>
      </c>
      <c r="G400" s="107">
        <v>45658</v>
      </c>
      <c r="H400" s="108">
        <v>45627</v>
      </c>
      <c r="I400" s="264">
        <v>5045</v>
      </c>
      <c r="J400" s="6" t="s">
        <v>1333</v>
      </c>
      <c r="K400" s="148">
        <v>926.79</v>
      </c>
      <c r="L400" s="9">
        <v>24500</v>
      </c>
      <c r="M400" s="9">
        <f>+L400*0.1</f>
        <v>2450</v>
      </c>
      <c r="N400" s="9">
        <f t="shared" si="51"/>
        <v>12250</v>
      </c>
      <c r="O400" s="9">
        <f t="shared" si="52"/>
        <v>8873.2099999999991</v>
      </c>
      <c r="P400" s="9">
        <f t="shared" si="53"/>
        <v>3376.79</v>
      </c>
      <c r="Q400" s="109">
        <f t="shared" si="54"/>
        <v>0.72434367346938766</v>
      </c>
      <c r="R400" s="395">
        <f>VLOOKUP(C400,'[1]ORIGINAL (2)'!$A:$C,3,FALSE)</f>
        <v>163</v>
      </c>
      <c r="S400" s="24" t="e">
        <f>VLOOKUP(C400,#REF!,6,FALSE)</f>
        <v>#REF!</v>
      </c>
      <c r="T400" s="24" t="e">
        <f>VLOOKUP(C400,#REF!,7,FALSE)</f>
        <v>#REF!</v>
      </c>
      <c r="U400" s="24" t="e">
        <f>VLOOKUP(C400,#REF!,12,FALSE)</f>
        <v>#REF!</v>
      </c>
      <c r="V400" s="24" t="e">
        <f>VLOOKUP(C400,#REF!,13,FALSE)</f>
        <v>#REF!</v>
      </c>
    </row>
    <row r="401" spans="1:22" x14ac:dyDescent="0.25">
      <c r="A401" s="6" t="s">
        <v>2067</v>
      </c>
      <c r="B401" s="279">
        <v>9789500216470</v>
      </c>
      <c r="C401" s="6">
        <v>731828</v>
      </c>
      <c r="D401" s="41">
        <v>176</v>
      </c>
      <c r="E401" s="6" t="s">
        <v>1899</v>
      </c>
      <c r="F401" s="6" t="s">
        <v>2068</v>
      </c>
      <c r="G401" s="118">
        <v>45839</v>
      </c>
      <c r="H401" s="108">
        <v>46082</v>
      </c>
      <c r="I401" s="267">
        <v>3047</v>
      </c>
      <c r="J401" s="7" t="s">
        <v>1762</v>
      </c>
      <c r="K401" s="292">
        <v>1779.09</v>
      </c>
      <c r="L401" s="9">
        <v>30900</v>
      </c>
      <c r="M401" s="9">
        <f>+L401*0.1</f>
        <v>3090</v>
      </c>
      <c r="N401" s="9">
        <f t="shared" si="51"/>
        <v>15450</v>
      </c>
      <c r="O401" s="9">
        <f t="shared" si="52"/>
        <v>10580.91</v>
      </c>
      <c r="P401" s="9">
        <f t="shared" si="53"/>
        <v>4869.09</v>
      </c>
      <c r="Q401" s="139">
        <f t="shared" si="54"/>
        <v>0.68484854368932035</v>
      </c>
      <c r="R401" s="395">
        <f>VLOOKUP(C401,'[1]ORIGINAL (2)'!$A:$C,3,FALSE)</f>
        <v>4257</v>
      </c>
      <c r="S401" s="24" t="e">
        <f>VLOOKUP(C401,#REF!,6,FALSE)</f>
        <v>#REF!</v>
      </c>
      <c r="T401" s="24" t="e">
        <f>VLOOKUP(C401,#REF!,7,FALSE)</f>
        <v>#REF!</v>
      </c>
      <c r="U401" s="24" t="e">
        <f>VLOOKUP(C401,#REF!,12,FALSE)</f>
        <v>#REF!</v>
      </c>
      <c r="V401" s="24" t="e">
        <f>VLOOKUP(C401,#REF!,13,FALSE)</f>
        <v>#REF!</v>
      </c>
    </row>
    <row r="402" spans="1:22" x14ac:dyDescent="0.25">
      <c r="A402" s="6" t="s">
        <v>2069</v>
      </c>
      <c r="B402" s="279">
        <v>9789500216487</v>
      </c>
      <c r="C402" s="6">
        <v>731829</v>
      </c>
      <c r="D402" s="239">
        <v>224</v>
      </c>
      <c r="E402" s="7" t="s">
        <v>2070</v>
      </c>
      <c r="F402" s="6" t="s">
        <v>2071</v>
      </c>
      <c r="G402" s="107">
        <v>45839</v>
      </c>
      <c r="H402" s="108">
        <v>45809</v>
      </c>
      <c r="I402" s="264">
        <v>4056</v>
      </c>
      <c r="J402" s="315" t="s">
        <v>2136</v>
      </c>
      <c r="K402" s="292">
        <v>1856.63</v>
      </c>
      <c r="L402" s="9">
        <v>27400</v>
      </c>
      <c r="M402" s="9">
        <f>+L402*0.08</f>
        <v>2192</v>
      </c>
      <c r="N402" s="9">
        <f t="shared" si="51"/>
        <v>13700</v>
      </c>
      <c r="O402" s="9">
        <f t="shared" si="52"/>
        <v>9651.369999999999</v>
      </c>
      <c r="P402" s="9">
        <f t="shared" si="53"/>
        <v>4048.63</v>
      </c>
      <c r="Q402" s="109">
        <f t="shared" si="54"/>
        <v>0.70447956204379558</v>
      </c>
      <c r="R402" s="395">
        <f>VLOOKUP(C402,'[1]ORIGINAL (2)'!$A:$C,3,FALSE)</f>
        <v>130</v>
      </c>
      <c r="S402" s="24" t="e">
        <f>VLOOKUP(C402,#REF!,6,FALSE)</f>
        <v>#REF!</v>
      </c>
      <c r="T402" s="24" t="e">
        <f>VLOOKUP(C402,#REF!,7,FALSE)</f>
        <v>#REF!</v>
      </c>
      <c r="U402" s="24" t="e">
        <f>VLOOKUP(C402,#REF!,12,FALSE)</f>
        <v>#REF!</v>
      </c>
      <c r="V402" s="24" t="e">
        <f>VLOOKUP(C402,#REF!,13,FALSE)</f>
        <v>#REF!</v>
      </c>
    </row>
    <row r="403" spans="1:22" x14ac:dyDescent="0.25">
      <c r="A403" s="6" t="s">
        <v>2075</v>
      </c>
      <c r="B403" s="279">
        <v>9789500216494</v>
      </c>
      <c r="C403" s="6">
        <v>731832</v>
      </c>
      <c r="D403" s="41">
        <v>160</v>
      </c>
      <c r="E403" s="6" t="s">
        <v>2076</v>
      </c>
      <c r="F403" s="6" t="s">
        <v>2077</v>
      </c>
      <c r="G403" s="107">
        <v>45839</v>
      </c>
      <c r="H403" s="108">
        <v>45901</v>
      </c>
      <c r="I403" s="293">
        <v>2040</v>
      </c>
      <c r="J403" s="7" t="s">
        <v>1762</v>
      </c>
      <c r="K403" s="148">
        <v>1406.87</v>
      </c>
      <c r="L403" s="9">
        <v>26500</v>
      </c>
      <c r="M403" s="9">
        <f>+L403*0.11</f>
        <v>2915</v>
      </c>
      <c r="N403" s="9">
        <f t="shared" si="51"/>
        <v>13250</v>
      </c>
      <c r="O403" s="9">
        <f t="shared" si="52"/>
        <v>8928.130000000001</v>
      </c>
      <c r="P403" s="9">
        <f t="shared" si="53"/>
        <v>4321.87</v>
      </c>
      <c r="Q403" s="109">
        <f t="shared" si="54"/>
        <v>0.67382113207547178</v>
      </c>
      <c r="R403" s="395">
        <f>VLOOKUP(C403,'[1]ORIGINAL (2)'!$A:$C,3,FALSE)</f>
        <v>1591</v>
      </c>
      <c r="S403" s="24" t="e">
        <f>VLOOKUP(C403,#REF!,6,FALSE)</f>
        <v>#REF!</v>
      </c>
      <c r="T403" s="24" t="e">
        <f>VLOOKUP(C403,#REF!,7,FALSE)</f>
        <v>#REF!</v>
      </c>
      <c r="U403" s="24" t="e">
        <f>VLOOKUP(C403,#REF!,12,FALSE)</f>
        <v>#REF!</v>
      </c>
      <c r="V403" s="24" t="e">
        <f>VLOOKUP(C403,#REF!,13,FALSE)</f>
        <v>#REF!</v>
      </c>
    </row>
    <row r="404" spans="1:22" x14ac:dyDescent="0.25">
      <c r="A404" s="6" t="s">
        <v>2086</v>
      </c>
      <c r="B404" s="8">
        <v>9788466243063</v>
      </c>
      <c r="C404" s="6">
        <v>722861</v>
      </c>
      <c r="D404" s="41">
        <v>256</v>
      </c>
      <c r="E404" s="8" t="s">
        <v>2087</v>
      </c>
      <c r="F404" s="6" t="s">
        <v>2088</v>
      </c>
      <c r="G404" s="107">
        <v>45839</v>
      </c>
      <c r="H404" s="108">
        <v>45809</v>
      </c>
      <c r="I404" s="7">
        <v>5005</v>
      </c>
      <c r="J404" s="315" t="s">
        <v>2219</v>
      </c>
      <c r="K404" s="148">
        <v>9310.82</v>
      </c>
      <c r="L404" s="295">
        <v>44900</v>
      </c>
      <c r="M404" s="9"/>
      <c r="N404" s="9">
        <f t="shared" si="51"/>
        <v>22450</v>
      </c>
      <c r="O404" s="9">
        <f t="shared" si="52"/>
        <v>13139.18</v>
      </c>
      <c r="P404" s="9">
        <f t="shared" si="53"/>
        <v>9310.82</v>
      </c>
      <c r="Q404" s="109">
        <f t="shared" si="54"/>
        <v>0.58526414253897552</v>
      </c>
      <c r="R404" s="395">
        <f>VLOOKUP(C404,'[1]ORIGINAL (2)'!$A:$C,3,FALSE)</f>
        <v>456</v>
      </c>
      <c r="S404" s="24" t="e">
        <f>VLOOKUP(C404,#REF!,6,FALSE)</f>
        <v>#REF!</v>
      </c>
      <c r="T404" s="24" t="e">
        <f>VLOOKUP(C404,#REF!,7,FALSE)</f>
        <v>#REF!</v>
      </c>
      <c r="U404" s="24" t="e">
        <f>VLOOKUP(C404,#REF!,12,FALSE)</f>
        <v>#REF!</v>
      </c>
      <c r="V404" s="24" t="e">
        <f>VLOOKUP(C404,#REF!,13,FALSE)</f>
        <v>#REF!</v>
      </c>
    </row>
    <row r="405" spans="1:22" x14ac:dyDescent="0.25">
      <c r="A405" s="6" t="s">
        <v>2089</v>
      </c>
      <c r="B405" s="8">
        <v>9788466243292</v>
      </c>
      <c r="C405" s="8">
        <v>722926</v>
      </c>
      <c r="D405" s="41" t="s">
        <v>2090</v>
      </c>
      <c r="E405" s="7" t="s">
        <v>2091</v>
      </c>
      <c r="F405" s="6" t="s">
        <v>2092</v>
      </c>
      <c r="G405" s="107">
        <v>45839</v>
      </c>
      <c r="H405" s="108">
        <v>45809</v>
      </c>
      <c r="I405" s="7">
        <v>4968</v>
      </c>
      <c r="J405" s="315" t="s">
        <v>2219</v>
      </c>
      <c r="K405" s="148">
        <v>6709.46</v>
      </c>
      <c r="L405" s="9">
        <v>39900</v>
      </c>
      <c r="M405" s="112"/>
      <c r="N405" s="9">
        <f t="shared" si="51"/>
        <v>19950</v>
      </c>
      <c r="O405" s="9">
        <f t="shared" si="52"/>
        <v>13240.54</v>
      </c>
      <c r="P405" s="9">
        <f t="shared" si="53"/>
        <v>6709.46</v>
      </c>
      <c r="Q405" s="139">
        <f t="shared" si="54"/>
        <v>0.66368621553884721</v>
      </c>
      <c r="R405" s="395">
        <f>VLOOKUP(C405,'[1]ORIGINAL (2)'!$A:$C,3,FALSE)</f>
        <v>826</v>
      </c>
      <c r="S405" s="24" t="e">
        <f>VLOOKUP(C405,#REF!,6,FALSE)</f>
        <v>#REF!</v>
      </c>
      <c r="T405" s="24" t="e">
        <f>VLOOKUP(C405,#REF!,7,FALSE)</f>
        <v>#REF!</v>
      </c>
      <c r="U405" s="24" t="e">
        <f>VLOOKUP(C405,#REF!,12,FALSE)</f>
        <v>#REF!</v>
      </c>
      <c r="V405" s="24" t="e">
        <f>VLOOKUP(C405,#REF!,13,FALSE)</f>
        <v>#REF!</v>
      </c>
    </row>
    <row r="406" spans="1:22" x14ac:dyDescent="0.25">
      <c r="A406" s="6" t="s">
        <v>2057</v>
      </c>
      <c r="B406" s="279">
        <v>9789500216333</v>
      </c>
      <c r="C406" s="8">
        <v>730437</v>
      </c>
      <c r="D406" s="41">
        <v>368</v>
      </c>
      <c r="E406" s="7" t="s">
        <v>2058</v>
      </c>
      <c r="F406" s="6" t="s">
        <v>2059</v>
      </c>
      <c r="G406" s="108">
        <v>45809</v>
      </c>
      <c r="H406" s="108">
        <v>45962</v>
      </c>
      <c r="I406" s="264">
        <v>2037</v>
      </c>
      <c r="J406" s="7" t="s">
        <v>1762</v>
      </c>
      <c r="K406" s="292">
        <v>3533.08</v>
      </c>
      <c r="L406" s="9">
        <v>34900</v>
      </c>
      <c r="M406" s="9">
        <f>+L406*0.1</f>
        <v>3490</v>
      </c>
      <c r="N406" s="9">
        <f t="shared" si="51"/>
        <v>17450</v>
      </c>
      <c r="O406" s="9">
        <f t="shared" si="52"/>
        <v>10426.92</v>
      </c>
      <c r="P406" s="9">
        <f t="shared" si="53"/>
        <v>7023.08</v>
      </c>
      <c r="Q406" s="139">
        <f t="shared" si="54"/>
        <v>0.59753123209169057</v>
      </c>
      <c r="R406" s="395">
        <f>VLOOKUP(C406,'[1]ORIGINAL (2)'!$A:$C,3,FALSE)</f>
        <v>543</v>
      </c>
      <c r="S406" s="24" t="e">
        <f>VLOOKUP(C406,#REF!,6,FALSE)</f>
        <v>#REF!</v>
      </c>
      <c r="T406" s="24" t="e">
        <f>VLOOKUP(C406,#REF!,7,FALSE)</f>
        <v>#REF!</v>
      </c>
      <c r="U406" s="24" t="e">
        <f>VLOOKUP(C406,#REF!,12,FALSE)</f>
        <v>#REF!</v>
      </c>
      <c r="V406" s="24" t="e">
        <f>VLOOKUP(C406,#REF!,13,FALSE)</f>
        <v>#REF!</v>
      </c>
    </row>
    <row r="407" spans="1:22" x14ac:dyDescent="0.25">
      <c r="A407" s="6" t="s">
        <v>2034</v>
      </c>
      <c r="B407" s="279">
        <v>9789500216272</v>
      </c>
      <c r="C407" s="6">
        <v>729375</v>
      </c>
      <c r="D407" s="41">
        <v>208</v>
      </c>
      <c r="E407" s="6" t="s">
        <v>2035</v>
      </c>
      <c r="F407" s="6" t="s">
        <v>2036</v>
      </c>
      <c r="G407" s="118">
        <v>45778</v>
      </c>
      <c r="H407" s="108">
        <v>45870</v>
      </c>
      <c r="I407" s="264">
        <v>2023</v>
      </c>
      <c r="J407" s="176" t="s">
        <v>1333</v>
      </c>
      <c r="K407" s="292">
        <v>1563.58</v>
      </c>
      <c r="L407" s="9">
        <v>26900</v>
      </c>
      <c r="M407" s="9">
        <f t="shared" ref="M407:M421" si="55">+L407*0.08</f>
        <v>2152</v>
      </c>
      <c r="N407" s="9">
        <f t="shared" si="51"/>
        <v>13450</v>
      </c>
      <c r="O407" s="9">
        <f t="shared" si="52"/>
        <v>9734.42</v>
      </c>
      <c r="P407" s="9">
        <f t="shared" si="53"/>
        <v>3715.58</v>
      </c>
      <c r="Q407" s="109">
        <f t="shared" si="54"/>
        <v>0.72374869888475835</v>
      </c>
      <c r="R407" s="395">
        <f>VLOOKUP(C407,'[1]ORIGINAL (2)'!$A:$C,3,FALSE)</f>
        <v>1076</v>
      </c>
      <c r="S407" s="24" t="e">
        <f>VLOOKUP(C407,#REF!,6,FALSE)</f>
        <v>#REF!</v>
      </c>
      <c r="T407" s="24" t="e">
        <f>VLOOKUP(C407,#REF!,7,FALSE)</f>
        <v>#REF!</v>
      </c>
      <c r="U407" s="24" t="e">
        <f>VLOOKUP(C407,#REF!,12,FALSE)</f>
        <v>#REF!</v>
      </c>
      <c r="V407" s="24" t="e">
        <f>VLOOKUP(C407,#REF!,13,FALSE)</f>
        <v>#REF!</v>
      </c>
    </row>
    <row r="408" spans="1:22" x14ac:dyDescent="0.25">
      <c r="A408" s="6" t="s">
        <v>2037</v>
      </c>
      <c r="B408" s="279">
        <v>9789500216289</v>
      </c>
      <c r="C408" s="6">
        <v>729376</v>
      </c>
      <c r="D408" s="41">
        <v>224</v>
      </c>
      <c r="E408" s="6" t="s">
        <v>2038</v>
      </c>
      <c r="F408" s="6" t="s">
        <v>2039</v>
      </c>
      <c r="G408" s="108">
        <v>45778</v>
      </c>
      <c r="H408" s="108">
        <v>45748</v>
      </c>
      <c r="I408" s="264">
        <v>4068</v>
      </c>
      <c r="J408" s="176" t="s">
        <v>2136</v>
      </c>
      <c r="K408" s="292">
        <v>1327.75</v>
      </c>
      <c r="L408" s="9">
        <v>28500</v>
      </c>
      <c r="M408" s="9">
        <f t="shared" si="55"/>
        <v>2280</v>
      </c>
      <c r="N408" s="9">
        <f t="shared" si="51"/>
        <v>14250</v>
      </c>
      <c r="O408" s="9">
        <f t="shared" si="52"/>
        <v>10642.25</v>
      </c>
      <c r="P408" s="9">
        <f t="shared" si="53"/>
        <v>3607.75</v>
      </c>
      <c r="Q408" s="109">
        <f t="shared" si="54"/>
        <v>0.74682456140350872</v>
      </c>
      <c r="R408" s="395">
        <f>VLOOKUP(C408,'[1]ORIGINAL (2)'!$A:$C,3,FALSE)</f>
        <v>217</v>
      </c>
      <c r="S408" s="24" t="e">
        <f>VLOOKUP(C408,#REF!,6,FALSE)</f>
        <v>#REF!</v>
      </c>
      <c r="T408" s="24" t="e">
        <f>VLOOKUP(C408,#REF!,7,FALSE)</f>
        <v>#REF!</v>
      </c>
      <c r="U408" s="24" t="e">
        <f>VLOOKUP(C408,#REF!,12,FALSE)</f>
        <v>#REF!</v>
      </c>
      <c r="V408" s="24" t="e">
        <f>VLOOKUP(C408,#REF!,13,FALSE)</f>
        <v>#REF!</v>
      </c>
    </row>
    <row r="409" spans="1:22" x14ac:dyDescent="0.25">
      <c r="A409" s="6" t="s">
        <v>2018</v>
      </c>
      <c r="B409" s="279">
        <v>9789500216159</v>
      </c>
      <c r="C409" s="6">
        <v>728123</v>
      </c>
      <c r="D409" s="41">
        <v>176</v>
      </c>
      <c r="E409" s="8" t="s">
        <v>2019</v>
      </c>
      <c r="F409" s="6" t="s">
        <v>2020</v>
      </c>
      <c r="G409" s="107">
        <v>45748</v>
      </c>
      <c r="H409" s="108">
        <v>45717</v>
      </c>
      <c r="I409" s="264">
        <v>3557</v>
      </c>
      <c r="J409" s="28" t="s">
        <v>2136</v>
      </c>
      <c r="K409" s="292">
        <v>1145.3399999999999</v>
      </c>
      <c r="L409" s="9">
        <v>25900</v>
      </c>
      <c r="M409" s="9">
        <f t="shared" si="55"/>
        <v>2072</v>
      </c>
      <c r="N409" s="9">
        <f t="shared" si="51"/>
        <v>12950</v>
      </c>
      <c r="O409" s="9">
        <f t="shared" si="52"/>
        <v>9732.66</v>
      </c>
      <c r="P409" s="9">
        <f t="shared" si="53"/>
        <v>3217.34</v>
      </c>
      <c r="Q409" s="109">
        <f t="shared" si="54"/>
        <v>0.75155675675675671</v>
      </c>
      <c r="R409" s="395">
        <f>VLOOKUP(C409,'[1]ORIGINAL (2)'!$A:$C,3,FALSE)</f>
        <v>173</v>
      </c>
      <c r="S409" s="24" t="e">
        <f>VLOOKUP(C409,#REF!,6,FALSE)</f>
        <v>#REF!</v>
      </c>
      <c r="T409" s="24" t="e">
        <f>VLOOKUP(C409,#REF!,7,FALSE)</f>
        <v>#REF!</v>
      </c>
      <c r="U409" s="24" t="e">
        <f>VLOOKUP(C409,#REF!,12,FALSE)</f>
        <v>#REF!</v>
      </c>
      <c r="V409" s="24" t="e">
        <f>VLOOKUP(C409,#REF!,13,FALSE)</f>
        <v>#REF!</v>
      </c>
    </row>
    <row r="410" spans="1:22" x14ac:dyDescent="0.25">
      <c r="A410" s="6" t="s">
        <v>1989</v>
      </c>
      <c r="B410" s="279">
        <v>9789500215992</v>
      </c>
      <c r="C410" s="6">
        <v>727018</v>
      </c>
      <c r="D410" s="41">
        <v>176</v>
      </c>
      <c r="E410" s="8" t="s">
        <v>1990</v>
      </c>
      <c r="F410" s="6" t="s">
        <v>1991</v>
      </c>
      <c r="G410" s="107">
        <v>45717</v>
      </c>
      <c r="H410" s="108">
        <v>46082</v>
      </c>
      <c r="I410" s="264">
        <v>2091</v>
      </c>
      <c r="J410" s="8" t="s">
        <v>1333</v>
      </c>
      <c r="K410" s="292">
        <v>2723.39</v>
      </c>
      <c r="L410" s="9">
        <v>26900</v>
      </c>
      <c r="M410" s="112">
        <f t="shared" si="55"/>
        <v>2152</v>
      </c>
      <c r="N410" s="9">
        <f t="shared" si="51"/>
        <v>13450</v>
      </c>
      <c r="O410" s="9">
        <f t="shared" si="52"/>
        <v>8574.61</v>
      </c>
      <c r="P410" s="9">
        <f t="shared" si="53"/>
        <v>4875.3899999999994</v>
      </c>
      <c r="Q410" s="139">
        <f t="shared" si="54"/>
        <v>0.63751747211895915</v>
      </c>
      <c r="R410" s="395">
        <f>VLOOKUP(C410,'[1]ORIGINAL (2)'!$A:$C,3,FALSE)</f>
        <v>1049</v>
      </c>
      <c r="S410" s="24" t="e">
        <f>VLOOKUP(C410,#REF!,6,FALSE)</f>
        <v>#REF!</v>
      </c>
      <c r="T410" s="24" t="e">
        <f>VLOOKUP(C410,#REF!,7,FALSE)</f>
        <v>#REF!</v>
      </c>
      <c r="U410" s="24" t="e">
        <f>VLOOKUP(C410,#REF!,12,FALSE)</f>
        <v>#REF!</v>
      </c>
      <c r="V410" s="24" t="e">
        <f>VLOOKUP(C410,#REF!,13,FALSE)</f>
        <v>#REF!</v>
      </c>
    </row>
    <row r="411" spans="1:22" x14ac:dyDescent="0.25">
      <c r="A411" s="6" t="s">
        <v>1972</v>
      </c>
      <c r="B411" s="8">
        <v>9789500215909</v>
      </c>
      <c r="C411" s="6">
        <v>725696</v>
      </c>
      <c r="D411" s="41">
        <v>176</v>
      </c>
      <c r="E411" s="288" t="s">
        <v>1973</v>
      </c>
      <c r="F411" s="6" t="s">
        <v>1974</v>
      </c>
      <c r="G411" s="107">
        <v>45689</v>
      </c>
      <c r="H411" s="108">
        <v>46143</v>
      </c>
      <c r="I411" s="7">
        <v>2010</v>
      </c>
      <c r="J411" s="8" t="s">
        <v>1333</v>
      </c>
      <c r="K411" s="292">
        <v>1241.6600000000001</v>
      </c>
      <c r="L411" s="9">
        <v>26900</v>
      </c>
      <c r="M411" s="9">
        <f t="shared" si="55"/>
        <v>2152</v>
      </c>
      <c r="N411" s="9">
        <f t="shared" si="51"/>
        <v>13450</v>
      </c>
      <c r="O411" s="9">
        <f t="shared" si="52"/>
        <v>10056.34</v>
      </c>
      <c r="P411" s="9">
        <f t="shared" si="53"/>
        <v>3393.66</v>
      </c>
      <c r="Q411" s="109">
        <f t="shared" si="54"/>
        <v>0.74768327137546464</v>
      </c>
      <c r="R411" s="395">
        <f>VLOOKUP(C411,'[1]ORIGINAL (2)'!$A:$C,3,FALSE)</f>
        <v>2313</v>
      </c>
      <c r="S411" s="24" t="e">
        <f>VLOOKUP(C411,#REF!,6,FALSE)</f>
        <v>#REF!</v>
      </c>
      <c r="T411" s="24" t="e">
        <f>VLOOKUP(C411,#REF!,7,FALSE)</f>
        <v>#REF!</v>
      </c>
      <c r="U411" s="24" t="e">
        <f>VLOOKUP(C411,#REF!,12,FALSE)</f>
        <v>#REF!</v>
      </c>
      <c r="V411" s="24" t="e">
        <f>VLOOKUP(C411,#REF!,13,FALSE)</f>
        <v>#REF!</v>
      </c>
    </row>
    <row r="412" spans="1:22" x14ac:dyDescent="0.25">
      <c r="A412" s="7" t="s">
        <v>1908</v>
      </c>
      <c r="B412" s="279">
        <v>9789500215534</v>
      </c>
      <c r="C412" s="8">
        <v>721547</v>
      </c>
      <c r="D412" s="25">
        <v>208</v>
      </c>
      <c r="E412" s="278" t="s">
        <v>1909</v>
      </c>
      <c r="F412" s="278" t="s">
        <v>1910</v>
      </c>
      <c r="G412" s="107">
        <v>45566</v>
      </c>
      <c r="H412" s="107">
        <v>45536</v>
      </c>
      <c r="I412" s="264">
        <v>4059</v>
      </c>
      <c r="J412" s="280" t="s">
        <v>1333</v>
      </c>
      <c r="K412" s="281">
        <v>1387.64</v>
      </c>
      <c r="L412" s="9">
        <v>26900</v>
      </c>
      <c r="M412" s="112">
        <f t="shared" si="55"/>
        <v>2152</v>
      </c>
      <c r="N412" s="9">
        <f t="shared" si="51"/>
        <v>13450</v>
      </c>
      <c r="O412" s="9">
        <f t="shared" si="52"/>
        <v>9910.36</v>
      </c>
      <c r="P412" s="9">
        <f t="shared" si="53"/>
        <v>3539.6400000000003</v>
      </c>
      <c r="Q412" s="139">
        <f t="shared" si="54"/>
        <v>0.73682973977695176</v>
      </c>
      <c r="R412" s="395">
        <f>VLOOKUP(C412,'[1]ORIGINAL (2)'!$A:$C,3,FALSE)</f>
        <v>230</v>
      </c>
      <c r="S412" s="24" t="e">
        <f>VLOOKUP(C412,#REF!,6,FALSE)</f>
        <v>#REF!</v>
      </c>
      <c r="T412" s="24" t="e">
        <f>VLOOKUP(C412,#REF!,7,FALSE)</f>
        <v>#REF!</v>
      </c>
      <c r="U412" s="24" t="e">
        <f>VLOOKUP(C412,#REF!,12,FALSE)</f>
        <v>#REF!</v>
      </c>
      <c r="V412" s="24" t="e">
        <f>VLOOKUP(C412,#REF!,13,FALSE)</f>
        <v>#REF!</v>
      </c>
    </row>
    <row r="413" spans="1:22" x14ac:dyDescent="0.25">
      <c r="A413" s="7" t="s">
        <v>1905</v>
      </c>
      <c r="B413" s="279">
        <v>9789500215589</v>
      </c>
      <c r="C413" s="8">
        <v>721546</v>
      </c>
      <c r="D413" s="41">
        <v>192</v>
      </c>
      <c r="E413" s="278" t="s">
        <v>1906</v>
      </c>
      <c r="F413" s="278" t="s">
        <v>1907</v>
      </c>
      <c r="G413" s="107">
        <v>45566</v>
      </c>
      <c r="H413" s="107">
        <v>45536</v>
      </c>
      <c r="I413" s="264">
        <v>3110</v>
      </c>
      <c r="J413" s="280" t="s">
        <v>2136</v>
      </c>
      <c r="K413" s="148">
        <v>1454.07</v>
      </c>
      <c r="L413" s="9">
        <v>26900</v>
      </c>
      <c r="M413" s="112">
        <f t="shared" si="55"/>
        <v>2152</v>
      </c>
      <c r="N413" s="9">
        <f t="shared" si="51"/>
        <v>13450</v>
      </c>
      <c r="O413" s="9">
        <f t="shared" si="52"/>
        <v>9843.93</v>
      </c>
      <c r="P413" s="9">
        <f t="shared" si="53"/>
        <v>3606.0699999999997</v>
      </c>
      <c r="Q413" s="139">
        <f t="shared" si="54"/>
        <v>0.73189070631970266</v>
      </c>
      <c r="R413" s="395">
        <f>VLOOKUP(C413,'[1]ORIGINAL (2)'!$A:$C,3,FALSE)</f>
        <v>90</v>
      </c>
      <c r="S413" s="24" t="e">
        <f>VLOOKUP(C413,#REF!,6,FALSE)</f>
        <v>#REF!</v>
      </c>
      <c r="T413" s="24" t="e">
        <f>VLOOKUP(C413,#REF!,7,FALSE)</f>
        <v>#REF!</v>
      </c>
      <c r="U413" s="24" t="e">
        <f>VLOOKUP(C413,#REF!,12,FALSE)</f>
        <v>#REF!</v>
      </c>
      <c r="V413" s="24" t="e">
        <f>VLOOKUP(C413,#REF!,13,FALSE)</f>
        <v>#REF!</v>
      </c>
    </row>
    <row r="414" spans="1:22" x14ac:dyDescent="0.25">
      <c r="A414" s="7" t="s">
        <v>1898</v>
      </c>
      <c r="B414" s="8">
        <v>9789500215466</v>
      </c>
      <c r="C414" s="8">
        <v>719962</v>
      </c>
      <c r="D414" s="41">
        <v>272</v>
      </c>
      <c r="E414" s="7" t="s">
        <v>1899</v>
      </c>
      <c r="F414" s="7" t="s">
        <v>1897</v>
      </c>
      <c r="G414" s="107">
        <v>45536</v>
      </c>
      <c r="H414" s="108">
        <v>45992</v>
      </c>
      <c r="I414" s="267">
        <v>3083</v>
      </c>
      <c r="J414" s="8" t="s">
        <v>2258</v>
      </c>
      <c r="K414" s="292">
        <v>1668.34</v>
      </c>
      <c r="L414" s="9">
        <v>32400</v>
      </c>
      <c r="M414" s="112">
        <f t="shared" si="55"/>
        <v>2592</v>
      </c>
      <c r="N414" s="9">
        <f t="shared" si="51"/>
        <v>16200</v>
      </c>
      <c r="O414" s="9">
        <f t="shared" si="52"/>
        <v>11939.66</v>
      </c>
      <c r="P414" s="9">
        <f t="shared" si="53"/>
        <v>4260.34</v>
      </c>
      <c r="Q414" s="139">
        <f t="shared" si="54"/>
        <v>0.73701604938271603</v>
      </c>
      <c r="R414" s="395">
        <f>VLOOKUP(C414,'[1]ORIGINAL (2)'!$A:$C,3,FALSE)</f>
        <v>2184</v>
      </c>
      <c r="S414" s="24" t="e">
        <f>VLOOKUP(C414,#REF!,6,FALSE)</f>
        <v>#REF!</v>
      </c>
      <c r="T414" s="24" t="e">
        <f>VLOOKUP(C414,#REF!,7,FALSE)</f>
        <v>#REF!</v>
      </c>
      <c r="U414" s="24" t="e">
        <f>VLOOKUP(C414,#REF!,12,FALSE)</f>
        <v>#REF!</v>
      </c>
      <c r="V414" s="24" t="e">
        <f>VLOOKUP(C414,#REF!,13,FALSE)</f>
        <v>#REF!</v>
      </c>
    </row>
    <row r="415" spans="1:22" x14ac:dyDescent="0.25">
      <c r="A415" s="6" t="s">
        <v>1871</v>
      </c>
      <c r="B415" s="8">
        <v>9789500215206</v>
      </c>
      <c r="C415" s="8">
        <v>717947</v>
      </c>
      <c r="D415" s="41">
        <v>192</v>
      </c>
      <c r="E415" s="7" t="s">
        <v>1872</v>
      </c>
      <c r="F415" s="7" t="s">
        <v>1866</v>
      </c>
      <c r="G415" s="107">
        <v>45474</v>
      </c>
      <c r="H415" s="108">
        <v>45444</v>
      </c>
      <c r="I415" s="264">
        <v>3056</v>
      </c>
      <c r="J415" s="8" t="s">
        <v>1333</v>
      </c>
      <c r="K415" s="148">
        <v>1676.86</v>
      </c>
      <c r="L415" s="9">
        <v>22000</v>
      </c>
      <c r="M415" s="112">
        <f t="shared" si="55"/>
        <v>1760</v>
      </c>
      <c r="N415" s="9">
        <f t="shared" si="51"/>
        <v>11000</v>
      </c>
      <c r="O415" s="9">
        <f t="shared" si="52"/>
        <v>7563.14</v>
      </c>
      <c r="P415" s="9">
        <f t="shared" si="53"/>
        <v>3436.8599999999997</v>
      </c>
      <c r="Q415" s="139">
        <f t="shared" si="54"/>
        <v>0.68755818181818185</v>
      </c>
      <c r="R415" s="395">
        <f>VLOOKUP(C415,'[1]ORIGINAL (2)'!$A:$C,3,FALSE)</f>
        <v>35</v>
      </c>
      <c r="S415" s="24" t="e">
        <f>VLOOKUP(C415,#REF!,6,FALSE)</f>
        <v>#REF!</v>
      </c>
      <c r="T415" s="24" t="e">
        <f>VLOOKUP(C415,#REF!,7,FALSE)</f>
        <v>#REF!</v>
      </c>
      <c r="U415" s="24" t="e">
        <f>VLOOKUP(C415,#REF!,12,FALSE)</f>
        <v>#REF!</v>
      </c>
      <c r="V415" s="24" t="e">
        <f>VLOOKUP(C415,#REF!,13,FALSE)</f>
        <v>#REF!</v>
      </c>
    </row>
    <row r="416" spans="1:22" x14ac:dyDescent="0.25">
      <c r="A416" s="6" t="s">
        <v>1833</v>
      </c>
      <c r="B416" s="8">
        <v>9789500215138</v>
      </c>
      <c r="C416" s="8">
        <v>716992</v>
      </c>
      <c r="D416" s="41">
        <v>240</v>
      </c>
      <c r="E416" s="7" t="s">
        <v>1834</v>
      </c>
      <c r="F416" s="7" t="s">
        <v>1835</v>
      </c>
      <c r="G416" s="107">
        <v>45444</v>
      </c>
      <c r="H416" s="108">
        <v>45778</v>
      </c>
      <c r="I416" s="7">
        <v>2085</v>
      </c>
      <c r="J416" s="176" t="s">
        <v>2136</v>
      </c>
      <c r="K416" s="148">
        <v>1841.14</v>
      </c>
      <c r="L416" s="9">
        <v>28500</v>
      </c>
      <c r="M416" s="112">
        <f t="shared" si="55"/>
        <v>2280</v>
      </c>
      <c r="N416" s="9">
        <f t="shared" si="51"/>
        <v>14250</v>
      </c>
      <c r="O416" s="9">
        <f t="shared" si="52"/>
        <v>10128.86</v>
      </c>
      <c r="P416" s="9">
        <f t="shared" si="53"/>
        <v>4121.1400000000003</v>
      </c>
      <c r="Q416" s="139">
        <f t="shared" si="54"/>
        <v>0.71079719298245614</v>
      </c>
      <c r="R416" s="395">
        <f>VLOOKUP(C416,'[1]ORIGINAL (2)'!$A:$C,3,FALSE)</f>
        <v>158</v>
      </c>
      <c r="S416" s="24" t="e">
        <f>VLOOKUP(C416,#REF!,6,FALSE)</f>
        <v>#REF!</v>
      </c>
      <c r="T416" s="24" t="e">
        <f>VLOOKUP(C416,#REF!,7,FALSE)</f>
        <v>#REF!</v>
      </c>
      <c r="U416" s="24" t="e">
        <f>VLOOKUP(C416,#REF!,12,FALSE)</f>
        <v>#REF!</v>
      </c>
      <c r="V416" s="24" t="e">
        <f>VLOOKUP(C416,#REF!,13,FALSE)</f>
        <v>#REF!</v>
      </c>
    </row>
    <row r="417" spans="1:22" x14ac:dyDescent="0.25">
      <c r="A417" s="6" t="s">
        <v>1319</v>
      </c>
      <c r="B417" s="8">
        <v>9789500214247</v>
      </c>
      <c r="C417" s="8">
        <v>710538</v>
      </c>
      <c r="D417" s="41">
        <v>256</v>
      </c>
      <c r="E417" s="7" t="s">
        <v>856</v>
      </c>
      <c r="F417" s="6" t="s">
        <v>857</v>
      </c>
      <c r="G417" s="107">
        <v>45231</v>
      </c>
      <c r="H417" s="108">
        <v>45200</v>
      </c>
      <c r="I417" s="7">
        <v>3025</v>
      </c>
      <c r="J417" s="28" t="s">
        <v>2136</v>
      </c>
      <c r="K417" s="117">
        <v>751.23</v>
      </c>
      <c r="L417" s="9">
        <v>24900</v>
      </c>
      <c r="M417" s="112">
        <f t="shared" si="55"/>
        <v>1992</v>
      </c>
      <c r="N417" s="9">
        <f t="shared" si="51"/>
        <v>12450</v>
      </c>
      <c r="O417" s="9">
        <f t="shared" si="52"/>
        <v>9706.77</v>
      </c>
      <c r="P417" s="9">
        <f t="shared" si="53"/>
        <v>2743.23</v>
      </c>
      <c r="Q417" s="139">
        <f t="shared" si="54"/>
        <v>0.77966024096385544</v>
      </c>
      <c r="R417" s="395">
        <f>VLOOKUP(C417,'[1]ORIGINAL (2)'!$A:$C,3,FALSE)</f>
        <v>458</v>
      </c>
      <c r="S417" s="24" t="e">
        <f>VLOOKUP(C417,#REF!,6,FALSE)</f>
        <v>#REF!</v>
      </c>
      <c r="T417" s="24" t="e">
        <f>VLOOKUP(C417,#REF!,7,FALSE)</f>
        <v>#REF!</v>
      </c>
      <c r="U417" s="24" t="e">
        <f>VLOOKUP(C417,#REF!,12,FALSE)</f>
        <v>#REF!</v>
      </c>
      <c r="V417" s="24" t="e">
        <f>VLOOKUP(C417,#REF!,13,FALSE)</f>
        <v>#REF!</v>
      </c>
    </row>
    <row r="418" spans="1:22" x14ac:dyDescent="0.25">
      <c r="A418" s="6" t="s">
        <v>1320</v>
      </c>
      <c r="B418" s="8">
        <v>9789500214186</v>
      </c>
      <c r="C418" s="8">
        <v>709893</v>
      </c>
      <c r="D418" s="41">
        <v>256</v>
      </c>
      <c r="E418" s="7" t="s">
        <v>846</v>
      </c>
      <c r="F418" s="6" t="s">
        <v>847</v>
      </c>
      <c r="G418" s="107">
        <v>45200</v>
      </c>
      <c r="H418" s="108">
        <v>45717</v>
      </c>
      <c r="I418" s="293">
        <v>2099</v>
      </c>
      <c r="J418" s="8" t="s">
        <v>2136</v>
      </c>
      <c r="K418" s="117">
        <v>1836.57</v>
      </c>
      <c r="L418" s="295">
        <v>23900</v>
      </c>
      <c r="M418" s="112">
        <f t="shared" si="55"/>
        <v>1912</v>
      </c>
      <c r="N418" s="9">
        <f t="shared" si="51"/>
        <v>11950</v>
      </c>
      <c r="O418" s="9">
        <f t="shared" si="52"/>
        <v>8201.43</v>
      </c>
      <c r="P418" s="9">
        <f t="shared" si="53"/>
        <v>3748.5699999999997</v>
      </c>
      <c r="Q418" s="139">
        <f t="shared" si="54"/>
        <v>0.68631213389121337</v>
      </c>
      <c r="R418" s="395">
        <f>VLOOKUP(C418,'[1]ORIGINAL (2)'!$A:$C,3,FALSE)</f>
        <v>78</v>
      </c>
      <c r="S418" s="24" t="e">
        <f>VLOOKUP(C418,#REF!,6,FALSE)</f>
        <v>#REF!</v>
      </c>
      <c r="T418" s="24" t="e">
        <f>VLOOKUP(C418,#REF!,7,FALSE)</f>
        <v>#REF!</v>
      </c>
      <c r="U418" s="24" t="e">
        <f>VLOOKUP(C418,#REF!,12,FALSE)</f>
        <v>#REF!</v>
      </c>
      <c r="V418" s="24" t="e">
        <f>VLOOKUP(C418,#REF!,13,FALSE)</f>
        <v>#REF!</v>
      </c>
    </row>
    <row r="419" spans="1:22" x14ac:dyDescent="0.25">
      <c r="A419" s="6" t="s">
        <v>1321</v>
      </c>
      <c r="B419" s="8">
        <v>9789500214155</v>
      </c>
      <c r="C419" s="8">
        <v>709894</v>
      </c>
      <c r="D419" s="41">
        <v>240</v>
      </c>
      <c r="E419" s="7" t="s">
        <v>848</v>
      </c>
      <c r="F419" s="6" t="s">
        <v>849</v>
      </c>
      <c r="G419" s="107">
        <v>45200</v>
      </c>
      <c r="H419" s="108">
        <v>45170</v>
      </c>
      <c r="I419" s="7">
        <v>3131</v>
      </c>
      <c r="J419" s="28" t="s">
        <v>2136</v>
      </c>
      <c r="K419" s="117">
        <v>684.51</v>
      </c>
      <c r="L419" s="9">
        <v>23500</v>
      </c>
      <c r="M419" s="112">
        <f t="shared" si="55"/>
        <v>1880</v>
      </c>
      <c r="N419" s="9">
        <f t="shared" si="51"/>
        <v>11750</v>
      </c>
      <c r="O419" s="9">
        <f t="shared" si="52"/>
        <v>9185.49</v>
      </c>
      <c r="P419" s="9">
        <f t="shared" si="53"/>
        <v>2564.5100000000002</v>
      </c>
      <c r="Q419" s="139">
        <f t="shared" si="54"/>
        <v>0.781743829787234</v>
      </c>
      <c r="R419" s="395">
        <f>VLOOKUP(C419,'[1]ORIGINAL (2)'!$A:$C,3,FALSE)</f>
        <v>130</v>
      </c>
      <c r="S419" s="24" t="e">
        <f>VLOOKUP(C419,#REF!,6,FALSE)</f>
        <v>#REF!</v>
      </c>
      <c r="T419" s="24" t="e">
        <f>VLOOKUP(C419,#REF!,7,FALSE)</f>
        <v>#REF!</v>
      </c>
      <c r="U419" s="24" t="e">
        <f>VLOOKUP(C419,#REF!,12,FALSE)</f>
        <v>#REF!</v>
      </c>
      <c r="V419" s="24" t="e">
        <f>VLOOKUP(C419,#REF!,13,FALSE)</f>
        <v>#REF!</v>
      </c>
    </row>
    <row r="420" spans="1:22" x14ac:dyDescent="0.25">
      <c r="A420" s="6" t="s">
        <v>1322</v>
      </c>
      <c r="B420" s="8">
        <v>9789500213721</v>
      </c>
      <c r="C420" s="6">
        <v>705126</v>
      </c>
      <c r="D420" s="41">
        <v>272</v>
      </c>
      <c r="E420" s="7" t="s">
        <v>676</v>
      </c>
      <c r="F420" s="7" t="s">
        <v>788</v>
      </c>
      <c r="G420" s="107">
        <v>45047</v>
      </c>
      <c r="H420" s="108">
        <v>45017</v>
      </c>
      <c r="I420" s="7">
        <v>3120</v>
      </c>
      <c r="J420" s="28" t="s">
        <v>1762</v>
      </c>
      <c r="K420" s="9">
        <v>1159.58</v>
      </c>
      <c r="L420" s="9">
        <v>35900</v>
      </c>
      <c r="M420" s="112">
        <f t="shared" si="55"/>
        <v>2872</v>
      </c>
      <c r="N420" s="9">
        <f t="shared" si="51"/>
        <v>17950</v>
      </c>
      <c r="O420" s="9">
        <f t="shared" si="52"/>
        <v>13918.42</v>
      </c>
      <c r="P420" s="9">
        <f t="shared" si="53"/>
        <v>4031.58</v>
      </c>
      <c r="Q420" s="139">
        <f t="shared" si="54"/>
        <v>0.77539944289693596</v>
      </c>
      <c r="R420" s="395">
        <f>VLOOKUP(C420,'[1]ORIGINAL (2)'!$A:$C,3,FALSE)</f>
        <v>96</v>
      </c>
      <c r="S420" s="24" t="e">
        <f>VLOOKUP(C420,#REF!,6,FALSE)</f>
        <v>#REF!</v>
      </c>
      <c r="T420" s="24" t="e">
        <f>VLOOKUP(C420,#REF!,7,FALSE)</f>
        <v>#REF!</v>
      </c>
      <c r="U420" s="24" t="e">
        <f>VLOOKUP(C420,#REF!,12,FALSE)</f>
        <v>#REF!</v>
      </c>
      <c r="V420" s="24" t="e">
        <f>VLOOKUP(C420,#REF!,13,FALSE)</f>
        <v>#REF!</v>
      </c>
    </row>
    <row r="421" spans="1:22" x14ac:dyDescent="0.25">
      <c r="A421" s="6" t="s">
        <v>1323</v>
      </c>
      <c r="B421" s="8">
        <v>9789500213387</v>
      </c>
      <c r="C421" s="6">
        <v>702979</v>
      </c>
      <c r="D421" s="41">
        <v>256</v>
      </c>
      <c r="E421" s="7" t="s">
        <v>757</v>
      </c>
      <c r="F421" s="7" t="s">
        <v>753</v>
      </c>
      <c r="G421" s="107">
        <v>44958</v>
      </c>
      <c r="H421" s="107">
        <v>45536</v>
      </c>
      <c r="I421" s="7">
        <v>3135</v>
      </c>
      <c r="J421" s="28" t="s">
        <v>2136</v>
      </c>
      <c r="K421" s="9">
        <v>1484.48</v>
      </c>
      <c r="L421" s="9">
        <v>29900</v>
      </c>
      <c r="M421" s="112">
        <f t="shared" si="55"/>
        <v>2392</v>
      </c>
      <c r="N421" s="9">
        <f t="shared" si="51"/>
        <v>14950</v>
      </c>
      <c r="O421" s="9">
        <f t="shared" si="52"/>
        <v>11073.52</v>
      </c>
      <c r="P421" s="9">
        <f t="shared" si="53"/>
        <v>3876.48</v>
      </c>
      <c r="Q421" s="139">
        <f t="shared" si="54"/>
        <v>0.74070367892976596</v>
      </c>
      <c r="R421" s="395">
        <f>VLOOKUP(C421,'[1]ORIGINAL (2)'!$A:$C,3,FALSE)</f>
        <v>1334</v>
      </c>
      <c r="S421" s="24" t="e">
        <f>VLOOKUP(C421,#REF!,6,FALSE)</f>
        <v>#REF!</v>
      </c>
      <c r="T421" s="24" t="e">
        <f>VLOOKUP(C421,#REF!,7,FALSE)</f>
        <v>#REF!</v>
      </c>
      <c r="U421" s="24" t="e">
        <f>VLOOKUP(C421,#REF!,12,FALSE)</f>
        <v>#REF!</v>
      </c>
      <c r="V421" s="24" t="e">
        <f>VLOOKUP(C421,#REF!,13,FALSE)</f>
        <v>#REF!</v>
      </c>
    </row>
    <row r="422" spans="1:22" x14ac:dyDescent="0.25">
      <c r="A422" s="6" t="s">
        <v>1324</v>
      </c>
      <c r="B422" s="8">
        <v>9789500213042</v>
      </c>
      <c r="C422" s="6">
        <v>698749</v>
      </c>
      <c r="D422" s="41">
        <v>240</v>
      </c>
      <c r="E422" s="7" t="s">
        <v>580</v>
      </c>
      <c r="F422" s="7" t="s">
        <v>721</v>
      </c>
      <c r="G422" s="107">
        <v>44835</v>
      </c>
      <c r="H422" s="108">
        <v>45689</v>
      </c>
      <c r="I422" s="7">
        <v>2055</v>
      </c>
      <c r="J422" s="28" t="s">
        <v>2136</v>
      </c>
      <c r="K422" s="117">
        <v>3137.17</v>
      </c>
      <c r="L422" s="9">
        <v>29900</v>
      </c>
      <c r="M422" s="9">
        <f>+L422*0.1</f>
        <v>2990</v>
      </c>
      <c r="N422" s="9">
        <f t="shared" si="51"/>
        <v>14950</v>
      </c>
      <c r="O422" s="9">
        <f t="shared" si="52"/>
        <v>8822.83</v>
      </c>
      <c r="P422" s="9">
        <f t="shared" si="53"/>
        <v>6127.17</v>
      </c>
      <c r="Q422" s="139">
        <f t="shared" si="54"/>
        <v>0.59015585284280936</v>
      </c>
      <c r="R422" s="395">
        <f>VLOOKUP(C422,'[1]ORIGINAL (2)'!$A:$C,3,FALSE)</f>
        <v>213</v>
      </c>
      <c r="S422" s="24" t="e">
        <f>VLOOKUP(C422,#REF!,6,FALSE)</f>
        <v>#REF!</v>
      </c>
      <c r="T422" s="24" t="e">
        <f>VLOOKUP(C422,#REF!,7,FALSE)</f>
        <v>#REF!</v>
      </c>
      <c r="U422" s="24" t="e">
        <f>VLOOKUP(C422,#REF!,12,FALSE)</f>
        <v>#REF!</v>
      </c>
      <c r="V422" s="24" t="e">
        <f>VLOOKUP(C422,#REF!,13,FALSE)</f>
        <v>#REF!</v>
      </c>
    </row>
    <row r="423" spans="1:22" x14ac:dyDescent="0.25">
      <c r="A423" s="6" t="s">
        <v>1325</v>
      </c>
      <c r="B423" s="8">
        <v>9789500213233</v>
      </c>
      <c r="C423" s="8">
        <v>699697</v>
      </c>
      <c r="D423" s="41">
        <v>224</v>
      </c>
      <c r="E423" s="7" t="s">
        <v>734</v>
      </c>
      <c r="F423" s="7" t="s">
        <v>733</v>
      </c>
      <c r="G423" s="107">
        <v>44866</v>
      </c>
      <c r="H423" s="107">
        <v>44835</v>
      </c>
      <c r="I423" s="7">
        <v>5100</v>
      </c>
      <c r="J423" s="28" t="s">
        <v>1762</v>
      </c>
      <c r="K423" s="9">
        <v>580.24</v>
      </c>
      <c r="L423" s="9">
        <v>35900</v>
      </c>
      <c r="M423" s="112">
        <f>+L423*0.08</f>
        <v>2872</v>
      </c>
      <c r="N423" s="9">
        <f t="shared" si="51"/>
        <v>17950</v>
      </c>
      <c r="O423" s="9">
        <f t="shared" si="52"/>
        <v>14497.76</v>
      </c>
      <c r="P423" s="9">
        <f t="shared" si="53"/>
        <v>3452.24</v>
      </c>
      <c r="Q423" s="139">
        <f t="shared" si="54"/>
        <v>0.80767465181058495</v>
      </c>
      <c r="R423" s="395">
        <f>VLOOKUP(C423,'[1]ORIGINAL (2)'!$A:$C,3,FALSE)</f>
        <v>493</v>
      </c>
      <c r="S423" s="24" t="e">
        <f>VLOOKUP(C423,#REF!,6,FALSE)</f>
        <v>#REF!</v>
      </c>
      <c r="T423" s="24" t="e">
        <f>VLOOKUP(C423,#REF!,7,FALSE)</f>
        <v>#REF!</v>
      </c>
      <c r="U423" s="24" t="e">
        <f>VLOOKUP(C423,#REF!,12,FALSE)</f>
        <v>#REF!</v>
      </c>
      <c r="V423" s="24" t="e">
        <f>VLOOKUP(C423,#REF!,13,FALSE)</f>
        <v>#REF!</v>
      </c>
    </row>
    <row r="424" spans="1:22" x14ac:dyDescent="0.25">
      <c r="A424" s="6" t="s">
        <v>1326</v>
      </c>
      <c r="B424" s="8">
        <v>9789500212953</v>
      </c>
      <c r="C424" s="6">
        <v>697474</v>
      </c>
      <c r="D424" s="41">
        <v>304</v>
      </c>
      <c r="E424" s="7" t="s">
        <v>571</v>
      </c>
      <c r="F424" s="2" t="s">
        <v>714</v>
      </c>
      <c r="G424" s="107">
        <v>44835</v>
      </c>
      <c r="H424" s="107">
        <v>44986</v>
      </c>
      <c r="I424" s="7">
        <v>3135</v>
      </c>
      <c r="J424" s="28" t="s">
        <v>1762</v>
      </c>
      <c r="K424" s="9">
        <v>931.22</v>
      </c>
      <c r="L424" s="9">
        <v>35900</v>
      </c>
      <c r="M424" s="112">
        <f>+L424*0.08</f>
        <v>2872</v>
      </c>
      <c r="N424" s="9">
        <f t="shared" si="51"/>
        <v>17950</v>
      </c>
      <c r="O424" s="9">
        <f t="shared" si="52"/>
        <v>14146.78</v>
      </c>
      <c r="P424" s="9">
        <f t="shared" si="53"/>
        <v>3803.2200000000003</v>
      </c>
      <c r="Q424" s="139">
        <f t="shared" si="54"/>
        <v>0.78812144846796661</v>
      </c>
      <c r="R424" s="395">
        <f>VLOOKUP(C424,'[1]ORIGINAL (2)'!$A:$C,3,FALSE)</f>
        <v>447</v>
      </c>
      <c r="S424" s="24" t="e">
        <f>VLOOKUP(C424,#REF!,6,FALSE)</f>
        <v>#REF!</v>
      </c>
      <c r="T424" s="24" t="e">
        <f>VLOOKUP(C424,#REF!,7,FALSE)</f>
        <v>#REF!</v>
      </c>
      <c r="U424" s="24" t="e">
        <f>VLOOKUP(C424,#REF!,12,FALSE)</f>
        <v>#REF!</v>
      </c>
      <c r="V424" s="24" t="e">
        <f>VLOOKUP(C424,#REF!,13,FALSE)</f>
        <v>#REF!</v>
      </c>
    </row>
    <row r="425" spans="1:22" x14ac:dyDescent="0.25">
      <c r="A425" s="7" t="s">
        <v>1327</v>
      </c>
      <c r="B425" s="8">
        <v>9789500212038</v>
      </c>
      <c r="C425" s="8">
        <v>686373</v>
      </c>
      <c r="D425" s="25">
        <v>344</v>
      </c>
      <c r="E425" s="7" t="s">
        <v>571</v>
      </c>
      <c r="F425" s="7" t="s">
        <v>572</v>
      </c>
      <c r="G425" s="107">
        <v>44440</v>
      </c>
      <c r="H425" s="108">
        <v>45597</v>
      </c>
      <c r="I425" s="7">
        <v>2050</v>
      </c>
      <c r="J425" s="28" t="s">
        <v>1762</v>
      </c>
      <c r="K425" s="9">
        <v>4007.44</v>
      </c>
      <c r="L425" s="9">
        <v>35900</v>
      </c>
      <c r="M425" s="9">
        <f>+L425*0.08</f>
        <v>2872</v>
      </c>
      <c r="N425" s="9">
        <f t="shared" si="51"/>
        <v>17950</v>
      </c>
      <c r="O425" s="9">
        <f t="shared" si="52"/>
        <v>11070.56</v>
      </c>
      <c r="P425" s="9">
        <f t="shared" si="53"/>
        <v>6879.4400000000005</v>
      </c>
      <c r="Q425" s="139">
        <f t="shared" si="54"/>
        <v>0.61674428969359329</v>
      </c>
      <c r="R425" s="395">
        <f>VLOOKUP(C425,'[1]ORIGINAL (2)'!$A:$C,3,FALSE)</f>
        <v>182</v>
      </c>
      <c r="S425" s="24" t="e">
        <f>VLOOKUP(C425,#REF!,6,FALSE)</f>
        <v>#REF!</v>
      </c>
      <c r="T425" s="24" t="e">
        <f>VLOOKUP(C425,#REF!,7,FALSE)</f>
        <v>#REF!</v>
      </c>
      <c r="U425" s="24" t="e">
        <f>VLOOKUP(C425,#REF!,12,FALSE)</f>
        <v>#REF!</v>
      </c>
      <c r="V425" s="24" t="e">
        <f>VLOOKUP(C425,#REF!,13,FALSE)</f>
        <v>#REF!</v>
      </c>
    </row>
    <row r="426" spans="1:22" x14ac:dyDescent="0.25">
      <c r="A426" s="6" t="s">
        <v>1328</v>
      </c>
      <c r="B426" s="8">
        <v>9789500213035</v>
      </c>
      <c r="C426" s="6">
        <v>698748</v>
      </c>
      <c r="D426" s="41">
        <v>288</v>
      </c>
      <c r="E426" s="7" t="s">
        <v>719</v>
      </c>
      <c r="F426" s="7" t="s">
        <v>720</v>
      </c>
      <c r="G426" s="107">
        <v>44835</v>
      </c>
      <c r="H426" s="108">
        <v>44805</v>
      </c>
      <c r="I426" s="7">
        <v>10020</v>
      </c>
      <c r="J426" s="28" t="s">
        <v>1762</v>
      </c>
      <c r="K426" s="9">
        <v>526.57000000000005</v>
      </c>
      <c r="L426" s="9">
        <v>29900</v>
      </c>
      <c r="M426" s="112">
        <f>+L426*0.1</f>
        <v>2990</v>
      </c>
      <c r="N426" s="9">
        <f t="shared" si="51"/>
        <v>14950</v>
      </c>
      <c r="O426" s="9">
        <f t="shared" si="52"/>
        <v>11433.43</v>
      </c>
      <c r="P426" s="9">
        <f t="shared" si="53"/>
        <v>3516.57</v>
      </c>
      <c r="Q426" s="139">
        <f t="shared" si="54"/>
        <v>0.76477792642140474</v>
      </c>
      <c r="R426" s="395">
        <f>VLOOKUP(C426,'[1]ORIGINAL (2)'!$A:$C,3,FALSE)</f>
        <v>96</v>
      </c>
      <c r="S426" s="24" t="e">
        <f>VLOOKUP(C426,#REF!,6,FALSE)</f>
        <v>#REF!</v>
      </c>
      <c r="T426" s="24" t="e">
        <f>VLOOKUP(C426,#REF!,7,FALSE)</f>
        <v>#REF!</v>
      </c>
      <c r="U426" s="24" t="e">
        <f>VLOOKUP(C426,#REF!,12,FALSE)</f>
        <v>#REF!</v>
      </c>
      <c r="V426" s="24" t="e">
        <f>VLOOKUP(C426,#REF!,13,FALSE)</f>
        <v>#REF!</v>
      </c>
    </row>
    <row r="427" spans="1:22" x14ac:dyDescent="0.25">
      <c r="A427" s="7" t="s">
        <v>1329</v>
      </c>
      <c r="B427" s="8">
        <v>9789500212021</v>
      </c>
      <c r="C427" s="8">
        <v>686346</v>
      </c>
      <c r="D427" s="25">
        <v>192</v>
      </c>
      <c r="E427" s="9" t="s">
        <v>470</v>
      </c>
      <c r="F427" s="7" t="s">
        <v>573</v>
      </c>
      <c r="G427" s="107">
        <v>44440</v>
      </c>
      <c r="H427" s="108">
        <v>44409</v>
      </c>
      <c r="I427" s="7">
        <v>2992</v>
      </c>
      <c r="J427" s="28" t="s">
        <v>1762</v>
      </c>
      <c r="K427" s="9">
        <v>229.57</v>
      </c>
      <c r="L427" s="9">
        <v>34900</v>
      </c>
      <c r="M427" s="112">
        <f>+L427*0.1</f>
        <v>3490</v>
      </c>
      <c r="N427" s="9">
        <f t="shared" si="51"/>
        <v>17450</v>
      </c>
      <c r="O427" s="9">
        <f t="shared" si="52"/>
        <v>13730.43</v>
      </c>
      <c r="P427" s="9">
        <f t="shared" si="53"/>
        <v>3719.57</v>
      </c>
      <c r="Q427" s="139">
        <f t="shared" si="54"/>
        <v>0.78684412607449861</v>
      </c>
      <c r="R427" s="395">
        <f>VLOOKUP(C427,'[1]ORIGINAL (2)'!$A:$C,3,FALSE)</f>
        <v>41</v>
      </c>
      <c r="S427" s="24" t="e">
        <f>VLOOKUP(C427,#REF!,6,FALSE)</f>
        <v>#REF!</v>
      </c>
      <c r="T427" s="24" t="e">
        <f>VLOOKUP(C427,#REF!,7,FALSE)</f>
        <v>#REF!</v>
      </c>
      <c r="U427" s="24" t="e">
        <f>VLOOKUP(C427,#REF!,12,FALSE)</f>
        <v>#REF!</v>
      </c>
      <c r="V427" s="24" t="e">
        <f>VLOOKUP(C427,#REF!,13,FALSE)</f>
        <v>#REF!</v>
      </c>
    </row>
    <row r="428" spans="1:22" x14ac:dyDescent="0.25">
      <c r="A428" s="7" t="s">
        <v>1330</v>
      </c>
      <c r="B428" s="8">
        <v>9789500212601</v>
      </c>
      <c r="C428" s="8">
        <v>692881</v>
      </c>
      <c r="D428" s="25">
        <v>336</v>
      </c>
      <c r="E428" s="9" t="s">
        <v>676</v>
      </c>
      <c r="F428" s="7" t="s">
        <v>677</v>
      </c>
      <c r="G428" s="107">
        <v>44652</v>
      </c>
      <c r="H428" s="108">
        <v>44713</v>
      </c>
      <c r="I428" s="7">
        <v>3063</v>
      </c>
      <c r="J428" s="28" t="s">
        <v>1762</v>
      </c>
      <c r="K428" s="9">
        <v>340</v>
      </c>
      <c r="L428" s="9">
        <v>32500</v>
      </c>
      <c r="M428" s="9">
        <f>+L428*0.08</f>
        <v>2600</v>
      </c>
      <c r="N428" s="9">
        <f t="shared" si="51"/>
        <v>16250</v>
      </c>
      <c r="O428" s="9">
        <f t="shared" si="52"/>
        <v>13310</v>
      </c>
      <c r="P428" s="9">
        <f t="shared" si="53"/>
        <v>2940</v>
      </c>
      <c r="Q428" s="139">
        <f t="shared" si="54"/>
        <v>0.81907692307692304</v>
      </c>
      <c r="R428" s="395">
        <f>VLOOKUP(C428,'[1]ORIGINAL (2)'!$A:$C,3,FALSE)</f>
        <v>358</v>
      </c>
      <c r="S428" s="24" t="e">
        <f>VLOOKUP(C428,#REF!,6,FALSE)</f>
        <v>#REF!</v>
      </c>
      <c r="T428" s="24" t="e">
        <f>VLOOKUP(C428,#REF!,7,FALSE)</f>
        <v>#REF!</v>
      </c>
      <c r="U428" s="24" t="e">
        <f>VLOOKUP(C428,#REF!,12,FALSE)</f>
        <v>#REF!</v>
      </c>
      <c r="V428" s="24" t="e">
        <f>VLOOKUP(C428,#REF!,13,FALSE)</f>
        <v>#REF!</v>
      </c>
    </row>
    <row r="429" spans="1:22" x14ac:dyDescent="0.25">
      <c r="A429" s="7" t="s">
        <v>1331</v>
      </c>
      <c r="B429" s="8">
        <v>9789500210805</v>
      </c>
      <c r="C429" s="8">
        <v>677292</v>
      </c>
      <c r="D429" s="25">
        <v>216</v>
      </c>
      <c r="E429" s="7" t="s">
        <v>496</v>
      </c>
      <c r="F429" s="7" t="s">
        <v>606</v>
      </c>
      <c r="G429" s="107">
        <v>44075</v>
      </c>
      <c r="H429" s="108">
        <v>44044</v>
      </c>
      <c r="I429" s="24">
        <v>3056</v>
      </c>
      <c r="J429" s="28" t="s">
        <v>2136</v>
      </c>
      <c r="K429" s="28">
        <v>68.959999999999994</v>
      </c>
      <c r="L429" s="9">
        <v>26500</v>
      </c>
      <c r="M429" s="9">
        <f>+L429*0.1</f>
        <v>2650</v>
      </c>
      <c r="N429" s="9">
        <f t="shared" si="51"/>
        <v>13250</v>
      </c>
      <c r="O429" s="9">
        <f t="shared" si="52"/>
        <v>10531.04</v>
      </c>
      <c r="P429" s="9">
        <f t="shared" si="53"/>
        <v>2718.96</v>
      </c>
      <c r="Q429" s="139">
        <f t="shared" si="54"/>
        <v>0.79479547169811327</v>
      </c>
      <c r="R429" s="395">
        <f>VLOOKUP(C429,'[1]ORIGINAL (2)'!$A:$C,3,FALSE)</f>
        <v>201</v>
      </c>
      <c r="S429" s="24" t="e">
        <f>VLOOKUP(C429,#REF!,6,FALSE)</f>
        <v>#REF!</v>
      </c>
      <c r="T429" s="24" t="e">
        <f>VLOOKUP(C429,#REF!,7,FALSE)</f>
        <v>#REF!</v>
      </c>
      <c r="U429" s="24" t="e">
        <f>VLOOKUP(C429,#REF!,12,FALSE)</f>
        <v>#REF!</v>
      </c>
      <c r="V429" s="24" t="e">
        <f>VLOOKUP(C429,#REF!,13,FALSE)</f>
        <v>#REF!</v>
      </c>
    </row>
    <row r="430" spans="1:22" x14ac:dyDescent="0.25">
      <c r="A430" s="7" t="s">
        <v>1332</v>
      </c>
      <c r="B430" s="8">
        <v>9789500212540</v>
      </c>
      <c r="C430" s="8">
        <v>691779</v>
      </c>
      <c r="D430" s="25">
        <v>328</v>
      </c>
      <c r="E430" s="9" t="s">
        <v>655</v>
      </c>
      <c r="F430" s="7" t="s">
        <v>827</v>
      </c>
      <c r="G430" s="107">
        <v>44621</v>
      </c>
      <c r="H430" s="108">
        <v>44593</v>
      </c>
      <c r="I430" s="7">
        <v>3120</v>
      </c>
      <c r="J430" s="28" t="s">
        <v>2136</v>
      </c>
      <c r="K430" s="9">
        <v>715.91</v>
      </c>
      <c r="L430" s="112">
        <v>34900</v>
      </c>
      <c r="M430" s="112">
        <f>+L430*0.08</f>
        <v>2792</v>
      </c>
      <c r="N430" s="9">
        <f t="shared" si="51"/>
        <v>17450</v>
      </c>
      <c r="O430" s="9">
        <f t="shared" si="52"/>
        <v>13942.09</v>
      </c>
      <c r="P430" s="9">
        <f t="shared" si="53"/>
        <v>3507.91</v>
      </c>
      <c r="Q430" s="139">
        <f t="shared" si="54"/>
        <v>0.79897363896848139</v>
      </c>
      <c r="R430" s="395">
        <f>VLOOKUP(C430,'[1]ORIGINAL (2)'!$A:$C,3,FALSE)</f>
        <v>98</v>
      </c>
      <c r="S430" s="24" t="e">
        <f>VLOOKUP(C430,#REF!,6,FALSE)</f>
        <v>#REF!</v>
      </c>
      <c r="T430" s="24" t="e">
        <f>VLOOKUP(C430,#REF!,7,FALSE)</f>
        <v>#REF!</v>
      </c>
      <c r="U430" s="24" t="e">
        <f>VLOOKUP(C430,#REF!,12,FALSE)</f>
        <v>#REF!</v>
      </c>
      <c r="V430" s="24" t="e">
        <f>VLOOKUP(C430,#REF!,13,FALSE)</f>
        <v>#REF!</v>
      </c>
    </row>
    <row r="431" spans="1:22" x14ac:dyDescent="0.25">
      <c r="A431" s="6" t="s">
        <v>893</v>
      </c>
      <c r="B431" s="8">
        <v>9789500214902</v>
      </c>
      <c r="C431" s="8">
        <v>714035</v>
      </c>
      <c r="D431" s="41">
        <v>376</v>
      </c>
      <c r="E431" s="7" t="s">
        <v>654</v>
      </c>
      <c r="F431" s="7" t="s">
        <v>881</v>
      </c>
      <c r="G431" s="107">
        <v>45383</v>
      </c>
      <c r="H431" s="108">
        <v>45931</v>
      </c>
      <c r="I431" s="239">
        <v>2120</v>
      </c>
      <c r="J431" s="7" t="s">
        <v>1762</v>
      </c>
      <c r="K431" s="148">
        <v>2946.17</v>
      </c>
      <c r="L431" s="9">
        <v>33900</v>
      </c>
      <c r="M431" s="112">
        <f>+L431*0.1</f>
        <v>3390</v>
      </c>
      <c r="N431" s="9">
        <f t="shared" si="51"/>
        <v>16950</v>
      </c>
      <c r="O431" s="9">
        <f t="shared" si="52"/>
        <v>10613.83</v>
      </c>
      <c r="P431" s="9">
        <f t="shared" si="53"/>
        <v>6336.17</v>
      </c>
      <c r="Q431" s="139">
        <f t="shared" si="54"/>
        <v>0.62618466076696166</v>
      </c>
      <c r="R431" s="395">
        <f>VLOOKUP(C431,'[1]ORIGINAL (2)'!$A:$C,3,FALSE)</f>
        <v>831</v>
      </c>
      <c r="S431" s="24" t="e">
        <f>VLOOKUP(C431,#REF!,6,FALSE)</f>
        <v>#REF!</v>
      </c>
      <c r="T431" s="24" t="e">
        <f>VLOOKUP(C431,#REF!,7,FALSE)</f>
        <v>#REF!</v>
      </c>
      <c r="U431" s="24" t="e">
        <f>VLOOKUP(C431,#REF!,12,FALSE)</f>
        <v>#REF!</v>
      </c>
      <c r="V431" s="24" t="e">
        <f>VLOOKUP(C431,#REF!,13,FALSE)</f>
        <v>#REF!</v>
      </c>
    </row>
    <row r="432" spans="1:22" x14ac:dyDescent="0.25">
      <c r="A432" s="7" t="s">
        <v>1334</v>
      </c>
      <c r="B432" s="8">
        <v>9789500212502</v>
      </c>
      <c r="C432" s="8">
        <v>691781</v>
      </c>
      <c r="D432" s="25">
        <v>376</v>
      </c>
      <c r="E432" s="7" t="s">
        <v>654</v>
      </c>
      <c r="F432" s="7" t="s">
        <v>673</v>
      </c>
      <c r="G432" s="118">
        <v>44621</v>
      </c>
      <c r="H432" s="108">
        <v>46082</v>
      </c>
      <c r="I432" s="264">
        <v>2095</v>
      </c>
      <c r="J432" s="6" t="s">
        <v>1946</v>
      </c>
      <c r="K432" s="9">
        <v>3669.1</v>
      </c>
      <c r="L432" s="9">
        <v>34500</v>
      </c>
      <c r="M432" s="112">
        <f>+L432*0.08</f>
        <v>2760</v>
      </c>
      <c r="N432" s="9">
        <f t="shared" si="51"/>
        <v>17250</v>
      </c>
      <c r="O432" s="9">
        <f t="shared" si="52"/>
        <v>10820.9</v>
      </c>
      <c r="P432" s="9">
        <f t="shared" si="53"/>
        <v>6429.1</v>
      </c>
      <c r="Q432" s="139">
        <f t="shared" si="54"/>
        <v>0.62729855072463769</v>
      </c>
      <c r="R432" s="395">
        <f>VLOOKUP(C432,'[1]ORIGINAL (2)'!$A:$C,3,FALSE)</f>
        <v>1373</v>
      </c>
      <c r="S432" s="24" t="e">
        <f>VLOOKUP(C432,#REF!,6,FALSE)</f>
        <v>#REF!</v>
      </c>
      <c r="T432" s="24" t="e">
        <f>VLOOKUP(C432,#REF!,7,FALSE)</f>
        <v>#REF!</v>
      </c>
      <c r="U432" s="24" t="e">
        <f>VLOOKUP(C432,#REF!,12,FALSE)</f>
        <v>#REF!</v>
      </c>
      <c r="V432" s="24" t="e">
        <f>VLOOKUP(C432,#REF!,13,FALSE)</f>
        <v>#REF!</v>
      </c>
    </row>
    <row r="433" spans="1:22" x14ac:dyDescent="0.25">
      <c r="A433" s="6" t="s">
        <v>1966</v>
      </c>
      <c r="B433" s="279">
        <v>9789500215817</v>
      </c>
      <c r="C433" s="6">
        <v>725174</v>
      </c>
      <c r="D433" s="41">
        <v>224</v>
      </c>
      <c r="E433" s="6" t="s">
        <v>654</v>
      </c>
      <c r="F433" s="6" t="s">
        <v>1967</v>
      </c>
      <c r="G433" s="107">
        <v>45658</v>
      </c>
      <c r="H433" s="108">
        <v>46082</v>
      </c>
      <c r="I433" s="264">
        <v>500</v>
      </c>
      <c r="J433" s="28" t="s">
        <v>2136</v>
      </c>
      <c r="K433" s="117">
        <v>3139.5</v>
      </c>
      <c r="L433" s="9">
        <v>24500</v>
      </c>
      <c r="M433" s="9">
        <f>+L433*0.08</f>
        <v>1960</v>
      </c>
      <c r="N433" s="9">
        <f t="shared" si="51"/>
        <v>12250</v>
      </c>
      <c r="O433" s="9">
        <f t="shared" si="52"/>
        <v>7150.5</v>
      </c>
      <c r="P433" s="9">
        <f t="shared" si="53"/>
        <v>5099.5</v>
      </c>
      <c r="Q433" s="139">
        <f t="shared" si="54"/>
        <v>0.58371428571428574</v>
      </c>
      <c r="R433" s="395">
        <f>VLOOKUP(C433,'[1]ORIGINAL (2)'!$A:$C,3,FALSE)</f>
        <v>360</v>
      </c>
      <c r="S433" s="24" t="e">
        <f>VLOOKUP(C433,#REF!,6,FALSE)</f>
        <v>#REF!</v>
      </c>
      <c r="T433" s="24" t="e">
        <f>VLOOKUP(C433,#REF!,7,FALSE)</f>
        <v>#REF!</v>
      </c>
      <c r="U433" s="24" t="e">
        <f>VLOOKUP(C433,#REF!,12,FALSE)</f>
        <v>#REF!</v>
      </c>
      <c r="V433" s="24" t="e">
        <f>VLOOKUP(C433,#REF!,13,FALSE)</f>
        <v>#REF!</v>
      </c>
    </row>
    <row r="434" spans="1:22" x14ac:dyDescent="0.25">
      <c r="A434" s="6" t="s">
        <v>1335</v>
      </c>
      <c r="B434" s="8">
        <v>9789500213172</v>
      </c>
      <c r="C434" s="8">
        <v>699696</v>
      </c>
      <c r="D434" s="41">
        <v>224</v>
      </c>
      <c r="E434" s="7" t="s">
        <v>654</v>
      </c>
      <c r="F434" s="7" t="s">
        <v>732</v>
      </c>
      <c r="G434" s="107">
        <v>44866</v>
      </c>
      <c r="H434" s="108">
        <v>44835</v>
      </c>
      <c r="I434" s="7">
        <v>4040</v>
      </c>
      <c r="J434" s="28" t="s">
        <v>1762</v>
      </c>
      <c r="K434" s="9">
        <v>1219.77</v>
      </c>
      <c r="L434" s="9">
        <v>35900</v>
      </c>
      <c r="M434" s="9">
        <f>+L434*0.08</f>
        <v>2872</v>
      </c>
      <c r="N434" s="9">
        <f t="shared" si="51"/>
        <v>17950</v>
      </c>
      <c r="O434" s="9">
        <f t="shared" si="52"/>
        <v>13858.23</v>
      </c>
      <c r="P434" s="9">
        <f t="shared" si="53"/>
        <v>4091.77</v>
      </c>
      <c r="Q434" s="139">
        <f t="shared" si="54"/>
        <v>0.7720462395543175</v>
      </c>
      <c r="R434" s="395">
        <f>VLOOKUP(C434,'[1]ORIGINAL (2)'!$A:$C,3,FALSE)</f>
        <v>31</v>
      </c>
      <c r="S434" s="24" t="e">
        <f>VLOOKUP(C434,#REF!,6,FALSE)</f>
        <v>#REF!</v>
      </c>
      <c r="T434" s="24" t="e">
        <f>VLOOKUP(C434,#REF!,7,FALSE)</f>
        <v>#REF!</v>
      </c>
      <c r="U434" s="24" t="e">
        <f>VLOOKUP(C434,#REF!,12,FALSE)</f>
        <v>#REF!</v>
      </c>
      <c r="V434" s="24" t="e">
        <f>VLOOKUP(C434,#REF!,13,FALSE)</f>
        <v>#REF!</v>
      </c>
    </row>
    <row r="435" spans="1:22" x14ac:dyDescent="0.25">
      <c r="A435" s="7" t="s">
        <v>1336</v>
      </c>
      <c r="B435" s="8">
        <v>9789500210669</v>
      </c>
      <c r="C435" s="8">
        <v>681371</v>
      </c>
      <c r="D435" s="25">
        <v>336</v>
      </c>
      <c r="E435" s="7" t="s">
        <v>528</v>
      </c>
      <c r="F435" s="7" t="s">
        <v>529</v>
      </c>
      <c r="G435" s="107">
        <v>44228</v>
      </c>
      <c r="H435" s="108">
        <v>45352</v>
      </c>
      <c r="I435" s="7">
        <v>2040</v>
      </c>
      <c r="J435" s="28" t="s">
        <v>1762</v>
      </c>
      <c r="K435" s="148">
        <v>3618.9</v>
      </c>
      <c r="L435" s="9">
        <v>38900</v>
      </c>
      <c r="M435" s="9">
        <f>+L435*0.08</f>
        <v>3112</v>
      </c>
      <c r="N435" s="9">
        <f t="shared" si="51"/>
        <v>19450</v>
      </c>
      <c r="O435" s="9">
        <f t="shared" si="52"/>
        <v>12719.1</v>
      </c>
      <c r="P435" s="9">
        <f t="shared" si="53"/>
        <v>6730.9</v>
      </c>
      <c r="Q435" s="139">
        <f t="shared" si="54"/>
        <v>0.65393830334190228</v>
      </c>
      <c r="R435" s="395">
        <f>VLOOKUP(C435,'[1]ORIGINAL (2)'!$A:$C,3,FALSE)</f>
        <v>206</v>
      </c>
      <c r="S435" s="24" t="e">
        <f>VLOOKUP(C435,#REF!,6,FALSE)</f>
        <v>#REF!</v>
      </c>
      <c r="T435" s="24" t="e">
        <f>VLOOKUP(C435,#REF!,7,FALSE)</f>
        <v>#REF!</v>
      </c>
      <c r="U435" s="24" t="e">
        <f>VLOOKUP(C435,#REF!,12,FALSE)</f>
        <v>#REF!</v>
      </c>
      <c r="V435" s="24" t="e">
        <f>VLOOKUP(C435,#REF!,13,FALSE)</f>
        <v>#REF!</v>
      </c>
    </row>
    <row r="436" spans="1:22" x14ac:dyDescent="0.25">
      <c r="A436" s="7" t="s">
        <v>1337</v>
      </c>
      <c r="B436" s="8">
        <v>9789500212014</v>
      </c>
      <c r="C436" s="8">
        <v>686372</v>
      </c>
      <c r="D436" s="25">
        <v>192</v>
      </c>
      <c r="E436" s="9" t="s">
        <v>470</v>
      </c>
      <c r="F436" s="7" t="s">
        <v>574</v>
      </c>
      <c r="G436" s="107">
        <v>44440</v>
      </c>
      <c r="H436" s="108">
        <v>44409</v>
      </c>
      <c r="I436" s="7">
        <v>2990</v>
      </c>
      <c r="J436" s="28" t="s">
        <v>1333</v>
      </c>
      <c r="K436" s="9">
        <v>229.61</v>
      </c>
      <c r="L436" s="9">
        <v>32300</v>
      </c>
      <c r="M436" s="9">
        <f>+L436*0.1</f>
        <v>3230</v>
      </c>
      <c r="N436" s="9">
        <f t="shared" si="51"/>
        <v>16150</v>
      </c>
      <c r="O436" s="9">
        <f t="shared" si="52"/>
        <v>12690.39</v>
      </c>
      <c r="P436" s="9">
        <f t="shared" si="53"/>
        <v>3459.61</v>
      </c>
      <c r="Q436" s="139">
        <f t="shared" si="54"/>
        <v>0.78578266253869966</v>
      </c>
      <c r="R436" s="395">
        <f>VLOOKUP(C436,'[1]ORIGINAL (2)'!$A:$C,3,FALSE)</f>
        <v>39</v>
      </c>
      <c r="S436" s="24" t="e">
        <f>VLOOKUP(C436,#REF!,6,FALSE)</f>
        <v>#REF!</v>
      </c>
      <c r="T436" s="24" t="e">
        <f>VLOOKUP(C436,#REF!,7,FALSE)</f>
        <v>#REF!</v>
      </c>
      <c r="U436" s="24" t="e">
        <f>VLOOKUP(C436,#REF!,12,FALSE)</f>
        <v>#REF!</v>
      </c>
      <c r="V436" s="24" t="e">
        <f>VLOOKUP(C436,#REF!,13,FALSE)</f>
        <v>#REF!</v>
      </c>
    </row>
    <row r="437" spans="1:22" x14ac:dyDescent="0.25">
      <c r="A437" s="7" t="s">
        <v>1338</v>
      </c>
      <c r="B437" s="8">
        <v>9789500212441</v>
      </c>
      <c r="C437" s="8">
        <v>690835</v>
      </c>
      <c r="D437" s="25">
        <v>384</v>
      </c>
      <c r="E437" s="7" t="s">
        <v>646</v>
      </c>
      <c r="F437" s="7" t="s">
        <v>647</v>
      </c>
      <c r="G437" s="107">
        <v>44593</v>
      </c>
      <c r="H437" s="107">
        <v>45444</v>
      </c>
      <c r="I437" s="7">
        <v>2066</v>
      </c>
      <c r="J437" s="28" t="s">
        <v>2136</v>
      </c>
      <c r="K437" s="9">
        <v>2744.59</v>
      </c>
      <c r="L437" s="9">
        <v>29900</v>
      </c>
      <c r="M437" s="112">
        <f>+L437*0.08</f>
        <v>2392</v>
      </c>
      <c r="N437" s="9">
        <f t="shared" si="51"/>
        <v>14950</v>
      </c>
      <c r="O437" s="9">
        <f t="shared" si="52"/>
        <v>9813.41</v>
      </c>
      <c r="P437" s="9">
        <f t="shared" si="53"/>
        <v>5136.59</v>
      </c>
      <c r="Q437" s="139">
        <f t="shared" si="54"/>
        <v>0.65641538461538462</v>
      </c>
      <c r="R437" s="395">
        <f>VLOOKUP(C437,'[1]ORIGINAL (2)'!$A:$C,3,FALSE)</f>
        <v>123</v>
      </c>
      <c r="S437" s="24" t="e">
        <f>VLOOKUP(C437,#REF!,6,FALSE)</f>
        <v>#REF!</v>
      </c>
      <c r="T437" s="24" t="e">
        <f>VLOOKUP(C437,#REF!,7,FALSE)</f>
        <v>#REF!</v>
      </c>
      <c r="U437" s="24" t="e">
        <f>VLOOKUP(C437,#REF!,12,FALSE)</f>
        <v>#REF!</v>
      </c>
      <c r="V437" s="24" t="e">
        <f>VLOOKUP(C437,#REF!,13,FALSE)</f>
        <v>#REF!</v>
      </c>
    </row>
    <row r="438" spans="1:22" x14ac:dyDescent="0.25">
      <c r="A438" s="7" t="s">
        <v>1339</v>
      </c>
      <c r="B438" s="8">
        <v>9789500212724</v>
      </c>
      <c r="C438" s="8">
        <v>694753</v>
      </c>
      <c r="D438" s="25">
        <v>208</v>
      </c>
      <c r="E438" s="7" t="s">
        <v>692</v>
      </c>
      <c r="F438" s="7" t="s">
        <v>693</v>
      </c>
      <c r="G438" s="107">
        <v>44713</v>
      </c>
      <c r="H438" s="108">
        <v>44986</v>
      </c>
      <c r="I438" s="7">
        <v>3100</v>
      </c>
      <c r="J438" s="28" t="s">
        <v>2136</v>
      </c>
      <c r="K438" s="9">
        <v>823.84</v>
      </c>
      <c r="L438" s="9">
        <v>32500</v>
      </c>
      <c r="M438" s="9">
        <f>+L438*0.08</f>
        <v>2600</v>
      </c>
      <c r="N438" s="9">
        <f t="shared" si="51"/>
        <v>16250</v>
      </c>
      <c r="O438" s="9">
        <f t="shared" si="52"/>
        <v>12826.16</v>
      </c>
      <c r="P438" s="9">
        <f t="shared" si="53"/>
        <v>3423.84</v>
      </c>
      <c r="Q438" s="139">
        <f t="shared" si="54"/>
        <v>0.78930215384615388</v>
      </c>
      <c r="R438" s="395">
        <f>VLOOKUP(C438,'[1]ORIGINAL (2)'!$A:$C,3,FALSE)</f>
        <v>361</v>
      </c>
      <c r="S438" s="24" t="e">
        <f>VLOOKUP(C438,#REF!,6,FALSE)</f>
        <v>#REF!</v>
      </c>
      <c r="T438" s="24" t="e">
        <f>VLOOKUP(C438,#REF!,7,FALSE)</f>
        <v>#REF!</v>
      </c>
      <c r="U438" s="24" t="e">
        <f>VLOOKUP(C438,#REF!,12,FALSE)</f>
        <v>#REF!</v>
      </c>
      <c r="V438" s="24" t="e">
        <f>VLOOKUP(C438,#REF!,13,FALSE)</f>
        <v>#REF!</v>
      </c>
    </row>
    <row r="439" spans="1:22" x14ac:dyDescent="0.25">
      <c r="A439" s="6" t="s">
        <v>1340</v>
      </c>
      <c r="B439" s="8">
        <v>9789500213981</v>
      </c>
      <c r="C439" s="8">
        <v>707945</v>
      </c>
      <c r="D439" s="41">
        <v>224</v>
      </c>
      <c r="E439" s="7" t="s">
        <v>799</v>
      </c>
      <c r="F439" s="6" t="s">
        <v>800</v>
      </c>
      <c r="G439" s="107">
        <v>45139</v>
      </c>
      <c r="H439" s="108">
        <v>45108</v>
      </c>
      <c r="I439" s="7">
        <v>5048</v>
      </c>
      <c r="J439" s="28" t="s">
        <v>2136</v>
      </c>
      <c r="K439" s="117">
        <v>612.24</v>
      </c>
      <c r="L439" s="112">
        <v>30900</v>
      </c>
      <c r="M439" s="112">
        <f>+L439*0.08</f>
        <v>2472</v>
      </c>
      <c r="N439" s="9">
        <f t="shared" ref="N439:N447" si="56">+L439/2</f>
        <v>15450</v>
      </c>
      <c r="O439" s="9">
        <f t="shared" ref="O439:O447" si="57">+N439-M439-K439</f>
        <v>12365.76</v>
      </c>
      <c r="P439" s="9">
        <f t="shared" ref="P439:P447" si="58">+M439+K439</f>
        <v>3084.24</v>
      </c>
      <c r="Q439" s="139">
        <f t="shared" ref="Q439:Q447" si="59">+O439/N439</f>
        <v>0.80037281553398054</v>
      </c>
      <c r="R439" s="395">
        <f>VLOOKUP(C439,'[1]ORIGINAL (2)'!$A:$C,3,FALSE)</f>
        <v>85</v>
      </c>
      <c r="S439" s="24" t="e">
        <f>VLOOKUP(C439,#REF!,6,FALSE)</f>
        <v>#REF!</v>
      </c>
      <c r="T439" s="24" t="e">
        <f>VLOOKUP(C439,#REF!,7,FALSE)</f>
        <v>#REF!</v>
      </c>
      <c r="U439" s="24" t="e">
        <f>VLOOKUP(C439,#REF!,12,FALSE)</f>
        <v>#REF!</v>
      </c>
      <c r="V439" s="24" t="e">
        <f>VLOOKUP(C439,#REF!,13,FALSE)</f>
        <v>#REF!</v>
      </c>
    </row>
    <row r="440" spans="1:22" x14ac:dyDescent="0.25">
      <c r="A440" s="7" t="s">
        <v>1341</v>
      </c>
      <c r="B440" s="8">
        <v>9789500210867</v>
      </c>
      <c r="C440" s="8">
        <v>677293</v>
      </c>
      <c r="D440" s="25">
        <v>344</v>
      </c>
      <c r="E440" s="7" t="s">
        <v>497</v>
      </c>
      <c r="F440" s="116" t="s">
        <v>498</v>
      </c>
      <c r="G440" s="107">
        <v>44075</v>
      </c>
      <c r="H440" s="108">
        <v>44317</v>
      </c>
      <c r="I440" s="24">
        <v>3030</v>
      </c>
      <c r="J440" s="28" t="s">
        <v>1762</v>
      </c>
      <c r="K440" s="28">
        <v>195.02</v>
      </c>
      <c r="L440" s="112">
        <v>24900</v>
      </c>
      <c r="M440" s="112">
        <f>+L440*0.08</f>
        <v>1992</v>
      </c>
      <c r="N440" s="9">
        <f t="shared" si="56"/>
        <v>12450</v>
      </c>
      <c r="O440" s="9">
        <f t="shared" si="57"/>
        <v>10262.98</v>
      </c>
      <c r="P440" s="9">
        <f t="shared" si="58"/>
        <v>2187.02</v>
      </c>
      <c r="Q440" s="139">
        <f t="shared" si="59"/>
        <v>0.8243357429718875</v>
      </c>
      <c r="R440" s="395">
        <f>VLOOKUP(C440,'[1]ORIGINAL (2)'!$A:$C,3,FALSE)</f>
        <v>7</v>
      </c>
      <c r="S440" s="24" t="e">
        <f>VLOOKUP(C440,#REF!,6,FALSE)</f>
        <v>#REF!</v>
      </c>
      <c r="T440" s="24" t="e">
        <f>VLOOKUP(C440,#REF!,7,FALSE)</f>
        <v>#REF!</v>
      </c>
      <c r="U440" s="24" t="e">
        <f>VLOOKUP(C440,#REF!,12,FALSE)</f>
        <v>#REF!</v>
      </c>
      <c r="V440" s="24" t="e">
        <f>VLOOKUP(C440,#REF!,13,FALSE)</f>
        <v>#REF!</v>
      </c>
    </row>
    <row r="441" spans="1:22" x14ac:dyDescent="0.25">
      <c r="A441" s="7" t="s">
        <v>1342</v>
      </c>
      <c r="B441" s="8">
        <v>9789500211116</v>
      </c>
      <c r="C441" s="8">
        <v>678454</v>
      </c>
      <c r="D441" s="25">
        <v>368</v>
      </c>
      <c r="E441" s="7" t="s">
        <v>505</v>
      </c>
      <c r="F441" s="7" t="s">
        <v>506</v>
      </c>
      <c r="G441" s="107">
        <v>44136</v>
      </c>
      <c r="H441" s="108">
        <v>45231</v>
      </c>
      <c r="I441" s="7">
        <v>3026</v>
      </c>
      <c r="J441" s="28" t="s">
        <v>1333</v>
      </c>
      <c r="K441" s="117">
        <v>1506.26</v>
      </c>
      <c r="L441" s="112">
        <v>28900</v>
      </c>
      <c r="M441" s="112">
        <f>+L441*0.1</f>
        <v>2890</v>
      </c>
      <c r="N441" s="9">
        <f t="shared" si="56"/>
        <v>14450</v>
      </c>
      <c r="O441" s="9">
        <f t="shared" si="57"/>
        <v>10053.74</v>
      </c>
      <c r="P441" s="9">
        <f t="shared" si="58"/>
        <v>4396.26</v>
      </c>
      <c r="Q441" s="139">
        <f t="shared" si="59"/>
        <v>0.69576055363321798</v>
      </c>
      <c r="R441" s="395">
        <f>VLOOKUP(C441,'[1]ORIGINAL (2)'!$A:$C,3,FALSE)</f>
        <v>77</v>
      </c>
      <c r="S441" s="24" t="e">
        <f>VLOOKUP(C441,#REF!,6,FALSE)</f>
        <v>#REF!</v>
      </c>
      <c r="T441" s="24" t="e">
        <f>VLOOKUP(C441,#REF!,7,FALSE)</f>
        <v>#REF!</v>
      </c>
      <c r="U441" s="24" t="e">
        <f>VLOOKUP(C441,#REF!,12,FALSE)</f>
        <v>#REF!</v>
      </c>
      <c r="V441" s="24" t="e">
        <f>VLOOKUP(C441,#REF!,13,FALSE)</f>
        <v>#REF!</v>
      </c>
    </row>
    <row r="442" spans="1:22" x14ac:dyDescent="0.25">
      <c r="A442" s="7" t="s">
        <v>1343</v>
      </c>
      <c r="B442" s="8">
        <v>9789500211277</v>
      </c>
      <c r="C442" s="8">
        <v>679308</v>
      </c>
      <c r="D442" s="25">
        <v>320</v>
      </c>
      <c r="E442" s="7" t="s">
        <v>513</v>
      </c>
      <c r="F442" s="7" t="s">
        <v>514</v>
      </c>
      <c r="G442" s="107">
        <v>44166</v>
      </c>
      <c r="H442" s="108">
        <v>45078</v>
      </c>
      <c r="I442" s="24">
        <v>3071</v>
      </c>
      <c r="J442" s="28" t="s">
        <v>1762</v>
      </c>
      <c r="K442" s="117">
        <v>661.32</v>
      </c>
      <c r="L442" s="112">
        <v>34900</v>
      </c>
      <c r="M442" s="112">
        <f>+L442*0.1</f>
        <v>3490</v>
      </c>
      <c r="N442" s="9">
        <f t="shared" si="56"/>
        <v>17450</v>
      </c>
      <c r="O442" s="9">
        <f t="shared" si="57"/>
        <v>13298.68</v>
      </c>
      <c r="P442" s="9">
        <f t="shared" si="58"/>
        <v>4151.32</v>
      </c>
      <c r="Q442" s="139">
        <f t="shared" si="59"/>
        <v>0.762102005730659</v>
      </c>
      <c r="R442" s="395">
        <f>VLOOKUP(C442,'[1]ORIGINAL (2)'!$A:$C,3,FALSE)</f>
        <v>154</v>
      </c>
      <c r="S442" s="24" t="e">
        <f>VLOOKUP(C442,#REF!,6,FALSE)</f>
        <v>#REF!</v>
      </c>
      <c r="T442" s="24" t="e">
        <f>VLOOKUP(C442,#REF!,7,FALSE)</f>
        <v>#REF!</v>
      </c>
      <c r="U442" s="24" t="e">
        <f>VLOOKUP(C442,#REF!,12,FALSE)</f>
        <v>#REF!</v>
      </c>
      <c r="V442" s="24" t="e">
        <f>VLOOKUP(C442,#REF!,13,FALSE)</f>
        <v>#REF!</v>
      </c>
    </row>
    <row r="443" spans="1:22" x14ac:dyDescent="0.25">
      <c r="A443" s="7" t="s">
        <v>1344</v>
      </c>
      <c r="B443" s="8">
        <v>9789500212274</v>
      </c>
      <c r="C443" s="8">
        <v>688416</v>
      </c>
      <c r="D443" s="25">
        <v>560</v>
      </c>
      <c r="E443" s="7" t="s">
        <v>505</v>
      </c>
      <c r="F443" s="7" t="s">
        <v>1345</v>
      </c>
      <c r="G443" s="107">
        <v>44501</v>
      </c>
      <c r="H443" s="108">
        <v>44470</v>
      </c>
      <c r="I443" s="7">
        <v>2980</v>
      </c>
      <c r="J443" s="28" t="s">
        <v>1333</v>
      </c>
      <c r="K443" s="9">
        <v>355.69</v>
      </c>
      <c r="L443" s="112">
        <v>51900</v>
      </c>
      <c r="M443" s="112">
        <f>+L443*0.1</f>
        <v>5190</v>
      </c>
      <c r="N443" s="9">
        <f t="shared" si="56"/>
        <v>25950</v>
      </c>
      <c r="O443" s="9">
        <f t="shared" si="57"/>
        <v>20404.310000000001</v>
      </c>
      <c r="P443" s="9">
        <f t="shared" si="58"/>
        <v>5545.69</v>
      </c>
      <c r="Q443" s="139">
        <f t="shared" si="59"/>
        <v>0.78629325626204249</v>
      </c>
      <c r="R443" s="395">
        <f>VLOOKUP(C443,'[1]ORIGINAL (2)'!$A:$C,3,FALSE)</f>
        <v>12</v>
      </c>
      <c r="S443" s="24" t="e">
        <f>VLOOKUP(C443,#REF!,6,FALSE)</f>
        <v>#REF!</v>
      </c>
      <c r="T443" s="24" t="e">
        <f>VLOOKUP(C443,#REF!,7,FALSE)</f>
        <v>#REF!</v>
      </c>
      <c r="U443" s="24" t="e">
        <f>VLOOKUP(C443,#REF!,12,FALSE)</f>
        <v>#REF!</v>
      </c>
      <c r="V443" s="24" t="e">
        <f>VLOOKUP(C443,#REF!,13,FALSE)</f>
        <v>#REF!</v>
      </c>
    </row>
    <row r="444" spans="1:22" x14ac:dyDescent="0.25">
      <c r="A444" s="7" t="s">
        <v>1346</v>
      </c>
      <c r="B444" s="8">
        <v>9789500212250</v>
      </c>
      <c r="C444" s="8">
        <v>688410</v>
      </c>
      <c r="D444" s="25">
        <v>192</v>
      </c>
      <c r="E444" s="7" t="s">
        <v>505</v>
      </c>
      <c r="F444" s="7" t="s">
        <v>1347</v>
      </c>
      <c r="G444" s="107">
        <v>44501</v>
      </c>
      <c r="H444" s="108">
        <v>44470</v>
      </c>
      <c r="I444" s="7">
        <v>6100</v>
      </c>
      <c r="J444" s="28" t="s">
        <v>1333</v>
      </c>
      <c r="K444" s="9">
        <v>126.75</v>
      </c>
      <c r="L444" s="112">
        <v>26800</v>
      </c>
      <c r="M444" s="112">
        <f>+L444*0.1</f>
        <v>2680</v>
      </c>
      <c r="N444" s="9">
        <f t="shared" si="56"/>
        <v>13400</v>
      </c>
      <c r="O444" s="9">
        <f t="shared" si="57"/>
        <v>10593.25</v>
      </c>
      <c r="P444" s="9">
        <f t="shared" si="58"/>
        <v>2806.75</v>
      </c>
      <c r="Q444" s="139">
        <f t="shared" si="59"/>
        <v>0.79054104477611942</v>
      </c>
      <c r="R444" s="395">
        <f>VLOOKUP(C444,'[1]ORIGINAL (2)'!$A:$C,3,FALSE)</f>
        <v>19</v>
      </c>
      <c r="S444" s="24" t="e">
        <f>VLOOKUP(C444,#REF!,6,FALSE)</f>
        <v>#REF!</v>
      </c>
      <c r="T444" s="24" t="e">
        <f>VLOOKUP(C444,#REF!,7,FALSE)</f>
        <v>#REF!</v>
      </c>
      <c r="U444" s="24" t="e">
        <f>VLOOKUP(C444,#REF!,12,FALSE)</f>
        <v>#REF!</v>
      </c>
      <c r="V444" s="24" t="e">
        <f>VLOOKUP(C444,#REF!,13,FALSE)</f>
        <v>#REF!</v>
      </c>
    </row>
    <row r="445" spans="1:22" x14ac:dyDescent="0.25">
      <c r="A445" s="7" t="s">
        <v>1348</v>
      </c>
      <c r="B445" s="8">
        <v>9789500212755</v>
      </c>
      <c r="C445" s="8">
        <v>695680</v>
      </c>
      <c r="D445" s="25">
        <v>320</v>
      </c>
      <c r="E445" s="7" t="s">
        <v>696</v>
      </c>
      <c r="F445" s="7" t="s">
        <v>697</v>
      </c>
      <c r="G445" s="107">
        <v>44743</v>
      </c>
      <c r="H445" s="108">
        <v>44713</v>
      </c>
      <c r="I445" s="7">
        <v>4077</v>
      </c>
      <c r="J445" s="28" t="s">
        <v>2136</v>
      </c>
      <c r="K445" s="9">
        <v>274.44</v>
      </c>
      <c r="L445" s="112">
        <v>25900</v>
      </c>
      <c r="M445" s="112">
        <f>+L445*0.08</f>
        <v>2072</v>
      </c>
      <c r="N445" s="9">
        <f t="shared" si="56"/>
        <v>12950</v>
      </c>
      <c r="O445" s="9">
        <f t="shared" si="57"/>
        <v>10603.56</v>
      </c>
      <c r="P445" s="9">
        <f t="shared" si="58"/>
        <v>2346.44</v>
      </c>
      <c r="Q445" s="139">
        <f t="shared" si="59"/>
        <v>0.81880772200772201</v>
      </c>
      <c r="R445" s="395">
        <f>VLOOKUP(C445,'[1]ORIGINAL (2)'!$A:$C,3,FALSE)</f>
        <v>20</v>
      </c>
      <c r="S445" s="24" t="e">
        <f>VLOOKUP(C445,#REF!,6,FALSE)</f>
        <v>#REF!</v>
      </c>
      <c r="T445" s="24" t="e">
        <f>VLOOKUP(C445,#REF!,7,FALSE)</f>
        <v>#REF!</v>
      </c>
      <c r="U445" s="24" t="e">
        <f>VLOOKUP(C445,#REF!,12,FALSE)</f>
        <v>#REF!</v>
      </c>
      <c r="V445" s="24" t="e">
        <f>VLOOKUP(C445,#REF!,13,FALSE)</f>
        <v>#REF!</v>
      </c>
    </row>
    <row r="446" spans="1:22" x14ac:dyDescent="0.25">
      <c r="A446" s="7" t="s">
        <v>1349</v>
      </c>
      <c r="B446" s="8">
        <v>9789500212618</v>
      </c>
      <c r="C446" s="8">
        <v>692861</v>
      </c>
      <c r="D446" s="25">
        <v>472</v>
      </c>
      <c r="E446" s="7" t="s">
        <v>674</v>
      </c>
      <c r="F446" s="7" t="s">
        <v>675</v>
      </c>
      <c r="G446" s="107">
        <v>44652</v>
      </c>
      <c r="H446" s="108">
        <v>44866</v>
      </c>
      <c r="I446" s="7">
        <v>3020</v>
      </c>
      <c r="J446" s="28" t="s">
        <v>1762</v>
      </c>
      <c r="K446" s="117">
        <v>1104.0999999999999</v>
      </c>
      <c r="L446" s="112">
        <v>35900</v>
      </c>
      <c r="M446" s="112">
        <f>+L446*0.08</f>
        <v>2872</v>
      </c>
      <c r="N446" s="9">
        <f t="shared" si="56"/>
        <v>17950</v>
      </c>
      <c r="O446" s="9">
        <f t="shared" si="57"/>
        <v>13973.9</v>
      </c>
      <c r="P446" s="9">
        <f t="shared" si="58"/>
        <v>3976.1</v>
      </c>
      <c r="Q446" s="139">
        <f t="shared" si="59"/>
        <v>0.77849025069637878</v>
      </c>
      <c r="R446" s="395">
        <f>VLOOKUP(C446,'[1]ORIGINAL (2)'!$A:$C,3,FALSE)</f>
        <v>425</v>
      </c>
      <c r="S446" s="24" t="e">
        <f>VLOOKUP(C446,#REF!,6,FALSE)</f>
        <v>#REF!</v>
      </c>
      <c r="T446" s="24" t="e">
        <f>VLOOKUP(C446,#REF!,7,FALSE)</f>
        <v>#REF!</v>
      </c>
      <c r="U446" s="24" t="e">
        <f>VLOOKUP(C446,#REF!,12,FALSE)</f>
        <v>#REF!</v>
      </c>
      <c r="V446" s="24" t="e">
        <f>VLOOKUP(C446,#REF!,13,FALSE)</f>
        <v>#REF!</v>
      </c>
    </row>
    <row r="447" spans="1:22" x14ac:dyDescent="0.25">
      <c r="A447" s="6" t="s">
        <v>1350</v>
      </c>
      <c r="B447" s="8">
        <v>9789500212861</v>
      </c>
      <c r="C447" s="6">
        <v>696628</v>
      </c>
      <c r="D447" s="25">
        <v>304</v>
      </c>
      <c r="E447" s="7" t="s">
        <v>703</v>
      </c>
      <c r="F447" s="7" t="s">
        <v>704</v>
      </c>
      <c r="G447" s="107">
        <v>44774</v>
      </c>
      <c r="H447" s="108">
        <v>44958</v>
      </c>
      <c r="I447" s="7">
        <v>2010</v>
      </c>
      <c r="J447" s="28" t="s">
        <v>1762</v>
      </c>
      <c r="K447" s="9">
        <v>753</v>
      </c>
      <c r="L447" s="112">
        <v>31700</v>
      </c>
      <c r="M447" s="112">
        <f>+L447*0.1</f>
        <v>3170</v>
      </c>
      <c r="N447" s="9">
        <f t="shared" si="56"/>
        <v>15850</v>
      </c>
      <c r="O447" s="9">
        <f t="shared" si="57"/>
        <v>11927</v>
      </c>
      <c r="P447" s="9">
        <f t="shared" si="58"/>
        <v>3923</v>
      </c>
      <c r="Q447" s="139">
        <f t="shared" si="59"/>
        <v>0.75249211356466872</v>
      </c>
      <c r="R447" s="395">
        <f>VLOOKUP(C447,'[1]ORIGINAL (2)'!$A:$C,3,FALSE)</f>
        <v>30</v>
      </c>
      <c r="S447" s="24" t="e">
        <f>VLOOKUP(C447,#REF!,6,FALSE)</f>
        <v>#REF!</v>
      </c>
      <c r="T447" s="24" t="e">
        <f>VLOOKUP(C447,#REF!,7,FALSE)</f>
        <v>#REF!</v>
      </c>
      <c r="U447" s="24" t="e">
        <f>VLOOKUP(C447,#REF!,12,FALSE)</f>
        <v>#REF!</v>
      </c>
      <c r="V447" s="24" t="e">
        <f>VLOOKUP(C447,#REF!,13,FALSE)</f>
        <v>#REF!</v>
      </c>
    </row>
    <row r="448" spans="1:22" ht="15.75" thickBot="1" x14ac:dyDescent="0.3">
      <c r="A448" s="2"/>
      <c r="B448" s="379"/>
      <c r="C448" s="3"/>
      <c r="D448" s="17"/>
      <c r="E448" s="2"/>
      <c r="F448" s="2"/>
      <c r="G448" s="2"/>
      <c r="H448" s="132"/>
      <c r="I448" s="132"/>
      <c r="J448" s="134"/>
      <c r="K448" s="132"/>
      <c r="L448" s="18"/>
      <c r="M448" s="132"/>
      <c r="N448" s="132"/>
      <c r="O448" s="132"/>
      <c r="P448" s="132"/>
      <c r="Q448" s="147"/>
      <c r="R448" s="395" t="e">
        <f>VLOOKUP(C448,'[1]ORIGINAL (2)'!$A:$C,3,FALSE)</f>
        <v>#N/A</v>
      </c>
      <c r="S448" s="100"/>
      <c r="T448" s="100"/>
      <c r="U448" s="100"/>
      <c r="V448" s="100"/>
    </row>
    <row r="449" spans="1:22" x14ac:dyDescent="0.25">
      <c r="A449" s="132"/>
      <c r="B449" s="355"/>
      <c r="C449" s="133"/>
      <c r="D449" s="154"/>
      <c r="E449" s="155" t="s">
        <v>839</v>
      </c>
      <c r="F449" s="156"/>
      <c r="G449" s="132"/>
      <c r="H449" s="132"/>
      <c r="I449" s="132"/>
      <c r="J449" s="134"/>
      <c r="K449" s="132"/>
      <c r="L449" s="134"/>
      <c r="M449" s="132"/>
      <c r="N449" s="132"/>
      <c r="O449" s="132"/>
      <c r="P449" s="132"/>
      <c r="Q449" s="147"/>
      <c r="R449" s="395" t="e">
        <f>VLOOKUP(C449,'[1]ORIGINAL (2)'!$A:$C,3,FALSE)</f>
        <v>#N/A</v>
      </c>
      <c r="S449" s="100"/>
      <c r="T449" s="100"/>
      <c r="U449" s="100"/>
      <c r="V449" s="100"/>
    </row>
    <row r="450" spans="1:22" x14ac:dyDescent="0.25">
      <c r="A450" s="6" t="s">
        <v>1992</v>
      </c>
      <c r="B450" s="279">
        <v>9789500216005</v>
      </c>
      <c r="C450" s="6">
        <v>727019</v>
      </c>
      <c r="D450" s="41">
        <v>192</v>
      </c>
      <c r="E450" s="6" t="s">
        <v>1993</v>
      </c>
      <c r="F450" s="6" t="s">
        <v>1994</v>
      </c>
      <c r="G450" s="107">
        <v>45717</v>
      </c>
      <c r="H450" s="108">
        <v>45778</v>
      </c>
      <c r="I450" s="264">
        <v>2028</v>
      </c>
      <c r="J450" s="116" t="s">
        <v>1762</v>
      </c>
      <c r="K450" s="148">
        <v>1123.33</v>
      </c>
      <c r="L450" s="9">
        <v>21900</v>
      </c>
      <c r="M450" s="112">
        <f>+L450*0.08</f>
        <v>1752</v>
      </c>
      <c r="N450" s="9">
        <f>+L450/2</f>
        <v>10950</v>
      </c>
      <c r="O450" s="9">
        <f>+N450-M450-K450</f>
        <v>8074.67</v>
      </c>
      <c r="P450" s="9">
        <f>+M450+K450</f>
        <v>2875.33</v>
      </c>
      <c r="Q450" s="139">
        <f>+O450/N450</f>
        <v>0.73741278538812782</v>
      </c>
      <c r="R450" s="395">
        <f>VLOOKUP(C450,'[1]ORIGINAL (2)'!$A:$C,3,FALSE)</f>
        <v>91</v>
      </c>
      <c r="S450" s="24" t="e">
        <f>VLOOKUP(C450,#REF!,6,FALSE)</f>
        <v>#REF!</v>
      </c>
      <c r="T450" s="24" t="e">
        <f>VLOOKUP(C450,#REF!,7,FALSE)</f>
        <v>#REF!</v>
      </c>
      <c r="U450" s="24" t="e">
        <f>VLOOKUP(C450,#REF!,12,FALSE)</f>
        <v>#REF!</v>
      </c>
      <c r="V450" s="24" t="e">
        <f>VLOOKUP(C450,#REF!,13,FALSE)</f>
        <v>#REF!</v>
      </c>
    </row>
    <row r="451" spans="1:22" x14ac:dyDescent="0.25">
      <c r="A451" s="132"/>
      <c r="B451" s="354"/>
      <c r="C451" s="133"/>
      <c r="D451" s="132"/>
      <c r="E451" s="132"/>
      <c r="F451" s="132"/>
      <c r="G451" s="132"/>
      <c r="H451" s="132"/>
      <c r="I451" s="132"/>
      <c r="J451" s="134"/>
      <c r="K451" s="132"/>
      <c r="L451" s="134"/>
      <c r="M451" s="132"/>
      <c r="N451" s="132"/>
      <c r="O451" s="132"/>
      <c r="P451" s="132"/>
      <c r="Q451" s="147"/>
      <c r="R451" s="395" t="e">
        <f>VLOOKUP(C451,'[1]ORIGINAL (2)'!$A:$C,3,FALSE)</f>
        <v>#N/A</v>
      </c>
      <c r="S451" s="100"/>
      <c r="T451" s="100"/>
      <c r="U451" s="100"/>
      <c r="V451" s="100"/>
    </row>
    <row r="452" spans="1:22" x14ac:dyDescent="0.25">
      <c r="A452" s="160" t="s">
        <v>2011</v>
      </c>
      <c r="B452" s="168"/>
      <c r="C452" s="161"/>
      <c r="D452" s="376"/>
      <c r="E452" s="374"/>
      <c r="F452" s="162"/>
      <c r="G452" s="162"/>
      <c r="H452" s="132"/>
      <c r="I452" s="132"/>
      <c r="J452" s="132"/>
      <c r="K452" s="132"/>
      <c r="L452" s="134"/>
      <c r="M452" s="132"/>
      <c r="N452" s="132"/>
      <c r="O452" s="132"/>
      <c r="P452" s="132"/>
      <c r="Q452" s="147"/>
      <c r="R452" s="395" t="e">
        <f>VLOOKUP(C452,'[1]ORIGINAL (2)'!$A:$C,3,FALSE)</f>
        <v>#N/A</v>
      </c>
      <c r="S452" s="100"/>
      <c r="T452" s="100"/>
      <c r="U452" s="100"/>
      <c r="V452" s="100"/>
    </row>
    <row r="453" spans="1:22" x14ac:dyDescent="0.25">
      <c r="A453" s="6" t="s">
        <v>2334</v>
      </c>
      <c r="B453" s="8">
        <v>9789500217712</v>
      </c>
      <c r="C453" s="8">
        <v>745987</v>
      </c>
      <c r="D453" s="167">
        <v>208</v>
      </c>
      <c r="E453" s="6" t="s">
        <v>2335</v>
      </c>
      <c r="F453" s="6" t="s">
        <v>2336</v>
      </c>
      <c r="G453" s="107">
        <v>46174</v>
      </c>
      <c r="H453" s="108">
        <v>46143</v>
      </c>
      <c r="I453" s="7">
        <v>3096</v>
      </c>
      <c r="J453" s="8" t="s">
        <v>1762</v>
      </c>
      <c r="K453" s="148">
        <v>2580.0300000000002</v>
      </c>
      <c r="L453" s="352">
        <v>18500</v>
      </c>
      <c r="M453" s="112">
        <f>+L453*0.08</f>
        <v>1480</v>
      </c>
      <c r="N453" s="9">
        <f t="shared" ref="N453:N464" si="60">+L453/2</f>
        <v>9250</v>
      </c>
      <c r="O453" s="9">
        <f t="shared" ref="O453:O464" si="61">+N453-M453-K453</f>
        <v>5189.9699999999993</v>
      </c>
      <c r="P453" s="9">
        <f t="shared" ref="P453:P464" si="62">+M453+K453</f>
        <v>4060.03</v>
      </c>
      <c r="Q453" s="139">
        <f t="shared" ref="Q453:Q464" si="63">+O453/N453</f>
        <v>0.56107783783783771</v>
      </c>
      <c r="R453" s="395">
        <f>VLOOKUP(C453,'[1]ORIGINAL (2)'!$A:$C,3,FALSE)</f>
        <v>115</v>
      </c>
      <c r="S453" s="24" t="e">
        <f>VLOOKUP(C453,#REF!,6,FALSE)</f>
        <v>#REF!</v>
      </c>
      <c r="T453" s="24" t="e">
        <f>VLOOKUP(C453,#REF!,7,FALSE)</f>
        <v>#REF!</v>
      </c>
      <c r="U453" s="24" t="e">
        <f>VLOOKUP(C453,#REF!,12,FALSE)</f>
        <v>#REF!</v>
      </c>
      <c r="V453" s="24" t="e">
        <f>VLOOKUP(C453,#REF!,13,FALSE)</f>
        <v>#REF!</v>
      </c>
    </row>
    <row r="454" spans="1:22" x14ac:dyDescent="0.25">
      <c r="A454" s="6" t="s">
        <v>2289</v>
      </c>
      <c r="B454" s="282">
        <v>9789500217439</v>
      </c>
      <c r="C454" s="6">
        <v>743065</v>
      </c>
      <c r="D454" s="41">
        <v>256</v>
      </c>
      <c r="E454" s="6" t="s">
        <v>2290</v>
      </c>
      <c r="F454" s="6" t="s">
        <v>2291</v>
      </c>
      <c r="G454" s="107">
        <v>46113</v>
      </c>
      <c r="H454" s="108">
        <v>46204</v>
      </c>
      <c r="I454" s="7">
        <v>500</v>
      </c>
      <c r="J454" s="6" t="s">
        <v>1333</v>
      </c>
      <c r="K454" s="148">
        <v>3135.51</v>
      </c>
      <c r="L454" s="9">
        <v>18500</v>
      </c>
      <c r="M454" s="9">
        <f>+L454*0.08</f>
        <v>1480</v>
      </c>
      <c r="N454" s="9">
        <f t="shared" si="60"/>
        <v>9250</v>
      </c>
      <c r="O454" s="9">
        <f t="shared" si="61"/>
        <v>4634.49</v>
      </c>
      <c r="P454" s="9">
        <f t="shared" si="62"/>
        <v>4615.51</v>
      </c>
      <c r="Q454" s="139">
        <f t="shared" si="63"/>
        <v>0.50102594594594596</v>
      </c>
      <c r="R454" s="395">
        <f>VLOOKUP(C454,'[1]ORIGINAL (2)'!$A:$C,3,FALSE)</f>
        <v>236</v>
      </c>
      <c r="S454" s="24" t="e">
        <f>VLOOKUP(C454,#REF!,6,FALSE)</f>
        <v>#REF!</v>
      </c>
      <c r="T454" s="24" t="e">
        <f>VLOOKUP(C454,#REF!,7,FALSE)</f>
        <v>#REF!</v>
      </c>
      <c r="U454" s="24" t="e">
        <f>VLOOKUP(C454,#REF!,12,FALSE)</f>
        <v>#REF!</v>
      </c>
      <c r="V454" s="24" t="e">
        <f>VLOOKUP(C454,#REF!,13,FALSE)</f>
        <v>#REF!</v>
      </c>
    </row>
    <row r="455" spans="1:22" x14ac:dyDescent="0.25">
      <c r="A455" s="6" t="s">
        <v>2182</v>
      </c>
      <c r="B455" s="153">
        <v>9789500217323</v>
      </c>
      <c r="C455" s="6">
        <v>741695</v>
      </c>
      <c r="D455" s="41">
        <v>224</v>
      </c>
      <c r="E455" s="6" t="s">
        <v>2252</v>
      </c>
      <c r="F455" s="6" t="s">
        <v>2253</v>
      </c>
      <c r="G455" s="107">
        <v>46082</v>
      </c>
      <c r="H455" s="108">
        <v>46054</v>
      </c>
      <c r="I455" s="267">
        <v>3106</v>
      </c>
      <c r="J455" s="8" t="s">
        <v>1333</v>
      </c>
      <c r="K455" s="148">
        <v>1398.6491468126208</v>
      </c>
      <c r="L455" s="9">
        <v>18500</v>
      </c>
      <c r="M455" s="9">
        <f>+L455*0.08</f>
        <v>1480</v>
      </c>
      <c r="N455" s="9">
        <f t="shared" si="60"/>
        <v>9250</v>
      </c>
      <c r="O455" s="9">
        <f t="shared" si="61"/>
        <v>6371.3508531873795</v>
      </c>
      <c r="P455" s="9">
        <f t="shared" si="62"/>
        <v>2878.6491468126205</v>
      </c>
      <c r="Q455" s="139">
        <f t="shared" si="63"/>
        <v>0.68879468683106804</v>
      </c>
      <c r="R455" s="395">
        <f>VLOOKUP(C455,'[1]ORIGINAL (2)'!$A:$C,3,FALSE)</f>
        <v>215</v>
      </c>
      <c r="S455" s="24" t="e">
        <f>VLOOKUP(C455,#REF!,6,FALSE)</f>
        <v>#REF!</v>
      </c>
      <c r="T455" s="24" t="e">
        <f>VLOOKUP(C455,#REF!,7,FALSE)</f>
        <v>#REF!</v>
      </c>
      <c r="U455" s="24" t="e">
        <f>VLOOKUP(C455,#REF!,12,FALSE)</f>
        <v>#REF!</v>
      </c>
      <c r="V455" s="24" t="e">
        <f>VLOOKUP(C455,#REF!,13,FALSE)</f>
        <v>#REF!</v>
      </c>
    </row>
    <row r="456" spans="1:22" x14ac:dyDescent="0.25">
      <c r="A456" s="6" t="s">
        <v>2045</v>
      </c>
      <c r="B456" s="279">
        <v>9789500216197</v>
      </c>
      <c r="C456" s="6">
        <v>729379</v>
      </c>
      <c r="D456" s="41">
        <v>288</v>
      </c>
      <c r="E456" s="6" t="s">
        <v>2046</v>
      </c>
      <c r="F456" s="8" t="s">
        <v>2047</v>
      </c>
      <c r="G456" s="118">
        <v>45778</v>
      </c>
      <c r="H456" s="108">
        <v>45901</v>
      </c>
      <c r="I456" s="264">
        <v>2025</v>
      </c>
      <c r="J456" s="6" t="s">
        <v>1333</v>
      </c>
      <c r="K456" s="148">
        <v>1526.98</v>
      </c>
      <c r="L456" s="295">
        <v>18500</v>
      </c>
      <c r="M456" s="9">
        <f>+L456*0.1</f>
        <v>1850</v>
      </c>
      <c r="N456" s="9">
        <f t="shared" si="60"/>
        <v>9250</v>
      </c>
      <c r="O456" s="9">
        <f t="shared" si="61"/>
        <v>5873.02</v>
      </c>
      <c r="P456" s="9">
        <f t="shared" si="62"/>
        <v>3376.98</v>
      </c>
      <c r="Q456" s="139">
        <f t="shared" si="63"/>
        <v>0.63492108108108114</v>
      </c>
      <c r="R456" s="395">
        <f>VLOOKUP(C456,'[1]ORIGINAL (2)'!$A:$C,3,FALSE)</f>
        <v>309</v>
      </c>
      <c r="S456" s="24" t="e">
        <f>VLOOKUP(C456,#REF!,6,FALSE)</f>
        <v>#REF!</v>
      </c>
      <c r="T456" s="24" t="e">
        <f>VLOOKUP(C456,#REF!,7,FALSE)</f>
        <v>#REF!</v>
      </c>
      <c r="U456" s="24" t="e">
        <f>VLOOKUP(C456,#REF!,12,FALSE)</f>
        <v>#REF!</v>
      </c>
      <c r="V456" s="24" t="e">
        <f>VLOOKUP(C456,#REF!,13,FALSE)</f>
        <v>#REF!</v>
      </c>
    </row>
    <row r="457" spans="1:22" x14ac:dyDescent="0.25">
      <c r="A457" s="165" t="s">
        <v>1900</v>
      </c>
      <c r="B457" s="158">
        <v>9789500215473</v>
      </c>
      <c r="C457" s="158">
        <v>719964</v>
      </c>
      <c r="D457" s="41">
        <v>192</v>
      </c>
      <c r="E457" s="7" t="s">
        <v>1901</v>
      </c>
      <c r="F457" s="25" t="s">
        <v>1895</v>
      </c>
      <c r="G457" s="107">
        <v>45536</v>
      </c>
      <c r="H457" s="108">
        <v>45505</v>
      </c>
      <c r="I457" s="267">
        <v>2089</v>
      </c>
      <c r="J457" s="28" t="s">
        <v>1333</v>
      </c>
      <c r="K457" s="148">
        <v>1563.7</v>
      </c>
      <c r="L457" s="9">
        <v>18500</v>
      </c>
      <c r="M457" s="9">
        <f>+L457*0.08</f>
        <v>1480</v>
      </c>
      <c r="N457" s="9">
        <f t="shared" si="60"/>
        <v>9250</v>
      </c>
      <c r="O457" s="9">
        <f t="shared" si="61"/>
        <v>6206.3</v>
      </c>
      <c r="P457" s="9">
        <f t="shared" si="62"/>
        <v>3043.7</v>
      </c>
      <c r="Q457" s="139">
        <f t="shared" si="63"/>
        <v>0.67095135135135142</v>
      </c>
      <c r="R457" s="395">
        <f>VLOOKUP(C457,'[1]ORIGINAL (2)'!$A:$C,3,FALSE)</f>
        <v>58</v>
      </c>
      <c r="S457" s="24" t="e">
        <f>VLOOKUP(C457,#REF!,6,FALSE)</f>
        <v>#REF!</v>
      </c>
      <c r="T457" s="24" t="e">
        <f>VLOOKUP(C457,#REF!,7,FALSE)</f>
        <v>#REF!</v>
      </c>
      <c r="U457" s="24" t="e">
        <f>VLOOKUP(C457,#REF!,12,FALSE)</f>
        <v>#REF!</v>
      </c>
      <c r="V457" s="24" t="e">
        <f>VLOOKUP(C457,#REF!,13,FALSE)</f>
        <v>#REF!</v>
      </c>
    </row>
    <row r="458" spans="1:22" x14ac:dyDescent="0.25">
      <c r="A458" s="7" t="s">
        <v>1839</v>
      </c>
      <c r="B458" s="8">
        <v>9789500215190</v>
      </c>
      <c r="C458" s="8">
        <v>716994</v>
      </c>
      <c r="D458" s="25">
        <v>264</v>
      </c>
      <c r="E458" s="7" t="s">
        <v>1840</v>
      </c>
      <c r="F458" s="25" t="s">
        <v>1841</v>
      </c>
      <c r="G458" s="107">
        <v>45444</v>
      </c>
      <c r="H458" s="108">
        <v>45931</v>
      </c>
      <c r="I458" s="264">
        <v>2047</v>
      </c>
      <c r="J458" s="25" t="s">
        <v>1333</v>
      </c>
      <c r="K458" s="148">
        <v>1094.44</v>
      </c>
      <c r="L458" s="9">
        <v>18500</v>
      </c>
      <c r="M458" s="9">
        <f>+L458*0.08</f>
        <v>1480</v>
      </c>
      <c r="N458" s="9">
        <f t="shared" si="60"/>
        <v>9250</v>
      </c>
      <c r="O458" s="9">
        <f t="shared" si="61"/>
        <v>6675.5599999999995</v>
      </c>
      <c r="P458" s="9">
        <f t="shared" si="62"/>
        <v>2574.44</v>
      </c>
      <c r="Q458" s="139">
        <f t="shared" si="63"/>
        <v>0.72168216216216208</v>
      </c>
      <c r="R458" s="395">
        <f>VLOOKUP(C458,'[1]ORIGINAL (2)'!$A:$C,3,FALSE)</f>
        <v>275</v>
      </c>
      <c r="S458" s="24" t="e">
        <f>VLOOKUP(C458,#REF!,6,FALSE)</f>
        <v>#REF!</v>
      </c>
      <c r="T458" s="24" t="e">
        <f>VLOOKUP(C458,#REF!,7,FALSE)</f>
        <v>#REF!</v>
      </c>
      <c r="U458" s="24" t="e">
        <f>VLOOKUP(C458,#REF!,12,FALSE)</f>
        <v>#REF!</v>
      </c>
      <c r="V458" s="24" t="e">
        <f>VLOOKUP(C458,#REF!,13,FALSE)</f>
        <v>#REF!</v>
      </c>
    </row>
    <row r="459" spans="1:22" x14ac:dyDescent="0.25">
      <c r="A459" s="6" t="s">
        <v>1351</v>
      </c>
      <c r="B459" s="8">
        <v>9789500213424</v>
      </c>
      <c r="C459" s="8">
        <v>703397</v>
      </c>
      <c r="D459" s="41">
        <v>224</v>
      </c>
      <c r="E459" s="7" t="s">
        <v>765</v>
      </c>
      <c r="F459" s="7" t="s">
        <v>644</v>
      </c>
      <c r="G459" s="107">
        <v>44986</v>
      </c>
      <c r="H459" s="108">
        <v>44958</v>
      </c>
      <c r="I459" s="7">
        <v>2086</v>
      </c>
      <c r="J459" s="28" t="s">
        <v>1333</v>
      </c>
      <c r="K459" s="9">
        <v>381.69</v>
      </c>
      <c r="L459" s="28">
        <v>18500</v>
      </c>
      <c r="M459" s="9">
        <f>+L459*0.08</f>
        <v>1480</v>
      </c>
      <c r="N459" s="9">
        <f t="shared" si="60"/>
        <v>9250</v>
      </c>
      <c r="O459" s="9">
        <f t="shared" si="61"/>
        <v>7388.31</v>
      </c>
      <c r="P459" s="9">
        <f t="shared" si="62"/>
        <v>1861.69</v>
      </c>
      <c r="Q459" s="139">
        <f t="shared" si="63"/>
        <v>0.79873621621621627</v>
      </c>
      <c r="R459" s="395">
        <f>VLOOKUP(C459,'[1]ORIGINAL (2)'!$A:$C,3,FALSE)</f>
        <v>16</v>
      </c>
      <c r="S459" s="24" t="e">
        <f>VLOOKUP(C459,#REF!,6,FALSE)</f>
        <v>#REF!</v>
      </c>
      <c r="T459" s="24" t="e">
        <f>VLOOKUP(C459,#REF!,7,FALSE)</f>
        <v>#REF!</v>
      </c>
      <c r="U459" s="24" t="e">
        <f>VLOOKUP(C459,#REF!,12,FALSE)</f>
        <v>#REF!</v>
      </c>
      <c r="V459" s="24" t="e">
        <f>VLOOKUP(C459,#REF!,13,FALSE)</f>
        <v>#REF!</v>
      </c>
    </row>
    <row r="460" spans="1:22" x14ac:dyDescent="0.25">
      <c r="A460" s="7" t="s">
        <v>1352</v>
      </c>
      <c r="B460" s="8">
        <v>9789500210614</v>
      </c>
      <c r="C460" s="8">
        <v>676167</v>
      </c>
      <c r="D460" s="25">
        <v>176</v>
      </c>
      <c r="E460" s="7" t="s">
        <v>488</v>
      </c>
      <c r="F460" s="7" t="s">
        <v>828</v>
      </c>
      <c r="G460" s="107">
        <v>43983</v>
      </c>
      <c r="H460" s="108">
        <v>46174</v>
      </c>
      <c r="I460" s="7">
        <v>500</v>
      </c>
      <c r="J460" s="28" t="s">
        <v>1333</v>
      </c>
      <c r="K460" s="292">
        <v>2359.88</v>
      </c>
      <c r="L460" s="28">
        <v>18500</v>
      </c>
      <c r="M460" s="9">
        <f>+L460*0.1</f>
        <v>1850</v>
      </c>
      <c r="N460" s="9">
        <f t="shared" si="60"/>
        <v>9250</v>
      </c>
      <c r="O460" s="9">
        <f t="shared" si="61"/>
        <v>5040.12</v>
      </c>
      <c r="P460" s="9">
        <f t="shared" si="62"/>
        <v>4209.88</v>
      </c>
      <c r="Q460" s="139">
        <f t="shared" si="63"/>
        <v>0.54487783783783783</v>
      </c>
      <c r="R460" s="395">
        <f>VLOOKUP(C460,'[1]ORIGINAL (2)'!$A:$C,3,FALSE)</f>
        <v>60</v>
      </c>
      <c r="S460" s="24" t="e">
        <f>VLOOKUP(C460,#REF!,6,FALSE)</f>
        <v>#REF!</v>
      </c>
      <c r="T460" s="24" t="e">
        <f>VLOOKUP(C460,#REF!,7,FALSE)</f>
        <v>#REF!</v>
      </c>
      <c r="U460" s="24" t="e">
        <f>VLOOKUP(C460,#REF!,12,FALSE)</f>
        <v>#REF!</v>
      </c>
      <c r="V460" s="24" t="e">
        <f>VLOOKUP(C460,#REF!,13,FALSE)</f>
        <v>#REF!</v>
      </c>
    </row>
    <row r="461" spans="1:22" x14ac:dyDescent="0.25">
      <c r="A461" s="7" t="s">
        <v>1353</v>
      </c>
      <c r="B461" s="8">
        <v>9789500211536</v>
      </c>
      <c r="C461" s="8">
        <v>681370</v>
      </c>
      <c r="D461" s="25">
        <v>192</v>
      </c>
      <c r="E461" s="7" t="s">
        <v>526</v>
      </c>
      <c r="F461" s="7" t="s">
        <v>527</v>
      </c>
      <c r="G461" s="107">
        <v>44228</v>
      </c>
      <c r="H461" s="108">
        <v>44197</v>
      </c>
      <c r="I461" s="24">
        <v>3071</v>
      </c>
      <c r="J461" s="28" t="s">
        <v>1333</v>
      </c>
      <c r="K461" s="9">
        <v>75.37</v>
      </c>
      <c r="L461" s="28">
        <v>18500</v>
      </c>
      <c r="M461" s="112">
        <f>+L461*0.1</f>
        <v>1850</v>
      </c>
      <c r="N461" s="9">
        <f t="shared" si="60"/>
        <v>9250</v>
      </c>
      <c r="O461" s="9">
        <f t="shared" si="61"/>
        <v>7324.63</v>
      </c>
      <c r="P461" s="9">
        <f t="shared" si="62"/>
        <v>1925.37</v>
      </c>
      <c r="Q461" s="139">
        <f t="shared" si="63"/>
        <v>0.79185189189189187</v>
      </c>
      <c r="R461" s="395">
        <f>VLOOKUP(C461,'[1]ORIGINAL (2)'!$A:$C,3,FALSE)</f>
        <v>28</v>
      </c>
      <c r="S461" s="24" t="e">
        <f>VLOOKUP(C461,#REF!,6,FALSE)</f>
        <v>#REF!</v>
      </c>
      <c r="T461" s="24" t="e">
        <f>VLOOKUP(C461,#REF!,7,FALSE)</f>
        <v>#REF!</v>
      </c>
      <c r="U461" s="24" t="e">
        <f>VLOOKUP(C461,#REF!,12,FALSE)</f>
        <v>#REF!</v>
      </c>
      <c r="V461" s="24" t="e">
        <f>VLOOKUP(C461,#REF!,13,FALSE)</f>
        <v>#REF!</v>
      </c>
    </row>
    <row r="462" spans="1:22" x14ac:dyDescent="0.25">
      <c r="A462" s="7" t="s">
        <v>1354</v>
      </c>
      <c r="B462" s="8">
        <v>9789500212625</v>
      </c>
      <c r="C462" s="8">
        <v>693798</v>
      </c>
      <c r="D462" s="25">
        <v>128</v>
      </c>
      <c r="E462" s="9" t="s">
        <v>688</v>
      </c>
      <c r="F462" s="7" t="s">
        <v>689</v>
      </c>
      <c r="G462" s="107">
        <v>44682</v>
      </c>
      <c r="H462" s="107">
        <v>46235</v>
      </c>
      <c r="I462" s="7">
        <v>500</v>
      </c>
      <c r="J462" s="28" t="s">
        <v>1333</v>
      </c>
      <c r="K462" s="9">
        <v>2228.73</v>
      </c>
      <c r="L462" s="28">
        <v>18500</v>
      </c>
      <c r="M462" s="9">
        <f>+L462*0.08</f>
        <v>1480</v>
      </c>
      <c r="N462" s="9">
        <f t="shared" si="60"/>
        <v>9250</v>
      </c>
      <c r="O462" s="9">
        <f t="shared" si="61"/>
        <v>5541.27</v>
      </c>
      <c r="P462" s="9">
        <f t="shared" si="62"/>
        <v>3708.73</v>
      </c>
      <c r="Q462" s="139">
        <f t="shared" si="63"/>
        <v>0.5990562162162163</v>
      </c>
      <c r="R462" s="395">
        <f>VLOOKUP(C462,'[1]ORIGINAL (2)'!$A:$C,3,FALSE)</f>
        <v>66</v>
      </c>
      <c r="S462" s="24" t="e">
        <f>VLOOKUP(C462,#REF!,6,FALSE)</f>
        <v>#REF!</v>
      </c>
      <c r="T462" s="24" t="e">
        <f>VLOOKUP(C462,#REF!,7,FALSE)</f>
        <v>#REF!</v>
      </c>
      <c r="U462" s="24" t="e">
        <f>VLOOKUP(C462,#REF!,12,FALSE)</f>
        <v>#REF!</v>
      </c>
      <c r="V462" s="24" t="e">
        <f>VLOOKUP(C462,#REF!,13,FALSE)</f>
        <v>#REF!</v>
      </c>
    </row>
    <row r="463" spans="1:22" x14ac:dyDescent="0.25">
      <c r="A463" s="7" t="s">
        <v>1355</v>
      </c>
      <c r="B463" s="8">
        <v>9789500212472</v>
      </c>
      <c r="C463" s="8">
        <v>691782</v>
      </c>
      <c r="D463" s="25">
        <v>224</v>
      </c>
      <c r="E463" s="9" t="s">
        <v>656</v>
      </c>
      <c r="F463" s="7" t="s">
        <v>658</v>
      </c>
      <c r="G463" s="107">
        <v>44621</v>
      </c>
      <c r="H463" s="108">
        <v>44593</v>
      </c>
      <c r="I463" s="7">
        <v>2079</v>
      </c>
      <c r="J463" s="28" t="s">
        <v>1333</v>
      </c>
      <c r="K463" s="9">
        <v>491.02</v>
      </c>
      <c r="L463" s="28">
        <v>18500</v>
      </c>
      <c r="M463" s="9">
        <f>+L463*0.08</f>
        <v>1480</v>
      </c>
      <c r="N463" s="9">
        <f t="shared" si="60"/>
        <v>9250</v>
      </c>
      <c r="O463" s="9">
        <f t="shared" si="61"/>
        <v>7278.98</v>
      </c>
      <c r="P463" s="9">
        <f t="shared" si="62"/>
        <v>1971.02</v>
      </c>
      <c r="Q463" s="139">
        <f t="shared" si="63"/>
        <v>0.78691675675675676</v>
      </c>
      <c r="R463" s="395">
        <f>VLOOKUP(C463,'[1]ORIGINAL (2)'!$A:$C,3,FALSE)</f>
        <v>67</v>
      </c>
      <c r="S463" s="24" t="e">
        <f>VLOOKUP(C463,#REF!,6,FALSE)</f>
        <v>#REF!</v>
      </c>
      <c r="T463" s="24" t="e">
        <f>VLOOKUP(C463,#REF!,7,FALSE)</f>
        <v>#REF!</v>
      </c>
      <c r="U463" s="24" t="e">
        <f>VLOOKUP(C463,#REF!,12,FALSE)</f>
        <v>#REF!</v>
      </c>
      <c r="V463" s="24" t="e">
        <f>VLOOKUP(C463,#REF!,13,FALSE)</f>
        <v>#REF!</v>
      </c>
    </row>
    <row r="464" spans="1:22" x14ac:dyDescent="0.25">
      <c r="A464" s="6" t="s">
        <v>1356</v>
      </c>
      <c r="B464" s="8">
        <v>9789500211796</v>
      </c>
      <c r="C464" s="8">
        <v>683961</v>
      </c>
      <c r="D464" s="7">
        <v>168</v>
      </c>
      <c r="E464" s="30" t="s">
        <v>550</v>
      </c>
      <c r="F464" s="7" t="s">
        <v>829</v>
      </c>
      <c r="G464" s="107">
        <v>44348</v>
      </c>
      <c r="H464" s="108">
        <v>44470</v>
      </c>
      <c r="I464" s="7">
        <v>4049</v>
      </c>
      <c r="J464" s="28" t="s">
        <v>1333</v>
      </c>
      <c r="K464" s="117">
        <v>62.53</v>
      </c>
      <c r="L464" s="28">
        <v>18500</v>
      </c>
      <c r="M464" s="112">
        <f>+L464*0.08</f>
        <v>1480</v>
      </c>
      <c r="N464" s="9">
        <f t="shared" si="60"/>
        <v>9250</v>
      </c>
      <c r="O464" s="9">
        <f t="shared" si="61"/>
        <v>7707.47</v>
      </c>
      <c r="P464" s="9">
        <f t="shared" si="62"/>
        <v>1542.53</v>
      </c>
      <c r="Q464" s="139">
        <f t="shared" si="63"/>
        <v>0.83323999999999998</v>
      </c>
      <c r="R464" s="395">
        <f>VLOOKUP(C464,'[1]ORIGINAL (2)'!$A:$C,3,FALSE)</f>
        <v>81</v>
      </c>
      <c r="S464" s="24" t="e">
        <f>VLOOKUP(C464,#REF!,6,FALSE)</f>
        <v>#REF!</v>
      </c>
      <c r="T464" s="24" t="e">
        <f>VLOOKUP(C464,#REF!,7,FALSE)</f>
        <v>#REF!</v>
      </c>
      <c r="U464" s="24" t="e">
        <f>VLOOKUP(C464,#REF!,12,FALSE)</f>
        <v>#REF!</v>
      </c>
      <c r="V464" s="24" t="e">
        <f>VLOOKUP(C464,#REF!,13,FALSE)</f>
        <v>#REF!</v>
      </c>
    </row>
    <row r="465" spans="1:22" ht="15.75" thickBot="1" x14ac:dyDescent="0.3">
      <c r="A465" s="132"/>
      <c r="B465" s="354"/>
      <c r="C465" s="133"/>
      <c r="D465" s="132"/>
      <c r="E465" s="132"/>
      <c r="F465" s="132"/>
      <c r="G465" s="132"/>
      <c r="H465" s="132"/>
      <c r="I465" s="132"/>
      <c r="J465" s="134"/>
      <c r="K465" s="132"/>
      <c r="L465" s="134"/>
      <c r="M465" s="132"/>
      <c r="N465" s="132"/>
      <c r="O465" s="132"/>
      <c r="P465" s="132"/>
      <c r="Q465" s="147"/>
      <c r="R465" s="395" t="e">
        <f>VLOOKUP(C465,'[1]ORIGINAL (2)'!$A:$C,3,FALSE)</f>
        <v>#N/A</v>
      </c>
      <c r="S465" s="100"/>
      <c r="T465" s="100"/>
      <c r="U465" s="100"/>
      <c r="V465" s="100"/>
    </row>
    <row r="466" spans="1:22" x14ac:dyDescent="0.25">
      <c r="A466" s="132"/>
      <c r="B466" s="355"/>
      <c r="C466" s="133"/>
      <c r="D466" s="154"/>
      <c r="E466" s="155" t="s">
        <v>1357</v>
      </c>
      <c r="F466" s="156"/>
      <c r="G466" s="132"/>
      <c r="H466" s="132"/>
      <c r="I466" s="132"/>
      <c r="J466" s="134"/>
      <c r="K466" s="132"/>
      <c r="L466" s="134"/>
      <c r="M466" s="132"/>
      <c r="N466" s="132"/>
      <c r="O466" s="132"/>
      <c r="P466" s="132"/>
      <c r="Q466" s="147"/>
      <c r="R466" s="395" t="e">
        <f>VLOOKUP(C466,'[1]ORIGINAL (2)'!$A:$C,3,FALSE)</f>
        <v>#N/A</v>
      </c>
      <c r="S466" s="100"/>
      <c r="T466" s="100"/>
      <c r="U466" s="100"/>
      <c r="V466" s="100"/>
    </row>
    <row r="467" spans="1:22" x14ac:dyDescent="0.25">
      <c r="A467" s="7" t="s">
        <v>1358</v>
      </c>
      <c r="B467" s="8">
        <v>9789500210232</v>
      </c>
      <c r="C467" s="14">
        <v>670527</v>
      </c>
      <c r="D467" s="25">
        <v>400</v>
      </c>
      <c r="E467" s="9" t="s">
        <v>462</v>
      </c>
      <c r="F467" s="116" t="s">
        <v>463</v>
      </c>
      <c r="G467" s="107">
        <v>43770</v>
      </c>
      <c r="H467" s="108">
        <v>43739</v>
      </c>
      <c r="I467" s="7">
        <v>3065</v>
      </c>
      <c r="J467" s="28" t="s">
        <v>1762</v>
      </c>
      <c r="K467" s="9">
        <v>100.67</v>
      </c>
      <c r="L467" s="112">
        <v>33900</v>
      </c>
      <c r="M467" s="112">
        <f>+L467*0.1</f>
        <v>3390</v>
      </c>
      <c r="N467" s="9">
        <f>+L467/2</f>
        <v>16950</v>
      </c>
      <c r="O467" s="9">
        <f>+N467-M467-K467</f>
        <v>13459.33</v>
      </c>
      <c r="P467" s="9">
        <f>+M467+K467</f>
        <v>3490.67</v>
      </c>
      <c r="Q467" s="139">
        <f>+O467/N467</f>
        <v>0.79406076696165195</v>
      </c>
      <c r="R467" s="395">
        <f>VLOOKUP(C467,'[1]ORIGINAL (2)'!$A:$C,3,FALSE)</f>
        <v>13</v>
      </c>
      <c r="S467" s="24" t="e">
        <f>VLOOKUP(C467,#REF!,6,FALSE)</f>
        <v>#REF!</v>
      </c>
      <c r="T467" s="24" t="e">
        <f>VLOOKUP(C467,#REF!,7,FALSE)</f>
        <v>#REF!</v>
      </c>
      <c r="U467" s="24" t="e">
        <f>VLOOKUP(C467,#REF!,12,FALSE)</f>
        <v>#REF!</v>
      </c>
      <c r="V467" s="24" t="e">
        <f>VLOOKUP(C467,#REF!,13,FALSE)</f>
        <v>#REF!</v>
      </c>
    </row>
    <row r="468" spans="1:22" x14ac:dyDescent="0.25">
      <c r="A468" s="7" t="s">
        <v>1359</v>
      </c>
      <c r="B468" s="8">
        <v>9789500207881</v>
      </c>
      <c r="C468" s="8">
        <v>577626</v>
      </c>
      <c r="D468" s="7">
        <v>224</v>
      </c>
      <c r="E468" s="130" t="s">
        <v>212</v>
      </c>
      <c r="F468" s="7" t="s">
        <v>213</v>
      </c>
      <c r="G468" s="107">
        <v>41760</v>
      </c>
      <c r="H468" s="108">
        <v>43252</v>
      </c>
      <c r="I468" s="24">
        <v>1000</v>
      </c>
      <c r="J468" s="28" t="s">
        <v>1762</v>
      </c>
      <c r="K468" s="28">
        <v>40.299999999999997</v>
      </c>
      <c r="L468" s="112">
        <v>31900</v>
      </c>
      <c r="M468" s="112">
        <f>+L468*0.1</f>
        <v>3190</v>
      </c>
      <c r="N468" s="9">
        <f>+L468/2</f>
        <v>15950</v>
      </c>
      <c r="O468" s="9">
        <f>+N468-M468-K468</f>
        <v>12719.7</v>
      </c>
      <c r="P468" s="9">
        <f>+M468+K468</f>
        <v>3230.3</v>
      </c>
      <c r="Q468" s="139">
        <f>+O468/N468</f>
        <v>0.79747335423197496</v>
      </c>
      <c r="R468" s="395" t="e">
        <f>VLOOKUP(C468,'[1]ORIGINAL (2)'!$A:$C,3,FALSE)</f>
        <v>#N/A</v>
      </c>
      <c r="S468" s="24" t="e">
        <f>VLOOKUP(C468,#REF!,6,FALSE)</f>
        <v>#REF!</v>
      </c>
      <c r="T468" s="24" t="e">
        <f>VLOOKUP(C468,#REF!,7,FALSE)</f>
        <v>#REF!</v>
      </c>
      <c r="U468" s="24" t="e">
        <f>VLOOKUP(C468,#REF!,12,FALSE)</f>
        <v>#REF!</v>
      </c>
      <c r="V468" s="24" t="e">
        <f>VLOOKUP(C468,#REF!,13,FALSE)</f>
        <v>#REF!</v>
      </c>
    </row>
    <row r="469" spans="1:22" x14ac:dyDescent="0.25">
      <c r="A469" s="6" t="s">
        <v>1360</v>
      </c>
      <c r="B469" s="8">
        <v>9789500208727</v>
      </c>
      <c r="C469" s="8">
        <v>595688</v>
      </c>
      <c r="D469" s="7">
        <v>240</v>
      </c>
      <c r="E469" s="7" t="s">
        <v>432</v>
      </c>
      <c r="F469" s="6" t="s">
        <v>1361</v>
      </c>
      <c r="G469" s="107">
        <v>42248</v>
      </c>
      <c r="H469" s="108">
        <v>42217</v>
      </c>
      <c r="I469" s="24">
        <v>3052</v>
      </c>
      <c r="J469" s="28" t="s">
        <v>1946</v>
      </c>
      <c r="K469" s="28">
        <v>24.03</v>
      </c>
      <c r="L469" s="112">
        <v>19100</v>
      </c>
      <c r="M469" s="112">
        <f>+L469*0.1</f>
        <v>1910</v>
      </c>
      <c r="N469" s="9">
        <f>+L469/2</f>
        <v>9550</v>
      </c>
      <c r="O469" s="9">
        <f>+N469-M469-K469</f>
        <v>7615.97</v>
      </c>
      <c r="P469" s="9">
        <f>+M469+K469</f>
        <v>1934.03</v>
      </c>
      <c r="Q469" s="139">
        <f>+O469/N469</f>
        <v>0.79748376963350787</v>
      </c>
      <c r="R469" s="395" t="e">
        <f>VLOOKUP(C469,'[1]ORIGINAL (2)'!$A:$C,3,FALSE)</f>
        <v>#N/A</v>
      </c>
      <c r="S469" s="24" t="e">
        <f>VLOOKUP(C469,#REF!,6,FALSE)</f>
        <v>#REF!</v>
      </c>
      <c r="T469" s="24" t="e">
        <f>VLOOKUP(C469,#REF!,7,FALSE)</f>
        <v>#REF!</v>
      </c>
      <c r="U469" s="24" t="e">
        <f>VLOOKUP(C469,#REF!,12,FALSE)</f>
        <v>#REF!</v>
      </c>
      <c r="V469" s="24" t="e">
        <f>VLOOKUP(C469,#REF!,13,FALSE)</f>
        <v>#REF!</v>
      </c>
    </row>
    <row r="470" spans="1:22" x14ac:dyDescent="0.25">
      <c r="A470" s="132"/>
      <c r="B470" s="133"/>
      <c r="C470" s="133"/>
      <c r="D470" s="132"/>
      <c r="E470" s="132"/>
      <c r="F470" s="132"/>
      <c r="G470" s="132"/>
      <c r="H470" s="132"/>
      <c r="I470" s="132"/>
      <c r="J470" s="134"/>
      <c r="K470" s="132"/>
      <c r="L470" s="134"/>
      <c r="M470" s="132"/>
      <c r="N470" s="132"/>
      <c r="O470" s="132"/>
      <c r="P470" s="132"/>
      <c r="Q470" s="147"/>
      <c r="R470" s="395" t="e">
        <f>VLOOKUP(C470,'[1]ORIGINAL (2)'!$A:$C,3,FALSE)</f>
        <v>#N/A</v>
      </c>
      <c r="S470" s="100"/>
      <c r="T470" s="100"/>
      <c r="U470" s="100"/>
      <c r="V470" s="100"/>
    </row>
    <row r="471" spans="1:22" ht="15.75" thickBot="1" x14ac:dyDescent="0.3">
      <c r="A471" s="132"/>
      <c r="B471" s="133"/>
      <c r="C471" s="133"/>
      <c r="D471" s="132"/>
      <c r="E471" s="132"/>
      <c r="F471" s="132"/>
      <c r="G471" s="132"/>
      <c r="H471" s="132"/>
      <c r="I471" s="132"/>
      <c r="J471" s="134"/>
      <c r="K471" s="132"/>
      <c r="L471" s="134"/>
      <c r="M471" s="132"/>
      <c r="N471" s="132"/>
      <c r="O471" s="132"/>
      <c r="P471" s="132"/>
      <c r="Q471" s="147"/>
      <c r="R471" s="395" t="e">
        <f>VLOOKUP(C471,'[1]ORIGINAL (2)'!$A:$C,3,FALSE)</f>
        <v>#N/A</v>
      </c>
      <c r="S471" s="100"/>
      <c r="T471" s="100"/>
      <c r="U471" s="100"/>
      <c r="V471" s="100"/>
    </row>
    <row r="472" spans="1:22" x14ac:dyDescent="0.25">
      <c r="A472" s="132"/>
      <c r="B472" s="133"/>
      <c r="C472" s="133"/>
      <c r="D472" s="154"/>
      <c r="E472" s="104" t="s">
        <v>631</v>
      </c>
      <c r="F472" s="105"/>
      <c r="G472" s="132"/>
      <c r="H472" s="132"/>
      <c r="I472" s="132"/>
      <c r="J472" s="134"/>
      <c r="K472" s="132"/>
      <c r="L472" s="134"/>
      <c r="M472" s="132"/>
      <c r="N472" s="132"/>
      <c r="O472" s="132"/>
      <c r="P472" s="132"/>
      <c r="Q472" s="147"/>
      <c r="R472" s="395" t="e">
        <f>VLOOKUP(C472,'[1]ORIGINAL (2)'!$A:$C,3,FALSE)</f>
        <v>#N/A</v>
      </c>
      <c r="S472" s="100"/>
      <c r="T472" s="100"/>
      <c r="U472" s="100"/>
      <c r="V472" s="100"/>
    </row>
    <row r="473" spans="1:22" x14ac:dyDescent="0.25">
      <c r="A473" s="6" t="s">
        <v>2169</v>
      </c>
      <c r="B473" s="153">
        <v>9789500216883</v>
      </c>
      <c r="C473" s="6">
        <v>737014</v>
      </c>
      <c r="D473" s="41">
        <v>272</v>
      </c>
      <c r="E473" s="6" t="s">
        <v>2170</v>
      </c>
      <c r="F473" s="29" t="s">
        <v>2171</v>
      </c>
      <c r="G473" s="329">
        <v>45962</v>
      </c>
      <c r="H473" s="108">
        <v>45931</v>
      </c>
      <c r="I473" s="7">
        <v>3027</v>
      </c>
      <c r="J473" s="28" t="s">
        <v>1333</v>
      </c>
      <c r="K473" s="148">
        <v>2359.91</v>
      </c>
      <c r="L473" s="28">
        <v>32900</v>
      </c>
      <c r="M473" s="112">
        <f>+L473*0.1</f>
        <v>3290</v>
      </c>
      <c r="N473" s="9">
        <f t="shared" ref="N473:N487" si="64">+L473/2</f>
        <v>16450</v>
      </c>
      <c r="O473" s="9">
        <f t="shared" ref="O473:O487" si="65">+N473-M473-K473</f>
        <v>10800.09</v>
      </c>
      <c r="P473" s="9">
        <f t="shared" ref="P473:P487" si="66">+M473+K473</f>
        <v>5649.91</v>
      </c>
      <c r="Q473" s="139">
        <f t="shared" ref="Q473:Q487" si="67">+O473/N473</f>
        <v>0.65654042553191494</v>
      </c>
      <c r="R473" s="395">
        <f>VLOOKUP(C473,'[1]ORIGINAL (2)'!$A:$C,3,FALSE)</f>
        <v>542</v>
      </c>
      <c r="S473" s="24" t="e">
        <f>VLOOKUP(C473,#REF!,6,FALSE)</f>
        <v>#REF!</v>
      </c>
      <c r="T473" s="24" t="e">
        <f>VLOOKUP(C473,#REF!,7,FALSE)</f>
        <v>#REF!</v>
      </c>
      <c r="U473" s="24" t="e">
        <f>VLOOKUP(C473,#REF!,12,FALSE)</f>
        <v>#REF!</v>
      </c>
      <c r="V473" s="24" t="e">
        <f>VLOOKUP(C473,#REF!,13,FALSE)</f>
        <v>#REF!</v>
      </c>
    </row>
    <row r="474" spans="1:22" x14ac:dyDescent="0.25">
      <c r="A474" s="6" t="s">
        <v>2060</v>
      </c>
      <c r="B474" s="279">
        <v>9789500216364</v>
      </c>
      <c r="C474" s="6">
        <v>730438</v>
      </c>
      <c r="D474" s="41">
        <v>224</v>
      </c>
      <c r="E474" s="8" t="s">
        <v>2061</v>
      </c>
      <c r="F474" s="6" t="s">
        <v>2062</v>
      </c>
      <c r="G474" s="108">
        <v>45809</v>
      </c>
      <c r="H474" s="108">
        <v>45901</v>
      </c>
      <c r="I474" s="264">
        <v>2036</v>
      </c>
      <c r="J474" s="6" t="s">
        <v>2219</v>
      </c>
      <c r="K474" s="292">
        <v>1830.58</v>
      </c>
      <c r="L474" s="9">
        <v>27900</v>
      </c>
      <c r="M474" s="9">
        <f>+L474*0.08</f>
        <v>2232</v>
      </c>
      <c r="N474" s="9">
        <f t="shared" si="64"/>
        <v>13950</v>
      </c>
      <c r="O474" s="9">
        <f t="shared" si="65"/>
        <v>9887.42</v>
      </c>
      <c r="P474" s="9">
        <f t="shared" si="66"/>
        <v>4062.58</v>
      </c>
      <c r="Q474" s="139">
        <f t="shared" si="67"/>
        <v>0.70877562724014342</v>
      </c>
      <c r="R474" s="395">
        <f>VLOOKUP(C474,'[1]ORIGINAL (2)'!$A:$C,3,FALSE)</f>
        <v>871</v>
      </c>
      <c r="S474" s="24" t="e">
        <f>VLOOKUP(C474,#REF!,6,FALSE)</f>
        <v>#REF!</v>
      </c>
      <c r="T474" s="24" t="e">
        <f>VLOOKUP(C474,#REF!,7,FALSE)</f>
        <v>#REF!</v>
      </c>
      <c r="U474" s="24" t="e">
        <f>VLOOKUP(C474,#REF!,12,FALSE)</f>
        <v>#REF!</v>
      </c>
      <c r="V474" s="24" t="e">
        <f>VLOOKUP(C474,#REF!,13,FALSE)</f>
        <v>#REF!</v>
      </c>
    </row>
    <row r="475" spans="1:22" x14ac:dyDescent="0.25">
      <c r="A475" s="7" t="s">
        <v>1362</v>
      </c>
      <c r="B475" s="8">
        <v>9789500212519</v>
      </c>
      <c r="C475" s="8">
        <v>691773</v>
      </c>
      <c r="D475" s="25">
        <v>360</v>
      </c>
      <c r="E475" s="7" t="s">
        <v>450</v>
      </c>
      <c r="F475" s="7" t="s">
        <v>2196</v>
      </c>
      <c r="G475" s="107">
        <v>44621</v>
      </c>
      <c r="H475" s="108">
        <v>45931</v>
      </c>
      <c r="I475" s="7">
        <v>720</v>
      </c>
      <c r="J475" s="28" t="s">
        <v>1762</v>
      </c>
      <c r="K475" s="9">
        <v>5225.97</v>
      </c>
      <c r="L475" s="9">
        <v>69900</v>
      </c>
      <c r="M475" s="9">
        <f>+L475*0.1</f>
        <v>6990</v>
      </c>
      <c r="N475" s="9">
        <f t="shared" si="64"/>
        <v>34950</v>
      </c>
      <c r="O475" s="9">
        <f t="shared" si="65"/>
        <v>22734.03</v>
      </c>
      <c r="P475" s="9">
        <f t="shared" si="66"/>
        <v>12215.970000000001</v>
      </c>
      <c r="Q475" s="180">
        <f t="shared" si="67"/>
        <v>0.6504729613733905</v>
      </c>
      <c r="R475" s="395">
        <f>VLOOKUP(C475,'[1]ORIGINAL (2)'!$A:$C,3,FALSE)</f>
        <v>970</v>
      </c>
      <c r="S475" s="24" t="e">
        <f>VLOOKUP(C475,#REF!,6,FALSE)</f>
        <v>#REF!</v>
      </c>
      <c r="T475" s="24" t="e">
        <f>VLOOKUP(C475,#REF!,7,FALSE)</f>
        <v>#REF!</v>
      </c>
      <c r="U475" s="24" t="e">
        <f>VLOOKUP(C475,#REF!,12,FALSE)</f>
        <v>#REF!</v>
      </c>
      <c r="V475" s="24" t="e">
        <f>VLOOKUP(C475,#REF!,13,FALSE)</f>
        <v>#REF!</v>
      </c>
    </row>
    <row r="476" spans="1:22" x14ac:dyDescent="0.25">
      <c r="A476" s="7" t="s">
        <v>1363</v>
      </c>
      <c r="B476" s="8">
        <v>9789500212397</v>
      </c>
      <c r="C476" s="8">
        <v>690478</v>
      </c>
      <c r="D476" s="25">
        <v>304</v>
      </c>
      <c r="E476" s="7" t="s">
        <v>640</v>
      </c>
      <c r="F476" s="7" t="s">
        <v>641</v>
      </c>
      <c r="G476" s="107">
        <v>44562</v>
      </c>
      <c r="H476" s="107">
        <v>44562</v>
      </c>
      <c r="I476" s="7">
        <v>5000</v>
      </c>
      <c r="J476" s="28" t="s">
        <v>1762</v>
      </c>
      <c r="K476" s="9">
        <v>514.32000000000005</v>
      </c>
      <c r="L476" s="9">
        <v>53900</v>
      </c>
      <c r="M476" s="112">
        <f>+L476*0.08</f>
        <v>4312</v>
      </c>
      <c r="N476" s="9">
        <f t="shared" si="64"/>
        <v>26950</v>
      </c>
      <c r="O476" s="9">
        <f t="shared" si="65"/>
        <v>22123.68</v>
      </c>
      <c r="P476" s="9">
        <f t="shared" si="66"/>
        <v>4826.32</v>
      </c>
      <c r="Q476" s="180">
        <f t="shared" si="67"/>
        <v>0.82091576994434134</v>
      </c>
      <c r="R476" s="395">
        <f>VLOOKUP(C476,'[1]ORIGINAL (2)'!$A:$C,3,FALSE)</f>
        <v>152</v>
      </c>
      <c r="S476" s="24" t="e">
        <f>VLOOKUP(C476,#REF!,6,FALSE)</f>
        <v>#REF!</v>
      </c>
      <c r="T476" s="24" t="e">
        <f>VLOOKUP(C476,#REF!,7,FALSE)</f>
        <v>#REF!</v>
      </c>
      <c r="U476" s="24" t="e">
        <f>VLOOKUP(C476,#REF!,12,FALSE)</f>
        <v>#REF!</v>
      </c>
      <c r="V476" s="24" t="e">
        <f>VLOOKUP(C476,#REF!,13,FALSE)</f>
        <v>#REF!</v>
      </c>
    </row>
    <row r="477" spans="1:22" x14ac:dyDescent="0.25">
      <c r="A477" s="7" t="s">
        <v>1364</v>
      </c>
      <c r="B477" s="8">
        <v>9789500212311</v>
      </c>
      <c r="C477" s="8">
        <v>689371</v>
      </c>
      <c r="D477" s="25">
        <v>304</v>
      </c>
      <c r="E477" s="9" t="s">
        <v>626</v>
      </c>
      <c r="F477" s="7" t="s">
        <v>623</v>
      </c>
      <c r="G477" s="107">
        <v>44531</v>
      </c>
      <c r="H477" s="108">
        <v>44501</v>
      </c>
      <c r="I477" s="7">
        <v>4023</v>
      </c>
      <c r="J477" s="28" t="s">
        <v>1762</v>
      </c>
      <c r="K477" s="9">
        <v>208.52</v>
      </c>
      <c r="L477" s="9">
        <v>35900</v>
      </c>
      <c r="M477" s="112">
        <f t="shared" ref="M477:M483" si="68">+L477*0.1</f>
        <v>3590</v>
      </c>
      <c r="N477" s="9">
        <f t="shared" si="64"/>
        <v>17950</v>
      </c>
      <c r="O477" s="9">
        <f t="shared" si="65"/>
        <v>14151.48</v>
      </c>
      <c r="P477" s="9">
        <f t="shared" si="66"/>
        <v>3798.52</v>
      </c>
      <c r="Q477" s="180">
        <f t="shared" si="67"/>
        <v>0.78838328690807802</v>
      </c>
      <c r="R477" s="395">
        <f>VLOOKUP(C477,'[1]ORIGINAL (2)'!$A:$C,3,FALSE)</f>
        <v>61</v>
      </c>
      <c r="S477" s="24" t="e">
        <f>VLOOKUP(C477,#REF!,6,FALSE)</f>
        <v>#REF!</v>
      </c>
      <c r="T477" s="24" t="e">
        <f>VLOOKUP(C477,#REF!,7,FALSE)</f>
        <v>#REF!</v>
      </c>
      <c r="U477" s="24" t="e">
        <f>VLOOKUP(C477,#REF!,12,FALSE)</f>
        <v>#REF!</v>
      </c>
      <c r="V477" s="24" t="e">
        <f>VLOOKUP(C477,#REF!,13,FALSE)</f>
        <v>#REF!</v>
      </c>
    </row>
    <row r="478" spans="1:22" x14ac:dyDescent="0.25">
      <c r="A478" s="6" t="s">
        <v>1365</v>
      </c>
      <c r="B478" s="8">
        <v>9789500214490</v>
      </c>
      <c r="C478" s="6">
        <v>711848</v>
      </c>
      <c r="D478" s="41">
        <v>384</v>
      </c>
      <c r="E478" s="7" t="s">
        <v>414</v>
      </c>
      <c r="F478" s="7" t="s">
        <v>864</v>
      </c>
      <c r="G478" s="107">
        <v>45261</v>
      </c>
      <c r="H478" s="108">
        <v>45231</v>
      </c>
      <c r="I478" s="7">
        <v>4084</v>
      </c>
      <c r="J478" s="28" t="s">
        <v>1333</v>
      </c>
      <c r="K478" s="9">
        <v>1314.04</v>
      </c>
      <c r="L478" s="28">
        <v>32900</v>
      </c>
      <c r="M478" s="112">
        <f t="shared" si="68"/>
        <v>3290</v>
      </c>
      <c r="N478" s="9">
        <f t="shared" si="64"/>
        <v>16450</v>
      </c>
      <c r="O478" s="9">
        <f t="shared" si="65"/>
        <v>11845.96</v>
      </c>
      <c r="P478" s="9">
        <f t="shared" si="66"/>
        <v>4604.04</v>
      </c>
      <c r="Q478" s="139">
        <f t="shared" si="67"/>
        <v>0.72011914893617013</v>
      </c>
      <c r="R478" s="395">
        <f>VLOOKUP(C478,'[1]ORIGINAL (2)'!$A:$C,3,FALSE)</f>
        <v>72</v>
      </c>
      <c r="S478" s="24" t="e">
        <f>VLOOKUP(C478,#REF!,6,FALSE)</f>
        <v>#REF!</v>
      </c>
      <c r="T478" s="24" t="e">
        <f>VLOOKUP(C478,#REF!,7,FALSE)</f>
        <v>#REF!</v>
      </c>
      <c r="U478" s="24" t="e">
        <f>VLOOKUP(C478,#REF!,12,FALSE)</f>
        <v>#REF!</v>
      </c>
      <c r="V478" s="24" t="e">
        <f>VLOOKUP(C478,#REF!,13,FALSE)</f>
        <v>#REF!</v>
      </c>
    </row>
    <row r="479" spans="1:22" x14ac:dyDescent="0.25">
      <c r="A479" s="7" t="s">
        <v>1366</v>
      </c>
      <c r="B479" s="8">
        <v>9789500212328</v>
      </c>
      <c r="C479" s="8">
        <v>689373</v>
      </c>
      <c r="D479" s="25">
        <v>256</v>
      </c>
      <c r="E479" s="9" t="s">
        <v>414</v>
      </c>
      <c r="F479" s="7" t="s">
        <v>621</v>
      </c>
      <c r="G479" s="107">
        <v>44531</v>
      </c>
      <c r="H479" s="108">
        <v>44501</v>
      </c>
      <c r="I479" s="7">
        <v>4110</v>
      </c>
      <c r="J479" s="28" t="s">
        <v>1333</v>
      </c>
      <c r="K479" s="9">
        <v>155.68</v>
      </c>
      <c r="L479" s="28">
        <v>32900</v>
      </c>
      <c r="M479" s="112">
        <f t="shared" si="68"/>
        <v>3290</v>
      </c>
      <c r="N479" s="9">
        <f t="shared" si="64"/>
        <v>16450</v>
      </c>
      <c r="O479" s="9">
        <f t="shared" si="65"/>
        <v>13004.32</v>
      </c>
      <c r="P479" s="9">
        <f t="shared" si="66"/>
        <v>3445.68</v>
      </c>
      <c r="Q479" s="180">
        <f t="shared" si="67"/>
        <v>0.7905361702127659</v>
      </c>
      <c r="R479" s="395">
        <f>VLOOKUP(C479,'[1]ORIGINAL (2)'!$A:$C,3,FALSE)</f>
        <v>36</v>
      </c>
      <c r="S479" s="24" t="e">
        <f>VLOOKUP(C479,#REF!,6,FALSE)</f>
        <v>#REF!</v>
      </c>
      <c r="T479" s="24" t="e">
        <f>VLOOKUP(C479,#REF!,7,FALSE)</f>
        <v>#REF!</v>
      </c>
      <c r="U479" s="24" t="e">
        <f>VLOOKUP(C479,#REF!,12,FALSE)</f>
        <v>#REF!</v>
      </c>
      <c r="V479" s="24" t="e">
        <f>VLOOKUP(C479,#REF!,13,FALSE)</f>
        <v>#REF!</v>
      </c>
    </row>
    <row r="480" spans="1:22" x14ac:dyDescent="0.25">
      <c r="A480" s="7" t="s">
        <v>1367</v>
      </c>
      <c r="B480" s="8">
        <v>9789500212090</v>
      </c>
      <c r="C480" s="8">
        <v>688420</v>
      </c>
      <c r="D480" s="25">
        <v>288</v>
      </c>
      <c r="E480" s="9" t="s">
        <v>414</v>
      </c>
      <c r="F480" s="7" t="s">
        <v>588</v>
      </c>
      <c r="G480" s="107">
        <v>44501</v>
      </c>
      <c r="H480" s="108">
        <v>44470</v>
      </c>
      <c r="I480" s="7">
        <v>3095</v>
      </c>
      <c r="J480" s="28" t="s">
        <v>1333</v>
      </c>
      <c r="K480" s="9">
        <v>169.95</v>
      </c>
      <c r="L480" s="28">
        <v>32900</v>
      </c>
      <c r="M480" s="112">
        <f t="shared" si="68"/>
        <v>3290</v>
      </c>
      <c r="N480" s="9">
        <f t="shared" si="64"/>
        <v>16450</v>
      </c>
      <c r="O480" s="9">
        <f t="shared" si="65"/>
        <v>12990.05</v>
      </c>
      <c r="P480" s="9">
        <f t="shared" si="66"/>
        <v>3459.95</v>
      </c>
      <c r="Q480" s="180">
        <f t="shared" si="67"/>
        <v>0.78966869300911846</v>
      </c>
      <c r="R480" s="395">
        <f>VLOOKUP(C480,'[1]ORIGINAL (2)'!$A:$C,3,FALSE)</f>
        <v>31</v>
      </c>
      <c r="S480" s="24" t="e">
        <f>VLOOKUP(C480,#REF!,6,FALSE)</f>
        <v>#REF!</v>
      </c>
      <c r="T480" s="24" t="e">
        <f>VLOOKUP(C480,#REF!,7,FALSE)</f>
        <v>#REF!</v>
      </c>
      <c r="U480" s="24" t="e">
        <f>VLOOKUP(C480,#REF!,12,FALSE)</f>
        <v>#REF!</v>
      </c>
      <c r="V480" s="24" t="e">
        <f>VLOOKUP(C480,#REF!,13,FALSE)</f>
        <v>#REF!</v>
      </c>
    </row>
    <row r="481" spans="1:22" x14ac:dyDescent="0.25">
      <c r="A481" s="6" t="s">
        <v>1368</v>
      </c>
      <c r="B481" s="8">
        <v>9789500209878</v>
      </c>
      <c r="C481" s="6">
        <v>656689</v>
      </c>
      <c r="D481" s="7">
        <v>288</v>
      </c>
      <c r="E481" s="22" t="s">
        <v>414</v>
      </c>
      <c r="F481" s="10" t="s">
        <v>415</v>
      </c>
      <c r="G481" s="107">
        <v>43405</v>
      </c>
      <c r="H481" s="108">
        <v>43739</v>
      </c>
      <c r="I481" s="24">
        <v>2042</v>
      </c>
      <c r="J481" s="28" t="s">
        <v>1333</v>
      </c>
      <c r="K481" s="9">
        <v>67.89</v>
      </c>
      <c r="L481" s="28">
        <v>32900</v>
      </c>
      <c r="M481" s="112">
        <f t="shared" si="68"/>
        <v>3290</v>
      </c>
      <c r="N481" s="9">
        <f t="shared" si="64"/>
        <v>16450</v>
      </c>
      <c r="O481" s="9">
        <f t="shared" si="65"/>
        <v>13092.11</v>
      </c>
      <c r="P481" s="9">
        <f t="shared" si="66"/>
        <v>3357.89</v>
      </c>
      <c r="Q481" s="180">
        <f t="shared" si="67"/>
        <v>0.79587294832826749</v>
      </c>
      <c r="R481" s="395" t="e">
        <f>VLOOKUP(C481,'[1]ORIGINAL (2)'!$A:$C,3,FALSE)</f>
        <v>#N/A</v>
      </c>
      <c r="S481" s="24" t="e">
        <f>VLOOKUP(C481,#REF!,6,FALSE)</f>
        <v>#REF!</v>
      </c>
      <c r="T481" s="24" t="e">
        <f>VLOOKUP(C481,#REF!,7,FALSE)</f>
        <v>#REF!</v>
      </c>
      <c r="U481" s="24" t="e">
        <f>VLOOKUP(C481,#REF!,12,FALSE)</f>
        <v>#REF!</v>
      </c>
      <c r="V481" s="24" t="e">
        <f>VLOOKUP(C481,#REF!,13,FALSE)</f>
        <v>#REF!</v>
      </c>
    </row>
    <row r="482" spans="1:22" x14ac:dyDescent="0.25">
      <c r="A482" s="7" t="s">
        <v>1369</v>
      </c>
      <c r="B482" s="8">
        <v>9789500212120</v>
      </c>
      <c r="C482" s="8">
        <v>688421</v>
      </c>
      <c r="D482" s="25">
        <v>304</v>
      </c>
      <c r="E482" s="9" t="s">
        <v>414</v>
      </c>
      <c r="F482" s="7" t="s">
        <v>1370</v>
      </c>
      <c r="G482" s="107">
        <v>44501</v>
      </c>
      <c r="H482" s="108">
        <v>44470</v>
      </c>
      <c r="I482" s="7">
        <v>3045</v>
      </c>
      <c r="J482" s="28" t="s">
        <v>1333</v>
      </c>
      <c r="K482" s="9">
        <v>171.17</v>
      </c>
      <c r="L482" s="28">
        <v>32900</v>
      </c>
      <c r="M482" s="112">
        <f t="shared" si="68"/>
        <v>3290</v>
      </c>
      <c r="N482" s="9">
        <f t="shared" si="64"/>
        <v>16450</v>
      </c>
      <c r="O482" s="9">
        <f t="shared" si="65"/>
        <v>12988.83</v>
      </c>
      <c r="P482" s="9">
        <f t="shared" si="66"/>
        <v>3461.17</v>
      </c>
      <c r="Q482" s="139">
        <f t="shared" si="67"/>
        <v>0.78959452887537995</v>
      </c>
      <c r="R482" s="395">
        <f>VLOOKUP(C482,'[1]ORIGINAL (2)'!$A:$C,3,FALSE)</f>
        <v>25</v>
      </c>
      <c r="S482" s="24" t="e">
        <f>VLOOKUP(C482,#REF!,6,FALSE)</f>
        <v>#REF!</v>
      </c>
      <c r="T482" s="24" t="e">
        <f>VLOOKUP(C482,#REF!,7,FALSE)</f>
        <v>#REF!</v>
      </c>
      <c r="U482" s="24" t="e">
        <f>VLOOKUP(C482,#REF!,12,FALSE)</f>
        <v>#REF!</v>
      </c>
      <c r="V482" s="24" t="e">
        <f>VLOOKUP(C482,#REF!,13,FALSE)</f>
        <v>#REF!</v>
      </c>
    </row>
    <row r="483" spans="1:22" x14ac:dyDescent="0.25">
      <c r="A483" s="7" t="s">
        <v>1371</v>
      </c>
      <c r="B483" s="8">
        <v>9789500210218</v>
      </c>
      <c r="C483" s="14">
        <v>670526</v>
      </c>
      <c r="D483" s="25">
        <v>304</v>
      </c>
      <c r="E483" s="7" t="s">
        <v>414</v>
      </c>
      <c r="F483" s="7" t="s">
        <v>1372</v>
      </c>
      <c r="G483" s="107">
        <v>43770</v>
      </c>
      <c r="H483" s="108">
        <v>43739</v>
      </c>
      <c r="I483" s="7">
        <v>4062</v>
      </c>
      <c r="J483" s="28" t="s">
        <v>1333</v>
      </c>
      <c r="K483" s="9">
        <v>67.180000000000007</v>
      </c>
      <c r="L483" s="28">
        <v>32900</v>
      </c>
      <c r="M483" s="112">
        <f t="shared" si="68"/>
        <v>3290</v>
      </c>
      <c r="N483" s="9">
        <f t="shared" si="64"/>
        <v>16450</v>
      </c>
      <c r="O483" s="9">
        <f t="shared" si="65"/>
        <v>13092.82</v>
      </c>
      <c r="P483" s="9">
        <f t="shared" si="66"/>
        <v>3357.18</v>
      </c>
      <c r="Q483" s="139">
        <f t="shared" si="67"/>
        <v>0.79591610942249236</v>
      </c>
      <c r="R483" s="395">
        <f>VLOOKUP(C483,'[1]ORIGINAL (2)'!$A:$C,3,FALSE)</f>
        <v>3</v>
      </c>
      <c r="S483" s="24" t="e">
        <f>VLOOKUP(C483,#REF!,6,FALSE)</f>
        <v>#REF!</v>
      </c>
      <c r="T483" s="24" t="e">
        <f>VLOOKUP(C483,#REF!,7,FALSE)</f>
        <v>#REF!</v>
      </c>
      <c r="U483" s="24" t="e">
        <f>VLOOKUP(C483,#REF!,12,FALSE)</f>
        <v>#REF!</v>
      </c>
      <c r="V483" s="24" t="e">
        <f>VLOOKUP(C483,#REF!,13,FALSE)</f>
        <v>#REF!</v>
      </c>
    </row>
    <row r="484" spans="1:22" x14ac:dyDescent="0.25">
      <c r="A484" s="7" t="s">
        <v>1373</v>
      </c>
      <c r="B484" s="8">
        <v>9789500211253</v>
      </c>
      <c r="C484" s="8">
        <v>679307</v>
      </c>
      <c r="D484" s="25">
        <v>408</v>
      </c>
      <c r="E484" s="7" t="s">
        <v>512</v>
      </c>
      <c r="F484" s="7" t="s">
        <v>509</v>
      </c>
      <c r="G484" s="107">
        <v>44166</v>
      </c>
      <c r="H484" s="108">
        <v>44228</v>
      </c>
      <c r="I484" s="7">
        <v>3037</v>
      </c>
      <c r="J484" s="28" t="s">
        <v>1333</v>
      </c>
      <c r="K484" s="9">
        <v>116.91</v>
      </c>
      <c r="L484" s="28">
        <v>32900</v>
      </c>
      <c r="M484" s="112">
        <f>+L484*0.12</f>
        <v>3948</v>
      </c>
      <c r="N484" s="9">
        <f t="shared" si="64"/>
        <v>16450</v>
      </c>
      <c r="O484" s="9">
        <f t="shared" si="65"/>
        <v>12385.09</v>
      </c>
      <c r="P484" s="9">
        <f t="shared" si="66"/>
        <v>4064.91</v>
      </c>
      <c r="Q484" s="139">
        <f t="shared" si="67"/>
        <v>0.75289300911854107</v>
      </c>
      <c r="R484" s="395">
        <f>VLOOKUP(C484,'[1]ORIGINAL (2)'!$A:$C,3,FALSE)</f>
        <v>39</v>
      </c>
      <c r="S484" s="24" t="e">
        <f>VLOOKUP(C484,#REF!,6,FALSE)</f>
        <v>#REF!</v>
      </c>
      <c r="T484" s="24" t="e">
        <f>VLOOKUP(C484,#REF!,7,FALSE)</f>
        <v>#REF!</v>
      </c>
      <c r="U484" s="24" t="e">
        <f>VLOOKUP(C484,#REF!,12,FALSE)</f>
        <v>#REF!</v>
      </c>
      <c r="V484" s="24" t="e">
        <f>VLOOKUP(C484,#REF!,13,FALSE)</f>
        <v>#REF!</v>
      </c>
    </row>
    <row r="485" spans="1:22" x14ac:dyDescent="0.25">
      <c r="A485" s="7" t="s">
        <v>1374</v>
      </c>
      <c r="B485" s="8">
        <v>9789500207744</v>
      </c>
      <c r="C485" s="21">
        <v>572862</v>
      </c>
      <c r="D485" s="25">
        <v>272</v>
      </c>
      <c r="E485" s="22" t="s">
        <v>214</v>
      </c>
      <c r="F485" s="6" t="s">
        <v>215</v>
      </c>
      <c r="G485" s="107">
        <v>41609</v>
      </c>
      <c r="H485" s="108">
        <v>43862</v>
      </c>
      <c r="I485" s="24">
        <v>1579</v>
      </c>
      <c r="J485" s="28" t="s">
        <v>2136</v>
      </c>
      <c r="K485" s="28">
        <v>80.75</v>
      </c>
      <c r="L485" s="112">
        <v>28900</v>
      </c>
      <c r="M485" s="112">
        <f>+L485*0.1</f>
        <v>2890</v>
      </c>
      <c r="N485" s="9">
        <f t="shared" si="64"/>
        <v>14450</v>
      </c>
      <c r="O485" s="9">
        <f t="shared" si="65"/>
        <v>11479.25</v>
      </c>
      <c r="P485" s="9">
        <f t="shared" si="66"/>
        <v>2970.75</v>
      </c>
      <c r="Q485" s="139">
        <f t="shared" si="67"/>
        <v>0.79441176470588237</v>
      </c>
      <c r="R485" s="395" t="e">
        <f>VLOOKUP(C485,'[1]ORIGINAL (2)'!$A:$C,3,FALSE)</f>
        <v>#N/A</v>
      </c>
      <c r="S485" s="24" t="e">
        <f>VLOOKUP(C485,#REF!,6,FALSE)</f>
        <v>#REF!</v>
      </c>
      <c r="T485" s="24" t="e">
        <f>VLOOKUP(C485,#REF!,7,FALSE)</f>
        <v>#REF!</v>
      </c>
      <c r="U485" s="24" t="e">
        <f>VLOOKUP(C485,#REF!,12,FALSE)</f>
        <v>#REF!</v>
      </c>
      <c r="V485" s="24" t="e">
        <f>VLOOKUP(C485,#REF!,13,FALSE)</f>
        <v>#REF!</v>
      </c>
    </row>
    <row r="486" spans="1:22" x14ac:dyDescent="0.25">
      <c r="A486" s="6" t="s">
        <v>1375</v>
      </c>
      <c r="B486" s="8">
        <v>9789500208789</v>
      </c>
      <c r="C486" s="8">
        <v>599837</v>
      </c>
      <c r="D486" s="7">
        <v>208</v>
      </c>
      <c r="E486" s="6" t="s">
        <v>1376</v>
      </c>
      <c r="F486" s="6" t="s">
        <v>216</v>
      </c>
      <c r="G486" s="107">
        <v>42339</v>
      </c>
      <c r="H486" s="108">
        <v>43405</v>
      </c>
      <c r="I486" s="24">
        <v>1042</v>
      </c>
      <c r="J486" s="28" t="s">
        <v>2136</v>
      </c>
      <c r="K486" s="28">
        <v>52.92</v>
      </c>
      <c r="L486" s="112">
        <v>28900</v>
      </c>
      <c r="M486" s="112">
        <f>+L486*0.1</f>
        <v>2890</v>
      </c>
      <c r="N486" s="9">
        <f t="shared" si="64"/>
        <v>14450</v>
      </c>
      <c r="O486" s="9">
        <f t="shared" si="65"/>
        <v>11507.08</v>
      </c>
      <c r="P486" s="9">
        <f t="shared" si="66"/>
        <v>2942.92</v>
      </c>
      <c r="Q486" s="139">
        <f t="shared" si="67"/>
        <v>0.79633771626297578</v>
      </c>
      <c r="R486" s="395" t="e">
        <f>VLOOKUP(C486,'[1]ORIGINAL (2)'!$A:$C,3,FALSE)</f>
        <v>#N/A</v>
      </c>
      <c r="S486" s="24" t="e">
        <f>VLOOKUP(C486,#REF!,6,FALSE)</f>
        <v>#REF!</v>
      </c>
      <c r="T486" s="24" t="e">
        <f>VLOOKUP(C486,#REF!,7,FALSE)</f>
        <v>#REF!</v>
      </c>
      <c r="U486" s="24" t="e">
        <f>VLOOKUP(C486,#REF!,12,FALSE)</f>
        <v>#REF!</v>
      </c>
      <c r="V486" s="24" t="e">
        <f>VLOOKUP(C486,#REF!,13,FALSE)</f>
        <v>#REF!</v>
      </c>
    </row>
    <row r="487" spans="1:22" x14ac:dyDescent="0.25">
      <c r="A487" s="7" t="s">
        <v>1377</v>
      </c>
      <c r="B487" s="8">
        <v>9789500263849</v>
      </c>
      <c r="C487" s="8">
        <v>390368</v>
      </c>
      <c r="D487" s="25">
        <v>264</v>
      </c>
      <c r="E487" s="7" t="s">
        <v>217</v>
      </c>
      <c r="F487" s="7" t="s">
        <v>218</v>
      </c>
      <c r="G487" s="107">
        <v>38231</v>
      </c>
      <c r="H487" s="108">
        <v>43040</v>
      </c>
      <c r="I487" s="24">
        <v>1533</v>
      </c>
      <c r="J487" s="28" t="s">
        <v>2136</v>
      </c>
      <c r="K487" s="28">
        <v>56.1</v>
      </c>
      <c r="L487" s="112">
        <v>28900</v>
      </c>
      <c r="M487" s="9">
        <f>+L487*0.1</f>
        <v>2890</v>
      </c>
      <c r="N487" s="9">
        <f t="shared" si="64"/>
        <v>14450</v>
      </c>
      <c r="O487" s="9">
        <f t="shared" si="65"/>
        <v>11503.9</v>
      </c>
      <c r="P487" s="9">
        <f t="shared" si="66"/>
        <v>2946.1</v>
      </c>
      <c r="Q487" s="139">
        <f t="shared" si="67"/>
        <v>0.79611764705882349</v>
      </c>
      <c r="R487" s="395" t="e">
        <f>VLOOKUP(C487,'[1]ORIGINAL (2)'!$A:$C,3,FALSE)</f>
        <v>#N/A</v>
      </c>
      <c r="S487" s="24" t="e">
        <f>VLOOKUP(C487,#REF!,6,FALSE)</f>
        <v>#REF!</v>
      </c>
      <c r="T487" s="24" t="e">
        <f>VLOOKUP(C487,#REF!,7,FALSE)</f>
        <v>#REF!</v>
      </c>
      <c r="U487" s="24" t="e">
        <f>VLOOKUP(C487,#REF!,12,FALSE)</f>
        <v>#REF!</v>
      </c>
      <c r="V487" s="24" t="e">
        <f>VLOOKUP(C487,#REF!,13,FALSE)</f>
        <v>#REF!</v>
      </c>
    </row>
    <row r="488" spans="1:22" x14ac:dyDescent="0.25">
      <c r="A488" s="2"/>
      <c r="B488" s="379"/>
      <c r="C488" s="3"/>
      <c r="D488" s="17"/>
      <c r="E488" s="2"/>
      <c r="F488" s="2"/>
      <c r="G488" s="2"/>
      <c r="H488" s="132"/>
      <c r="I488" s="132"/>
      <c r="J488" s="134"/>
      <c r="K488" s="132"/>
      <c r="L488" s="18"/>
      <c r="M488" s="132"/>
      <c r="N488" s="132"/>
      <c r="O488" s="132"/>
      <c r="P488" s="132"/>
      <c r="Q488" s="147"/>
      <c r="R488" s="395" t="e">
        <f>VLOOKUP(C488,'[1]ORIGINAL (2)'!$A:$C,3,FALSE)</f>
        <v>#N/A</v>
      </c>
      <c r="S488" s="100"/>
      <c r="T488" s="100"/>
      <c r="U488" s="100"/>
      <c r="V488" s="100"/>
    </row>
    <row r="489" spans="1:22" x14ac:dyDescent="0.25">
      <c r="A489" s="160" t="s">
        <v>1378</v>
      </c>
      <c r="B489" s="168"/>
      <c r="C489" s="161"/>
      <c r="D489" s="162"/>
      <c r="E489" s="383"/>
      <c r="F489" s="383"/>
      <c r="G489" s="162"/>
      <c r="H489" s="132"/>
      <c r="I489" s="132"/>
      <c r="J489" s="134"/>
      <c r="K489" s="132"/>
      <c r="L489" s="18"/>
      <c r="M489" s="132"/>
      <c r="N489" s="132"/>
      <c r="O489" s="132"/>
      <c r="P489" s="132"/>
      <c r="Q489" s="147"/>
      <c r="R489" s="395" t="e">
        <f>VLOOKUP(C489,'[1]ORIGINAL (2)'!$A:$C,3,FALSE)</f>
        <v>#N/A</v>
      </c>
      <c r="S489" s="100"/>
      <c r="T489" s="100"/>
      <c r="U489" s="100"/>
      <c r="V489" s="100"/>
    </row>
    <row r="490" spans="1:22" x14ac:dyDescent="0.25">
      <c r="A490" s="6" t="s">
        <v>1975</v>
      </c>
      <c r="B490" s="8">
        <v>9789500215862</v>
      </c>
      <c r="C490" s="6">
        <v>725691</v>
      </c>
      <c r="D490" s="41">
        <v>256</v>
      </c>
      <c r="E490" s="288" t="s">
        <v>1976</v>
      </c>
      <c r="F490" s="6" t="s">
        <v>1977</v>
      </c>
      <c r="G490" s="107">
        <v>45689</v>
      </c>
      <c r="H490" s="108">
        <v>45658</v>
      </c>
      <c r="I490" s="264">
        <v>3119</v>
      </c>
      <c r="J490" s="28" t="s">
        <v>1762</v>
      </c>
      <c r="K490" s="292">
        <v>5331.04</v>
      </c>
      <c r="L490" s="9">
        <v>53900</v>
      </c>
      <c r="M490" s="9">
        <f>+L490*0.1</f>
        <v>5390</v>
      </c>
      <c r="N490" s="9">
        <f t="shared" ref="N490:N501" si="69">+L490/2</f>
        <v>26950</v>
      </c>
      <c r="O490" s="9">
        <f t="shared" ref="O490:O501" si="70">+N490-M490-K490</f>
        <v>16228.96</v>
      </c>
      <c r="P490" s="9">
        <f t="shared" ref="P490:P501" si="71">+M490+K490</f>
        <v>10721.04</v>
      </c>
      <c r="Q490" s="109">
        <f t="shared" ref="Q490:Q501" si="72">+O490/N490</f>
        <v>0.60218775510204081</v>
      </c>
      <c r="R490" s="395">
        <f>VLOOKUP(C490,'[1]ORIGINAL (2)'!$A:$C,3,FALSE)</f>
        <v>178</v>
      </c>
      <c r="S490" s="24" t="e">
        <f>VLOOKUP(C490,#REF!,6,FALSE)</f>
        <v>#REF!</v>
      </c>
      <c r="T490" s="24" t="e">
        <f>VLOOKUP(C490,#REF!,7,FALSE)</f>
        <v>#REF!</v>
      </c>
      <c r="U490" s="24" t="e">
        <f>VLOOKUP(C490,#REF!,12,FALSE)</f>
        <v>#REF!</v>
      </c>
      <c r="V490" s="24" t="e">
        <f>VLOOKUP(C490,#REF!,13,FALSE)</f>
        <v>#REF!</v>
      </c>
    </row>
    <row r="491" spans="1:22" x14ac:dyDescent="0.25">
      <c r="A491" s="6" t="s">
        <v>1925</v>
      </c>
      <c r="B491" s="282">
        <v>9789500215602</v>
      </c>
      <c r="C491" s="8">
        <v>722599</v>
      </c>
      <c r="D491" s="25">
        <v>208</v>
      </c>
      <c r="E491" s="25" t="s">
        <v>1926</v>
      </c>
      <c r="F491" s="25" t="s">
        <v>1927</v>
      </c>
      <c r="G491" s="107">
        <v>45597</v>
      </c>
      <c r="H491" s="108">
        <v>45566</v>
      </c>
      <c r="I491" s="7">
        <v>5040</v>
      </c>
      <c r="J491" s="28" t="s">
        <v>2136</v>
      </c>
      <c r="K491" s="148">
        <v>3335.87</v>
      </c>
      <c r="L491" s="9">
        <v>44900</v>
      </c>
      <c r="M491" s="112">
        <f t="shared" ref="M491:M497" si="73">+L491*0.08</f>
        <v>3592</v>
      </c>
      <c r="N491" s="9">
        <f t="shared" si="69"/>
        <v>22450</v>
      </c>
      <c r="O491" s="9">
        <f t="shared" si="70"/>
        <v>15522.130000000001</v>
      </c>
      <c r="P491" s="9">
        <f t="shared" si="71"/>
        <v>6927.87</v>
      </c>
      <c r="Q491" s="139">
        <f t="shared" si="72"/>
        <v>0.69140890868596883</v>
      </c>
      <c r="R491" s="395">
        <f>VLOOKUP(C491,'[1]ORIGINAL (2)'!$A:$C,3,FALSE)</f>
        <v>330</v>
      </c>
      <c r="S491" s="24" t="e">
        <f>VLOOKUP(C491,#REF!,6,FALSE)</f>
        <v>#REF!</v>
      </c>
      <c r="T491" s="24" t="e">
        <f>VLOOKUP(C491,#REF!,7,FALSE)</f>
        <v>#REF!</v>
      </c>
      <c r="U491" s="24" t="e">
        <f>VLOOKUP(C491,#REF!,12,FALSE)</f>
        <v>#REF!</v>
      </c>
      <c r="V491" s="24" t="e">
        <f>VLOOKUP(C491,#REF!,13,FALSE)</f>
        <v>#REF!</v>
      </c>
    </row>
    <row r="492" spans="1:22" x14ac:dyDescent="0.25">
      <c r="A492" s="36" t="s">
        <v>1379</v>
      </c>
      <c r="B492" s="37">
        <v>9789500214735</v>
      </c>
      <c r="C492" s="37">
        <v>713082</v>
      </c>
      <c r="D492" s="149">
        <v>560</v>
      </c>
      <c r="E492" s="38" t="s">
        <v>698</v>
      </c>
      <c r="F492" s="38" t="s">
        <v>872</v>
      </c>
      <c r="G492" s="107">
        <v>45292</v>
      </c>
      <c r="H492" s="108">
        <v>45261</v>
      </c>
      <c r="I492" s="7">
        <v>2980</v>
      </c>
      <c r="J492" s="28" t="s">
        <v>1762</v>
      </c>
      <c r="K492" s="148">
        <v>8581.51</v>
      </c>
      <c r="L492" s="35">
        <v>75400</v>
      </c>
      <c r="M492" s="112">
        <f t="shared" si="73"/>
        <v>6032</v>
      </c>
      <c r="N492" s="9">
        <f t="shared" si="69"/>
        <v>37700</v>
      </c>
      <c r="O492" s="9">
        <f t="shared" si="70"/>
        <v>23086.489999999998</v>
      </c>
      <c r="P492" s="9">
        <f t="shared" si="71"/>
        <v>14613.51</v>
      </c>
      <c r="Q492" s="139">
        <f t="shared" si="72"/>
        <v>0.61237374005305034</v>
      </c>
      <c r="R492" s="395">
        <f>VLOOKUP(C492,'[1]ORIGINAL (2)'!$A:$C,3,FALSE)</f>
        <v>136</v>
      </c>
      <c r="S492" s="24" t="e">
        <f>VLOOKUP(C492,#REF!,6,FALSE)</f>
        <v>#REF!</v>
      </c>
      <c r="T492" s="24" t="e">
        <f>VLOOKUP(C492,#REF!,7,FALSE)</f>
        <v>#REF!</v>
      </c>
      <c r="U492" s="24" t="e">
        <f>VLOOKUP(C492,#REF!,12,FALSE)</f>
        <v>#REF!</v>
      </c>
      <c r="V492" s="24" t="e">
        <f>VLOOKUP(C492,#REF!,13,FALSE)</f>
        <v>#REF!</v>
      </c>
    </row>
    <row r="493" spans="1:22" x14ac:dyDescent="0.25">
      <c r="A493" s="6" t="s">
        <v>1380</v>
      </c>
      <c r="B493" s="8">
        <v>9789500214216</v>
      </c>
      <c r="C493" s="8">
        <v>710539</v>
      </c>
      <c r="D493" s="41">
        <v>272</v>
      </c>
      <c r="E493" s="7" t="s">
        <v>858</v>
      </c>
      <c r="F493" s="6" t="s">
        <v>859</v>
      </c>
      <c r="G493" s="107">
        <v>45231</v>
      </c>
      <c r="H493" s="108">
        <v>45200</v>
      </c>
      <c r="I493" s="7">
        <v>3052</v>
      </c>
      <c r="J493" s="28" t="s">
        <v>1762</v>
      </c>
      <c r="K493" s="117">
        <v>3959.42</v>
      </c>
      <c r="L493" s="9">
        <v>72300</v>
      </c>
      <c r="M493" s="9">
        <f t="shared" si="73"/>
        <v>5784</v>
      </c>
      <c r="N493" s="9">
        <f t="shared" si="69"/>
        <v>36150</v>
      </c>
      <c r="O493" s="9">
        <f t="shared" si="70"/>
        <v>26406.58</v>
      </c>
      <c r="P493" s="9">
        <f t="shared" si="71"/>
        <v>9743.42</v>
      </c>
      <c r="Q493" s="139">
        <f t="shared" si="72"/>
        <v>0.73047247579529739</v>
      </c>
      <c r="R493" s="395">
        <f>VLOOKUP(C493,'[1]ORIGINAL (2)'!$A:$C,3,FALSE)</f>
        <v>437</v>
      </c>
      <c r="S493" s="24" t="e">
        <f>VLOOKUP(C493,#REF!,6,FALSE)</f>
        <v>#REF!</v>
      </c>
      <c r="T493" s="24" t="e">
        <f>VLOOKUP(C493,#REF!,7,FALSE)</f>
        <v>#REF!</v>
      </c>
      <c r="U493" s="24" t="e">
        <f>VLOOKUP(C493,#REF!,12,FALSE)</f>
        <v>#REF!</v>
      </c>
      <c r="V493" s="24" t="e">
        <f>VLOOKUP(C493,#REF!,13,FALSE)</f>
        <v>#REF!</v>
      </c>
    </row>
    <row r="494" spans="1:22" x14ac:dyDescent="0.25">
      <c r="A494" s="6" t="s">
        <v>1381</v>
      </c>
      <c r="B494" s="8">
        <v>9789500213899</v>
      </c>
      <c r="C494" s="6">
        <v>707253</v>
      </c>
      <c r="D494" s="41">
        <v>144</v>
      </c>
      <c r="E494" s="7" t="s">
        <v>803</v>
      </c>
      <c r="F494" s="7" t="s">
        <v>802</v>
      </c>
      <c r="G494" s="107">
        <v>45108</v>
      </c>
      <c r="H494" s="108">
        <v>45078</v>
      </c>
      <c r="I494" s="7">
        <v>4070</v>
      </c>
      <c r="J494" s="28" t="s">
        <v>2136</v>
      </c>
      <c r="K494" s="9">
        <v>1137.9100000000001</v>
      </c>
      <c r="L494" s="9">
        <v>39900</v>
      </c>
      <c r="M494" s="9">
        <f t="shared" si="73"/>
        <v>3192</v>
      </c>
      <c r="N494" s="9">
        <f t="shared" si="69"/>
        <v>19950</v>
      </c>
      <c r="O494" s="9">
        <f t="shared" si="70"/>
        <v>15620.09</v>
      </c>
      <c r="P494" s="9">
        <f t="shared" si="71"/>
        <v>4329.91</v>
      </c>
      <c r="Q494" s="139">
        <f t="shared" si="72"/>
        <v>0.78296190476190475</v>
      </c>
      <c r="R494" s="395">
        <f>VLOOKUP(C494,'[1]ORIGINAL (2)'!$A:$C,3,FALSE)</f>
        <v>73</v>
      </c>
      <c r="S494" s="24" t="e">
        <f>VLOOKUP(C494,#REF!,6,FALSE)</f>
        <v>#REF!</v>
      </c>
      <c r="T494" s="24" t="e">
        <f>VLOOKUP(C494,#REF!,7,FALSE)</f>
        <v>#REF!</v>
      </c>
      <c r="U494" s="24" t="e">
        <f>VLOOKUP(C494,#REF!,12,FALSE)</f>
        <v>#REF!</v>
      </c>
      <c r="V494" s="24" t="e">
        <f>VLOOKUP(C494,#REF!,13,FALSE)</f>
        <v>#REF!</v>
      </c>
    </row>
    <row r="495" spans="1:22" x14ac:dyDescent="0.25">
      <c r="A495" s="6" t="s">
        <v>1333</v>
      </c>
      <c r="B495" s="8">
        <v>9789500213615</v>
      </c>
      <c r="C495" s="8">
        <v>704435</v>
      </c>
      <c r="D495" s="41">
        <v>336</v>
      </c>
      <c r="E495" s="7" t="s">
        <v>770</v>
      </c>
      <c r="F495" s="7" t="s">
        <v>771</v>
      </c>
      <c r="G495" s="107">
        <v>45017</v>
      </c>
      <c r="H495" s="108">
        <v>44986</v>
      </c>
      <c r="I495" s="7">
        <v>5065</v>
      </c>
      <c r="J495" s="28" t="s">
        <v>1762</v>
      </c>
      <c r="K495" s="9">
        <v>1492.33</v>
      </c>
      <c r="L495" s="9">
        <v>49900</v>
      </c>
      <c r="M495" s="112">
        <f t="shared" si="73"/>
        <v>3992</v>
      </c>
      <c r="N495" s="9">
        <f t="shared" si="69"/>
        <v>24950</v>
      </c>
      <c r="O495" s="9">
        <f t="shared" si="70"/>
        <v>19465.669999999998</v>
      </c>
      <c r="P495" s="9">
        <f t="shared" si="71"/>
        <v>5484.33</v>
      </c>
      <c r="Q495" s="139">
        <f t="shared" si="72"/>
        <v>0.78018717434869733</v>
      </c>
      <c r="R495" s="395">
        <f>VLOOKUP(C495,'[1]ORIGINAL (2)'!$A:$C,3,FALSE)</f>
        <v>118</v>
      </c>
      <c r="S495" s="24" t="e">
        <f>VLOOKUP(C495,#REF!,6,FALSE)</f>
        <v>#REF!</v>
      </c>
      <c r="T495" s="24" t="e">
        <f>VLOOKUP(C495,#REF!,7,FALSE)</f>
        <v>#REF!</v>
      </c>
      <c r="U495" s="24" t="e">
        <f>VLOOKUP(C495,#REF!,12,FALSE)</f>
        <v>#REF!</v>
      </c>
      <c r="V495" s="24" t="e">
        <f>VLOOKUP(C495,#REF!,13,FALSE)</f>
        <v>#REF!</v>
      </c>
    </row>
    <row r="496" spans="1:22" x14ac:dyDescent="0.25">
      <c r="A496" s="6" t="s">
        <v>1382</v>
      </c>
      <c r="B496" s="8">
        <v>9789500212878</v>
      </c>
      <c r="C496" s="6">
        <v>697475</v>
      </c>
      <c r="D496" s="41">
        <v>272</v>
      </c>
      <c r="E496" s="7" t="s">
        <v>715</v>
      </c>
      <c r="F496" s="7" t="s">
        <v>716</v>
      </c>
      <c r="G496" s="107">
        <v>44805</v>
      </c>
      <c r="H496" s="108">
        <v>44774</v>
      </c>
      <c r="I496" s="7">
        <v>5068</v>
      </c>
      <c r="J496" s="28" t="s">
        <v>1762</v>
      </c>
      <c r="K496" s="9">
        <v>1151.54</v>
      </c>
      <c r="L496" s="112">
        <v>59900</v>
      </c>
      <c r="M496" s="112">
        <f t="shared" si="73"/>
        <v>4792</v>
      </c>
      <c r="N496" s="9">
        <f t="shared" si="69"/>
        <v>29950</v>
      </c>
      <c r="O496" s="9">
        <f t="shared" si="70"/>
        <v>24006.46</v>
      </c>
      <c r="P496" s="9">
        <f t="shared" si="71"/>
        <v>5943.54</v>
      </c>
      <c r="Q496" s="139">
        <f t="shared" si="72"/>
        <v>0.80155125208681133</v>
      </c>
      <c r="R496" s="395">
        <f>VLOOKUP(C496,'[1]ORIGINAL (2)'!$A:$C,3,FALSE)</f>
        <v>143</v>
      </c>
      <c r="S496" s="24" t="e">
        <f>VLOOKUP(C496,#REF!,6,FALSE)</f>
        <v>#REF!</v>
      </c>
      <c r="T496" s="24" t="e">
        <f>VLOOKUP(C496,#REF!,7,FALSE)</f>
        <v>#REF!</v>
      </c>
      <c r="U496" s="24" t="e">
        <f>VLOOKUP(C496,#REF!,12,FALSE)</f>
        <v>#REF!</v>
      </c>
      <c r="V496" s="24" t="e">
        <f>VLOOKUP(C496,#REF!,13,FALSE)</f>
        <v>#REF!</v>
      </c>
    </row>
    <row r="497" spans="1:22" x14ac:dyDescent="0.25">
      <c r="A497" s="6" t="s">
        <v>1383</v>
      </c>
      <c r="B497" s="8">
        <v>9789500211635</v>
      </c>
      <c r="C497" s="8">
        <v>682656</v>
      </c>
      <c r="D497" s="7">
        <v>256</v>
      </c>
      <c r="E497" s="7" t="s">
        <v>539</v>
      </c>
      <c r="F497" s="7" t="s">
        <v>1384</v>
      </c>
      <c r="G497" s="107">
        <v>44287</v>
      </c>
      <c r="H497" s="108">
        <v>45748</v>
      </c>
      <c r="I497" s="7">
        <v>2032</v>
      </c>
      <c r="J497" s="28" t="s">
        <v>1762</v>
      </c>
      <c r="K497" s="117">
        <v>4615.05</v>
      </c>
      <c r="L497" s="9">
        <v>57300</v>
      </c>
      <c r="M497" s="112">
        <f t="shared" si="73"/>
        <v>4584</v>
      </c>
      <c r="N497" s="9">
        <f t="shared" si="69"/>
        <v>28650</v>
      </c>
      <c r="O497" s="9">
        <f t="shared" si="70"/>
        <v>19450.95</v>
      </c>
      <c r="P497" s="9">
        <f t="shared" si="71"/>
        <v>9199.0499999999993</v>
      </c>
      <c r="Q497" s="139">
        <f t="shared" si="72"/>
        <v>0.67891623036649218</v>
      </c>
      <c r="R497" s="395">
        <f>VLOOKUP(C497,'[1]ORIGINAL (2)'!$A:$C,3,FALSE)</f>
        <v>89</v>
      </c>
      <c r="S497" s="24" t="e">
        <f>VLOOKUP(C497,#REF!,6,FALSE)</f>
        <v>#REF!</v>
      </c>
      <c r="T497" s="24" t="e">
        <f>VLOOKUP(C497,#REF!,7,FALSE)</f>
        <v>#REF!</v>
      </c>
      <c r="U497" s="24" t="e">
        <f>VLOOKUP(C497,#REF!,12,FALSE)</f>
        <v>#REF!</v>
      </c>
      <c r="V497" s="24" t="e">
        <f>VLOOKUP(C497,#REF!,13,FALSE)</f>
        <v>#REF!</v>
      </c>
    </row>
    <row r="498" spans="1:22" x14ac:dyDescent="0.25">
      <c r="A498" s="7" t="s">
        <v>1385</v>
      </c>
      <c r="B498" s="8">
        <v>9789500210072</v>
      </c>
      <c r="C498" s="6">
        <v>666997</v>
      </c>
      <c r="D498" s="25">
        <v>360</v>
      </c>
      <c r="E498" s="7" t="s">
        <v>450</v>
      </c>
      <c r="F498" s="6" t="s">
        <v>830</v>
      </c>
      <c r="G498" s="107">
        <v>43678</v>
      </c>
      <c r="H498" s="108">
        <v>43647</v>
      </c>
      <c r="I498" s="24">
        <v>2050</v>
      </c>
      <c r="J498" s="28" t="s">
        <v>1946</v>
      </c>
      <c r="K498" s="28">
        <v>82.42</v>
      </c>
      <c r="L498" s="112">
        <v>21700</v>
      </c>
      <c r="M498" s="112">
        <f>+L498*0.1</f>
        <v>2170</v>
      </c>
      <c r="N498" s="9">
        <f t="shared" si="69"/>
        <v>10850</v>
      </c>
      <c r="O498" s="9">
        <f t="shared" si="70"/>
        <v>8597.58</v>
      </c>
      <c r="P498" s="9">
        <f t="shared" si="71"/>
        <v>2252.42</v>
      </c>
      <c r="Q498" s="139">
        <f t="shared" si="72"/>
        <v>0.79240368663594474</v>
      </c>
      <c r="R498" s="395" t="e">
        <f>VLOOKUP(C498,'[1]ORIGINAL (2)'!$A:$C,3,FALSE)</f>
        <v>#N/A</v>
      </c>
      <c r="S498" s="24" t="e">
        <f>VLOOKUP(C498,#REF!,6,FALSE)</f>
        <v>#REF!</v>
      </c>
      <c r="T498" s="24" t="e">
        <f>VLOOKUP(C498,#REF!,7,FALSE)</f>
        <v>#REF!</v>
      </c>
      <c r="U498" s="24" t="e">
        <f>VLOOKUP(C498,#REF!,12,FALSE)</f>
        <v>#REF!</v>
      </c>
      <c r="V498" s="24" t="e">
        <f>VLOOKUP(C498,#REF!,13,FALSE)</f>
        <v>#REF!</v>
      </c>
    </row>
    <row r="499" spans="1:22" x14ac:dyDescent="0.25">
      <c r="A499" s="7" t="s">
        <v>1386</v>
      </c>
      <c r="B499" s="8">
        <v>9789500210188</v>
      </c>
      <c r="C499" s="14">
        <v>669516</v>
      </c>
      <c r="D499" s="25">
        <v>128</v>
      </c>
      <c r="E499" s="9" t="s">
        <v>457</v>
      </c>
      <c r="F499" s="116" t="s">
        <v>458</v>
      </c>
      <c r="G499" s="107">
        <v>43739</v>
      </c>
      <c r="H499" s="108">
        <v>43709</v>
      </c>
      <c r="I499" s="24">
        <v>2085</v>
      </c>
      <c r="J499" s="28" t="s">
        <v>1762</v>
      </c>
      <c r="K499" s="28">
        <v>129.72999999999999</v>
      </c>
      <c r="L499" s="112">
        <v>49900</v>
      </c>
      <c r="M499" s="112">
        <f>+L499*0.1</f>
        <v>4990</v>
      </c>
      <c r="N499" s="9">
        <f t="shared" si="69"/>
        <v>24950</v>
      </c>
      <c r="O499" s="9">
        <f t="shared" si="70"/>
        <v>19830.27</v>
      </c>
      <c r="P499" s="9">
        <f t="shared" si="71"/>
        <v>5119.7299999999996</v>
      </c>
      <c r="Q499" s="139">
        <f t="shared" si="72"/>
        <v>0.79480040080160319</v>
      </c>
      <c r="R499" s="395">
        <f>VLOOKUP(C499,'[1]ORIGINAL (2)'!$A:$C,3,FALSE)</f>
        <v>68</v>
      </c>
      <c r="S499" s="24" t="e">
        <f>VLOOKUP(C499,#REF!,6,FALSE)</f>
        <v>#REF!</v>
      </c>
      <c r="T499" s="24" t="e">
        <f>VLOOKUP(C499,#REF!,7,FALSE)</f>
        <v>#REF!</v>
      </c>
      <c r="U499" s="24" t="e">
        <f>VLOOKUP(C499,#REF!,12,FALSE)</f>
        <v>#REF!</v>
      </c>
      <c r="V499" s="24" t="e">
        <f>VLOOKUP(C499,#REF!,13,FALSE)</f>
        <v>#REF!</v>
      </c>
    </row>
    <row r="500" spans="1:22" x14ac:dyDescent="0.25">
      <c r="A500" s="7" t="s">
        <v>1336</v>
      </c>
      <c r="B500" s="8">
        <v>9789500210324</v>
      </c>
      <c r="C500" s="13">
        <v>671438</v>
      </c>
      <c r="D500" s="25">
        <v>176</v>
      </c>
      <c r="E500" s="7" t="s">
        <v>477</v>
      </c>
      <c r="F500" s="7" t="s">
        <v>478</v>
      </c>
      <c r="G500" s="107">
        <v>43862</v>
      </c>
      <c r="H500" s="108">
        <v>44470</v>
      </c>
      <c r="I500" s="7">
        <v>3100</v>
      </c>
      <c r="J500" s="28" t="s">
        <v>1762</v>
      </c>
      <c r="K500" s="9">
        <v>233.52</v>
      </c>
      <c r="L500" s="112">
        <v>57600</v>
      </c>
      <c r="M500" s="112">
        <f>+L500*0.08</f>
        <v>4608</v>
      </c>
      <c r="N500" s="9">
        <f t="shared" si="69"/>
        <v>28800</v>
      </c>
      <c r="O500" s="9">
        <f t="shared" si="70"/>
        <v>23958.48</v>
      </c>
      <c r="P500" s="9">
        <f t="shared" si="71"/>
        <v>4841.5200000000004</v>
      </c>
      <c r="Q500" s="139">
        <f t="shared" si="72"/>
        <v>0.8318916666666667</v>
      </c>
      <c r="R500" s="395">
        <f>VLOOKUP(C500,'[1]ORIGINAL (2)'!$A:$C,3,FALSE)</f>
        <v>182</v>
      </c>
      <c r="S500" s="24" t="e">
        <f>VLOOKUP(C500,#REF!,6,FALSE)</f>
        <v>#REF!</v>
      </c>
      <c r="T500" s="24" t="e">
        <f>VLOOKUP(C500,#REF!,7,FALSE)</f>
        <v>#REF!</v>
      </c>
      <c r="U500" s="24" t="e">
        <f>VLOOKUP(C500,#REF!,12,FALSE)</f>
        <v>#REF!</v>
      </c>
      <c r="V500" s="24" t="e">
        <f>VLOOKUP(C500,#REF!,13,FALSE)</f>
        <v>#REF!</v>
      </c>
    </row>
    <row r="501" spans="1:22" x14ac:dyDescent="0.25">
      <c r="A501" s="6" t="s">
        <v>1387</v>
      </c>
      <c r="B501" s="8">
        <v>9789500213257</v>
      </c>
      <c r="C501" s="8">
        <v>700534</v>
      </c>
      <c r="D501" s="41">
        <v>256</v>
      </c>
      <c r="E501" s="7" t="s">
        <v>736</v>
      </c>
      <c r="F501" s="7" t="s">
        <v>737</v>
      </c>
      <c r="G501" s="107">
        <v>44896</v>
      </c>
      <c r="H501" s="108">
        <v>45444</v>
      </c>
      <c r="I501" s="7">
        <v>2103</v>
      </c>
      <c r="J501" s="28" t="s">
        <v>1762</v>
      </c>
      <c r="K501" s="9">
        <v>4210.7</v>
      </c>
      <c r="L501" s="9">
        <v>59900</v>
      </c>
      <c r="M501" s="112">
        <f>+L501*0.08</f>
        <v>4792</v>
      </c>
      <c r="N501" s="9">
        <f t="shared" si="69"/>
        <v>29950</v>
      </c>
      <c r="O501" s="9">
        <f t="shared" si="70"/>
        <v>20947.3</v>
      </c>
      <c r="P501" s="9">
        <f t="shared" si="71"/>
        <v>9002.7000000000007</v>
      </c>
      <c r="Q501" s="139">
        <f t="shared" si="72"/>
        <v>0.69940901502504171</v>
      </c>
      <c r="R501" s="395">
        <f>VLOOKUP(C501,'[1]ORIGINAL (2)'!$A:$C,3,FALSE)</f>
        <v>387</v>
      </c>
      <c r="S501" s="24" t="e">
        <f>VLOOKUP(C501,#REF!,6,FALSE)</f>
        <v>#REF!</v>
      </c>
      <c r="T501" s="24" t="e">
        <f>VLOOKUP(C501,#REF!,7,FALSE)</f>
        <v>#REF!</v>
      </c>
      <c r="U501" s="24" t="e">
        <f>VLOOKUP(C501,#REF!,12,FALSE)</f>
        <v>#REF!</v>
      </c>
      <c r="V501" s="24" t="e">
        <f>VLOOKUP(C501,#REF!,13,FALSE)</f>
        <v>#REF!</v>
      </c>
    </row>
    <row r="502" spans="1:22" x14ac:dyDescent="0.25">
      <c r="A502" s="2"/>
      <c r="B502" s="379"/>
      <c r="C502" s="3"/>
      <c r="D502" s="17"/>
      <c r="E502" s="2"/>
      <c r="F502" s="2"/>
      <c r="G502" s="2"/>
      <c r="H502" s="132"/>
      <c r="I502" s="132"/>
      <c r="J502" s="134"/>
      <c r="K502" s="132"/>
      <c r="L502" s="18"/>
      <c r="M502" s="132"/>
      <c r="N502" s="132"/>
      <c r="O502" s="132"/>
      <c r="P502" s="132"/>
      <c r="Q502" s="147"/>
      <c r="R502" s="395" t="e">
        <f>VLOOKUP(C502,'[1]ORIGINAL (2)'!$A:$C,3,FALSE)</f>
        <v>#N/A</v>
      </c>
      <c r="S502" s="100"/>
      <c r="T502" s="100"/>
      <c r="U502" s="100"/>
      <c r="V502" s="100"/>
    </row>
    <row r="503" spans="1:22" x14ac:dyDescent="0.25">
      <c r="A503" s="160" t="s">
        <v>664</v>
      </c>
      <c r="B503" s="168"/>
      <c r="C503" s="161"/>
      <c r="D503" s="162"/>
      <c r="E503" s="383"/>
      <c r="F503" s="383"/>
      <c r="G503" s="162"/>
      <c r="H503" s="132"/>
      <c r="I503" s="132"/>
      <c r="J503" s="134"/>
      <c r="K503" s="132"/>
      <c r="L503" s="18"/>
      <c r="M503" s="132"/>
      <c r="N503" s="132"/>
      <c r="O503" s="132"/>
      <c r="P503" s="132"/>
      <c r="Q503" s="147"/>
      <c r="R503" s="395" t="e">
        <f>VLOOKUP(C503,'[1]ORIGINAL (2)'!$A:$C,3,FALSE)</f>
        <v>#N/A</v>
      </c>
      <c r="S503" s="100"/>
      <c r="T503" s="100"/>
      <c r="U503" s="100"/>
      <c r="V503" s="100"/>
    </row>
    <row r="504" spans="1:22" x14ac:dyDescent="0.25">
      <c r="A504" s="7" t="s">
        <v>1388</v>
      </c>
      <c r="B504" s="8">
        <v>9789500206884</v>
      </c>
      <c r="C504" s="8">
        <v>558909</v>
      </c>
      <c r="D504" s="7">
        <v>192</v>
      </c>
      <c r="E504" s="7" t="s">
        <v>156</v>
      </c>
      <c r="F504" s="7" t="s">
        <v>1389</v>
      </c>
      <c r="G504" s="107">
        <v>41244</v>
      </c>
      <c r="H504" s="108">
        <v>42309</v>
      </c>
      <c r="I504" s="24">
        <v>3104</v>
      </c>
      <c r="J504" s="28" t="s">
        <v>1894</v>
      </c>
      <c r="K504" s="28">
        <v>7.72</v>
      </c>
      <c r="L504" s="112">
        <v>6900</v>
      </c>
      <c r="M504" s="9">
        <f>+L504*0.1</f>
        <v>690</v>
      </c>
      <c r="N504" s="9">
        <f>+L504/2</f>
        <v>3450</v>
      </c>
      <c r="O504" s="9">
        <f>+N504-M504-K504</f>
        <v>2752.28</v>
      </c>
      <c r="P504" s="9">
        <f>+M504+K504</f>
        <v>697.72</v>
      </c>
      <c r="Q504" s="139">
        <f>+O504/N504</f>
        <v>0.7977623188405798</v>
      </c>
      <c r="R504" s="395">
        <f>VLOOKUP(C504,'[1]ORIGINAL (2)'!$A:$C,3,FALSE)</f>
        <v>11</v>
      </c>
      <c r="S504" s="24" t="e">
        <f>VLOOKUP(C504,#REF!,6,FALSE)</f>
        <v>#REF!</v>
      </c>
      <c r="T504" s="24" t="e">
        <f>VLOOKUP(C504,#REF!,7,FALSE)</f>
        <v>#REF!</v>
      </c>
      <c r="U504" s="24" t="e">
        <f>VLOOKUP(C504,#REF!,12,FALSE)</f>
        <v>#REF!</v>
      </c>
      <c r="V504" s="24" t="e">
        <f>VLOOKUP(C504,#REF!,13,FALSE)</f>
        <v>#REF!</v>
      </c>
    </row>
    <row r="505" spans="1:22" x14ac:dyDescent="0.25">
      <c r="A505" s="7" t="s">
        <v>1390</v>
      </c>
      <c r="B505" s="8">
        <v>9789500206877</v>
      </c>
      <c r="C505" s="8">
        <v>558911</v>
      </c>
      <c r="D505" s="7">
        <v>192</v>
      </c>
      <c r="E505" s="7" t="s">
        <v>156</v>
      </c>
      <c r="F505" s="7" t="s">
        <v>1391</v>
      </c>
      <c r="G505" s="107">
        <v>41244</v>
      </c>
      <c r="H505" s="108">
        <v>42309</v>
      </c>
      <c r="I505" s="24">
        <v>3021</v>
      </c>
      <c r="J505" s="28" t="s">
        <v>1894</v>
      </c>
      <c r="K505" s="28">
        <v>7.82</v>
      </c>
      <c r="L505" s="112">
        <v>6900</v>
      </c>
      <c r="M505" s="9">
        <f>+L505*0.1</f>
        <v>690</v>
      </c>
      <c r="N505" s="9">
        <f>+L505/2</f>
        <v>3450</v>
      </c>
      <c r="O505" s="9">
        <f>+N505-M505-K505</f>
        <v>2752.18</v>
      </c>
      <c r="P505" s="9">
        <f>+M505+K505</f>
        <v>697.82</v>
      </c>
      <c r="Q505" s="139">
        <f>+O505/N505</f>
        <v>0.79773333333333329</v>
      </c>
      <c r="R505" s="395">
        <f>VLOOKUP(C505,'[1]ORIGINAL (2)'!$A:$C,3,FALSE)</f>
        <v>1</v>
      </c>
      <c r="S505" s="24" t="e">
        <f>VLOOKUP(C505,#REF!,6,FALSE)</f>
        <v>#REF!</v>
      </c>
      <c r="T505" s="24" t="e">
        <f>VLOOKUP(C505,#REF!,7,FALSE)</f>
        <v>#REF!</v>
      </c>
      <c r="U505" s="24" t="e">
        <f>VLOOKUP(C505,#REF!,12,FALSE)</f>
        <v>#REF!</v>
      </c>
      <c r="V505" s="24" t="e">
        <f>VLOOKUP(C505,#REF!,13,FALSE)</f>
        <v>#REF!</v>
      </c>
    </row>
    <row r="506" spans="1:22" x14ac:dyDescent="0.25">
      <c r="A506" s="132"/>
      <c r="B506" s="133"/>
      <c r="C506" s="133"/>
      <c r="D506" s="154"/>
      <c r="E506" s="132"/>
      <c r="F506" s="132"/>
      <c r="G506" s="132"/>
      <c r="H506" s="132"/>
      <c r="I506" s="132"/>
      <c r="J506" s="134"/>
      <c r="K506" s="132"/>
      <c r="L506" s="134"/>
      <c r="M506" s="132"/>
      <c r="N506" s="132"/>
      <c r="O506" s="132"/>
      <c r="P506" s="132"/>
      <c r="Q506" s="147"/>
      <c r="R506" s="395" t="e">
        <f>VLOOKUP(C506,'[1]ORIGINAL (2)'!$A:$C,3,FALSE)</f>
        <v>#N/A</v>
      </c>
      <c r="S506" s="100"/>
      <c r="T506" s="100"/>
      <c r="U506" s="100"/>
      <c r="V506" s="100"/>
    </row>
    <row r="507" spans="1:22" ht="15.75" thickBot="1" x14ac:dyDescent="0.3">
      <c r="A507" s="132"/>
      <c r="B507" s="133"/>
      <c r="C507" s="133"/>
      <c r="D507" s="154"/>
      <c r="E507" s="132"/>
      <c r="F507" s="132"/>
      <c r="G507" s="132"/>
      <c r="H507" s="132"/>
      <c r="I507" s="132"/>
      <c r="J507" s="134"/>
      <c r="K507" s="132"/>
      <c r="L507" s="134"/>
      <c r="M507" s="132"/>
      <c r="N507" s="132"/>
      <c r="O507" s="132"/>
      <c r="P507" s="132"/>
      <c r="Q507" s="147"/>
      <c r="R507" s="395" t="e">
        <f>VLOOKUP(C507,'[1]ORIGINAL (2)'!$A:$C,3,FALSE)</f>
        <v>#N/A</v>
      </c>
      <c r="S507" s="100"/>
      <c r="T507" s="100"/>
      <c r="U507" s="100"/>
      <c r="V507" s="100"/>
    </row>
    <row r="508" spans="1:22" x14ac:dyDescent="0.25">
      <c r="A508" s="132"/>
      <c r="B508" s="133"/>
      <c r="C508" s="133"/>
      <c r="D508" s="132"/>
      <c r="E508" s="104" t="s">
        <v>633</v>
      </c>
      <c r="F508" s="105"/>
      <c r="G508" s="132"/>
      <c r="H508" s="132"/>
      <c r="I508" s="132"/>
      <c r="J508" s="134"/>
      <c r="K508" s="132"/>
      <c r="L508" s="134"/>
      <c r="M508" s="132"/>
      <c r="N508" s="132"/>
      <c r="O508" s="132"/>
      <c r="P508" s="132"/>
      <c r="Q508" s="147"/>
      <c r="R508" s="395" t="e">
        <f>VLOOKUP(C508,'[1]ORIGINAL (2)'!$A:$C,3,FALSE)</f>
        <v>#N/A</v>
      </c>
      <c r="S508" s="100"/>
      <c r="T508" s="100"/>
      <c r="U508" s="100"/>
      <c r="V508" s="100"/>
    </row>
    <row r="509" spans="1:22" x14ac:dyDescent="0.25">
      <c r="A509" s="6" t="s">
        <v>1392</v>
      </c>
      <c r="B509" s="8">
        <v>9789500299145</v>
      </c>
      <c r="C509" s="8">
        <v>618574</v>
      </c>
      <c r="D509" s="7">
        <v>320</v>
      </c>
      <c r="E509" s="31" t="s">
        <v>222</v>
      </c>
      <c r="F509" s="32" t="s">
        <v>223</v>
      </c>
      <c r="G509" s="107">
        <v>42614</v>
      </c>
      <c r="H509" s="108">
        <v>42552</v>
      </c>
      <c r="I509" s="24">
        <v>2000</v>
      </c>
      <c r="J509" s="28" t="s">
        <v>1946</v>
      </c>
      <c r="K509" s="28">
        <v>108.37</v>
      </c>
      <c r="L509" s="112">
        <v>46600</v>
      </c>
      <c r="M509" s="9"/>
      <c r="N509" s="9">
        <f>+L509/2</f>
        <v>23300</v>
      </c>
      <c r="O509" s="9">
        <f>+N509-M509-K509</f>
        <v>23191.63</v>
      </c>
      <c r="P509" s="9">
        <f>+M509+K509</f>
        <v>108.37</v>
      </c>
      <c r="Q509" s="139">
        <f>+O509/N509</f>
        <v>0.99534892703862665</v>
      </c>
      <c r="R509" s="395">
        <f>VLOOKUP(C509,'[1]ORIGINAL (2)'!$A:$C,3,FALSE)</f>
        <v>1</v>
      </c>
      <c r="S509" s="24" t="e">
        <f>VLOOKUP(C509,#REF!,6,FALSE)</f>
        <v>#REF!</v>
      </c>
      <c r="T509" s="24" t="e">
        <f>VLOOKUP(C509,#REF!,7,FALSE)</f>
        <v>#REF!</v>
      </c>
      <c r="U509" s="24" t="e">
        <f>VLOOKUP(C509,#REF!,12,FALSE)</f>
        <v>#REF!</v>
      </c>
      <c r="V509" s="24" t="e">
        <f>VLOOKUP(C509,#REF!,13,FALSE)</f>
        <v>#REF!</v>
      </c>
    </row>
    <row r="510" spans="1:22" x14ac:dyDescent="0.25">
      <c r="A510" s="6" t="s">
        <v>1393</v>
      </c>
      <c r="B510" s="8">
        <v>9789500299282</v>
      </c>
      <c r="C510" s="8">
        <v>622634</v>
      </c>
      <c r="D510" s="7">
        <v>48</v>
      </c>
      <c r="E510" s="7" t="s">
        <v>220</v>
      </c>
      <c r="F510" s="7" t="s">
        <v>221</v>
      </c>
      <c r="G510" s="107">
        <v>42675</v>
      </c>
      <c r="H510" s="108">
        <v>42644</v>
      </c>
      <c r="I510" s="24">
        <v>4068</v>
      </c>
      <c r="J510" s="28" t="s">
        <v>1946</v>
      </c>
      <c r="K510" s="28">
        <v>89.33</v>
      </c>
      <c r="L510" s="112">
        <v>32600</v>
      </c>
      <c r="M510" s="112"/>
      <c r="N510" s="9">
        <f>+L510/2</f>
        <v>16300</v>
      </c>
      <c r="O510" s="9">
        <f>+N510-M510-K510</f>
        <v>16210.67</v>
      </c>
      <c r="P510" s="9">
        <f>+M510+K510</f>
        <v>89.33</v>
      </c>
      <c r="Q510" s="139">
        <f>+O510/N510</f>
        <v>0.99451963190184045</v>
      </c>
      <c r="R510" s="395">
        <f>VLOOKUP(C510,'[1]ORIGINAL (2)'!$A:$C,3,FALSE)</f>
        <v>1</v>
      </c>
      <c r="S510" s="24" t="e">
        <f>VLOOKUP(C510,#REF!,6,FALSE)</f>
        <v>#REF!</v>
      </c>
      <c r="T510" s="24" t="e">
        <f>VLOOKUP(C510,#REF!,7,FALSE)</f>
        <v>#REF!</v>
      </c>
      <c r="U510" s="24" t="e">
        <f>VLOOKUP(C510,#REF!,12,FALSE)</f>
        <v>#REF!</v>
      </c>
      <c r="V510" s="24" t="e">
        <f>VLOOKUP(C510,#REF!,13,FALSE)</f>
        <v>#REF!</v>
      </c>
    </row>
    <row r="511" spans="1:22" x14ac:dyDescent="0.25">
      <c r="A511" s="132"/>
      <c r="B511" s="133"/>
      <c r="C511" s="133"/>
      <c r="D511" s="154"/>
      <c r="E511" s="132"/>
      <c r="F511" s="132"/>
      <c r="G511" s="132"/>
      <c r="H511" s="132"/>
      <c r="I511" s="132"/>
      <c r="J511" s="134"/>
      <c r="K511" s="132"/>
      <c r="L511" s="18"/>
      <c r="M511" s="132"/>
      <c r="N511" s="132"/>
      <c r="O511" s="132"/>
      <c r="P511" s="132"/>
      <c r="Q511" s="147"/>
      <c r="R511" s="395" t="e">
        <f>VLOOKUP(C511,'[1]ORIGINAL (2)'!$A:$C,3,FALSE)</f>
        <v>#N/A</v>
      </c>
      <c r="S511" s="100"/>
      <c r="T511" s="100"/>
      <c r="U511" s="100"/>
      <c r="V511" s="100"/>
    </row>
    <row r="512" spans="1:22" ht="15.75" thickBot="1" x14ac:dyDescent="0.3">
      <c r="A512" s="132"/>
      <c r="B512" s="133"/>
      <c r="C512" s="133"/>
      <c r="D512" s="154"/>
      <c r="E512" s="132"/>
      <c r="F512" s="132"/>
      <c r="G512" s="132"/>
      <c r="H512" s="132"/>
      <c r="I512" s="132"/>
      <c r="J512" s="134"/>
      <c r="K512" s="132"/>
      <c r="L512" s="18"/>
      <c r="M512" s="132"/>
      <c r="N512" s="132"/>
      <c r="O512" s="132"/>
      <c r="P512" s="132"/>
      <c r="Q512" s="147"/>
      <c r="R512" s="395" t="e">
        <f>VLOOKUP(C512,'[1]ORIGINAL (2)'!$A:$C,3,FALSE)</f>
        <v>#N/A</v>
      </c>
      <c r="S512" s="100"/>
      <c r="T512" s="100"/>
      <c r="U512" s="100"/>
      <c r="V512" s="100"/>
    </row>
    <row r="513" spans="1:22" x14ac:dyDescent="0.25">
      <c r="A513" s="132"/>
      <c r="B513" s="133"/>
      <c r="C513" s="133"/>
      <c r="D513" s="154"/>
      <c r="E513" s="155" t="s">
        <v>596</v>
      </c>
      <c r="F513" s="156"/>
      <c r="G513" s="132"/>
      <c r="H513" s="132"/>
      <c r="I513" s="132"/>
      <c r="J513" s="134"/>
      <c r="K513" s="132"/>
      <c r="L513" s="18"/>
      <c r="M513" s="132"/>
      <c r="N513" s="132"/>
      <c r="O513" s="132"/>
      <c r="P513" s="132"/>
      <c r="Q513" s="147"/>
      <c r="R513" s="395" t="e">
        <f>VLOOKUP(C513,'[1]ORIGINAL (2)'!$A:$C,3,FALSE)</f>
        <v>#N/A</v>
      </c>
      <c r="S513" s="100"/>
      <c r="T513" s="100"/>
      <c r="U513" s="100"/>
      <c r="V513" s="100"/>
    </row>
    <row r="514" spans="1:22" x14ac:dyDescent="0.25">
      <c r="A514" s="7" t="s">
        <v>1394</v>
      </c>
      <c r="B514" s="8">
        <v>9789500210560</v>
      </c>
      <c r="C514" s="8">
        <v>675902</v>
      </c>
      <c r="D514" s="25">
        <v>140</v>
      </c>
      <c r="E514" s="7" t="s">
        <v>487</v>
      </c>
      <c r="F514" s="116" t="s">
        <v>1395</v>
      </c>
      <c r="G514" s="107">
        <v>43952</v>
      </c>
      <c r="H514" s="108">
        <v>43922</v>
      </c>
      <c r="I514" s="7">
        <v>2980</v>
      </c>
      <c r="J514" s="28" t="s">
        <v>1946</v>
      </c>
      <c r="K514" s="9">
        <v>223.4</v>
      </c>
      <c r="L514" s="112">
        <v>40300</v>
      </c>
      <c r="M514" s="9">
        <f>+L514*0.1</f>
        <v>4030</v>
      </c>
      <c r="N514" s="9">
        <f t="shared" ref="N514:N519" si="74">+L514/2</f>
        <v>20150</v>
      </c>
      <c r="O514" s="9">
        <f t="shared" ref="O514:O519" si="75">+N514-M514-K514</f>
        <v>15896.6</v>
      </c>
      <c r="P514" s="9">
        <f t="shared" ref="P514:P519" si="76">+M514+K514</f>
        <v>4253.3999999999996</v>
      </c>
      <c r="Q514" s="139">
        <f t="shared" ref="Q514:Q519" si="77">+O514/N514</f>
        <v>0.78891315136476425</v>
      </c>
      <c r="R514" s="395">
        <f>VLOOKUP(C514,'[1]ORIGINAL (2)'!$A:$C,3,FALSE)</f>
        <v>12</v>
      </c>
      <c r="S514" s="24" t="e">
        <f>VLOOKUP(C514,#REF!,6,FALSE)</f>
        <v>#REF!</v>
      </c>
      <c r="T514" s="24" t="e">
        <f>VLOOKUP(C514,#REF!,7,FALSE)</f>
        <v>#REF!</v>
      </c>
      <c r="U514" s="24" t="e">
        <f>VLOOKUP(C514,#REF!,12,FALSE)</f>
        <v>#REF!</v>
      </c>
      <c r="V514" s="24" t="e">
        <f>VLOOKUP(C514,#REF!,13,FALSE)</f>
        <v>#REF!</v>
      </c>
    </row>
    <row r="515" spans="1:22" x14ac:dyDescent="0.25">
      <c r="A515" s="7" t="s">
        <v>1396</v>
      </c>
      <c r="B515" s="8">
        <v>9789500210577</v>
      </c>
      <c r="C515" s="8">
        <v>675903</v>
      </c>
      <c r="D515" s="25">
        <v>140</v>
      </c>
      <c r="E515" s="7" t="s">
        <v>487</v>
      </c>
      <c r="F515" s="7" t="s">
        <v>1397</v>
      </c>
      <c r="G515" s="107">
        <v>43952</v>
      </c>
      <c r="H515" s="108">
        <v>43922</v>
      </c>
      <c r="I515" s="7">
        <v>3080</v>
      </c>
      <c r="J515" s="28" t="s">
        <v>1946</v>
      </c>
      <c r="K515" s="9">
        <v>76.31</v>
      </c>
      <c r="L515" s="112">
        <v>19000</v>
      </c>
      <c r="M515" s="9">
        <f>+L515*0.1</f>
        <v>1900</v>
      </c>
      <c r="N515" s="9">
        <f t="shared" si="74"/>
        <v>9500</v>
      </c>
      <c r="O515" s="9">
        <f t="shared" si="75"/>
        <v>7523.69</v>
      </c>
      <c r="P515" s="9">
        <f t="shared" si="76"/>
        <v>1976.31</v>
      </c>
      <c r="Q515" s="139">
        <f t="shared" si="77"/>
        <v>0.79196736842105264</v>
      </c>
      <c r="R515" s="395">
        <f>VLOOKUP(C515,'[1]ORIGINAL (2)'!$A:$C,3,FALSE)</f>
        <v>9</v>
      </c>
      <c r="S515" s="24" t="e">
        <f>VLOOKUP(C515,#REF!,6,FALSE)</f>
        <v>#REF!</v>
      </c>
      <c r="T515" s="24" t="e">
        <f>VLOOKUP(C515,#REF!,7,FALSE)</f>
        <v>#REF!</v>
      </c>
      <c r="U515" s="24" t="e">
        <f>VLOOKUP(C515,#REF!,12,FALSE)</f>
        <v>#REF!</v>
      </c>
      <c r="V515" s="24" t="e">
        <f>VLOOKUP(C515,#REF!,13,FALSE)</f>
        <v>#REF!</v>
      </c>
    </row>
    <row r="516" spans="1:22" x14ac:dyDescent="0.25">
      <c r="A516" s="7" t="s">
        <v>1398</v>
      </c>
      <c r="B516" s="8">
        <v>9789500259187</v>
      </c>
      <c r="C516" s="8">
        <v>417764</v>
      </c>
      <c r="D516" s="25">
        <v>272</v>
      </c>
      <c r="E516" s="9" t="s">
        <v>227</v>
      </c>
      <c r="F516" s="116" t="s">
        <v>228</v>
      </c>
      <c r="G516" s="107">
        <v>38687</v>
      </c>
      <c r="H516" s="108">
        <v>38657</v>
      </c>
      <c r="I516" s="24">
        <v>1500</v>
      </c>
      <c r="J516" s="28" t="s">
        <v>1762</v>
      </c>
      <c r="K516" s="28">
        <v>36</v>
      </c>
      <c r="L516" s="112">
        <v>66900</v>
      </c>
      <c r="M516" s="112"/>
      <c r="N516" s="9">
        <f t="shared" si="74"/>
        <v>33450</v>
      </c>
      <c r="O516" s="9">
        <f t="shared" si="75"/>
        <v>33414</v>
      </c>
      <c r="P516" s="9">
        <f t="shared" si="76"/>
        <v>36</v>
      </c>
      <c r="Q516" s="139">
        <f t="shared" si="77"/>
        <v>0.99892376681614348</v>
      </c>
      <c r="R516" s="395">
        <f>VLOOKUP(C516,'[1]ORIGINAL (2)'!$A:$C,3,FALSE)</f>
        <v>4</v>
      </c>
      <c r="S516" s="24" t="e">
        <f>VLOOKUP(C516,#REF!,6,FALSE)</f>
        <v>#REF!</v>
      </c>
      <c r="T516" s="24" t="e">
        <f>VLOOKUP(C516,#REF!,7,FALSE)</f>
        <v>#REF!</v>
      </c>
      <c r="U516" s="24" t="e">
        <f>VLOOKUP(C516,#REF!,12,FALSE)</f>
        <v>#REF!</v>
      </c>
      <c r="V516" s="24" t="e">
        <f>VLOOKUP(C516,#REF!,13,FALSE)</f>
        <v>#REF!</v>
      </c>
    </row>
    <row r="517" spans="1:22" x14ac:dyDescent="0.25">
      <c r="A517" s="7" t="s">
        <v>1399</v>
      </c>
      <c r="B517" s="8">
        <v>9789500259378</v>
      </c>
      <c r="C517" s="8">
        <v>439030</v>
      </c>
      <c r="D517" s="25">
        <v>376</v>
      </c>
      <c r="E517" s="6" t="s">
        <v>229</v>
      </c>
      <c r="F517" s="7" t="s">
        <v>230</v>
      </c>
      <c r="G517" s="107">
        <v>38991</v>
      </c>
      <c r="H517" s="108">
        <v>38991</v>
      </c>
      <c r="I517" s="24">
        <v>1438</v>
      </c>
      <c r="J517" s="28" t="s">
        <v>1762</v>
      </c>
      <c r="K517" s="28">
        <v>58.5</v>
      </c>
      <c r="L517" s="112">
        <v>77500</v>
      </c>
      <c r="M517" s="112"/>
      <c r="N517" s="9">
        <f t="shared" si="74"/>
        <v>38750</v>
      </c>
      <c r="O517" s="9">
        <f t="shared" si="75"/>
        <v>38691.5</v>
      </c>
      <c r="P517" s="9">
        <f t="shared" si="76"/>
        <v>58.5</v>
      </c>
      <c r="Q517" s="139">
        <f t="shared" si="77"/>
        <v>0.99849032258064518</v>
      </c>
      <c r="R517" s="395">
        <f>VLOOKUP(C517,'[1]ORIGINAL (2)'!$A:$C,3,FALSE)</f>
        <v>12</v>
      </c>
      <c r="S517" s="24" t="e">
        <f>VLOOKUP(C517,#REF!,6,FALSE)</f>
        <v>#REF!</v>
      </c>
      <c r="T517" s="24" t="e">
        <f>VLOOKUP(C517,#REF!,7,FALSE)</f>
        <v>#REF!</v>
      </c>
      <c r="U517" s="24" t="e">
        <f>VLOOKUP(C517,#REF!,12,FALSE)</f>
        <v>#REF!</v>
      </c>
      <c r="V517" s="24" t="e">
        <f>VLOOKUP(C517,#REF!,13,FALSE)</f>
        <v>#REF!</v>
      </c>
    </row>
    <row r="518" spans="1:22" x14ac:dyDescent="0.25">
      <c r="A518" s="7" t="s">
        <v>1400</v>
      </c>
      <c r="B518" s="8">
        <v>9789500259224</v>
      </c>
      <c r="C518" s="8">
        <v>452787</v>
      </c>
      <c r="D518" s="25">
        <v>392</v>
      </c>
      <c r="E518" s="9" t="s">
        <v>225</v>
      </c>
      <c r="F518" s="7" t="s">
        <v>226</v>
      </c>
      <c r="G518" s="107">
        <v>39234</v>
      </c>
      <c r="H518" s="108">
        <v>39234</v>
      </c>
      <c r="I518" s="24">
        <v>1543</v>
      </c>
      <c r="J518" s="28" t="s">
        <v>1762</v>
      </c>
      <c r="K518" s="28">
        <v>84</v>
      </c>
      <c r="L518" s="112">
        <v>77500</v>
      </c>
      <c r="M518" s="112"/>
      <c r="N518" s="9">
        <f t="shared" si="74"/>
        <v>38750</v>
      </c>
      <c r="O518" s="9">
        <f t="shared" si="75"/>
        <v>38666</v>
      </c>
      <c r="P518" s="9">
        <f t="shared" si="76"/>
        <v>84</v>
      </c>
      <c r="Q518" s="139">
        <f t="shared" si="77"/>
        <v>0.99783225806451614</v>
      </c>
      <c r="R518" s="395" t="e">
        <f>VLOOKUP(C518,'[1]ORIGINAL (2)'!$A:$C,3,FALSE)</f>
        <v>#N/A</v>
      </c>
      <c r="S518" s="24" t="e">
        <f>VLOOKUP(C518,#REF!,6,FALSE)</f>
        <v>#REF!</v>
      </c>
      <c r="T518" s="24" t="e">
        <f>VLOOKUP(C518,#REF!,7,FALSE)</f>
        <v>#REF!</v>
      </c>
      <c r="U518" s="24" t="e">
        <f>VLOOKUP(C518,#REF!,12,FALSE)</f>
        <v>#REF!</v>
      </c>
      <c r="V518" s="24" t="e">
        <f>VLOOKUP(C518,#REF!,13,FALSE)</f>
        <v>#REF!</v>
      </c>
    </row>
    <row r="519" spans="1:22" x14ac:dyDescent="0.25">
      <c r="A519" s="6" t="s">
        <v>1401</v>
      </c>
      <c r="B519" s="8">
        <v>9789500208970</v>
      </c>
      <c r="C519" s="8">
        <v>598710</v>
      </c>
      <c r="D519" s="7"/>
      <c r="E519" s="9" t="s">
        <v>224</v>
      </c>
      <c r="F519" s="7" t="s">
        <v>1402</v>
      </c>
      <c r="G519" s="107">
        <v>42309</v>
      </c>
      <c r="H519" s="108">
        <v>42278</v>
      </c>
      <c r="I519" s="24">
        <v>1400</v>
      </c>
      <c r="J519" s="28" t="s">
        <v>1762</v>
      </c>
      <c r="K519" s="28">
        <v>600</v>
      </c>
      <c r="L519" s="112">
        <v>130900</v>
      </c>
      <c r="M519" s="112"/>
      <c r="N519" s="9">
        <f t="shared" si="74"/>
        <v>65450</v>
      </c>
      <c r="O519" s="9">
        <f t="shared" si="75"/>
        <v>64850</v>
      </c>
      <c r="P519" s="9">
        <f t="shared" si="76"/>
        <v>600</v>
      </c>
      <c r="Q519" s="139">
        <f t="shared" si="77"/>
        <v>0.9908326967150497</v>
      </c>
      <c r="R519" s="395">
        <f>VLOOKUP(C519,'[1]ORIGINAL (2)'!$A:$C,3,FALSE)</f>
        <v>10</v>
      </c>
      <c r="S519" s="24" t="e">
        <f>VLOOKUP(C519,#REF!,6,FALSE)</f>
        <v>#REF!</v>
      </c>
      <c r="T519" s="24" t="e">
        <f>VLOOKUP(C519,#REF!,7,FALSE)</f>
        <v>#REF!</v>
      </c>
      <c r="U519" s="24" t="e">
        <f>VLOOKUP(C519,#REF!,12,FALSE)</f>
        <v>#REF!</v>
      </c>
      <c r="V519" s="24" t="e">
        <f>VLOOKUP(C519,#REF!,13,FALSE)</f>
        <v>#REF!</v>
      </c>
    </row>
    <row r="520" spans="1:22" x14ac:dyDescent="0.25">
      <c r="A520" s="132"/>
      <c r="B520" s="133"/>
      <c r="C520" s="133"/>
      <c r="D520" s="132"/>
      <c r="E520" s="382"/>
      <c r="F520" s="132"/>
      <c r="G520" s="132"/>
      <c r="H520" s="132"/>
      <c r="I520" s="132"/>
      <c r="J520" s="134"/>
      <c r="K520" s="132"/>
      <c r="L520" s="18"/>
      <c r="M520" s="132"/>
      <c r="N520" s="132"/>
      <c r="O520" s="132"/>
      <c r="P520" s="132"/>
      <c r="Q520" s="147"/>
      <c r="R520" s="395" t="e">
        <f>VLOOKUP(C520,'[1]ORIGINAL (2)'!$A:$C,3,FALSE)</f>
        <v>#N/A</v>
      </c>
      <c r="S520" s="100"/>
      <c r="T520" s="100"/>
      <c r="U520" s="100"/>
      <c r="V520" s="100"/>
    </row>
    <row r="521" spans="1:22" ht="15.75" thickBot="1" x14ac:dyDescent="0.3">
      <c r="A521" s="132"/>
      <c r="B521" s="133"/>
      <c r="C521" s="133"/>
      <c r="D521" s="132"/>
      <c r="E521" s="382"/>
      <c r="F521" s="132"/>
      <c r="G521" s="132"/>
      <c r="H521" s="132"/>
      <c r="I521" s="132"/>
      <c r="J521" s="134"/>
      <c r="K521" s="132"/>
      <c r="L521" s="18"/>
      <c r="M521" s="132"/>
      <c r="N521" s="132"/>
      <c r="O521" s="132"/>
      <c r="P521" s="132"/>
      <c r="Q521" s="147"/>
      <c r="R521" s="395" t="e">
        <f>VLOOKUP(C521,'[1]ORIGINAL (2)'!$A:$C,3,FALSE)</f>
        <v>#N/A</v>
      </c>
      <c r="S521" s="100"/>
      <c r="T521" s="100"/>
      <c r="U521" s="100"/>
      <c r="V521" s="100"/>
    </row>
    <row r="522" spans="1:22" x14ac:dyDescent="0.25">
      <c r="A522" s="132"/>
      <c r="B522" s="133"/>
      <c r="C522" s="181"/>
      <c r="D522" s="182"/>
      <c r="E522" s="155" t="s">
        <v>1403</v>
      </c>
      <c r="F522" s="105"/>
      <c r="G522" s="132"/>
      <c r="H522" s="132"/>
      <c r="I522" s="132"/>
      <c r="J522" s="134"/>
      <c r="K522" s="132"/>
      <c r="L522" s="18"/>
      <c r="M522" s="132"/>
      <c r="N522" s="132"/>
      <c r="O522" s="132"/>
      <c r="P522" s="132"/>
      <c r="Q522" s="147"/>
      <c r="R522" s="395" t="e">
        <f>VLOOKUP(C522,'[1]ORIGINAL (2)'!$A:$C,3,FALSE)</f>
        <v>#N/A</v>
      </c>
      <c r="S522" s="100"/>
      <c r="T522" s="100"/>
      <c r="U522" s="100"/>
      <c r="V522" s="100"/>
    </row>
    <row r="523" spans="1:22" x14ac:dyDescent="0.25">
      <c r="A523" s="6" t="s">
        <v>1404</v>
      </c>
      <c r="B523" s="8">
        <v>9789500208352</v>
      </c>
      <c r="C523" s="8">
        <v>589612</v>
      </c>
      <c r="D523" s="25">
        <v>208</v>
      </c>
      <c r="E523" s="22" t="s">
        <v>204</v>
      </c>
      <c r="F523" s="6" t="s">
        <v>205</v>
      </c>
      <c r="G523" s="107">
        <v>42036</v>
      </c>
      <c r="H523" s="108">
        <v>42522</v>
      </c>
      <c r="I523" s="24">
        <v>2020</v>
      </c>
      <c r="J523" s="28" t="s">
        <v>1946</v>
      </c>
      <c r="K523" s="28">
        <v>24.17</v>
      </c>
      <c r="L523" s="112">
        <v>11900</v>
      </c>
      <c r="M523" s="112">
        <f>+L523*0.13</f>
        <v>1547</v>
      </c>
      <c r="N523" s="9">
        <f>+L523/2</f>
        <v>5950</v>
      </c>
      <c r="O523" s="9">
        <f>+N523-M523-K523</f>
        <v>4378.83</v>
      </c>
      <c r="P523" s="9">
        <f>+M523+K523</f>
        <v>1571.17</v>
      </c>
      <c r="Q523" s="139">
        <f>+O523/N523</f>
        <v>0.73593781512605039</v>
      </c>
      <c r="R523" s="395" t="e">
        <f>VLOOKUP(C523,'[1]ORIGINAL (2)'!$A:$C,3,FALSE)</f>
        <v>#N/A</v>
      </c>
      <c r="S523" s="24" t="e">
        <f>VLOOKUP(C523,#REF!,6,FALSE)</f>
        <v>#REF!</v>
      </c>
      <c r="T523" s="24" t="e">
        <f>VLOOKUP(C523,#REF!,7,FALSE)</f>
        <v>#REF!</v>
      </c>
      <c r="U523" s="24" t="e">
        <f>VLOOKUP(C523,#REF!,12,FALSE)</f>
        <v>#REF!</v>
      </c>
      <c r="V523" s="24" t="e">
        <f>VLOOKUP(C523,#REF!,13,FALSE)</f>
        <v>#REF!</v>
      </c>
    </row>
    <row r="524" spans="1:22" x14ac:dyDescent="0.25">
      <c r="A524" s="6" t="s">
        <v>1405</v>
      </c>
      <c r="B524" s="8">
        <v>9789500208444</v>
      </c>
      <c r="C524" s="8">
        <v>589997</v>
      </c>
      <c r="D524" s="25">
        <v>144</v>
      </c>
      <c r="E524" s="22" t="s">
        <v>206</v>
      </c>
      <c r="F524" s="6" t="s">
        <v>207</v>
      </c>
      <c r="G524" s="107">
        <v>42064</v>
      </c>
      <c r="H524" s="108">
        <v>42036</v>
      </c>
      <c r="I524" s="24">
        <v>3000</v>
      </c>
      <c r="J524" s="28" t="s">
        <v>1946</v>
      </c>
      <c r="K524" s="28">
        <v>10.98</v>
      </c>
      <c r="L524" s="112">
        <v>11900</v>
      </c>
      <c r="M524" s="112">
        <f>+L524*0.13</f>
        <v>1547</v>
      </c>
      <c r="N524" s="9">
        <f>+L524/2</f>
        <v>5950</v>
      </c>
      <c r="O524" s="9">
        <f>+N524-M524-K524</f>
        <v>4392.0200000000004</v>
      </c>
      <c r="P524" s="9">
        <f>+M524+K524</f>
        <v>1557.98</v>
      </c>
      <c r="Q524" s="139">
        <f>+O524/N524</f>
        <v>0.73815462184873959</v>
      </c>
      <c r="R524" s="395" t="e">
        <f>VLOOKUP(C524,'[1]ORIGINAL (2)'!$A:$C,3,FALSE)</f>
        <v>#N/A</v>
      </c>
      <c r="S524" s="24" t="e">
        <f>VLOOKUP(C524,#REF!,6,FALSE)</f>
        <v>#REF!</v>
      </c>
      <c r="T524" s="24" t="e">
        <f>VLOOKUP(C524,#REF!,7,FALSE)</f>
        <v>#REF!</v>
      </c>
      <c r="U524" s="24" t="e">
        <f>VLOOKUP(C524,#REF!,12,FALSE)</f>
        <v>#REF!</v>
      </c>
      <c r="V524" s="24" t="e">
        <f>VLOOKUP(C524,#REF!,13,FALSE)</f>
        <v>#REF!</v>
      </c>
    </row>
    <row r="525" spans="1:22" x14ac:dyDescent="0.25">
      <c r="A525" s="6" t="s">
        <v>1406</v>
      </c>
      <c r="B525" s="8">
        <v>9789500298612</v>
      </c>
      <c r="C525" s="8">
        <v>598207</v>
      </c>
      <c r="D525" s="7">
        <v>160</v>
      </c>
      <c r="E525" s="7" t="s">
        <v>206</v>
      </c>
      <c r="F525" s="6" t="s">
        <v>208</v>
      </c>
      <c r="G525" s="107">
        <v>42309</v>
      </c>
      <c r="H525" s="108">
        <v>42278</v>
      </c>
      <c r="I525" s="24">
        <v>3040</v>
      </c>
      <c r="J525" s="28" t="s">
        <v>1946</v>
      </c>
      <c r="K525" s="28">
        <v>14.93</v>
      </c>
      <c r="L525" s="112">
        <v>11900</v>
      </c>
      <c r="M525" s="112">
        <f>+L525*0.13</f>
        <v>1547</v>
      </c>
      <c r="N525" s="9">
        <f>+L525/2</f>
        <v>5950</v>
      </c>
      <c r="O525" s="9">
        <f>+N525-M525-K525</f>
        <v>4388.07</v>
      </c>
      <c r="P525" s="9">
        <f>+M525+K525</f>
        <v>1561.93</v>
      </c>
      <c r="Q525" s="139">
        <f>+O525/N525</f>
        <v>0.73749075630252092</v>
      </c>
      <c r="R525" s="395" t="e">
        <f>VLOOKUP(C525,'[1]ORIGINAL (2)'!$A:$C,3,FALSE)</f>
        <v>#N/A</v>
      </c>
      <c r="S525" s="24" t="e">
        <f>VLOOKUP(C525,#REF!,6,FALSE)</f>
        <v>#REF!</v>
      </c>
      <c r="T525" s="24" t="e">
        <f>VLOOKUP(C525,#REF!,7,FALSE)</f>
        <v>#REF!</v>
      </c>
      <c r="U525" s="24" t="e">
        <f>VLOOKUP(C525,#REF!,12,FALSE)</f>
        <v>#REF!</v>
      </c>
      <c r="V525" s="24" t="e">
        <f>VLOOKUP(C525,#REF!,13,FALSE)</f>
        <v>#REF!</v>
      </c>
    </row>
    <row r="526" spans="1:22" x14ac:dyDescent="0.25">
      <c r="A526" s="6" t="s">
        <v>1407</v>
      </c>
      <c r="B526" s="8">
        <v>9789500298650</v>
      </c>
      <c r="C526" s="8">
        <v>609576</v>
      </c>
      <c r="D526" s="7">
        <v>128</v>
      </c>
      <c r="E526" s="31" t="s">
        <v>1408</v>
      </c>
      <c r="F526" s="32" t="s">
        <v>209</v>
      </c>
      <c r="G526" s="107">
        <v>42430</v>
      </c>
      <c r="H526" s="108">
        <v>42401</v>
      </c>
      <c r="I526" s="24">
        <v>3030</v>
      </c>
      <c r="J526" s="28" t="s">
        <v>1946</v>
      </c>
      <c r="K526" s="28">
        <v>15.44</v>
      </c>
      <c r="L526" s="112">
        <v>11900</v>
      </c>
      <c r="M526" s="112">
        <f>+L526*0.13</f>
        <v>1547</v>
      </c>
      <c r="N526" s="9">
        <f>+L526/2</f>
        <v>5950</v>
      </c>
      <c r="O526" s="9">
        <f>+N526-M526-K526</f>
        <v>4387.5600000000004</v>
      </c>
      <c r="P526" s="9">
        <f>+M526+K526</f>
        <v>1562.44</v>
      </c>
      <c r="Q526" s="139">
        <f>+O526/N526</f>
        <v>0.73740504201680679</v>
      </c>
      <c r="R526" s="395" t="e">
        <f>VLOOKUP(C526,'[1]ORIGINAL (2)'!$A:$C,3,FALSE)</f>
        <v>#N/A</v>
      </c>
      <c r="S526" s="24" t="e">
        <f>VLOOKUP(C526,#REF!,6,FALSE)</f>
        <v>#REF!</v>
      </c>
      <c r="T526" s="24" t="e">
        <f>VLOOKUP(C526,#REF!,7,FALSE)</f>
        <v>#REF!</v>
      </c>
      <c r="U526" s="24" t="e">
        <f>VLOOKUP(C526,#REF!,12,FALSE)</f>
        <v>#REF!</v>
      </c>
      <c r="V526" s="24" t="e">
        <f>VLOOKUP(C526,#REF!,13,FALSE)</f>
        <v>#REF!</v>
      </c>
    </row>
    <row r="527" spans="1:22" x14ac:dyDescent="0.25">
      <c r="A527" s="6" t="s">
        <v>1409</v>
      </c>
      <c r="B527" s="8">
        <v>9789500299046</v>
      </c>
      <c r="C527" s="21">
        <v>617594</v>
      </c>
      <c r="D527" s="7">
        <v>128</v>
      </c>
      <c r="E527" s="11" t="s">
        <v>210</v>
      </c>
      <c r="F527" s="11" t="s">
        <v>211</v>
      </c>
      <c r="G527" s="107">
        <v>42583</v>
      </c>
      <c r="H527" s="108">
        <v>42552</v>
      </c>
      <c r="I527" s="24">
        <v>3049</v>
      </c>
      <c r="J527" s="28" t="s">
        <v>1946</v>
      </c>
      <c r="K527" s="28">
        <v>16.86</v>
      </c>
      <c r="L527" s="112">
        <v>11900</v>
      </c>
      <c r="M527" s="112">
        <f>+L527*0.13</f>
        <v>1547</v>
      </c>
      <c r="N527" s="9">
        <f>+L527/2</f>
        <v>5950</v>
      </c>
      <c r="O527" s="9">
        <f>+N527-M527-K527</f>
        <v>4386.1400000000003</v>
      </c>
      <c r="P527" s="9">
        <f>+M527+K527</f>
        <v>1563.86</v>
      </c>
      <c r="Q527" s="139">
        <f>+O527/N527</f>
        <v>0.73716638655462186</v>
      </c>
      <c r="R527" s="395">
        <f>VLOOKUP(C527,'[1]ORIGINAL (2)'!$A:$C,3,FALSE)</f>
        <v>5</v>
      </c>
      <c r="S527" s="24" t="e">
        <f>VLOOKUP(C527,#REF!,6,FALSE)</f>
        <v>#REF!</v>
      </c>
      <c r="T527" s="24" t="e">
        <f>VLOOKUP(C527,#REF!,7,FALSE)</f>
        <v>#REF!</v>
      </c>
      <c r="U527" s="24" t="e">
        <f>VLOOKUP(C527,#REF!,12,FALSE)</f>
        <v>#REF!</v>
      </c>
      <c r="V527" s="24" t="e">
        <f>VLOOKUP(C527,#REF!,13,FALSE)</f>
        <v>#REF!</v>
      </c>
    </row>
    <row r="528" spans="1:22" x14ac:dyDescent="0.25">
      <c r="A528" s="2"/>
      <c r="B528" s="3"/>
      <c r="C528" s="3"/>
      <c r="D528" s="17"/>
      <c r="E528" s="2"/>
      <c r="F528" s="2"/>
      <c r="G528" s="2"/>
      <c r="H528" s="132"/>
      <c r="I528" s="132"/>
      <c r="J528" s="134"/>
      <c r="K528" s="132"/>
      <c r="L528" s="134"/>
      <c r="M528" s="132"/>
      <c r="N528" s="132"/>
      <c r="O528" s="132"/>
      <c r="P528" s="132"/>
      <c r="Q528" s="147"/>
      <c r="R528" s="395" t="e">
        <f>VLOOKUP(C528,'[1]ORIGINAL (2)'!$A:$C,3,FALSE)</f>
        <v>#N/A</v>
      </c>
      <c r="S528" s="100"/>
      <c r="T528" s="100"/>
      <c r="U528" s="100"/>
      <c r="V528" s="100"/>
    </row>
    <row r="529" spans="1:22" x14ac:dyDescent="0.25">
      <c r="A529" s="160" t="s">
        <v>663</v>
      </c>
      <c r="B529" s="168"/>
      <c r="C529" s="168"/>
      <c r="D529" s="179"/>
      <c r="E529" s="162"/>
      <c r="F529" s="162"/>
      <c r="G529" s="162"/>
      <c r="H529" s="132"/>
      <c r="I529" s="132"/>
      <c r="J529" s="134"/>
      <c r="K529" s="132"/>
      <c r="L529" s="134"/>
      <c r="M529" s="132"/>
      <c r="N529" s="132"/>
      <c r="O529" s="132"/>
      <c r="P529" s="132"/>
      <c r="Q529" s="147"/>
      <c r="R529" s="395" t="e">
        <f>VLOOKUP(C529,'[1]ORIGINAL (2)'!$A:$C,3,FALSE)</f>
        <v>#N/A</v>
      </c>
      <c r="S529" s="100"/>
      <c r="T529" s="100"/>
      <c r="U529" s="100"/>
      <c r="V529" s="100"/>
    </row>
    <row r="530" spans="1:22" x14ac:dyDescent="0.25">
      <c r="A530" s="6" t="s">
        <v>2309</v>
      </c>
      <c r="B530" s="153">
        <v>9789500217637</v>
      </c>
      <c r="C530" s="6">
        <v>744132</v>
      </c>
      <c r="D530" s="41">
        <v>176</v>
      </c>
      <c r="E530" s="6" t="s">
        <v>2310</v>
      </c>
      <c r="F530" s="7" t="s">
        <v>2311</v>
      </c>
      <c r="G530" s="107">
        <v>46143</v>
      </c>
      <c r="H530" s="108">
        <v>46113</v>
      </c>
      <c r="I530" s="267">
        <v>4087</v>
      </c>
      <c r="J530" s="7" t="s">
        <v>2329</v>
      </c>
      <c r="K530" s="148">
        <v>3375.97</v>
      </c>
      <c r="L530" s="9">
        <v>31900</v>
      </c>
      <c r="M530" s="112">
        <f>+L530*0.08</f>
        <v>2552</v>
      </c>
      <c r="N530" s="9">
        <f t="shared" ref="N530:N536" si="78">+L530/2</f>
        <v>15950</v>
      </c>
      <c r="O530" s="9">
        <f t="shared" ref="O530:O536" si="79">+N530-M530-K530</f>
        <v>10022.030000000001</v>
      </c>
      <c r="P530" s="9">
        <f t="shared" ref="P530:P536" si="80">+M530+K530</f>
        <v>5927.9699999999993</v>
      </c>
      <c r="Q530" s="139">
        <f t="shared" ref="Q530:Q536" si="81">+O530/N530</f>
        <v>0.62834043887147339</v>
      </c>
      <c r="R530" s="395">
        <f>VLOOKUP(C530,'[1]ORIGINAL (2)'!$A:$C,3,FALSE)</f>
        <v>369</v>
      </c>
      <c r="S530" s="24" t="e">
        <f>VLOOKUP(C530,#REF!,6,FALSE)</f>
        <v>#REF!</v>
      </c>
      <c r="T530" s="24" t="e">
        <f>VLOOKUP(C530,#REF!,7,FALSE)</f>
        <v>#REF!</v>
      </c>
      <c r="U530" s="24" t="e">
        <f>VLOOKUP(C530,#REF!,12,FALSE)</f>
        <v>#REF!</v>
      </c>
      <c r="V530" s="24" t="e">
        <f>VLOOKUP(C530,#REF!,13,FALSE)</f>
        <v>#REF!</v>
      </c>
    </row>
    <row r="531" spans="1:22" x14ac:dyDescent="0.25">
      <c r="A531" s="7" t="s">
        <v>1410</v>
      </c>
      <c r="B531" s="8">
        <v>9789500212793</v>
      </c>
      <c r="C531" s="8">
        <v>695681</v>
      </c>
      <c r="D531" s="25">
        <v>192</v>
      </c>
      <c r="E531" s="9" t="s">
        <v>698</v>
      </c>
      <c r="F531" s="7" t="s">
        <v>699</v>
      </c>
      <c r="G531" s="107">
        <v>44743</v>
      </c>
      <c r="H531" s="108">
        <v>44713</v>
      </c>
      <c r="I531" s="7">
        <v>4080</v>
      </c>
      <c r="J531" s="28" t="s">
        <v>1894</v>
      </c>
      <c r="K531" s="9">
        <v>673.89</v>
      </c>
      <c r="L531" s="112">
        <v>32800</v>
      </c>
      <c r="M531" s="112">
        <f>+L531*0.08</f>
        <v>2624</v>
      </c>
      <c r="N531" s="9">
        <f t="shared" si="78"/>
        <v>16400</v>
      </c>
      <c r="O531" s="9">
        <f t="shared" si="79"/>
        <v>13102.11</v>
      </c>
      <c r="P531" s="9">
        <f t="shared" si="80"/>
        <v>3297.89</v>
      </c>
      <c r="Q531" s="139">
        <f t="shared" si="81"/>
        <v>0.79890914634146348</v>
      </c>
      <c r="R531" s="395">
        <f>VLOOKUP(C531,'[1]ORIGINAL (2)'!$A:$C,3,FALSE)</f>
        <v>265</v>
      </c>
      <c r="S531" s="24" t="e">
        <f>VLOOKUP(C531,#REF!,6,FALSE)</f>
        <v>#REF!</v>
      </c>
      <c r="T531" s="24" t="e">
        <f>VLOOKUP(C531,#REF!,7,FALSE)</f>
        <v>#REF!</v>
      </c>
      <c r="U531" s="24" t="e">
        <f>VLOOKUP(C531,#REF!,12,FALSE)</f>
        <v>#REF!</v>
      </c>
      <c r="V531" s="24" t="e">
        <f>VLOOKUP(C531,#REF!,13,FALSE)</f>
        <v>#REF!</v>
      </c>
    </row>
    <row r="532" spans="1:22" x14ac:dyDescent="0.25">
      <c r="A532" s="7" t="s">
        <v>1411</v>
      </c>
      <c r="B532" s="8">
        <v>9789500205641</v>
      </c>
      <c r="C532" s="8">
        <v>535949</v>
      </c>
      <c r="D532" s="25">
        <v>144</v>
      </c>
      <c r="E532" s="7" t="s">
        <v>197</v>
      </c>
      <c r="F532" s="7" t="s">
        <v>198</v>
      </c>
      <c r="G532" s="107">
        <v>40756</v>
      </c>
      <c r="H532" s="108">
        <v>40725</v>
      </c>
      <c r="I532" s="24">
        <v>3027</v>
      </c>
      <c r="J532" s="28" t="s">
        <v>1894</v>
      </c>
      <c r="K532" s="28">
        <v>21.62</v>
      </c>
      <c r="L532" s="112">
        <v>16000</v>
      </c>
      <c r="M532" s="112"/>
      <c r="N532" s="9">
        <f t="shared" si="78"/>
        <v>8000</v>
      </c>
      <c r="O532" s="9">
        <f t="shared" si="79"/>
        <v>7978.38</v>
      </c>
      <c r="P532" s="9">
        <f t="shared" si="80"/>
        <v>21.62</v>
      </c>
      <c r="Q532" s="139">
        <f t="shared" si="81"/>
        <v>0.99729750000000006</v>
      </c>
      <c r="R532" s="395">
        <f>VLOOKUP(C532,'[1]ORIGINAL (2)'!$A:$C,3,FALSE)</f>
        <v>1</v>
      </c>
      <c r="S532" s="24" t="e">
        <f>VLOOKUP(C532,#REF!,6,FALSE)</f>
        <v>#REF!</v>
      </c>
      <c r="T532" s="24" t="e">
        <f>VLOOKUP(C532,#REF!,7,FALSE)</f>
        <v>#REF!</v>
      </c>
      <c r="U532" s="24" t="e">
        <f>VLOOKUP(C532,#REF!,12,FALSE)</f>
        <v>#REF!</v>
      </c>
      <c r="V532" s="24" t="e">
        <f>VLOOKUP(C532,#REF!,13,FALSE)</f>
        <v>#REF!</v>
      </c>
    </row>
    <row r="533" spans="1:22" x14ac:dyDescent="0.25">
      <c r="A533" s="7" t="s">
        <v>1412</v>
      </c>
      <c r="B533" s="8">
        <v>9789500205023</v>
      </c>
      <c r="C533" s="8">
        <v>508891</v>
      </c>
      <c r="D533" s="25">
        <v>160</v>
      </c>
      <c r="E533" s="9" t="s">
        <v>1413</v>
      </c>
      <c r="F533" s="7" t="s">
        <v>199</v>
      </c>
      <c r="G533" s="107">
        <v>40299</v>
      </c>
      <c r="H533" s="108">
        <v>40238</v>
      </c>
      <c r="I533" s="24">
        <v>3192</v>
      </c>
      <c r="J533" s="28" t="s">
        <v>1894</v>
      </c>
      <c r="K533" s="28">
        <v>18.41</v>
      </c>
      <c r="L533" s="112">
        <v>16000</v>
      </c>
      <c r="M533" s="112"/>
      <c r="N533" s="9">
        <f t="shared" si="78"/>
        <v>8000</v>
      </c>
      <c r="O533" s="9">
        <f t="shared" si="79"/>
        <v>7981.59</v>
      </c>
      <c r="P533" s="9">
        <f t="shared" si="80"/>
        <v>18.41</v>
      </c>
      <c r="Q533" s="139">
        <f t="shared" si="81"/>
        <v>0.99769874999999997</v>
      </c>
      <c r="R533" s="395">
        <f>VLOOKUP(C533,'[1]ORIGINAL (2)'!$A:$C,3,FALSE)</f>
        <v>6</v>
      </c>
      <c r="S533" s="24" t="e">
        <f>VLOOKUP(C533,#REF!,6,FALSE)</f>
        <v>#REF!</v>
      </c>
      <c r="T533" s="24" t="e">
        <f>VLOOKUP(C533,#REF!,7,FALSE)</f>
        <v>#REF!</v>
      </c>
      <c r="U533" s="24" t="e">
        <f>VLOOKUP(C533,#REF!,12,FALSE)</f>
        <v>#REF!</v>
      </c>
      <c r="V533" s="24" t="e">
        <f>VLOOKUP(C533,#REF!,13,FALSE)</f>
        <v>#REF!</v>
      </c>
    </row>
    <row r="534" spans="1:22" x14ac:dyDescent="0.25">
      <c r="A534" s="7" t="s">
        <v>1414</v>
      </c>
      <c r="B534" s="8">
        <v>9789500205030</v>
      </c>
      <c r="C534" s="8">
        <v>508890</v>
      </c>
      <c r="D534" s="25">
        <v>160</v>
      </c>
      <c r="E534" s="9" t="s">
        <v>1415</v>
      </c>
      <c r="F534" s="7" t="s">
        <v>1416</v>
      </c>
      <c r="G534" s="107">
        <v>40299</v>
      </c>
      <c r="H534" s="108">
        <v>40238</v>
      </c>
      <c r="I534" s="24">
        <v>3186</v>
      </c>
      <c r="J534" s="28" t="s">
        <v>1894</v>
      </c>
      <c r="K534" s="28">
        <v>18.329999999999998</v>
      </c>
      <c r="L534" s="112">
        <v>16000</v>
      </c>
      <c r="M534" s="112"/>
      <c r="N534" s="9">
        <f t="shared" si="78"/>
        <v>8000</v>
      </c>
      <c r="O534" s="9">
        <f t="shared" si="79"/>
        <v>7981.67</v>
      </c>
      <c r="P534" s="9">
        <f t="shared" si="80"/>
        <v>18.329999999999998</v>
      </c>
      <c r="Q534" s="139">
        <f t="shared" si="81"/>
        <v>0.99770875000000003</v>
      </c>
      <c r="R534" s="395">
        <f>VLOOKUP(C534,'[1]ORIGINAL (2)'!$A:$C,3,FALSE)</f>
        <v>7</v>
      </c>
      <c r="S534" s="24" t="e">
        <f>VLOOKUP(C534,#REF!,6,FALSE)</f>
        <v>#REF!</v>
      </c>
      <c r="T534" s="24" t="e">
        <f>VLOOKUP(C534,#REF!,7,FALSE)</f>
        <v>#REF!</v>
      </c>
      <c r="U534" s="24" t="e">
        <f>VLOOKUP(C534,#REF!,12,FALSE)</f>
        <v>#REF!</v>
      </c>
      <c r="V534" s="24" t="e">
        <f>VLOOKUP(C534,#REF!,13,FALSE)</f>
        <v>#REF!</v>
      </c>
    </row>
    <row r="535" spans="1:22" x14ac:dyDescent="0.25">
      <c r="A535" s="166" t="s">
        <v>1417</v>
      </c>
      <c r="B535" s="167">
        <v>9789500204668</v>
      </c>
      <c r="C535" s="167">
        <v>503493</v>
      </c>
      <c r="D535" s="183">
        <v>160</v>
      </c>
      <c r="E535" s="171" t="s">
        <v>200</v>
      </c>
      <c r="F535" s="166" t="s">
        <v>201</v>
      </c>
      <c r="G535" s="184">
        <v>40210</v>
      </c>
      <c r="H535" s="185">
        <v>40148</v>
      </c>
      <c r="I535" s="186">
        <v>3144</v>
      </c>
      <c r="J535" s="28" t="s">
        <v>1894</v>
      </c>
      <c r="K535" s="187">
        <v>18.7</v>
      </c>
      <c r="L535" s="188">
        <v>16000</v>
      </c>
      <c r="M535" s="188"/>
      <c r="N535" s="171">
        <f t="shared" si="78"/>
        <v>8000</v>
      </c>
      <c r="O535" s="171">
        <f t="shared" si="79"/>
        <v>7981.3</v>
      </c>
      <c r="P535" s="171">
        <f t="shared" si="80"/>
        <v>18.7</v>
      </c>
      <c r="Q535" s="189">
        <f t="shared" si="81"/>
        <v>0.99766250000000001</v>
      </c>
      <c r="R535" s="395">
        <f>VLOOKUP(C535,'[1]ORIGINAL (2)'!$A:$C,3,FALSE)</f>
        <v>1</v>
      </c>
      <c r="S535" s="24" t="e">
        <f>VLOOKUP(C535,#REF!,6,FALSE)</f>
        <v>#REF!</v>
      </c>
      <c r="T535" s="24" t="e">
        <f>VLOOKUP(C535,#REF!,7,FALSE)</f>
        <v>#REF!</v>
      </c>
      <c r="U535" s="24" t="e">
        <f>VLOOKUP(C535,#REF!,12,FALSE)</f>
        <v>#REF!</v>
      </c>
      <c r="V535" s="24" t="e">
        <f>VLOOKUP(C535,#REF!,13,FALSE)</f>
        <v>#REF!</v>
      </c>
    </row>
    <row r="536" spans="1:22" x14ac:dyDescent="0.25">
      <c r="A536" s="7" t="s">
        <v>1418</v>
      </c>
      <c r="B536" s="8">
        <v>9789500202503</v>
      </c>
      <c r="C536" s="8">
        <v>499544</v>
      </c>
      <c r="D536" s="25">
        <v>160</v>
      </c>
      <c r="E536" s="9" t="s">
        <v>202</v>
      </c>
      <c r="F536" s="7" t="s">
        <v>203</v>
      </c>
      <c r="G536" s="107">
        <v>40087</v>
      </c>
      <c r="H536" s="108">
        <v>40057</v>
      </c>
      <c r="I536" s="24">
        <v>3060</v>
      </c>
      <c r="J536" s="28" t="s">
        <v>1894</v>
      </c>
      <c r="K536" s="28">
        <v>17.420000000000002</v>
      </c>
      <c r="L536" s="9">
        <v>16000</v>
      </c>
      <c r="M536" s="9"/>
      <c r="N536" s="9">
        <f t="shared" si="78"/>
        <v>8000</v>
      </c>
      <c r="O536" s="9">
        <f t="shared" si="79"/>
        <v>7982.58</v>
      </c>
      <c r="P536" s="9">
        <f t="shared" si="80"/>
        <v>17.420000000000002</v>
      </c>
      <c r="Q536" s="139">
        <f t="shared" si="81"/>
        <v>0.99782249999999995</v>
      </c>
      <c r="R536" s="395" t="e">
        <f>VLOOKUP(C536,'[1]ORIGINAL (2)'!$A:$C,3,FALSE)</f>
        <v>#N/A</v>
      </c>
      <c r="S536" s="24" t="e">
        <f>VLOOKUP(C536,#REF!,6,FALSE)</f>
        <v>#REF!</v>
      </c>
      <c r="T536" s="24" t="e">
        <f>VLOOKUP(C536,#REF!,7,FALSE)</f>
        <v>#REF!</v>
      </c>
      <c r="U536" s="24" t="e">
        <f>VLOOKUP(C536,#REF!,12,FALSE)</f>
        <v>#REF!</v>
      </c>
      <c r="V536" s="24" t="e">
        <f>VLOOKUP(C536,#REF!,13,FALSE)</f>
        <v>#REF!</v>
      </c>
    </row>
    <row r="537" spans="1:22" x14ac:dyDescent="0.25">
      <c r="A537" s="2"/>
      <c r="B537" s="3"/>
      <c r="C537" s="3"/>
      <c r="D537" s="17"/>
      <c r="E537" s="18"/>
      <c r="F537" s="2"/>
      <c r="G537" s="330"/>
      <c r="H537" s="331"/>
      <c r="I537" s="332"/>
      <c r="J537" s="134"/>
      <c r="K537" s="114"/>
      <c r="L537" s="18"/>
      <c r="M537" s="18"/>
      <c r="N537" s="18"/>
      <c r="O537" s="18"/>
      <c r="P537" s="18"/>
      <c r="Q537" s="191"/>
      <c r="R537" s="395" t="e">
        <f>VLOOKUP(C537,'[1]ORIGINAL (2)'!$A:$C,3,FALSE)</f>
        <v>#N/A</v>
      </c>
      <c r="S537" s="100"/>
      <c r="T537" s="100"/>
      <c r="U537" s="100"/>
      <c r="V537" s="100"/>
    </row>
    <row r="538" spans="1:22" x14ac:dyDescent="0.25">
      <c r="A538" s="192" t="s">
        <v>841</v>
      </c>
      <c r="B538" s="193"/>
      <c r="C538" s="193"/>
      <c r="D538" s="194"/>
      <c r="E538" s="132"/>
      <c r="F538" s="132"/>
      <c r="G538" s="132"/>
      <c r="H538" s="132"/>
      <c r="I538" s="132"/>
      <c r="J538" s="134"/>
      <c r="K538" s="132"/>
      <c r="L538" s="18"/>
      <c r="M538" s="132"/>
      <c r="N538" s="132"/>
      <c r="O538" s="132"/>
      <c r="P538" s="132"/>
      <c r="Q538" s="147"/>
      <c r="R538" s="395" t="e">
        <f>VLOOKUP(C538,'[1]ORIGINAL (2)'!$A:$C,3,FALSE)</f>
        <v>#N/A</v>
      </c>
      <c r="S538" s="100"/>
      <c r="T538" s="100"/>
      <c r="U538" s="100"/>
      <c r="V538" s="100"/>
    </row>
    <row r="539" spans="1:22" x14ac:dyDescent="0.25">
      <c r="A539" s="6" t="s">
        <v>1419</v>
      </c>
      <c r="B539" s="8">
        <v>9789500214520</v>
      </c>
      <c r="C539" s="6">
        <v>711849</v>
      </c>
      <c r="D539" s="41">
        <v>256</v>
      </c>
      <c r="E539" s="7" t="s">
        <v>869</v>
      </c>
      <c r="F539" s="7" t="s">
        <v>865</v>
      </c>
      <c r="G539" s="107">
        <v>45261</v>
      </c>
      <c r="H539" s="108">
        <v>45231</v>
      </c>
      <c r="I539" s="7">
        <v>3104</v>
      </c>
      <c r="J539" s="28" t="s">
        <v>2136</v>
      </c>
      <c r="K539" s="9">
        <v>994.9</v>
      </c>
      <c r="L539" s="9">
        <v>19300</v>
      </c>
      <c r="M539" s="112">
        <f>+L539*0.08</f>
        <v>1544</v>
      </c>
      <c r="N539" s="9">
        <f>+L539/2</f>
        <v>9650</v>
      </c>
      <c r="O539" s="9">
        <f>+N539-M539-K539</f>
        <v>7111.1</v>
      </c>
      <c r="P539" s="9">
        <f>+M539+K539</f>
        <v>2538.9</v>
      </c>
      <c r="Q539" s="139">
        <f>+O539/N539</f>
        <v>0.73690155440414506</v>
      </c>
      <c r="R539" s="395">
        <f>VLOOKUP(C539,'[1]ORIGINAL (2)'!$A:$C,3,FALSE)</f>
        <v>95</v>
      </c>
      <c r="S539" s="24" t="e">
        <f>VLOOKUP(C539,#REF!,6,FALSE)</f>
        <v>#REF!</v>
      </c>
      <c r="T539" s="24" t="e">
        <f>VLOOKUP(C539,#REF!,7,FALSE)</f>
        <v>#REF!</v>
      </c>
      <c r="U539" s="24" t="e">
        <f>VLOOKUP(C539,#REF!,12,FALSE)</f>
        <v>#REF!</v>
      </c>
      <c r="V539" s="24" t="e">
        <f>VLOOKUP(C539,#REF!,13,FALSE)</f>
        <v>#REF!</v>
      </c>
    </row>
    <row r="540" spans="1:22" x14ac:dyDescent="0.25">
      <c r="A540" s="2"/>
      <c r="B540" s="3"/>
      <c r="C540" s="3"/>
      <c r="D540" s="17"/>
      <c r="E540" s="18"/>
      <c r="F540" s="2"/>
      <c r="G540" s="330"/>
      <c r="H540" s="331"/>
      <c r="I540" s="332"/>
      <c r="J540" s="134"/>
      <c r="K540" s="114"/>
      <c r="L540" s="18"/>
      <c r="M540" s="18"/>
      <c r="N540" s="18"/>
      <c r="O540" s="18"/>
      <c r="P540" s="18"/>
      <c r="Q540" s="191"/>
      <c r="R540" s="395" t="e">
        <f>VLOOKUP(C540,'[1]ORIGINAL (2)'!$A:$C,3,FALSE)</f>
        <v>#N/A</v>
      </c>
      <c r="S540" s="100"/>
      <c r="T540" s="100"/>
      <c r="U540" s="100"/>
      <c r="V540" s="100"/>
    </row>
    <row r="541" spans="1:22" x14ac:dyDescent="0.25">
      <c r="A541" s="192" t="s">
        <v>1420</v>
      </c>
      <c r="B541" s="193"/>
      <c r="C541" s="193"/>
      <c r="D541" s="194"/>
      <c r="E541" s="132"/>
      <c r="F541" s="132"/>
      <c r="G541" s="132"/>
      <c r="H541" s="132"/>
      <c r="I541" s="132"/>
      <c r="J541" s="134"/>
      <c r="K541" s="132"/>
      <c r="L541" s="18"/>
      <c r="M541" s="132"/>
      <c r="N541" s="132"/>
      <c r="O541" s="132"/>
      <c r="P541" s="132"/>
      <c r="Q541" s="147"/>
      <c r="R541" s="395" t="e">
        <f>VLOOKUP(C541,'[1]ORIGINAL (2)'!$A:$C,3,FALSE)</f>
        <v>#N/A</v>
      </c>
      <c r="S541" s="100"/>
      <c r="T541" s="100"/>
      <c r="U541" s="100"/>
      <c r="V541" s="100"/>
    </row>
    <row r="542" spans="1:22" x14ac:dyDescent="0.25">
      <c r="A542" s="6" t="s">
        <v>2302</v>
      </c>
      <c r="B542" s="344" t="s">
        <v>2303</v>
      </c>
      <c r="C542" s="6">
        <v>743071</v>
      </c>
      <c r="D542" s="41">
        <v>431</v>
      </c>
      <c r="E542" s="7" t="s">
        <v>328</v>
      </c>
      <c r="F542" s="7" t="s">
        <v>2304</v>
      </c>
      <c r="G542" s="107">
        <v>46143</v>
      </c>
      <c r="H542" s="108">
        <v>46023</v>
      </c>
      <c r="I542" s="267">
        <v>3000</v>
      </c>
      <c r="J542" s="7" t="s">
        <v>2329</v>
      </c>
      <c r="K542" s="9">
        <v>5848.54</v>
      </c>
      <c r="L542" s="352" t="s">
        <v>2331</v>
      </c>
      <c r="M542" s="112"/>
      <c r="N542" s="9" t="e">
        <f>+L542/2</f>
        <v>#VALUE!</v>
      </c>
      <c r="O542" s="9" t="e">
        <f>+N542-M542-K542</f>
        <v>#VALUE!</v>
      </c>
      <c r="P542" s="9">
        <f>+M542+K542</f>
        <v>5848.54</v>
      </c>
      <c r="Q542" s="139" t="e">
        <f>+O542/N542</f>
        <v>#VALUE!</v>
      </c>
      <c r="R542" s="395">
        <f>VLOOKUP(C542,'[1]ORIGINAL (2)'!$A:$C,3,FALSE)</f>
        <v>236</v>
      </c>
      <c r="S542" s="24" t="e">
        <f>VLOOKUP(C542,#REF!,6,FALSE)</f>
        <v>#REF!</v>
      </c>
      <c r="T542" s="24" t="e">
        <f>VLOOKUP(C542,#REF!,7,FALSE)</f>
        <v>#REF!</v>
      </c>
      <c r="U542" s="24" t="e">
        <f>VLOOKUP(C542,#REF!,12,FALSE)</f>
        <v>#REF!</v>
      </c>
      <c r="V542" s="24" t="e">
        <f>VLOOKUP(C542,#REF!,13,FALSE)</f>
        <v>#REF!</v>
      </c>
    </row>
    <row r="543" spans="1:22" x14ac:dyDescent="0.25">
      <c r="A543" s="6" t="s">
        <v>1421</v>
      </c>
      <c r="B543" s="8">
        <v>2900507113952</v>
      </c>
      <c r="C543" s="6">
        <v>711395</v>
      </c>
      <c r="D543" s="41">
        <v>12</v>
      </c>
      <c r="E543" s="7" t="s">
        <v>328</v>
      </c>
      <c r="F543" s="7" t="s">
        <v>862</v>
      </c>
      <c r="G543" s="107">
        <v>45261</v>
      </c>
      <c r="H543" s="108">
        <v>45231</v>
      </c>
      <c r="I543" s="7">
        <v>2500</v>
      </c>
      <c r="J543" s="28" t="s">
        <v>1762</v>
      </c>
      <c r="K543" s="9">
        <v>909.4</v>
      </c>
      <c r="L543" s="9">
        <v>7150.0000000000009</v>
      </c>
      <c r="M543" s="112"/>
      <c r="N543" s="9">
        <f>+L543/2</f>
        <v>3575.0000000000005</v>
      </c>
      <c r="O543" s="9">
        <f>+N543-M543-K543</f>
        <v>2665.6000000000004</v>
      </c>
      <c r="P543" s="9">
        <f>+M543+K543</f>
        <v>909.4</v>
      </c>
      <c r="Q543" s="139">
        <f>+O543/N543</f>
        <v>0.7456223776223776</v>
      </c>
      <c r="R543" s="395">
        <f>VLOOKUP(C543,'[1]ORIGINAL (2)'!$A:$C,3,FALSE)</f>
        <v>137</v>
      </c>
      <c r="S543" s="24" t="e">
        <f>VLOOKUP(C543,#REF!,6,FALSE)</f>
        <v>#REF!</v>
      </c>
      <c r="T543" s="24" t="e">
        <f>VLOOKUP(C543,#REF!,7,FALSE)</f>
        <v>#REF!</v>
      </c>
      <c r="U543" s="24" t="e">
        <f>VLOOKUP(C543,#REF!,12,FALSE)</f>
        <v>#REF!</v>
      </c>
      <c r="V543" s="24" t="e">
        <f>VLOOKUP(C543,#REF!,13,FALSE)</f>
        <v>#REF!</v>
      </c>
    </row>
    <row r="544" spans="1:22" x14ac:dyDescent="0.25">
      <c r="A544" s="7" t="s">
        <v>1423</v>
      </c>
      <c r="B544" s="8">
        <v>9789500214001</v>
      </c>
      <c r="C544" s="8">
        <v>709133</v>
      </c>
      <c r="D544" s="25">
        <v>176</v>
      </c>
      <c r="E544" s="7" t="s">
        <v>734</v>
      </c>
      <c r="F544" s="7" t="s">
        <v>816</v>
      </c>
      <c r="G544" s="107">
        <v>45170</v>
      </c>
      <c r="H544" s="108">
        <v>45139</v>
      </c>
      <c r="I544" s="7">
        <v>2992</v>
      </c>
      <c r="J544" s="28" t="s">
        <v>1894</v>
      </c>
      <c r="K544" s="117">
        <v>1818.06</v>
      </c>
      <c r="L544" s="9">
        <v>10450</v>
      </c>
      <c r="M544" s="112"/>
      <c r="N544" s="9">
        <f>+L544/2</f>
        <v>5225</v>
      </c>
      <c r="O544" s="9">
        <f>+N544-M544-K544</f>
        <v>3406.94</v>
      </c>
      <c r="P544" s="9">
        <f>+M544+K544</f>
        <v>1818.06</v>
      </c>
      <c r="Q544" s="139">
        <f>+O544/N544</f>
        <v>0.6520459330143541</v>
      </c>
      <c r="R544" s="395" t="e">
        <f>VLOOKUP(C544,'[1]ORIGINAL (2)'!$A:$C,3,FALSE)</f>
        <v>#N/A</v>
      </c>
      <c r="S544" s="24" t="e">
        <f>VLOOKUP(C544,#REF!,6,FALSE)</f>
        <v>#REF!</v>
      </c>
      <c r="T544" s="24" t="e">
        <f>VLOOKUP(C544,#REF!,7,FALSE)</f>
        <v>#REF!</v>
      </c>
      <c r="U544" s="24" t="e">
        <f>VLOOKUP(C544,#REF!,12,FALSE)</f>
        <v>#REF!</v>
      </c>
      <c r="V544" s="24" t="e">
        <f>VLOOKUP(C544,#REF!,13,FALSE)</f>
        <v>#REF!</v>
      </c>
    </row>
    <row r="545" spans="1:22" x14ac:dyDescent="0.25">
      <c r="A545" s="6" t="s">
        <v>1424</v>
      </c>
      <c r="B545" s="8">
        <v>9789500214018</v>
      </c>
      <c r="C545" s="8">
        <v>709325</v>
      </c>
      <c r="D545" s="41">
        <v>176</v>
      </c>
      <c r="E545" s="7" t="s">
        <v>466</v>
      </c>
      <c r="F545" s="6" t="s">
        <v>815</v>
      </c>
      <c r="G545" s="107">
        <v>45170</v>
      </c>
      <c r="H545" s="108">
        <v>45139</v>
      </c>
      <c r="I545" s="7">
        <v>3001</v>
      </c>
      <c r="J545" s="28" t="s">
        <v>1894</v>
      </c>
      <c r="K545" s="117">
        <v>1662.02</v>
      </c>
      <c r="L545" s="112">
        <v>10230</v>
      </c>
      <c r="M545" s="112"/>
      <c r="N545" s="9">
        <f>+L545/2</f>
        <v>5115</v>
      </c>
      <c r="O545" s="9">
        <f>+N545-M545-K545</f>
        <v>3452.98</v>
      </c>
      <c r="P545" s="9">
        <f>+M545+K545</f>
        <v>1662.02</v>
      </c>
      <c r="Q545" s="139">
        <f>+O545/N545</f>
        <v>0.67506940371456503</v>
      </c>
      <c r="R545" s="395" t="e">
        <f>VLOOKUP(C545,'[1]ORIGINAL (2)'!$A:$C,3,FALSE)</f>
        <v>#N/A</v>
      </c>
      <c r="S545" s="24" t="e">
        <f>VLOOKUP(C545,#REF!,6,FALSE)</f>
        <v>#REF!</v>
      </c>
      <c r="T545" s="24" t="e">
        <f>VLOOKUP(C545,#REF!,7,FALSE)</f>
        <v>#REF!</v>
      </c>
      <c r="U545" s="24" t="e">
        <f>VLOOKUP(C545,#REF!,12,FALSE)</f>
        <v>#REF!</v>
      </c>
      <c r="V545" s="24" t="e">
        <f>VLOOKUP(C545,#REF!,13,FALSE)</f>
        <v>#REF!</v>
      </c>
    </row>
    <row r="546" spans="1:22" x14ac:dyDescent="0.25">
      <c r="A546" s="6" t="s">
        <v>1425</v>
      </c>
      <c r="B546" s="8">
        <v>9789500212939</v>
      </c>
      <c r="C546" s="6">
        <v>697476</v>
      </c>
      <c r="D546" s="41">
        <v>176</v>
      </c>
      <c r="E546" s="7" t="s">
        <v>569</v>
      </c>
      <c r="F546" s="7" t="s">
        <v>1426</v>
      </c>
      <c r="G546" s="107">
        <v>44805</v>
      </c>
      <c r="H546" s="108">
        <v>44774</v>
      </c>
      <c r="I546" s="7">
        <v>3000</v>
      </c>
      <c r="J546" s="28" t="s">
        <v>1894</v>
      </c>
      <c r="K546" s="117">
        <v>920.93</v>
      </c>
      <c r="L546" s="9">
        <v>7040.0000000000009</v>
      </c>
      <c r="M546" s="112"/>
      <c r="N546" s="9">
        <f>+L546/2</f>
        <v>3520.0000000000005</v>
      </c>
      <c r="O546" s="9">
        <f>+N546-M546-K546</f>
        <v>2599.0700000000006</v>
      </c>
      <c r="P546" s="9">
        <f>+M546+K546</f>
        <v>920.93</v>
      </c>
      <c r="Q546" s="139">
        <f>+O546/N546</f>
        <v>0.73837215909090914</v>
      </c>
      <c r="R546" s="395" t="e">
        <f>VLOOKUP(C546,'[1]ORIGINAL (2)'!$A:$C,3,FALSE)</f>
        <v>#N/A</v>
      </c>
      <c r="S546" s="24" t="e">
        <f>VLOOKUP(C546,#REF!,6,FALSE)</f>
        <v>#REF!</v>
      </c>
      <c r="T546" s="24" t="e">
        <f>VLOOKUP(C546,#REF!,7,FALSE)</f>
        <v>#REF!</v>
      </c>
      <c r="U546" s="24" t="e">
        <f>VLOOKUP(C546,#REF!,12,FALSE)</f>
        <v>#REF!</v>
      </c>
      <c r="V546" s="24" t="e">
        <f>VLOOKUP(C546,#REF!,13,FALSE)</f>
        <v>#REF!</v>
      </c>
    </row>
    <row r="547" spans="1:22" ht="15.75" thickBot="1" x14ac:dyDescent="0.3">
      <c r="A547" s="132"/>
      <c r="B547" s="133"/>
      <c r="C547" s="133"/>
      <c r="D547" s="132"/>
      <c r="E547" s="382"/>
      <c r="F547" s="132"/>
      <c r="G547" s="132"/>
      <c r="H547" s="132"/>
      <c r="I547" s="132"/>
      <c r="J547" s="134"/>
      <c r="K547" s="18"/>
      <c r="L547" s="18"/>
      <c r="M547" s="132"/>
      <c r="N547" s="18"/>
      <c r="O547" s="134"/>
      <c r="P547" s="18"/>
      <c r="Q547" s="132"/>
      <c r="R547" s="395" t="e">
        <f>VLOOKUP(C547,'[1]ORIGINAL (2)'!$A:$C,3,FALSE)</f>
        <v>#N/A</v>
      </c>
      <c r="S547" s="100"/>
      <c r="T547" s="100"/>
      <c r="U547" s="100"/>
      <c r="V547" s="100"/>
    </row>
    <row r="548" spans="1:22" x14ac:dyDescent="0.25">
      <c r="A548" s="132"/>
      <c r="B548" s="133"/>
      <c r="C548" s="133"/>
      <c r="D548" s="154"/>
      <c r="E548" s="155" t="s">
        <v>614</v>
      </c>
      <c r="F548" s="156"/>
      <c r="G548" s="132"/>
      <c r="H548" s="132"/>
      <c r="I548" s="132"/>
      <c r="J548" s="134"/>
      <c r="K548" s="132"/>
      <c r="L548" s="18"/>
      <c r="M548" s="132"/>
      <c r="N548" s="132"/>
      <c r="O548" s="132"/>
      <c r="P548" s="132"/>
      <c r="Q548" s="147"/>
      <c r="R548" s="395" t="e">
        <f>VLOOKUP(C548,'[1]ORIGINAL (2)'!$A:$C,3,FALSE)</f>
        <v>#N/A</v>
      </c>
      <c r="S548" s="100"/>
      <c r="T548" s="100"/>
      <c r="U548" s="100"/>
      <c r="V548" s="100"/>
    </row>
    <row r="549" spans="1:22" x14ac:dyDescent="0.25">
      <c r="A549" s="7" t="s">
        <v>1427</v>
      </c>
      <c r="B549" s="8">
        <v>9789500207515</v>
      </c>
      <c r="C549" s="21">
        <v>568565</v>
      </c>
      <c r="D549" s="25">
        <v>304</v>
      </c>
      <c r="E549" s="22" t="s">
        <v>231</v>
      </c>
      <c r="F549" s="6" t="s">
        <v>232</v>
      </c>
      <c r="G549" s="107">
        <v>41518</v>
      </c>
      <c r="H549" s="108">
        <v>41487</v>
      </c>
      <c r="I549" s="24">
        <v>3062</v>
      </c>
      <c r="J549" s="28" t="s">
        <v>1894</v>
      </c>
      <c r="K549" s="28">
        <v>15.25</v>
      </c>
      <c r="L549" s="128">
        <v>15000</v>
      </c>
      <c r="M549" s="112">
        <f>+L549*0.1</f>
        <v>1500</v>
      </c>
      <c r="N549" s="9">
        <f>+L549/2</f>
        <v>7500</v>
      </c>
      <c r="O549" s="9">
        <f>+N549-M549-K549</f>
        <v>5984.75</v>
      </c>
      <c r="P549" s="9">
        <f>+M549+K549</f>
        <v>1515.25</v>
      </c>
      <c r="Q549" s="139">
        <f>+O549/N549</f>
        <v>0.79796666666666671</v>
      </c>
      <c r="R549" s="395" t="e">
        <f>VLOOKUP(C549,'[1]ORIGINAL (2)'!$A:$C,3,FALSE)</f>
        <v>#N/A</v>
      </c>
      <c r="S549" s="24" t="e">
        <f>VLOOKUP(C549,#REF!,6,FALSE)</f>
        <v>#REF!</v>
      </c>
      <c r="T549" s="24" t="e">
        <f>VLOOKUP(C549,#REF!,7,FALSE)</f>
        <v>#REF!</v>
      </c>
      <c r="U549" s="24" t="e">
        <f>VLOOKUP(C549,#REF!,12,FALSE)</f>
        <v>#REF!</v>
      </c>
      <c r="V549" s="24" t="e">
        <f>VLOOKUP(C549,#REF!,13,FALSE)</f>
        <v>#REF!</v>
      </c>
    </row>
    <row r="550" spans="1:22" x14ac:dyDescent="0.25">
      <c r="A550" s="132"/>
      <c r="B550" s="133"/>
      <c r="C550" s="133"/>
      <c r="D550" s="154"/>
      <c r="E550" s="132"/>
      <c r="F550" s="132"/>
      <c r="G550" s="132"/>
      <c r="H550" s="132"/>
      <c r="I550" s="132"/>
      <c r="J550" s="134"/>
      <c r="K550" s="132"/>
      <c r="L550" s="134"/>
      <c r="M550" s="132"/>
      <c r="N550" s="132"/>
      <c r="O550" s="132"/>
      <c r="P550" s="132"/>
      <c r="Q550" s="147"/>
      <c r="R550" s="395" t="e">
        <f>VLOOKUP(C550,'[1]ORIGINAL (2)'!$A:$C,3,FALSE)</f>
        <v>#N/A</v>
      </c>
      <c r="S550" s="100"/>
      <c r="T550" s="100"/>
      <c r="U550" s="100"/>
      <c r="V550" s="100"/>
    </row>
    <row r="551" spans="1:22" ht="15.75" thickBot="1" x14ac:dyDescent="0.3">
      <c r="A551" s="132"/>
      <c r="B551" s="133"/>
      <c r="C551" s="133"/>
      <c r="D551" s="154"/>
      <c r="E551" s="132"/>
      <c r="F551" s="132"/>
      <c r="G551" s="132"/>
      <c r="H551" s="132"/>
      <c r="I551" s="132"/>
      <c r="J551" s="134"/>
      <c r="K551" s="132"/>
      <c r="L551" s="134"/>
      <c r="M551" s="132"/>
      <c r="N551" s="132"/>
      <c r="O551" s="132"/>
      <c r="P551" s="132"/>
      <c r="Q551" s="147"/>
      <c r="R551" s="395" t="e">
        <f>VLOOKUP(C551,'[1]ORIGINAL (2)'!$A:$C,3,FALSE)</f>
        <v>#N/A</v>
      </c>
      <c r="S551" s="100"/>
      <c r="T551" s="100"/>
      <c r="U551" s="100"/>
      <c r="V551" s="100"/>
    </row>
    <row r="552" spans="1:22" ht="15.75" thickBot="1" x14ac:dyDescent="0.3">
      <c r="A552" s="132"/>
      <c r="B552" s="133"/>
      <c r="C552" s="133"/>
      <c r="D552" s="154"/>
      <c r="E552" s="195" t="s">
        <v>592</v>
      </c>
      <c r="F552" s="196"/>
      <c r="G552" s="132"/>
      <c r="H552" s="132"/>
      <c r="I552" s="132"/>
      <c r="J552" s="134"/>
      <c r="K552" s="132"/>
      <c r="L552" s="134"/>
      <c r="M552" s="132"/>
      <c r="N552" s="132"/>
      <c r="O552" s="132"/>
      <c r="P552" s="132"/>
      <c r="Q552" s="147"/>
      <c r="R552" s="395" t="e">
        <f>VLOOKUP(C552,'[1]ORIGINAL (2)'!$A:$C,3,FALSE)</f>
        <v>#N/A</v>
      </c>
      <c r="S552" s="100"/>
      <c r="T552" s="100"/>
      <c r="U552" s="100"/>
      <c r="V552" s="100"/>
    </row>
    <row r="553" spans="1:22" ht="15.75" x14ac:dyDescent="0.3">
      <c r="A553" s="276" t="s">
        <v>1428</v>
      </c>
      <c r="B553" s="133"/>
      <c r="C553" s="133"/>
      <c r="D553" s="154"/>
      <c r="E553" s="197"/>
      <c r="F553" s="132"/>
      <c r="G553" s="132"/>
      <c r="H553" s="132"/>
      <c r="I553" s="132"/>
      <c r="J553" s="134"/>
      <c r="K553" s="132"/>
      <c r="L553" s="2"/>
      <c r="M553" s="132"/>
      <c r="N553" s="132"/>
      <c r="O553" s="132"/>
      <c r="P553" s="132"/>
      <c r="Q553" s="147"/>
      <c r="R553" s="395" t="e">
        <f>VLOOKUP(C553,'[1]ORIGINAL (2)'!$A:$C,3,FALSE)</f>
        <v>#N/A</v>
      </c>
      <c r="S553" s="100"/>
      <c r="T553" s="100"/>
      <c r="U553" s="100"/>
      <c r="V553" s="100"/>
    </row>
    <row r="554" spans="1:22" x14ac:dyDescent="0.25">
      <c r="A554" s="6" t="s">
        <v>2379</v>
      </c>
      <c r="B554" s="153">
        <v>9789500217026</v>
      </c>
      <c r="C554" s="363">
        <v>747646</v>
      </c>
      <c r="D554" s="41">
        <v>16</v>
      </c>
      <c r="E554" s="8" t="s">
        <v>2373</v>
      </c>
      <c r="F554" s="7" t="s">
        <v>2380</v>
      </c>
      <c r="G554" s="107">
        <v>46204</v>
      </c>
      <c r="H554" s="108">
        <v>46174</v>
      </c>
      <c r="I554" s="116">
        <v>4000</v>
      </c>
      <c r="J554" s="315" t="s">
        <v>1867</v>
      </c>
      <c r="K554" s="292">
        <v>3120.86</v>
      </c>
      <c r="L554" s="9">
        <v>16500</v>
      </c>
      <c r="M554" s="9"/>
      <c r="N554" s="9">
        <f t="shared" ref="N554:N578" si="82">+L554/2</f>
        <v>8250</v>
      </c>
      <c r="O554" s="9">
        <f t="shared" ref="O554:O578" si="83">+N554-M554-K554</f>
        <v>5129.1399999999994</v>
      </c>
      <c r="P554" s="9">
        <f t="shared" ref="P554:P578" si="84">+M554+K554</f>
        <v>3120.86</v>
      </c>
      <c r="Q554" s="139">
        <f t="shared" ref="Q554:Q578" si="85">+O554/N554</f>
        <v>0.62171393939393937</v>
      </c>
      <c r="R554" s="395">
        <f>VLOOKUP(C554,'[1]ORIGINAL (2)'!$A:$C,3,FALSE)</f>
        <v>1693</v>
      </c>
      <c r="S554" s="24" t="e">
        <f>VLOOKUP(C554,#REF!,6,FALSE)</f>
        <v>#REF!</v>
      </c>
      <c r="T554" s="24" t="e">
        <f>VLOOKUP(C554,#REF!,7,FALSE)</f>
        <v>#REF!</v>
      </c>
      <c r="U554" s="24" t="e">
        <f>VLOOKUP(C554,#REF!,12,FALSE)</f>
        <v>#REF!</v>
      </c>
      <c r="V554" s="24" t="e">
        <f>VLOOKUP(C554,#REF!,13,FALSE)</f>
        <v>#REF!</v>
      </c>
    </row>
    <row r="555" spans="1:22" x14ac:dyDescent="0.25">
      <c r="A555" s="6" t="s">
        <v>2381</v>
      </c>
      <c r="B555" s="153">
        <v>9789500217033</v>
      </c>
      <c r="C555" s="363">
        <v>747647</v>
      </c>
      <c r="D555" s="41">
        <v>16</v>
      </c>
      <c r="E555" s="8" t="s">
        <v>2373</v>
      </c>
      <c r="F555" s="6" t="s">
        <v>2382</v>
      </c>
      <c r="G555" s="107">
        <v>46204</v>
      </c>
      <c r="H555" s="108">
        <v>46174</v>
      </c>
      <c r="I555" s="116">
        <v>4000</v>
      </c>
      <c r="J555" s="315" t="s">
        <v>1867</v>
      </c>
      <c r="K555" s="292">
        <v>3120.86</v>
      </c>
      <c r="L555" s="9">
        <v>16500</v>
      </c>
      <c r="M555" s="9"/>
      <c r="N555" s="9">
        <f t="shared" si="82"/>
        <v>8250</v>
      </c>
      <c r="O555" s="9">
        <f t="shared" si="83"/>
        <v>5129.1399999999994</v>
      </c>
      <c r="P555" s="9">
        <f t="shared" si="84"/>
        <v>3120.86</v>
      </c>
      <c r="Q555" s="139">
        <f t="shared" si="85"/>
        <v>0.62171393939393937</v>
      </c>
      <c r="R555" s="395">
        <f>VLOOKUP(C555,'[1]ORIGINAL (2)'!$A:$C,3,FALSE)</f>
        <v>2092</v>
      </c>
      <c r="S555" s="24" t="e">
        <f>VLOOKUP(C555,#REF!,6,FALSE)</f>
        <v>#REF!</v>
      </c>
      <c r="T555" s="24" t="e">
        <f>VLOOKUP(C555,#REF!,7,FALSE)</f>
        <v>#REF!</v>
      </c>
      <c r="U555" s="24" t="e">
        <f>VLOOKUP(C555,#REF!,12,FALSE)</f>
        <v>#REF!</v>
      </c>
      <c r="V555" s="24" t="e">
        <f>VLOOKUP(C555,#REF!,13,FALSE)</f>
        <v>#REF!</v>
      </c>
    </row>
    <row r="556" spans="1:22" x14ac:dyDescent="0.25">
      <c r="A556" s="6" t="s">
        <v>2157</v>
      </c>
      <c r="B556" s="153">
        <v>9789500216227</v>
      </c>
      <c r="C556" s="6">
        <v>735114</v>
      </c>
      <c r="D556" s="41">
        <v>44</v>
      </c>
      <c r="E556" s="6" t="s">
        <v>2158</v>
      </c>
      <c r="F556" s="6" t="s">
        <v>2161</v>
      </c>
      <c r="G556" s="107">
        <v>45931</v>
      </c>
      <c r="H556" s="108">
        <v>45901</v>
      </c>
      <c r="I556" s="7">
        <v>3090</v>
      </c>
      <c r="J556" s="176" t="s">
        <v>2160</v>
      </c>
      <c r="K556" s="292">
        <v>4227.43</v>
      </c>
      <c r="L556" s="9">
        <v>19900</v>
      </c>
      <c r="M556" s="9"/>
      <c r="N556" s="9">
        <f t="shared" si="82"/>
        <v>9950</v>
      </c>
      <c r="O556" s="9">
        <f t="shared" si="83"/>
        <v>5722.57</v>
      </c>
      <c r="P556" s="9">
        <f t="shared" si="84"/>
        <v>4227.43</v>
      </c>
      <c r="Q556" s="139">
        <f t="shared" si="85"/>
        <v>0.57513266331658286</v>
      </c>
      <c r="R556" s="395">
        <f>VLOOKUP(C556,'[1]ORIGINAL (2)'!$A:$C,3,FALSE)</f>
        <v>581</v>
      </c>
      <c r="S556" s="24" t="e">
        <f>VLOOKUP(C556,#REF!,6,FALSE)</f>
        <v>#REF!</v>
      </c>
      <c r="T556" s="24" t="e">
        <f>VLOOKUP(C556,#REF!,7,FALSE)</f>
        <v>#REF!</v>
      </c>
      <c r="U556" s="24" t="e">
        <f>VLOOKUP(C556,#REF!,12,FALSE)</f>
        <v>#REF!</v>
      </c>
      <c r="V556" s="24" t="e">
        <f>VLOOKUP(C556,#REF!,13,FALSE)</f>
        <v>#REF!</v>
      </c>
    </row>
    <row r="557" spans="1:22" x14ac:dyDescent="0.25">
      <c r="A557" s="6" t="s">
        <v>2159</v>
      </c>
      <c r="B557" s="153">
        <v>9789500216234</v>
      </c>
      <c r="C557" s="6">
        <v>735115</v>
      </c>
      <c r="D557" s="41">
        <v>44</v>
      </c>
      <c r="E557" s="6" t="s">
        <v>2158</v>
      </c>
      <c r="F557" s="6" t="s">
        <v>2162</v>
      </c>
      <c r="G557" s="107">
        <v>45931</v>
      </c>
      <c r="H557" s="108">
        <v>45901</v>
      </c>
      <c r="I557" s="7">
        <v>3090</v>
      </c>
      <c r="J557" s="176" t="s">
        <v>2160</v>
      </c>
      <c r="K557" s="148">
        <v>4227.43</v>
      </c>
      <c r="L557" s="9">
        <v>19900</v>
      </c>
      <c r="M557" s="9"/>
      <c r="N557" s="9">
        <f t="shared" si="82"/>
        <v>9950</v>
      </c>
      <c r="O557" s="9">
        <f t="shared" si="83"/>
        <v>5722.57</v>
      </c>
      <c r="P557" s="9">
        <f t="shared" si="84"/>
        <v>4227.43</v>
      </c>
      <c r="Q557" s="139">
        <f t="shared" si="85"/>
        <v>0.57513266331658286</v>
      </c>
      <c r="R557" s="395">
        <f>VLOOKUP(C557,'[1]ORIGINAL (2)'!$A:$C,3,FALSE)</f>
        <v>931</v>
      </c>
      <c r="S557" s="24" t="e">
        <f>VLOOKUP(C557,#REF!,6,FALSE)</f>
        <v>#REF!</v>
      </c>
      <c r="T557" s="24" t="e">
        <f>VLOOKUP(C557,#REF!,7,FALSE)</f>
        <v>#REF!</v>
      </c>
      <c r="U557" s="24" t="e">
        <f>VLOOKUP(C557,#REF!,12,FALSE)</f>
        <v>#REF!</v>
      </c>
      <c r="V557" s="24" t="e">
        <f>VLOOKUP(C557,#REF!,13,FALSE)</f>
        <v>#REF!</v>
      </c>
    </row>
    <row r="558" spans="1:22" x14ac:dyDescent="0.25">
      <c r="A558" s="6" t="s">
        <v>2129</v>
      </c>
      <c r="B558" s="8">
        <v>9789500216043</v>
      </c>
      <c r="C558" s="6">
        <v>734395</v>
      </c>
      <c r="D558" s="41">
        <v>8</v>
      </c>
      <c r="E558" s="8" t="s">
        <v>2130</v>
      </c>
      <c r="F558" s="7" t="s">
        <v>2137</v>
      </c>
      <c r="G558" s="107">
        <v>45901</v>
      </c>
      <c r="H558" s="108">
        <v>45870</v>
      </c>
      <c r="I558" s="264">
        <v>3024</v>
      </c>
      <c r="J558" s="8" t="s">
        <v>2258</v>
      </c>
      <c r="K558" s="148">
        <v>6959.55</v>
      </c>
      <c r="L558" s="9">
        <v>34000</v>
      </c>
      <c r="M558" s="9"/>
      <c r="N558" s="9">
        <f t="shared" si="82"/>
        <v>17000</v>
      </c>
      <c r="O558" s="9">
        <f t="shared" si="83"/>
        <v>10040.450000000001</v>
      </c>
      <c r="P558" s="9">
        <f t="shared" si="84"/>
        <v>6959.55</v>
      </c>
      <c r="Q558" s="139">
        <f t="shared" si="85"/>
        <v>0.59061470588235299</v>
      </c>
      <c r="R558" s="395">
        <f>VLOOKUP(C558,'[1]ORIGINAL (2)'!$A:$C,3,FALSE)</f>
        <v>1092</v>
      </c>
      <c r="S558" s="24" t="e">
        <f>VLOOKUP(C558,#REF!,6,FALSE)</f>
        <v>#REF!</v>
      </c>
      <c r="T558" s="24" t="e">
        <f>VLOOKUP(C558,#REF!,7,FALSE)</f>
        <v>#REF!</v>
      </c>
      <c r="U558" s="24" t="e">
        <f>VLOOKUP(C558,#REF!,12,FALSE)</f>
        <v>#REF!</v>
      </c>
      <c r="V558" s="24" t="e">
        <f>VLOOKUP(C558,#REF!,13,FALSE)</f>
        <v>#REF!</v>
      </c>
    </row>
    <row r="559" spans="1:22" x14ac:dyDescent="0.25">
      <c r="A559" s="6" t="s">
        <v>2350</v>
      </c>
      <c r="B559" s="8">
        <v>9789500217811</v>
      </c>
      <c r="C559" s="8">
        <v>745993</v>
      </c>
      <c r="D559" s="8">
        <v>32</v>
      </c>
      <c r="E559" s="6" t="s">
        <v>2351</v>
      </c>
      <c r="F559" s="6" t="s">
        <v>2352</v>
      </c>
      <c r="G559" s="107">
        <v>46174</v>
      </c>
      <c r="H559" s="108">
        <v>46143</v>
      </c>
      <c r="I559" s="116">
        <v>5090</v>
      </c>
      <c r="J559" s="8" t="s">
        <v>1762</v>
      </c>
      <c r="K559" s="148">
        <v>1910.77</v>
      </c>
      <c r="L559" s="352">
        <v>11500</v>
      </c>
      <c r="M559" s="112"/>
      <c r="N559" s="9">
        <f t="shared" si="82"/>
        <v>5750</v>
      </c>
      <c r="O559" s="9">
        <f t="shared" si="83"/>
        <v>3839.23</v>
      </c>
      <c r="P559" s="9">
        <f t="shared" si="84"/>
        <v>1910.77</v>
      </c>
      <c r="Q559" s="139">
        <f t="shared" si="85"/>
        <v>0.66769217391304347</v>
      </c>
      <c r="R559" s="395">
        <f>VLOOKUP(C559,'[1]ORIGINAL (2)'!$A:$C,3,FALSE)</f>
        <v>603</v>
      </c>
      <c r="S559" s="24" t="e">
        <f>VLOOKUP(C559,#REF!,6,FALSE)</f>
        <v>#REF!</v>
      </c>
      <c r="T559" s="24" t="e">
        <f>VLOOKUP(C559,#REF!,7,FALSE)</f>
        <v>#REF!</v>
      </c>
      <c r="U559" s="24" t="e">
        <f>VLOOKUP(C559,#REF!,12,FALSE)</f>
        <v>#REF!</v>
      </c>
      <c r="V559" s="24" t="e">
        <f>VLOOKUP(C559,#REF!,13,FALSE)</f>
        <v>#REF!</v>
      </c>
    </row>
    <row r="560" spans="1:22" x14ac:dyDescent="0.25">
      <c r="A560" s="6" t="s">
        <v>2353</v>
      </c>
      <c r="B560" s="8">
        <v>9789500217804</v>
      </c>
      <c r="C560" s="8">
        <v>745994</v>
      </c>
      <c r="D560" s="8">
        <v>32</v>
      </c>
      <c r="E560" s="6" t="s">
        <v>2351</v>
      </c>
      <c r="F560" s="6" t="s">
        <v>2354</v>
      </c>
      <c r="G560" s="107">
        <v>46174</v>
      </c>
      <c r="H560" s="108">
        <v>46143</v>
      </c>
      <c r="I560" s="267">
        <v>5090</v>
      </c>
      <c r="J560" s="8" t="s">
        <v>1762</v>
      </c>
      <c r="K560" s="148">
        <v>1910.77</v>
      </c>
      <c r="L560" s="352">
        <v>11500</v>
      </c>
      <c r="M560" s="112"/>
      <c r="N560" s="9">
        <f t="shared" si="82"/>
        <v>5750</v>
      </c>
      <c r="O560" s="9">
        <f t="shared" si="83"/>
        <v>3839.23</v>
      </c>
      <c r="P560" s="9">
        <f t="shared" si="84"/>
        <v>1910.77</v>
      </c>
      <c r="Q560" s="139">
        <f t="shared" si="85"/>
        <v>0.66769217391304347</v>
      </c>
      <c r="R560" s="395">
        <f>VLOOKUP(C560,'[1]ORIGINAL (2)'!$A:$C,3,FALSE)</f>
        <v>566</v>
      </c>
      <c r="S560" s="24" t="e">
        <f>VLOOKUP(C560,#REF!,6,FALSE)</f>
        <v>#REF!</v>
      </c>
      <c r="T560" s="24" t="e">
        <f>VLOOKUP(C560,#REF!,7,FALSE)</f>
        <v>#REF!</v>
      </c>
      <c r="U560" s="24" t="e">
        <f>VLOOKUP(C560,#REF!,12,FALSE)</f>
        <v>#REF!</v>
      </c>
      <c r="V560" s="24" t="e">
        <f>VLOOKUP(C560,#REF!,13,FALSE)</f>
        <v>#REF!</v>
      </c>
    </row>
    <row r="561" spans="1:22" x14ac:dyDescent="0.25">
      <c r="A561" s="6" t="s">
        <v>2099</v>
      </c>
      <c r="B561" s="8">
        <v>9789500216623</v>
      </c>
      <c r="C561" s="6">
        <v>732721</v>
      </c>
      <c r="D561" s="41">
        <v>32</v>
      </c>
      <c r="E561" s="6" t="s">
        <v>2100</v>
      </c>
      <c r="F561" s="6" t="s">
        <v>2101</v>
      </c>
      <c r="G561" s="107">
        <v>45870</v>
      </c>
      <c r="H561" s="108">
        <v>45962</v>
      </c>
      <c r="I561" s="7">
        <v>4080</v>
      </c>
      <c r="J561" s="7" t="s">
        <v>1762</v>
      </c>
      <c r="K561" s="148">
        <v>1629.9</v>
      </c>
      <c r="L561" s="9">
        <v>11500</v>
      </c>
      <c r="M561" s="9"/>
      <c r="N561" s="9">
        <f t="shared" si="82"/>
        <v>5750</v>
      </c>
      <c r="O561" s="9">
        <f t="shared" si="83"/>
        <v>4120.1000000000004</v>
      </c>
      <c r="P561" s="9">
        <f t="shared" si="84"/>
        <v>1629.9</v>
      </c>
      <c r="Q561" s="139">
        <f t="shared" si="85"/>
        <v>0.71653913043478268</v>
      </c>
      <c r="R561" s="395">
        <f>VLOOKUP(C561,'[1]ORIGINAL (2)'!$A:$C,3,FALSE)</f>
        <v>1717</v>
      </c>
      <c r="S561" s="24" t="e">
        <f>VLOOKUP(C561,#REF!,6,FALSE)</f>
        <v>#REF!</v>
      </c>
      <c r="T561" s="24" t="e">
        <f>VLOOKUP(C561,#REF!,7,FALSE)</f>
        <v>#REF!</v>
      </c>
      <c r="U561" s="24" t="e">
        <f>VLOOKUP(C561,#REF!,12,FALSE)</f>
        <v>#REF!</v>
      </c>
      <c r="V561" s="24" t="e">
        <f>VLOOKUP(C561,#REF!,13,FALSE)</f>
        <v>#REF!</v>
      </c>
    </row>
    <row r="562" spans="1:22" x14ac:dyDescent="0.25">
      <c r="A562" s="6" t="s">
        <v>2102</v>
      </c>
      <c r="B562" s="8">
        <v>9789500216630</v>
      </c>
      <c r="C562" s="8">
        <v>732722</v>
      </c>
      <c r="D562" s="41">
        <v>32</v>
      </c>
      <c r="E562" s="6" t="s">
        <v>2100</v>
      </c>
      <c r="F562" s="6" t="s">
        <v>2103</v>
      </c>
      <c r="G562" s="107">
        <v>45870</v>
      </c>
      <c r="H562" s="108">
        <v>45962</v>
      </c>
      <c r="I562" s="7">
        <v>4080</v>
      </c>
      <c r="J562" s="7" t="s">
        <v>1762</v>
      </c>
      <c r="K562" s="148">
        <v>1629.9</v>
      </c>
      <c r="L562" s="9">
        <v>11500</v>
      </c>
      <c r="M562" s="112"/>
      <c r="N562" s="9">
        <f t="shared" si="82"/>
        <v>5750</v>
      </c>
      <c r="O562" s="9">
        <f t="shared" si="83"/>
        <v>4120.1000000000004</v>
      </c>
      <c r="P562" s="9">
        <f t="shared" si="84"/>
        <v>1629.9</v>
      </c>
      <c r="Q562" s="139">
        <f t="shared" si="85"/>
        <v>0.71653913043478268</v>
      </c>
      <c r="R562" s="395">
        <f>VLOOKUP(C562,'[1]ORIGINAL (2)'!$A:$C,3,FALSE)</f>
        <v>1657</v>
      </c>
      <c r="S562" s="24" t="e">
        <f>VLOOKUP(C562,#REF!,6,FALSE)</f>
        <v>#REF!</v>
      </c>
      <c r="T562" s="24" t="e">
        <f>VLOOKUP(C562,#REF!,7,FALSE)</f>
        <v>#REF!</v>
      </c>
      <c r="U562" s="24" t="e">
        <f>VLOOKUP(C562,#REF!,12,FALSE)</f>
        <v>#REF!</v>
      </c>
      <c r="V562" s="24" t="e">
        <f>VLOOKUP(C562,#REF!,13,FALSE)</f>
        <v>#REF!</v>
      </c>
    </row>
    <row r="563" spans="1:22" ht="23.25" x14ac:dyDescent="0.25">
      <c r="A563" s="6" t="s">
        <v>1892</v>
      </c>
      <c r="B563" s="8">
        <v>9789500215381</v>
      </c>
      <c r="C563" s="8">
        <v>718920</v>
      </c>
      <c r="D563" s="41">
        <v>64</v>
      </c>
      <c r="E563" s="7" t="s">
        <v>1885</v>
      </c>
      <c r="F563" s="25" t="s">
        <v>1893</v>
      </c>
      <c r="G563" s="118">
        <v>45505</v>
      </c>
      <c r="H563" s="107">
        <v>45474</v>
      </c>
      <c r="I563" s="267">
        <v>3000</v>
      </c>
      <c r="J563" s="315" t="s">
        <v>1946</v>
      </c>
      <c r="K563" s="148">
        <v>1471.22</v>
      </c>
      <c r="L563" s="9">
        <v>18300</v>
      </c>
      <c r="M563" s="9"/>
      <c r="N563" s="9">
        <f t="shared" si="82"/>
        <v>9150</v>
      </c>
      <c r="O563" s="9">
        <f t="shared" si="83"/>
        <v>7678.78</v>
      </c>
      <c r="P563" s="9">
        <f t="shared" si="84"/>
        <v>1471.22</v>
      </c>
      <c r="Q563" s="139">
        <f t="shared" si="85"/>
        <v>0.83921092896174865</v>
      </c>
      <c r="R563" s="395">
        <f>VLOOKUP(C563,'[1]ORIGINAL (2)'!$A:$C,3,FALSE)</f>
        <v>58</v>
      </c>
      <c r="S563" s="24" t="e">
        <f>VLOOKUP(C563,#REF!,6,FALSE)</f>
        <v>#REF!</v>
      </c>
      <c r="T563" s="24" t="e">
        <f>VLOOKUP(C563,#REF!,7,FALSE)</f>
        <v>#REF!</v>
      </c>
      <c r="U563" s="24" t="e">
        <f>VLOOKUP(C563,#REF!,12,FALSE)</f>
        <v>#REF!</v>
      </c>
      <c r="V563" s="24" t="e">
        <f>VLOOKUP(C563,#REF!,13,FALSE)</f>
        <v>#REF!</v>
      </c>
    </row>
    <row r="564" spans="1:22" ht="23.25" x14ac:dyDescent="0.25">
      <c r="A564" s="7" t="s">
        <v>1826</v>
      </c>
      <c r="B564" s="8">
        <v>9789500215039</v>
      </c>
      <c r="C564" s="8">
        <v>715426</v>
      </c>
      <c r="D564" s="25">
        <v>64</v>
      </c>
      <c r="E564" s="7" t="s">
        <v>366</v>
      </c>
      <c r="F564" s="25" t="s">
        <v>1827</v>
      </c>
      <c r="G564" s="107">
        <v>45413</v>
      </c>
      <c r="H564" s="108">
        <v>45474</v>
      </c>
      <c r="I564" s="264">
        <v>2000</v>
      </c>
      <c r="J564" s="315" t="s">
        <v>1946</v>
      </c>
      <c r="K564" s="9">
        <v>1181.76</v>
      </c>
      <c r="L564" s="9">
        <v>18300</v>
      </c>
      <c r="M564" s="112"/>
      <c r="N564" s="9">
        <f t="shared" si="82"/>
        <v>9150</v>
      </c>
      <c r="O564" s="9">
        <f t="shared" si="83"/>
        <v>7968.24</v>
      </c>
      <c r="P564" s="9">
        <f t="shared" si="84"/>
        <v>1181.76</v>
      </c>
      <c r="Q564" s="139">
        <f t="shared" si="85"/>
        <v>0.87084590163934428</v>
      </c>
      <c r="R564" s="395">
        <f>VLOOKUP(C564,'[1]ORIGINAL (2)'!$A:$C,3,FALSE)</f>
        <v>457</v>
      </c>
      <c r="S564" s="24" t="e">
        <f>VLOOKUP(C564,#REF!,6,FALSE)</f>
        <v>#REF!</v>
      </c>
      <c r="T564" s="24" t="e">
        <f>VLOOKUP(C564,#REF!,7,FALSE)</f>
        <v>#REF!</v>
      </c>
      <c r="U564" s="24" t="e">
        <f>VLOOKUP(C564,#REF!,12,FALSE)</f>
        <v>#REF!</v>
      </c>
      <c r="V564" s="24" t="e">
        <f>VLOOKUP(C564,#REF!,13,FALSE)</f>
        <v>#REF!</v>
      </c>
    </row>
    <row r="565" spans="1:22" ht="23.25" x14ac:dyDescent="0.25">
      <c r="A565" s="38" t="s">
        <v>1429</v>
      </c>
      <c r="B565" s="37">
        <v>9789500214711</v>
      </c>
      <c r="C565" s="37">
        <v>713085</v>
      </c>
      <c r="D565" s="198">
        <v>64</v>
      </c>
      <c r="E565" s="38" t="s">
        <v>366</v>
      </c>
      <c r="F565" s="38" t="s">
        <v>871</v>
      </c>
      <c r="G565" s="107">
        <v>45292</v>
      </c>
      <c r="H565" s="108">
        <v>45261</v>
      </c>
      <c r="I565" s="7">
        <v>5100</v>
      </c>
      <c r="J565" s="315" t="s">
        <v>1946</v>
      </c>
      <c r="K565" s="148">
        <v>698.69</v>
      </c>
      <c r="L565" s="35">
        <v>18300</v>
      </c>
      <c r="M565" s="112"/>
      <c r="N565" s="9">
        <f t="shared" si="82"/>
        <v>9150</v>
      </c>
      <c r="O565" s="9">
        <f t="shared" si="83"/>
        <v>8451.31</v>
      </c>
      <c r="P565" s="9">
        <f t="shared" si="84"/>
        <v>698.69</v>
      </c>
      <c r="Q565" s="139">
        <f t="shared" si="85"/>
        <v>0.92364043715846988</v>
      </c>
      <c r="R565" s="395">
        <f>VLOOKUP(C565,'[1]ORIGINAL (2)'!$A:$C,3,FALSE)</f>
        <v>88</v>
      </c>
      <c r="S565" s="24" t="e">
        <f>VLOOKUP(C565,#REF!,6,FALSE)</f>
        <v>#REF!</v>
      </c>
      <c r="T565" s="24" t="e">
        <f>VLOOKUP(C565,#REF!,7,FALSE)</f>
        <v>#REF!</v>
      </c>
      <c r="U565" s="24" t="e">
        <f>VLOOKUP(C565,#REF!,12,FALSE)</f>
        <v>#REF!</v>
      </c>
      <c r="V565" s="24" t="e">
        <f>VLOOKUP(C565,#REF!,13,FALSE)</f>
        <v>#REF!</v>
      </c>
    </row>
    <row r="566" spans="1:22" x14ac:dyDescent="0.25">
      <c r="A566" s="6" t="s">
        <v>1430</v>
      </c>
      <c r="B566" s="8">
        <v>9789500208888</v>
      </c>
      <c r="C566" s="8">
        <v>594410</v>
      </c>
      <c r="D566" s="25">
        <v>48</v>
      </c>
      <c r="E566" s="22" t="s">
        <v>1431</v>
      </c>
      <c r="F566" s="6" t="s">
        <v>233</v>
      </c>
      <c r="G566" s="107">
        <v>42217</v>
      </c>
      <c r="H566" s="108">
        <v>42186</v>
      </c>
      <c r="I566" s="24">
        <v>3150</v>
      </c>
      <c r="J566" s="28" t="s">
        <v>2136</v>
      </c>
      <c r="K566" s="28">
        <v>18.649999999999999</v>
      </c>
      <c r="L566" s="112">
        <v>7900</v>
      </c>
      <c r="M566" s="9">
        <f t="shared" ref="M566:M576" si="86">+L566*0.1</f>
        <v>790</v>
      </c>
      <c r="N566" s="9">
        <f t="shared" si="82"/>
        <v>3950</v>
      </c>
      <c r="O566" s="9">
        <f t="shared" si="83"/>
        <v>3141.35</v>
      </c>
      <c r="P566" s="9">
        <f t="shared" si="84"/>
        <v>808.65</v>
      </c>
      <c r="Q566" s="139">
        <f t="shared" si="85"/>
        <v>0.79527848101265819</v>
      </c>
      <c r="R566" s="395" t="e">
        <f>VLOOKUP(C566,'[1]ORIGINAL (2)'!$A:$C,3,FALSE)</f>
        <v>#N/A</v>
      </c>
      <c r="S566" s="24" t="e">
        <f>VLOOKUP(C566,#REF!,6,FALSE)</f>
        <v>#REF!</v>
      </c>
      <c r="T566" s="24" t="e">
        <f>VLOOKUP(C566,#REF!,7,FALSE)</f>
        <v>#REF!</v>
      </c>
      <c r="U566" s="24" t="e">
        <f>VLOOKUP(C566,#REF!,12,FALSE)</f>
        <v>#REF!</v>
      </c>
      <c r="V566" s="24" t="e">
        <f>VLOOKUP(C566,#REF!,13,FALSE)</f>
        <v>#REF!</v>
      </c>
    </row>
    <row r="567" spans="1:22" x14ac:dyDescent="0.25">
      <c r="A567" s="6" t="s">
        <v>1432</v>
      </c>
      <c r="B567" s="8">
        <v>9789500213783</v>
      </c>
      <c r="C567" s="8">
        <v>707254</v>
      </c>
      <c r="D567" s="41">
        <v>36</v>
      </c>
      <c r="E567" s="7" t="s">
        <v>791</v>
      </c>
      <c r="F567" s="6" t="s">
        <v>806</v>
      </c>
      <c r="G567" s="107">
        <v>45108</v>
      </c>
      <c r="H567" s="108">
        <v>45078</v>
      </c>
      <c r="I567" s="7">
        <v>3142</v>
      </c>
      <c r="J567" s="6" t="s">
        <v>2136</v>
      </c>
      <c r="K567" s="117">
        <v>517.64</v>
      </c>
      <c r="L567" s="9">
        <v>21500</v>
      </c>
      <c r="M567" s="112">
        <f t="shared" si="86"/>
        <v>2150</v>
      </c>
      <c r="N567" s="142">
        <f t="shared" si="82"/>
        <v>10750</v>
      </c>
      <c r="O567" s="142">
        <f t="shared" si="83"/>
        <v>8082.36</v>
      </c>
      <c r="P567" s="142">
        <f t="shared" si="84"/>
        <v>2667.64</v>
      </c>
      <c r="Q567" s="139">
        <f t="shared" si="85"/>
        <v>0.75184744186046504</v>
      </c>
      <c r="R567" s="395">
        <f>VLOOKUP(C567,'[1]ORIGINAL (2)'!$A:$C,3,FALSE)</f>
        <v>336</v>
      </c>
      <c r="S567" s="24" t="e">
        <f>VLOOKUP(C567,#REF!,6,FALSE)</f>
        <v>#REF!</v>
      </c>
      <c r="T567" s="24" t="e">
        <f>VLOOKUP(C567,#REF!,7,FALSE)</f>
        <v>#REF!</v>
      </c>
      <c r="U567" s="24" t="e">
        <f>VLOOKUP(C567,#REF!,12,FALSE)</f>
        <v>#REF!</v>
      </c>
      <c r="V567" s="24" t="e">
        <f>VLOOKUP(C567,#REF!,13,FALSE)</f>
        <v>#REF!</v>
      </c>
    </row>
    <row r="568" spans="1:22" x14ac:dyDescent="0.25">
      <c r="A568" s="6" t="s">
        <v>1433</v>
      </c>
      <c r="B568" s="8">
        <v>9789500213622</v>
      </c>
      <c r="C568" s="8">
        <v>705127</v>
      </c>
      <c r="D568" s="41">
        <v>64</v>
      </c>
      <c r="E568" s="7" t="s">
        <v>474</v>
      </c>
      <c r="F568" s="6" t="s">
        <v>789</v>
      </c>
      <c r="G568" s="107">
        <v>45047</v>
      </c>
      <c r="H568" s="108">
        <v>45017</v>
      </c>
      <c r="I568" s="7">
        <v>5000</v>
      </c>
      <c r="J568" s="6" t="s">
        <v>2219</v>
      </c>
      <c r="K568" s="117">
        <v>2007.44</v>
      </c>
      <c r="L568" s="9">
        <v>35900</v>
      </c>
      <c r="M568" s="9">
        <f t="shared" si="86"/>
        <v>3590</v>
      </c>
      <c r="N568" s="9">
        <f t="shared" si="82"/>
        <v>17950</v>
      </c>
      <c r="O568" s="9">
        <f t="shared" si="83"/>
        <v>12352.56</v>
      </c>
      <c r="P568" s="9">
        <f t="shared" si="84"/>
        <v>5597.4400000000005</v>
      </c>
      <c r="Q568" s="139">
        <f t="shared" si="85"/>
        <v>0.68816490250696372</v>
      </c>
      <c r="R568" s="395">
        <f>VLOOKUP(C568,'[1]ORIGINAL (2)'!$A:$C,3,FALSE)</f>
        <v>998</v>
      </c>
      <c r="S568" s="24" t="e">
        <f>VLOOKUP(C568,#REF!,6,FALSE)</f>
        <v>#REF!</v>
      </c>
      <c r="T568" s="24" t="e">
        <f>VLOOKUP(C568,#REF!,7,FALSE)</f>
        <v>#REF!</v>
      </c>
      <c r="U568" s="24" t="e">
        <f>VLOOKUP(C568,#REF!,12,FALSE)</f>
        <v>#REF!</v>
      </c>
      <c r="V568" s="24" t="e">
        <f>VLOOKUP(C568,#REF!,13,FALSE)</f>
        <v>#REF!</v>
      </c>
    </row>
    <row r="569" spans="1:22" x14ac:dyDescent="0.25">
      <c r="A569" s="7" t="s">
        <v>1891</v>
      </c>
      <c r="B569" s="8">
        <v>9789500215374</v>
      </c>
      <c r="C569" s="8">
        <v>718919</v>
      </c>
      <c r="D569" s="25">
        <v>64</v>
      </c>
      <c r="E569" s="7" t="s">
        <v>474</v>
      </c>
      <c r="F569" s="25" t="s">
        <v>1883</v>
      </c>
      <c r="G569" s="118">
        <v>45505</v>
      </c>
      <c r="H569" s="108">
        <v>45839</v>
      </c>
      <c r="I569" s="264">
        <v>2090</v>
      </c>
      <c r="J569" s="108" t="s">
        <v>2136</v>
      </c>
      <c r="K569" s="9">
        <v>1827.71</v>
      </c>
      <c r="L569" s="9">
        <v>29900</v>
      </c>
      <c r="M569" s="112">
        <f t="shared" si="86"/>
        <v>2990</v>
      </c>
      <c r="N569" s="9">
        <f t="shared" si="82"/>
        <v>14950</v>
      </c>
      <c r="O569" s="9">
        <f t="shared" si="83"/>
        <v>10132.290000000001</v>
      </c>
      <c r="P569" s="9">
        <f t="shared" si="84"/>
        <v>4817.71</v>
      </c>
      <c r="Q569" s="139">
        <f t="shared" si="85"/>
        <v>0.67774515050167228</v>
      </c>
      <c r="R569" s="395">
        <f>VLOOKUP(C569,'[1]ORIGINAL (2)'!$A:$C,3,FALSE)</f>
        <v>371</v>
      </c>
      <c r="S569" s="24" t="e">
        <f>VLOOKUP(C569,#REF!,6,FALSE)</f>
        <v>#REF!</v>
      </c>
      <c r="T569" s="24" t="e">
        <f>VLOOKUP(C569,#REF!,7,FALSE)</f>
        <v>#REF!</v>
      </c>
      <c r="U569" s="24" t="e">
        <f>VLOOKUP(C569,#REF!,12,FALSE)</f>
        <v>#REF!</v>
      </c>
      <c r="V569" s="24" t="e">
        <f>VLOOKUP(C569,#REF!,13,FALSE)</f>
        <v>#REF!</v>
      </c>
    </row>
    <row r="570" spans="1:22" x14ac:dyDescent="0.25">
      <c r="A570" s="6" t="s">
        <v>1434</v>
      </c>
      <c r="B570" s="8">
        <v>9789500213196</v>
      </c>
      <c r="C570" s="6">
        <v>702718</v>
      </c>
      <c r="D570" s="41">
        <v>64</v>
      </c>
      <c r="E570" s="7" t="s">
        <v>474</v>
      </c>
      <c r="F570" s="7" t="s">
        <v>748</v>
      </c>
      <c r="G570" s="107">
        <v>44927</v>
      </c>
      <c r="H570" s="107">
        <v>45536</v>
      </c>
      <c r="I570" s="267">
        <v>2070</v>
      </c>
      <c r="J570" s="6" t="s">
        <v>2136</v>
      </c>
      <c r="K570" s="148">
        <v>2048.6425120772947</v>
      </c>
      <c r="L570" s="9">
        <v>29900</v>
      </c>
      <c r="M570" s="9">
        <f t="shared" si="86"/>
        <v>2990</v>
      </c>
      <c r="N570" s="9">
        <f t="shared" si="82"/>
        <v>14950</v>
      </c>
      <c r="O570" s="9">
        <f t="shared" si="83"/>
        <v>9911.3574879227053</v>
      </c>
      <c r="P570" s="9">
        <f t="shared" si="84"/>
        <v>5038.6425120772947</v>
      </c>
      <c r="Q570" s="139">
        <f t="shared" si="85"/>
        <v>0.6629670560483415</v>
      </c>
      <c r="R570" s="395">
        <f>VLOOKUP(C570,'[1]ORIGINAL (2)'!$A:$C,3,FALSE)</f>
        <v>369</v>
      </c>
      <c r="S570" s="24" t="e">
        <f>VLOOKUP(C570,#REF!,6,FALSE)</f>
        <v>#REF!</v>
      </c>
      <c r="T570" s="24" t="e">
        <f>VLOOKUP(C570,#REF!,7,FALSE)</f>
        <v>#REF!</v>
      </c>
      <c r="U570" s="24" t="e">
        <f>VLOOKUP(C570,#REF!,12,FALSE)</f>
        <v>#REF!</v>
      </c>
      <c r="V570" s="24" t="e">
        <f>VLOOKUP(C570,#REF!,13,FALSE)</f>
        <v>#REF!</v>
      </c>
    </row>
    <row r="571" spans="1:22" x14ac:dyDescent="0.25">
      <c r="A571" s="7" t="s">
        <v>1435</v>
      </c>
      <c r="B571" s="8">
        <v>9789500210317</v>
      </c>
      <c r="C571" s="13">
        <v>671443</v>
      </c>
      <c r="D571" s="25">
        <v>64</v>
      </c>
      <c r="E571" s="7" t="s">
        <v>474</v>
      </c>
      <c r="F571" s="7" t="s">
        <v>475</v>
      </c>
      <c r="G571" s="107">
        <v>43800</v>
      </c>
      <c r="H571" s="108">
        <v>45931</v>
      </c>
      <c r="I571" s="7">
        <v>2081</v>
      </c>
      <c r="J571" s="25" t="s">
        <v>2136</v>
      </c>
      <c r="K571" s="117">
        <v>3959.96</v>
      </c>
      <c r="L571" s="9">
        <v>29900</v>
      </c>
      <c r="M571" s="9">
        <f t="shared" si="86"/>
        <v>2990</v>
      </c>
      <c r="N571" s="9">
        <f t="shared" si="82"/>
        <v>14950</v>
      </c>
      <c r="O571" s="9">
        <f t="shared" si="83"/>
        <v>8000.04</v>
      </c>
      <c r="P571" s="9">
        <f t="shared" si="84"/>
        <v>6949.96</v>
      </c>
      <c r="Q571" s="139">
        <f t="shared" si="85"/>
        <v>0.5351197324414716</v>
      </c>
      <c r="R571" s="395">
        <f>VLOOKUP(C571,'[1]ORIGINAL (2)'!$A:$C,3,FALSE)</f>
        <v>993</v>
      </c>
      <c r="S571" s="24" t="e">
        <f>VLOOKUP(C571,#REF!,6,FALSE)</f>
        <v>#REF!</v>
      </c>
      <c r="T571" s="24" t="e">
        <f>VLOOKUP(C571,#REF!,7,FALSE)</f>
        <v>#REF!</v>
      </c>
      <c r="U571" s="24" t="e">
        <f>VLOOKUP(C571,#REF!,12,FALSE)</f>
        <v>#REF!</v>
      </c>
      <c r="V571" s="24" t="e">
        <f>VLOOKUP(C571,#REF!,13,FALSE)</f>
        <v>#REF!</v>
      </c>
    </row>
    <row r="572" spans="1:22" x14ac:dyDescent="0.25">
      <c r="A572" s="7" t="s">
        <v>1436</v>
      </c>
      <c r="B572" s="8">
        <v>9789500210515</v>
      </c>
      <c r="C572" s="8">
        <v>674458</v>
      </c>
      <c r="D572" s="25">
        <v>64</v>
      </c>
      <c r="E572" s="7" t="s">
        <v>474</v>
      </c>
      <c r="F572" s="7" t="s">
        <v>484</v>
      </c>
      <c r="G572" s="107">
        <v>43891</v>
      </c>
      <c r="H572" s="107">
        <v>45139</v>
      </c>
      <c r="I572" s="7">
        <v>3018</v>
      </c>
      <c r="J572" s="6" t="s">
        <v>2136</v>
      </c>
      <c r="K572" s="117">
        <v>655.85</v>
      </c>
      <c r="L572" s="9">
        <v>29900</v>
      </c>
      <c r="M572" s="9">
        <f t="shared" si="86"/>
        <v>2990</v>
      </c>
      <c r="N572" s="9">
        <f t="shared" si="82"/>
        <v>14950</v>
      </c>
      <c r="O572" s="9">
        <f t="shared" si="83"/>
        <v>11304.15</v>
      </c>
      <c r="P572" s="9">
        <f t="shared" si="84"/>
        <v>3645.85</v>
      </c>
      <c r="Q572" s="139">
        <f t="shared" si="85"/>
        <v>0.75613043478260866</v>
      </c>
      <c r="R572" s="395">
        <f>VLOOKUP(C572,'[1]ORIGINAL (2)'!$A:$C,3,FALSE)</f>
        <v>338</v>
      </c>
      <c r="S572" s="24" t="e">
        <f>VLOOKUP(C572,#REF!,6,FALSE)</f>
        <v>#REF!</v>
      </c>
      <c r="T572" s="24" t="e">
        <f>VLOOKUP(C572,#REF!,7,FALSE)</f>
        <v>#REF!</v>
      </c>
      <c r="U572" s="24" t="e">
        <f>VLOOKUP(C572,#REF!,12,FALSE)</f>
        <v>#REF!</v>
      </c>
      <c r="V572" s="24" t="e">
        <f>VLOOKUP(C572,#REF!,13,FALSE)</f>
        <v>#REF!</v>
      </c>
    </row>
    <row r="573" spans="1:22" x14ac:dyDescent="0.25">
      <c r="A573" s="7" t="s">
        <v>1437</v>
      </c>
      <c r="B573" s="8">
        <v>9789500211109</v>
      </c>
      <c r="C573" s="8">
        <v>678455</v>
      </c>
      <c r="D573" s="25">
        <v>64</v>
      </c>
      <c r="E573" s="7" t="s">
        <v>474</v>
      </c>
      <c r="F573" s="7" t="s">
        <v>507</v>
      </c>
      <c r="G573" s="107">
        <v>44136</v>
      </c>
      <c r="H573" s="107">
        <v>46082</v>
      </c>
      <c r="I573" s="7">
        <v>2055</v>
      </c>
      <c r="J573" s="6" t="s">
        <v>2136</v>
      </c>
      <c r="K573" s="9">
        <v>2972.9902676399029</v>
      </c>
      <c r="L573" s="9">
        <v>29900</v>
      </c>
      <c r="M573" s="9">
        <f t="shared" si="86"/>
        <v>2990</v>
      </c>
      <c r="N573" s="9">
        <f t="shared" si="82"/>
        <v>14950</v>
      </c>
      <c r="O573" s="9">
        <f t="shared" si="83"/>
        <v>8987.0097323600967</v>
      </c>
      <c r="P573" s="9">
        <f t="shared" si="84"/>
        <v>5962.9902676399033</v>
      </c>
      <c r="Q573" s="139">
        <f t="shared" si="85"/>
        <v>0.60113777473980579</v>
      </c>
      <c r="R573" s="395">
        <f>VLOOKUP(C573,'[1]ORIGINAL (2)'!$A:$C,3,FALSE)</f>
        <v>445</v>
      </c>
      <c r="S573" s="24" t="e">
        <f>VLOOKUP(C573,#REF!,6,FALSE)</f>
        <v>#REF!</v>
      </c>
      <c r="T573" s="24" t="e">
        <f>VLOOKUP(C573,#REF!,7,FALSE)</f>
        <v>#REF!</v>
      </c>
      <c r="U573" s="24" t="e">
        <f>VLOOKUP(C573,#REF!,12,FALSE)</f>
        <v>#REF!</v>
      </c>
      <c r="V573" s="24" t="e">
        <f>VLOOKUP(C573,#REF!,13,FALSE)</f>
        <v>#REF!</v>
      </c>
    </row>
    <row r="574" spans="1:22" x14ac:dyDescent="0.25">
      <c r="A574" s="7" t="s">
        <v>1438</v>
      </c>
      <c r="B574" s="8">
        <v>9789500212717</v>
      </c>
      <c r="C574" s="8">
        <v>694754</v>
      </c>
      <c r="D574" s="25">
        <v>64</v>
      </c>
      <c r="E574" s="7" t="s">
        <v>474</v>
      </c>
      <c r="F574" s="7" t="s">
        <v>694</v>
      </c>
      <c r="G574" s="107">
        <v>44713</v>
      </c>
      <c r="H574" s="108">
        <v>45231</v>
      </c>
      <c r="I574" s="7">
        <v>3090</v>
      </c>
      <c r="J574" s="6" t="s">
        <v>2136</v>
      </c>
      <c r="K574" s="9">
        <v>1170.6500000000001</v>
      </c>
      <c r="L574" s="9">
        <v>29900</v>
      </c>
      <c r="M574" s="9">
        <f t="shared" si="86"/>
        <v>2990</v>
      </c>
      <c r="N574" s="9">
        <f t="shared" si="82"/>
        <v>14950</v>
      </c>
      <c r="O574" s="9">
        <f t="shared" si="83"/>
        <v>10789.35</v>
      </c>
      <c r="P574" s="9">
        <f t="shared" si="84"/>
        <v>4160.6499999999996</v>
      </c>
      <c r="Q574" s="139">
        <f t="shared" si="85"/>
        <v>0.72169565217391307</v>
      </c>
      <c r="R574" s="395">
        <f>VLOOKUP(C574,'[1]ORIGINAL (2)'!$A:$C,3,FALSE)</f>
        <v>190</v>
      </c>
      <c r="S574" s="24" t="e">
        <f>VLOOKUP(C574,#REF!,6,FALSE)</f>
        <v>#REF!</v>
      </c>
      <c r="T574" s="24" t="e">
        <f>VLOOKUP(C574,#REF!,7,FALSE)</f>
        <v>#REF!</v>
      </c>
      <c r="U574" s="24" t="e">
        <f>VLOOKUP(C574,#REF!,12,FALSE)</f>
        <v>#REF!</v>
      </c>
      <c r="V574" s="24" t="e">
        <f>VLOOKUP(C574,#REF!,13,FALSE)</f>
        <v>#REF!</v>
      </c>
    </row>
    <row r="575" spans="1:22" x14ac:dyDescent="0.25">
      <c r="A575" s="6" t="s">
        <v>1439</v>
      </c>
      <c r="B575" s="8">
        <v>9789500213936</v>
      </c>
      <c r="C575" s="8">
        <v>707950</v>
      </c>
      <c r="D575" s="41">
        <v>64</v>
      </c>
      <c r="E575" s="7" t="s">
        <v>791</v>
      </c>
      <c r="F575" s="7" t="s">
        <v>796</v>
      </c>
      <c r="G575" s="107">
        <v>45139</v>
      </c>
      <c r="H575" s="108">
        <v>45658</v>
      </c>
      <c r="I575" s="7">
        <v>2100</v>
      </c>
      <c r="J575" s="6" t="s">
        <v>2136</v>
      </c>
      <c r="K575" s="9">
        <v>2102.5500000000002</v>
      </c>
      <c r="L575" s="9">
        <v>29900</v>
      </c>
      <c r="M575" s="9">
        <f t="shared" si="86"/>
        <v>2990</v>
      </c>
      <c r="N575" s="9">
        <f t="shared" si="82"/>
        <v>14950</v>
      </c>
      <c r="O575" s="9">
        <f t="shared" si="83"/>
        <v>9857.4500000000007</v>
      </c>
      <c r="P575" s="9">
        <f t="shared" si="84"/>
        <v>5092.55</v>
      </c>
      <c r="Q575" s="139">
        <f t="shared" si="85"/>
        <v>0.65936120401337794</v>
      </c>
      <c r="R575" s="395">
        <f>VLOOKUP(C575,'[1]ORIGINAL (2)'!$A:$C,3,FALSE)</f>
        <v>374</v>
      </c>
      <c r="S575" s="24" t="e">
        <f>VLOOKUP(C575,#REF!,6,FALSE)</f>
        <v>#REF!</v>
      </c>
      <c r="T575" s="24" t="e">
        <f>VLOOKUP(C575,#REF!,7,FALSE)</f>
        <v>#REF!</v>
      </c>
      <c r="U575" s="24" t="e">
        <f>VLOOKUP(C575,#REF!,12,FALSE)</f>
        <v>#REF!</v>
      </c>
      <c r="V575" s="24" t="e">
        <f>VLOOKUP(C575,#REF!,13,FALSE)</f>
        <v>#REF!</v>
      </c>
    </row>
    <row r="576" spans="1:22" x14ac:dyDescent="0.25">
      <c r="A576" s="6" t="s">
        <v>2078</v>
      </c>
      <c r="B576" s="279">
        <v>9789500216432</v>
      </c>
      <c r="C576" s="6">
        <v>731833</v>
      </c>
      <c r="D576" s="41">
        <v>64</v>
      </c>
      <c r="E576" s="7" t="s">
        <v>474</v>
      </c>
      <c r="F576" s="6" t="s">
        <v>2079</v>
      </c>
      <c r="G576" s="107">
        <v>45839</v>
      </c>
      <c r="H576" s="108">
        <v>45809</v>
      </c>
      <c r="I576" s="264">
        <v>4006</v>
      </c>
      <c r="J576" s="315" t="s">
        <v>2136</v>
      </c>
      <c r="K576" s="292">
        <v>1497.76</v>
      </c>
      <c r="L576" s="9">
        <v>29900</v>
      </c>
      <c r="M576" s="9">
        <f t="shared" si="86"/>
        <v>2990</v>
      </c>
      <c r="N576" s="9">
        <f t="shared" si="82"/>
        <v>14950</v>
      </c>
      <c r="O576" s="9">
        <f t="shared" si="83"/>
        <v>10462.24</v>
      </c>
      <c r="P576" s="9">
        <f t="shared" si="84"/>
        <v>4487.76</v>
      </c>
      <c r="Q576" s="139">
        <f t="shared" si="85"/>
        <v>0.69981538461538462</v>
      </c>
      <c r="R576" s="395">
        <f>VLOOKUP(C576,'[1]ORIGINAL (2)'!$A:$C,3,FALSE)</f>
        <v>472</v>
      </c>
      <c r="S576" s="24" t="e">
        <f>VLOOKUP(C576,#REF!,6,FALSE)</f>
        <v>#REF!</v>
      </c>
      <c r="T576" s="24" t="e">
        <f>VLOOKUP(C576,#REF!,7,FALSE)</f>
        <v>#REF!</v>
      </c>
      <c r="U576" s="24" t="e">
        <f>VLOOKUP(C576,#REF!,12,FALSE)</f>
        <v>#REF!</v>
      </c>
      <c r="V576" s="24" t="e">
        <f>VLOOKUP(C576,#REF!,13,FALSE)</f>
        <v>#REF!</v>
      </c>
    </row>
    <row r="577" spans="1:22" x14ac:dyDescent="0.25">
      <c r="A577" s="7" t="s">
        <v>1440</v>
      </c>
      <c r="B577" s="8">
        <v>9789500210461</v>
      </c>
      <c r="C577" s="13">
        <v>673648</v>
      </c>
      <c r="D577" s="25">
        <v>64</v>
      </c>
      <c r="E577" s="7" t="s">
        <v>482</v>
      </c>
      <c r="F577" s="7" t="s">
        <v>483</v>
      </c>
      <c r="G577" s="107">
        <v>43862</v>
      </c>
      <c r="H577" s="108">
        <v>45717</v>
      </c>
      <c r="I577" s="293">
        <v>2140</v>
      </c>
      <c r="J577" s="6" t="s">
        <v>2136</v>
      </c>
      <c r="K577" s="148">
        <v>1759.81</v>
      </c>
      <c r="L577" s="295">
        <v>14900</v>
      </c>
      <c r="M577" s="9"/>
      <c r="N577" s="9">
        <f t="shared" si="82"/>
        <v>7450</v>
      </c>
      <c r="O577" s="9">
        <f t="shared" si="83"/>
        <v>5690.1900000000005</v>
      </c>
      <c r="P577" s="9">
        <f t="shared" si="84"/>
        <v>1759.81</v>
      </c>
      <c r="Q577" s="139">
        <f t="shared" si="85"/>
        <v>0.76378389261744972</v>
      </c>
      <c r="R577" s="395">
        <f>VLOOKUP(C577,'[1]ORIGINAL (2)'!$A:$C,3,FALSE)</f>
        <v>147</v>
      </c>
      <c r="S577" s="24" t="e">
        <f>VLOOKUP(C577,#REF!,6,FALSE)</f>
        <v>#REF!</v>
      </c>
      <c r="T577" s="24" t="e">
        <f>VLOOKUP(C577,#REF!,7,FALSE)</f>
        <v>#REF!</v>
      </c>
      <c r="U577" s="24" t="e">
        <f>VLOOKUP(C577,#REF!,12,FALSE)</f>
        <v>#REF!</v>
      </c>
      <c r="V577" s="24" t="e">
        <f>VLOOKUP(C577,#REF!,13,FALSE)</f>
        <v>#REF!</v>
      </c>
    </row>
    <row r="578" spans="1:22" x14ac:dyDescent="0.25">
      <c r="A578" s="7" t="s">
        <v>1441</v>
      </c>
      <c r="B578" s="8">
        <v>9789500210751</v>
      </c>
      <c r="C578" s="8">
        <v>676702</v>
      </c>
      <c r="D578" s="25">
        <v>80</v>
      </c>
      <c r="E578" s="7" t="s">
        <v>466</v>
      </c>
      <c r="F578" s="7" t="s">
        <v>1442</v>
      </c>
      <c r="G578" s="107">
        <v>44044</v>
      </c>
      <c r="H578" s="108">
        <v>44013</v>
      </c>
      <c r="I578" s="7">
        <v>3020</v>
      </c>
      <c r="J578" s="6" t="s">
        <v>2136</v>
      </c>
      <c r="K578" s="9">
        <v>152.03</v>
      </c>
      <c r="L578" s="112">
        <v>20900</v>
      </c>
      <c r="M578" s="9"/>
      <c r="N578" s="9">
        <f t="shared" si="82"/>
        <v>10450</v>
      </c>
      <c r="O578" s="9">
        <f t="shared" si="83"/>
        <v>10297.969999999999</v>
      </c>
      <c r="P578" s="9">
        <f t="shared" si="84"/>
        <v>152.03</v>
      </c>
      <c r="Q578" s="139">
        <f t="shared" si="85"/>
        <v>0.98545167464114825</v>
      </c>
      <c r="R578" s="395">
        <f>VLOOKUP(C578,'[1]ORIGINAL (2)'!$A:$C,3,FALSE)</f>
        <v>162</v>
      </c>
      <c r="S578" s="24" t="e">
        <f>VLOOKUP(C578,#REF!,6,FALSE)</f>
        <v>#REF!</v>
      </c>
      <c r="T578" s="24" t="e">
        <f>VLOOKUP(C578,#REF!,7,FALSE)</f>
        <v>#REF!</v>
      </c>
      <c r="U578" s="24" t="e">
        <f>VLOOKUP(C578,#REF!,12,FALSE)</f>
        <v>#REF!</v>
      </c>
      <c r="V578" s="24" t="e">
        <f>VLOOKUP(C578,#REF!,13,FALSE)</f>
        <v>#REF!</v>
      </c>
    </row>
    <row r="579" spans="1:22" x14ac:dyDescent="0.25">
      <c r="A579" s="2"/>
      <c r="B579" s="3"/>
      <c r="C579" s="3"/>
      <c r="D579" s="2"/>
      <c r="E579" s="2"/>
      <c r="F579" s="2"/>
      <c r="G579" s="2"/>
      <c r="H579" s="2"/>
      <c r="I579" s="2"/>
      <c r="J579" s="134"/>
      <c r="K579" s="132"/>
      <c r="L579" s="18"/>
      <c r="M579" s="132"/>
      <c r="N579" s="132"/>
      <c r="O579" s="132"/>
      <c r="P579" s="132"/>
      <c r="Q579" s="147"/>
      <c r="R579" s="395" t="e">
        <f>VLOOKUP(C579,'[1]ORIGINAL (2)'!$A:$C,3,FALSE)</f>
        <v>#N/A</v>
      </c>
      <c r="S579" s="100"/>
      <c r="T579" s="100"/>
      <c r="U579" s="100"/>
      <c r="V579" s="100"/>
    </row>
    <row r="580" spans="1:22" x14ac:dyDescent="0.25">
      <c r="A580" s="199" t="s">
        <v>1443</v>
      </c>
      <c r="B580" s="168"/>
      <c r="C580" s="168"/>
      <c r="D580" s="174"/>
      <c r="E580" s="347"/>
      <c r="F580" s="314"/>
      <c r="G580" s="162"/>
      <c r="H580" s="132"/>
      <c r="I580" s="132"/>
      <c r="J580" s="134"/>
      <c r="K580" s="132"/>
      <c r="L580" s="18"/>
      <c r="M580" s="132"/>
      <c r="N580" s="132"/>
      <c r="O580" s="132"/>
      <c r="P580" s="132"/>
      <c r="Q580" s="147"/>
      <c r="R580" s="395" t="e">
        <f>VLOOKUP(C580,'[1]ORIGINAL (2)'!$A:$C,3,FALSE)</f>
        <v>#N/A</v>
      </c>
      <c r="S580" s="100"/>
      <c r="T580" s="100"/>
      <c r="U580" s="100"/>
      <c r="V580" s="100"/>
    </row>
    <row r="581" spans="1:22" x14ac:dyDescent="0.25">
      <c r="A581" s="7" t="s">
        <v>1444</v>
      </c>
      <c r="B581" s="8">
        <v>9789500210447</v>
      </c>
      <c r="C581" s="8">
        <v>683670</v>
      </c>
      <c r="D581" s="25">
        <v>48</v>
      </c>
      <c r="E581" s="7" t="s">
        <v>329</v>
      </c>
      <c r="F581" s="7" t="s">
        <v>549</v>
      </c>
      <c r="G581" s="107">
        <v>44348</v>
      </c>
      <c r="H581" s="108">
        <v>44228</v>
      </c>
      <c r="I581" s="7">
        <v>3100</v>
      </c>
      <c r="J581" s="6" t="s">
        <v>1762</v>
      </c>
      <c r="K581" s="9">
        <v>214.82</v>
      </c>
      <c r="L581" s="112">
        <v>18900</v>
      </c>
      <c r="M581" s="9"/>
      <c r="N581" s="9">
        <f>+L581/2</f>
        <v>9450</v>
      </c>
      <c r="O581" s="9">
        <f>+N581-M581-K581</f>
        <v>9235.18</v>
      </c>
      <c r="P581" s="9">
        <f>+M581+K581</f>
        <v>214.82</v>
      </c>
      <c r="Q581" s="139">
        <f>+O581/N581</f>
        <v>0.97726772486772495</v>
      </c>
      <c r="R581" s="395" t="e">
        <f>VLOOKUP(C581,'[1]ORIGINAL (2)'!$A:$C,3,FALSE)</f>
        <v>#N/A</v>
      </c>
      <c r="S581" s="24" t="e">
        <f>VLOOKUP(C581,#REF!,6,FALSE)</f>
        <v>#REF!</v>
      </c>
      <c r="T581" s="24" t="e">
        <f>VLOOKUP(C581,#REF!,7,FALSE)</f>
        <v>#REF!</v>
      </c>
      <c r="U581" s="24" t="e">
        <f>VLOOKUP(C581,#REF!,12,FALSE)</f>
        <v>#REF!</v>
      </c>
      <c r="V581" s="24" t="e">
        <f>VLOOKUP(C581,#REF!,13,FALSE)</f>
        <v>#REF!</v>
      </c>
    </row>
    <row r="582" spans="1:22" x14ac:dyDescent="0.25">
      <c r="A582" s="7" t="s">
        <v>1445</v>
      </c>
      <c r="B582" s="8">
        <v>9789500210454</v>
      </c>
      <c r="C582" s="8">
        <v>683671</v>
      </c>
      <c r="D582" s="25">
        <v>48</v>
      </c>
      <c r="E582" s="7" t="s">
        <v>329</v>
      </c>
      <c r="F582" s="7" t="s">
        <v>547</v>
      </c>
      <c r="G582" s="107">
        <v>44348</v>
      </c>
      <c r="H582" s="108">
        <v>44228</v>
      </c>
      <c r="I582" s="7">
        <v>3400</v>
      </c>
      <c r="J582" s="6" t="s">
        <v>1762</v>
      </c>
      <c r="K582" s="9">
        <v>214.82</v>
      </c>
      <c r="L582" s="112">
        <v>18900</v>
      </c>
      <c r="M582" s="9"/>
      <c r="N582" s="9">
        <f>+L582/2</f>
        <v>9450</v>
      </c>
      <c r="O582" s="9">
        <f>+N582-M582-K582</f>
        <v>9235.18</v>
      </c>
      <c r="P582" s="9">
        <f>+M582+K582</f>
        <v>214.82</v>
      </c>
      <c r="Q582" s="139">
        <f>+O582/N582</f>
        <v>0.97726772486772495</v>
      </c>
      <c r="R582" s="395">
        <f>VLOOKUP(C582,'[1]ORIGINAL (2)'!$A:$C,3,FALSE)</f>
        <v>8</v>
      </c>
      <c r="S582" s="24" t="e">
        <f>VLOOKUP(C582,#REF!,6,FALSE)</f>
        <v>#REF!</v>
      </c>
      <c r="T582" s="24" t="e">
        <f>VLOOKUP(C582,#REF!,7,FALSE)</f>
        <v>#REF!</v>
      </c>
      <c r="U582" s="24" t="e">
        <f>VLOOKUP(C582,#REF!,12,FALSE)</f>
        <v>#REF!</v>
      </c>
      <c r="V582" s="24" t="e">
        <f>VLOOKUP(C582,#REF!,13,FALSE)</f>
        <v>#REF!</v>
      </c>
    </row>
    <row r="583" spans="1:22" x14ac:dyDescent="0.25">
      <c r="A583" s="7" t="s">
        <v>1446</v>
      </c>
      <c r="B583" s="8">
        <v>9789500210423</v>
      </c>
      <c r="C583" s="8">
        <v>683672</v>
      </c>
      <c r="D583" s="25">
        <v>24</v>
      </c>
      <c r="E583" s="7" t="s">
        <v>329</v>
      </c>
      <c r="F583" s="7" t="s">
        <v>548</v>
      </c>
      <c r="G583" s="107">
        <v>44348</v>
      </c>
      <c r="H583" s="108">
        <v>44256</v>
      </c>
      <c r="I583" s="7">
        <v>3024</v>
      </c>
      <c r="J583" s="6" t="s">
        <v>1762</v>
      </c>
      <c r="K583" s="9">
        <v>132.13999999999999</v>
      </c>
      <c r="L583" s="112">
        <v>13300</v>
      </c>
      <c r="M583" s="112"/>
      <c r="N583" s="9">
        <f>+L583/2</f>
        <v>6650</v>
      </c>
      <c r="O583" s="9">
        <f>+N583-M583-K583</f>
        <v>6517.86</v>
      </c>
      <c r="P583" s="9">
        <f>+M583+K583</f>
        <v>132.13999999999999</v>
      </c>
      <c r="Q583" s="139">
        <f>+O583/N583</f>
        <v>0.98012932330827063</v>
      </c>
      <c r="R583" s="395">
        <f>VLOOKUP(C583,'[1]ORIGINAL (2)'!$A:$C,3,FALSE)</f>
        <v>1</v>
      </c>
      <c r="S583" s="24" t="e">
        <f>VLOOKUP(C583,#REF!,6,FALSE)</f>
        <v>#REF!</v>
      </c>
      <c r="T583" s="24" t="e">
        <f>VLOOKUP(C583,#REF!,7,FALSE)</f>
        <v>#REF!</v>
      </c>
      <c r="U583" s="24" t="e">
        <f>VLOOKUP(C583,#REF!,12,FALSE)</f>
        <v>#REF!</v>
      </c>
      <c r="V583" s="24" t="e">
        <f>VLOOKUP(C583,#REF!,13,FALSE)</f>
        <v>#REF!</v>
      </c>
    </row>
    <row r="584" spans="1:22" x14ac:dyDescent="0.25">
      <c r="A584" s="7" t="s">
        <v>1447</v>
      </c>
      <c r="B584" s="8">
        <v>9789500210430</v>
      </c>
      <c r="C584" s="8">
        <v>683673</v>
      </c>
      <c r="D584" s="25">
        <v>24</v>
      </c>
      <c r="E584" s="7" t="s">
        <v>329</v>
      </c>
      <c r="F584" s="7" t="s">
        <v>546</v>
      </c>
      <c r="G584" s="107">
        <v>44348</v>
      </c>
      <c r="H584" s="108">
        <v>44256</v>
      </c>
      <c r="I584" s="7">
        <v>3024</v>
      </c>
      <c r="J584" s="6" t="s">
        <v>1762</v>
      </c>
      <c r="K584" s="9">
        <v>132.13999999999999</v>
      </c>
      <c r="L584" s="112">
        <v>13300</v>
      </c>
      <c r="M584" s="112"/>
      <c r="N584" s="9">
        <f>+L584/2</f>
        <v>6650</v>
      </c>
      <c r="O584" s="9">
        <f>+N584-M584-K584</f>
        <v>6517.86</v>
      </c>
      <c r="P584" s="9">
        <f>+M584+K584</f>
        <v>132.13999999999999</v>
      </c>
      <c r="Q584" s="139">
        <f>+O584/N584</f>
        <v>0.98012932330827063</v>
      </c>
      <c r="R584" s="395">
        <f>VLOOKUP(C584,'[1]ORIGINAL (2)'!$A:$C,3,FALSE)</f>
        <v>2</v>
      </c>
      <c r="S584" s="24" t="e">
        <f>VLOOKUP(C584,#REF!,6,FALSE)</f>
        <v>#REF!</v>
      </c>
      <c r="T584" s="24" t="e">
        <f>VLOOKUP(C584,#REF!,7,FALSE)</f>
        <v>#REF!</v>
      </c>
      <c r="U584" s="24" t="e">
        <f>VLOOKUP(C584,#REF!,12,FALSE)</f>
        <v>#REF!</v>
      </c>
      <c r="V584" s="24" t="e">
        <f>VLOOKUP(C584,#REF!,13,FALSE)</f>
        <v>#REF!</v>
      </c>
    </row>
    <row r="585" spans="1:22" x14ac:dyDescent="0.25">
      <c r="A585" s="2"/>
      <c r="B585" s="3"/>
      <c r="C585" s="3"/>
      <c r="D585" s="2"/>
      <c r="E585" s="2"/>
      <c r="F585" s="2"/>
      <c r="G585" s="2"/>
      <c r="H585" s="2"/>
      <c r="I585" s="2"/>
      <c r="J585" s="134"/>
      <c r="K585" s="132"/>
      <c r="L585" s="18"/>
      <c r="M585" s="132"/>
      <c r="N585" s="132"/>
      <c r="O585" s="132"/>
      <c r="P585" s="132"/>
      <c r="Q585" s="147"/>
      <c r="R585" s="395" t="e">
        <f>VLOOKUP(C585,'[1]ORIGINAL (2)'!$A:$C,3,FALSE)</f>
        <v>#N/A</v>
      </c>
      <c r="S585" s="100"/>
      <c r="T585" s="100"/>
      <c r="U585" s="100"/>
      <c r="V585" s="100"/>
    </row>
    <row r="586" spans="1:22" x14ac:dyDescent="0.25">
      <c r="A586" s="199" t="s">
        <v>1448</v>
      </c>
      <c r="B586" s="168"/>
      <c r="C586" s="168"/>
      <c r="D586" s="174"/>
      <c r="E586" s="347"/>
      <c r="F586" s="314"/>
      <c r="G586" s="162"/>
      <c r="H586" s="132"/>
      <c r="I586" s="132"/>
      <c r="J586" s="134"/>
      <c r="K586" s="132"/>
      <c r="L586" s="18"/>
      <c r="M586" s="132"/>
      <c r="N586" s="132"/>
      <c r="O586" s="132"/>
      <c r="P586" s="132"/>
      <c r="Q586" s="147"/>
      <c r="R586" s="395" t="e">
        <f>VLOOKUP(C586,'[1]ORIGINAL (2)'!$A:$C,3,FALSE)</f>
        <v>#N/A</v>
      </c>
      <c r="S586" s="100"/>
      <c r="T586" s="100"/>
      <c r="U586" s="100"/>
      <c r="V586" s="100"/>
    </row>
    <row r="587" spans="1:22" x14ac:dyDescent="0.25">
      <c r="A587" s="200" t="s">
        <v>1449</v>
      </c>
      <c r="B587" s="158">
        <v>9789500298629</v>
      </c>
      <c r="C587" s="158">
        <v>599841</v>
      </c>
      <c r="D587" s="201">
        <v>144</v>
      </c>
      <c r="E587" s="22" t="s">
        <v>306</v>
      </c>
      <c r="F587" s="6" t="s">
        <v>617</v>
      </c>
      <c r="G587" s="107">
        <v>42339</v>
      </c>
      <c r="H587" s="108">
        <v>42309</v>
      </c>
      <c r="I587" s="24">
        <v>4000</v>
      </c>
      <c r="J587" s="28" t="s">
        <v>1946</v>
      </c>
      <c r="K587" s="28">
        <v>28.39</v>
      </c>
      <c r="L587" s="128">
        <v>11900</v>
      </c>
      <c r="M587" s="9">
        <f>+L587*0.1</f>
        <v>1190</v>
      </c>
      <c r="N587" s="9">
        <f>+L587/2</f>
        <v>5950</v>
      </c>
      <c r="O587" s="9">
        <f>+N587-M587-K587</f>
        <v>4731.6099999999997</v>
      </c>
      <c r="P587" s="9">
        <f>+M587+K587</f>
        <v>1218.3900000000001</v>
      </c>
      <c r="Q587" s="139">
        <f>+O587/N587</f>
        <v>0.7952285714285714</v>
      </c>
      <c r="R587" s="395" t="e">
        <f>VLOOKUP(C587,'[1]ORIGINAL (2)'!$A:$C,3,FALSE)</f>
        <v>#N/A</v>
      </c>
      <c r="S587" s="24" t="e">
        <f>VLOOKUP(C587,#REF!,6,FALSE)</f>
        <v>#REF!</v>
      </c>
      <c r="T587" s="24" t="e">
        <f>VLOOKUP(C587,#REF!,7,FALSE)</f>
        <v>#REF!</v>
      </c>
      <c r="U587" s="24" t="e">
        <f>VLOOKUP(C587,#REF!,12,FALSE)</f>
        <v>#REF!</v>
      </c>
      <c r="V587" s="24" t="e">
        <f>VLOOKUP(C587,#REF!,13,FALSE)</f>
        <v>#REF!</v>
      </c>
    </row>
    <row r="588" spans="1:22" x14ac:dyDescent="0.25">
      <c r="A588" s="6" t="s">
        <v>1450</v>
      </c>
      <c r="B588" s="8">
        <v>9789500298940</v>
      </c>
      <c r="C588" s="8">
        <v>621797</v>
      </c>
      <c r="D588" s="7">
        <v>144</v>
      </c>
      <c r="E588" s="7" t="s">
        <v>306</v>
      </c>
      <c r="F588" s="7" t="s">
        <v>1451</v>
      </c>
      <c r="G588" s="107">
        <v>42675</v>
      </c>
      <c r="H588" s="108">
        <v>42583</v>
      </c>
      <c r="I588" s="24">
        <v>5100</v>
      </c>
      <c r="J588" s="28" t="s">
        <v>1946</v>
      </c>
      <c r="K588" s="28">
        <v>44.32</v>
      </c>
      <c r="L588" s="128">
        <v>11900</v>
      </c>
      <c r="M588" s="112"/>
      <c r="N588" s="9">
        <f>+L588/2</f>
        <v>5950</v>
      </c>
      <c r="O588" s="9">
        <f>+N588-M588-K588</f>
        <v>5905.68</v>
      </c>
      <c r="P588" s="9">
        <f>+M588+K588</f>
        <v>44.32</v>
      </c>
      <c r="Q588" s="139">
        <f>+O588/N588</f>
        <v>0.99255126050420173</v>
      </c>
      <c r="R588" s="395" t="e">
        <f>VLOOKUP(C588,'[1]ORIGINAL (2)'!$A:$C,3,FALSE)</f>
        <v>#N/A</v>
      </c>
      <c r="S588" s="24" t="e">
        <f>VLOOKUP(C588,#REF!,6,FALSE)</f>
        <v>#REF!</v>
      </c>
      <c r="T588" s="24" t="e">
        <f>VLOOKUP(C588,#REF!,7,FALSE)</f>
        <v>#REF!</v>
      </c>
      <c r="U588" s="24" t="e">
        <f>VLOOKUP(C588,#REF!,12,FALSE)</f>
        <v>#REF!</v>
      </c>
      <c r="V588" s="24" t="e">
        <f>VLOOKUP(C588,#REF!,13,FALSE)</f>
        <v>#REF!</v>
      </c>
    </row>
    <row r="589" spans="1:22" x14ac:dyDescent="0.25">
      <c r="A589" s="6" t="s">
        <v>1452</v>
      </c>
      <c r="B589" s="8">
        <v>9789500298933</v>
      </c>
      <c r="C589" s="6">
        <v>621798</v>
      </c>
      <c r="D589" s="7">
        <v>144</v>
      </c>
      <c r="E589" s="7" t="s">
        <v>306</v>
      </c>
      <c r="F589" s="7" t="s">
        <v>307</v>
      </c>
      <c r="G589" s="107">
        <v>42705</v>
      </c>
      <c r="H589" s="108">
        <v>42583</v>
      </c>
      <c r="I589" s="24">
        <v>5137</v>
      </c>
      <c r="J589" s="28" t="s">
        <v>1946</v>
      </c>
      <c r="K589" s="28">
        <v>44.32</v>
      </c>
      <c r="L589" s="128">
        <v>11900</v>
      </c>
      <c r="M589" s="112"/>
      <c r="N589" s="9">
        <f>+L589/2</f>
        <v>5950</v>
      </c>
      <c r="O589" s="9">
        <f>+N589-M589-K589</f>
        <v>5905.68</v>
      </c>
      <c r="P589" s="9">
        <f>+M589+K589</f>
        <v>44.32</v>
      </c>
      <c r="Q589" s="139">
        <f>+O589/N589</f>
        <v>0.99255126050420173</v>
      </c>
      <c r="R589" s="395">
        <f>VLOOKUP(C589,'[1]ORIGINAL (2)'!$A:$C,3,FALSE)</f>
        <v>3</v>
      </c>
      <c r="S589" s="24" t="e">
        <f>VLOOKUP(C589,#REF!,6,FALSE)</f>
        <v>#REF!</v>
      </c>
      <c r="T589" s="24" t="e">
        <f>VLOOKUP(C589,#REF!,7,FALSE)</f>
        <v>#REF!</v>
      </c>
      <c r="U589" s="24" t="e">
        <f>VLOOKUP(C589,#REF!,12,FALSE)</f>
        <v>#REF!</v>
      </c>
      <c r="V589" s="24" t="e">
        <f>VLOOKUP(C589,#REF!,13,FALSE)</f>
        <v>#REF!</v>
      </c>
    </row>
    <row r="590" spans="1:22" x14ac:dyDescent="0.25">
      <c r="A590" s="377"/>
      <c r="B590" s="333"/>
      <c r="C590" s="333"/>
      <c r="D590" s="68"/>
      <c r="E590" s="381"/>
      <c r="F590" s="349"/>
      <c r="G590" s="68"/>
      <c r="H590" s="68"/>
      <c r="I590" s="68"/>
      <c r="J590" s="134"/>
      <c r="K590" s="132"/>
      <c r="L590" s="134"/>
      <c r="M590" s="132"/>
      <c r="N590" s="132"/>
      <c r="O590" s="132"/>
      <c r="P590" s="132"/>
      <c r="Q590" s="147"/>
      <c r="R590" s="395" t="e">
        <f>VLOOKUP(C590,'[1]ORIGINAL (2)'!$A:$C,3,FALSE)</f>
        <v>#N/A</v>
      </c>
      <c r="S590" s="100"/>
      <c r="T590" s="100"/>
      <c r="U590" s="100"/>
      <c r="V590" s="100"/>
    </row>
    <row r="591" spans="1:22" ht="15.75" x14ac:dyDescent="0.3">
      <c r="A591" s="276" t="s">
        <v>629</v>
      </c>
      <c r="B591" s="133"/>
      <c r="C591" s="133"/>
      <c r="D591" s="154"/>
      <c r="E591" s="197"/>
      <c r="F591" s="349"/>
      <c r="G591" s="349"/>
      <c r="H591" s="349"/>
      <c r="I591" s="349"/>
      <c r="J591" s="134"/>
      <c r="K591" s="349"/>
      <c r="L591" s="349"/>
      <c r="M591" s="132"/>
      <c r="N591" s="132"/>
      <c r="O591" s="132"/>
      <c r="P591" s="132"/>
      <c r="Q591" s="147"/>
      <c r="R591" s="395" t="e">
        <f>VLOOKUP(C591,'[1]ORIGINAL (2)'!$A:$C,3,FALSE)</f>
        <v>#N/A</v>
      </c>
      <c r="S591" s="100"/>
      <c r="T591" s="100"/>
      <c r="U591" s="100"/>
      <c r="V591" s="100"/>
    </row>
    <row r="592" spans="1:22" x14ac:dyDescent="0.25">
      <c r="A592" s="6" t="s">
        <v>2312</v>
      </c>
      <c r="B592" s="153">
        <v>9789500217675</v>
      </c>
      <c r="C592" s="6">
        <v>744133</v>
      </c>
      <c r="D592" s="343">
        <v>240</v>
      </c>
      <c r="E592" s="6" t="s">
        <v>2313</v>
      </c>
      <c r="F592" s="7" t="s">
        <v>2314</v>
      </c>
      <c r="G592" s="107">
        <v>46143</v>
      </c>
      <c r="H592" s="108">
        <v>46235</v>
      </c>
      <c r="I592" s="7">
        <v>1872</v>
      </c>
      <c r="J592" s="7" t="s">
        <v>2329</v>
      </c>
      <c r="K592" s="148">
        <v>2481.77</v>
      </c>
      <c r="L592" s="352">
        <v>29900</v>
      </c>
      <c r="M592" s="112">
        <f>+L592*0.11</f>
        <v>3289</v>
      </c>
      <c r="N592" s="9">
        <f t="shared" ref="N592:N611" si="87">+L592/2</f>
        <v>14950</v>
      </c>
      <c r="O592" s="9">
        <f t="shared" ref="O592:O611" si="88">+N592-M592-K592</f>
        <v>9179.23</v>
      </c>
      <c r="P592" s="9">
        <f t="shared" ref="P592:P611" si="89">+M592+K592</f>
        <v>5770.77</v>
      </c>
      <c r="Q592" s="139">
        <f t="shared" ref="Q592:Q611" si="90">+O592/N592</f>
        <v>0.61399531772575244</v>
      </c>
      <c r="R592" s="395">
        <f>VLOOKUP(C592,'[1]ORIGINAL (2)'!$A:$C,3,FALSE)</f>
        <v>2779</v>
      </c>
      <c r="S592" s="24" t="e">
        <f>VLOOKUP(C592,#REF!,6,FALSE)</f>
        <v>#REF!</v>
      </c>
      <c r="T592" s="24" t="e">
        <f>VLOOKUP(C592,#REF!,7,FALSE)</f>
        <v>#REF!</v>
      </c>
      <c r="U592" s="24" t="e">
        <f>VLOOKUP(C592,#REF!,12,FALSE)</f>
        <v>#REF!</v>
      </c>
      <c r="V592" s="24" t="e">
        <f>VLOOKUP(C592,#REF!,13,FALSE)</f>
        <v>#REF!</v>
      </c>
    </row>
    <row r="593" spans="1:22" x14ac:dyDescent="0.25">
      <c r="A593" s="6" t="s">
        <v>2315</v>
      </c>
      <c r="B593" s="153">
        <v>9789500217644</v>
      </c>
      <c r="C593" s="6">
        <v>744136</v>
      </c>
      <c r="D593" s="41">
        <v>304</v>
      </c>
      <c r="E593" s="6" t="s">
        <v>1935</v>
      </c>
      <c r="F593" s="7" t="s">
        <v>2316</v>
      </c>
      <c r="G593" s="107">
        <v>46143</v>
      </c>
      <c r="H593" s="108">
        <v>46113</v>
      </c>
      <c r="I593" s="7">
        <v>4102</v>
      </c>
      <c r="J593" s="7" t="s">
        <v>2329</v>
      </c>
      <c r="K593" s="148">
        <v>3788.24</v>
      </c>
      <c r="L593" s="352">
        <v>31900</v>
      </c>
      <c r="M593" s="112">
        <f>+L593*0.08</f>
        <v>2552</v>
      </c>
      <c r="N593" s="9">
        <f t="shared" si="87"/>
        <v>15950</v>
      </c>
      <c r="O593" s="9">
        <f t="shared" si="88"/>
        <v>9609.76</v>
      </c>
      <c r="P593" s="9">
        <f t="shared" si="89"/>
        <v>6340.24</v>
      </c>
      <c r="Q593" s="139">
        <f t="shared" si="90"/>
        <v>0.60249278996865208</v>
      </c>
      <c r="R593" s="395">
        <f>VLOOKUP(C593,'[1]ORIGINAL (2)'!$A:$C,3,FALSE)</f>
        <v>1037</v>
      </c>
      <c r="S593" s="24" t="e">
        <f>VLOOKUP(C593,#REF!,6,FALSE)</f>
        <v>#REF!</v>
      </c>
      <c r="T593" s="24" t="e">
        <f>VLOOKUP(C593,#REF!,7,FALSE)</f>
        <v>#REF!</v>
      </c>
      <c r="U593" s="24" t="e">
        <f>VLOOKUP(C593,#REF!,12,FALSE)</f>
        <v>#REF!</v>
      </c>
      <c r="V593" s="24" t="e">
        <f>VLOOKUP(C593,#REF!,13,FALSE)</f>
        <v>#REF!</v>
      </c>
    </row>
    <row r="594" spans="1:22" x14ac:dyDescent="0.25">
      <c r="A594" s="6" t="s">
        <v>2207</v>
      </c>
      <c r="B594" s="153">
        <v>9789500217132</v>
      </c>
      <c r="C594" s="6">
        <v>740161</v>
      </c>
      <c r="D594" s="41">
        <v>336</v>
      </c>
      <c r="E594" s="6" t="s">
        <v>2208</v>
      </c>
      <c r="F594" s="6" t="s">
        <v>2209</v>
      </c>
      <c r="G594" s="107">
        <v>46023</v>
      </c>
      <c r="H594" s="107">
        <v>46266</v>
      </c>
      <c r="I594" s="239" t="s">
        <v>2435</v>
      </c>
      <c r="J594" s="6" t="s">
        <v>1762</v>
      </c>
      <c r="K594" s="148">
        <v>3462.88</v>
      </c>
      <c r="L594" s="9">
        <v>31900</v>
      </c>
      <c r="M594" s="112">
        <f>+L594*0.08</f>
        <v>2552</v>
      </c>
      <c r="N594" s="9">
        <f t="shared" si="87"/>
        <v>15950</v>
      </c>
      <c r="O594" s="9">
        <f t="shared" si="88"/>
        <v>9935.119999999999</v>
      </c>
      <c r="P594" s="9">
        <f t="shared" si="89"/>
        <v>6014.88</v>
      </c>
      <c r="Q594" s="139">
        <f t="shared" si="90"/>
        <v>0.62289153605015668</v>
      </c>
      <c r="R594" s="395">
        <f>VLOOKUP(C594,'[1]ORIGINAL (2)'!$A:$C,3,FALSE)</f>
        <v>745</v>
      </c>
      <c r="S594" s="24" t="e">
        <f>VLOOKUP(C594,#REF!,6,FALSE)</f>
        <v>#REF!</v>
      </c>
      <c r="T594" s="24" t="e">
        <f>VLOOKUP(C594,#REF!,7,FALSE)</f>
        <v>#REF!</v>
      </c>
      <c r="U594" s="24" t="e">
        <f>VLOOKUP(C594,#REF!,12,FALSE)</f>
        <v>#REF!</v>
      </c>
      <c r="V594" s="24" t="e">
        <f>VLOOKUP(C594,#REF!,13,FALSE)</f>
        <v>#REF!</v>
      </c>
    </row>
    <row r="595" spans="1:22" x14ac:dyDescent="0.25">
      <c r="A595" s="6" t="s">
        <v>2154</v>
      </c>
      <c r="B595" s="153">
        <v>9789500216746</v>
      </c>
      <c r="C595" s="6">
        <v>735113</v>
      </c>
      <c r="D595" s="41">
        <v>224</v>
      </c>
      <c r="E595" s="6" t="s">
        <v>2155</v>
      </c>
      <c r="F595" s="6" t="s">
        <v>2156</v>
      </c>
      <c r="G595" s="107">
        <v>45931</v>
      </c>
      <c r="H595" s="108">
        <v>45901</v>
      </c>
      <c r="I595" s="7">
        <v>4053</v>
      </c>
      <c r="J595" s="116" t="s">
        <v>1762</v>
      </c>
      <c r="K595" s="148">
        <v>2238.2199999999998</v>
      </c>
      <c r="L595" s="9">
        <v>25500</v>
      </c>
      <c r="M595" s="112">
        <f>+L595*0.08</f>
        <v>2040</v>
      </c>
      <c r="N595" s="9">
        <f t="shared" si="87"/>
        <v>12750</v>
      </c>
      <c r="O595" s="9">
        <f t="shared" si="88"/>
        <v>8471.7800000000007</v>
      </c>
      <c r="P595" s="9">
        <f t="shared" si="89"/>
        <v>4278.2199999999993</v>
      </c>
      <c r="Q595" s="139">
        <f t="shared" si="90"/>
        <v>0.66445333333333334</v>
      </c>
      <c r="R595" s="395">
        <f>VLOOKUP(C595,'[1]ORIGINAL (2)'!$A:$C,3,FALSE)</f>
        <v>465</v>
      </c>
      <c r="S595" s="24" t="e">
        <f>VLOOKUP(C595,#REF!,6,FALSE)</f>
        <v>#REF!</v>
      </c>
      <c r="T595" s="24" t="e">
        <f>VLOOKUP(C595,#REF!,7,FALSE)</f>
        <v>#REF!</v>
      </c>
      <c r="U595" s="24" t="e">
        <f>VLOOKUP(C595,#REF!,12,FALSE)</f>
        <v>#REF!</v>
      </c>
      <c r="V595" s="24" t="e">
        <f>VLOOKUP(C595,#REF!,13,FALSE)</f>
        <v>#REF!</v>
      </c>
    </row>
    <row r="596" spans="1:22" x14ac:dyDescent="0.25">
      <c r="A596" s="6" t="s">
        <v>2113</v>
      </c>
      <c r="B596" s="153">
        <v>9789500216692</v>
      </c>
      <c r="C596" s="6">
        <v>734149</v>
      </c>
      <c r="D596" s="41">
        <v>448</v>
      </c>
      <c r="E596" s="6" t="s">
        <v>2121</v>
      </c>
      <c r="F596" s="6" t="s">
        <v>2122</v>
      </c>
      <c r="G596" s="107">
        <v>45901</v>
      </c>
      <c r="H596" s="108">
        <v>46174</v>
      </c>
      <c r="I596" s="7">
        <v>2071</v>
      </c>
      <c r="J596" s="7" t="s">
        <v>1762</v>
      </c>
      <c r="K596" s="148">
        <v>3243.39</v>
      </c>
      <c r="L596" s="9">
        <v>33900</v>
      </c>
      <c r="M596" s="112">
        <f>+L596*0.08</f>
        <v>2712</v>
      </c>
      <c r="N596" s="9">
        <f t="shared" si="87"/>
        <v>16950</v>
      </c>
      <c r="O596" s="9">
        <f t="shared" si="88"/>
        <v>10994.61</v>
      </c>
      <c r="P596" s="9">
        <f t="shared" si="89"/>
        <v>5955.3899999999994</v>
      </c>
      <c r="Q596" s="139">
        <f t="shared" si="90"/>
        <v>0.64864955752212394</v>
      </c>
      <c r="R596" s="395">
        <f>VLOOKUP(C596,'[1]ORIGINAL (2)'!$A:$C,3,FALSE)</f>
        <v>1291</v>
      </c>
      <c r="S596" s="24" t="e">
        <f>VLOOKUP(C596,#REF!,6,FALSE)</f>
        <v>#REF!</v>
      </c>
      <c r="T596" s="24" t="e">
        <f>VLOOKUP(C596,#REF!,7,FALSE)</f>
        <v>#REF!</v>
      </c>
      <c r="U596" s="24" t="e">
        <f>VLOOKUP(C596,#REF!,12,FALSE)</f>
        <v>#REF!</v>
      </c>
      <c r="V596" s="24" t="e">
        <f>VLOOKUP(C596,#REF!,13,FALSE)</f>
        <v>#REF!</v>
      </c>
    </row>
    <row r="597" spans="1:22" x14ac:dyDescent="0.25">
      <c r="A597" s="6" t="s">
        <v>2113</v>
      </c>
      <c r="B597" s="153">
        <v>9789500216708</v>
      </c>
      <c r="C597" s="6">
        <v>734150</v>
      </c>
      <c r="D597" s="41">
        <v>178</v>
      </c>
      <c r="E597" s="6" t="s">
        <v>2123</v>
      </c>
      <c r="F597" s="6" t="s">
        <v>2124</v>
      </c>
      <c r="G597" s="107">
        <v>45901</v>
      </c>
      <c r="H597" s="107">
        <v>46235</v>
      </c>
      <c r="I597" s="239" t="s">
        <v>2435</v>
      </c>
      <c r="J597" s="6" t="s">
        <v>1333</v>
      </c>
      <c r="K597" s="148">
        <v>3496</v>
      </c>
      <c r="L597" s="295">
        <v>25900</v>
      </c>
      <c r="M597" s="112">
        <f>+L597*0.08</f>
        <v>2072</v>
      </c>
      <c r="N597" s="9">
        <f t="shared" si="87"/>
        <v>12950</v>
      </c>
      <c r="O597" s="9">
        <f t="shared" si="88"/>
        <v>7382</v>
      </c>
      <c r="P597" s="9">
        <f t="shared" si="89"/>
        <v>5568</v>
      </c>
      <c r="Q597" s="139">
        <f t="shared" si="90"/>
        <v>0.57003861003861001</v>
      </c>
      <c r="R597" s="395">
        <f>VLOOKUP(C597,'[1]ORIGINAL (2)'!$A:$C,3,FALSE)</f>
        <v>1558</v>
      </c>
      <c r="S597" s="24" t="e">
        <f>VLOOKUP(C597,#REF!,6,FALSE)</f>
        <v>#REF!</v>
      </c>
      <c r="T597" s="24" t="e">
        <f>VLOOKUP(C597,#REF!,7,FALSE)</f>
        <v>#REF!</v>
      </c>
      <c r="U597" s="24" t="e">
        <f>VLOOKUP(C597,#REF!,12,FALSE)</f>
        <v>#REF!</v>
      </c>
      <c r="V597" s="24" t="e">
        <f>VLOOKUP(C597,#REF!,13,FALSE)</f>
        <v>#REF!</v>
      </c>
    </row>
    <row r="598" spans="1:22" x14ac:dyDescent="0.25">
      <c r="A598" s="6" t="s">
        <v>2072</v>
      </c>
      <c r="B598" s="279">
        <v>9789500216500</v>
      </c>
      <c r="C598" s="6">
        <v>731830</v>
      </c>
      <c r="D598" s="41">
        <v>288</v>
      </c>
      <c r="E598" s="6" t="s">
        <v>2073</v>
      </c>
      <c r="F598" s="6" t="s">
        <v>2074</v>
      </c>
      <c r="G598" s="107">
        <v>45839</v>
      </c>
      <c r="H598" s="108">
        <v>45809</v>
      </c>
      <c r="I598" s="264">
        <v>3912</v>
      </c>
      <c r="J598" s="116" t="s">
        <v>1762</v>
      </c>
      <c r="K598" s="292">
        <v>2356.06</v>
      </c>
      <c r="L598" s="9">
        <v>26500</v>
      </c>
      <c r="M598" s="112">
        <f>+L598*0.1</f>
        <v>2650</v>
      </c>
      <c r="N598" s="9">
        <f t="shared" si="87"/>
        <v>13250</v>
      </c>
      <c r="O598" s="9">
        <f t="shared" si="88"/>
        <v>8243.94</v>
      </c>
      <c r="P598" s="9">
        <f t="shared" si="89"/>
        <v>5006.0599999999995</v>
      </c>
      <c r="Q598" s="139">
        <f t="shared" si="90"/>
        <v>0.6221841509433963</v>
      </c>
      <c r="R598" s="395">
        <f>VLOOKUP(C598,'[1]ORIGINAL (2)'!$A:$C,3,FALSE)</f>
        <v>307</v>
      </c>
      <c r="S598" s="24" t="e">
        <f>VLOOKUP(C598,#REF!,6,FALSE)</f>
        <v>#REF!</v>
      </c>
      <c r="T598" s="24" t="e">
        <f>VLOOKUP(C598,#REF!,7,FALSE)</f>
        <v>#REF!</v>
      </c>
      <c r="U598" s="24" t="e">
        <f>VLOOKUP(C598,#REF!,12,FALSE)</f>
        <v>#REF!</v>
      </c>
      <c r="V598" s="24" t="e">
        <f>VLOOKUP(C598,#REF!,13,FALSE)</f>
        <v>#REF!</v>
      </c>
    </row>
    <row r="599" spans="1:22" x14ac:dyDescent="0.25">
      <c r="A599" s="6" t="s">
        <v>2299</v>
      </c>
      <c r="B599" s="344" t="s">
        <v>2300</v>
      </c>
      <c r="C599" s="6">
        <v>743070</v>
      </c>
      <c r="D599" s="41">
        <v>368</v>
      </c>
      <c r="E599" s="7" t="s">
        <v>758</v>
      </c>
      <c r="F599" s="6" t="s">
        <v>2301</v>
      </c>
      <c r="G599" s="107">
        <v>46113</v>
      </c>
      <c r="H599" s="108">
        <v>46082</v>
      </c>
      <c r="I599" s="267">
        <v>2017</v>
      </c>
      <c r="J599" s="6" t="s">
        <v>1333</v>
      </c>
      <c r="K599" s="148">
        <v>6103.21</v>
      </c>
      <c r="L599" s="9">
        <v>39900</v>
      </c>
      <c r="M599" s="112">
        <f>+L599*0.1</f>
        <v>3990</v>
      </c>
      <c r="N599" s="9">
        <f t="shared" si="87"/>
        <v>19950</v>
      </c>
      <c r="O599" s="9">
        <f t="shared" si="88"/>
        <v>9856.7900000000009</v>
      </c>
      <c r="P599" s="9">
        <f t="shared" si="89"/>
        <v>10093.209999999999</v>
      </c>
      <c r="Q599" s="139">
        <f t="shared" si="90"/>
        <v>0.494074686716792</v>
      </c>
      <c r="R599" s="395">
        <f>VLOOKUP(C599,'[1]ORIGINAL (2)'!$A:$C,3,FALSE)</f>
        <v>143</v>
      </c>
      <c r="S599" s="24" t="e">
        <f>VLOOKUP(C599,#REF!,6,FALSE)</f>
        <v>#REF!</v>
      </c>
      <c r="T599" s="24" t="e">
        <f>VLOOKUP(C599,#REF!,7,FALSE)</f>
        <v>#REF!</v>
      </c>
      <c r="U599" s="24" t="e">
        <f>VLOOKUP(C599,#REF!,12,FALSE)</f>
        <v>#REF!</v>
      </c>
      <c r="V599" s="24" t="e">
        <f>VLOOKUP(C599,#REF!,13,FALSE)</f>
        <v>#REF!</v>
      </c>
    </row>
    <row r="600" spans="1:22" x14ac:dyDescent="0.25">
      <c r="A600" s="6" t="s">
        <v>2040</v>
      </c>
      <c r="B600" s="279">
        <v>9789500216173</v>
      </c>
      <c r="C600" s="6">
        <v>729377</v>
      </c>
      <c r="D600" s="41">
        <v>384</v>
      </c>
      <c r="E600" s="7" t="s">
        <v>758</v>
      </c>
      <c r="F600" s="6" t="s">
        <v>2041</v>
      </c>
      <c r="G600" s="108">
        <v>45778</v>
      </c>
      <c r="H600" s="108">
        <v>45809</v>
      </c>
      <c r="I600" s="264">
        <v>4995</v>
      </c>
      <c r="J600" s="176" t="s">
        <v>2219</v>
      </c>
      <c r="K600" s="292">
        <v>2239.37</v>
      </c>
      <c r="L600" s="9">
        <v>35500</v>
      </c>
      <c r="M600" s="112">
        <f>+L600*0.1</f>
        <v>3550</v>
      </c>
      <c r="N600" s="9">
        <f t="shared" si="87"/>
        <v>17750</v>
      </c>
      <c r="O600" s="9">
        <f t="shared" si="88"/>
        <v>11960.630000000001</v>
      </c>
      <c r="P600" s="9">
        <f t="shared" si="89"/>
        <v>5789.37</v>
      </c>
      <c r="Q600" s="139">
        <f t="shared" si="90"/>
        <v>0.67383830985915494</v>
      </c>
      <c r="R600" s="395">
        <f>VLOOKUP(C600,'[1]ORIGINAL (2)'!$A:$C,3,FALSE)</f>
        <v>2122</v>
      </c>
      <c r="S600" s="24" t="e">
        <f>VLOOKUP(C600,#REF!,6,FALSE)</f>
        <v>#REF!</v>
      </c>
      <c r="T600" s="24" t="e">
        <f>VLOOKUP(C600,#REF!,7,FALSE)</f>
        <v>#REF!</v>
      </c>
      <c r="U600" s="24" t="e">
        <f>VLOOKUP(C600,#REF!,12,FALSE)</f>
        <v>#REF!</v>
      </c>
      <c r="V600" s="24" t="e">
        <f>VLOOKUP(C600,#REF!,13,FALSE)</f>
        <v>#REF!</v>
      </c>
    </row>
    <row r="601" spans="1:22" x14ac:dyDescent="0.25">
      <c r="A601" s="6" t="s">
        <v>1934</v>
      </c>
      <c r="B601" s="282">
        <v>9789500215671</v>
      </c>
      <c r="C601" s="8">
        <v>722605</v>
      </c>
      <c r="D601" s="25">
        <v>576</v>
      </c>
      <c r="E601" s="25" t="s">
        <v>1935</v>
      </c>
      <c r="F601" s="25" t="s">
        <v>1936</v>
      </c>
      <c r="G601" s="107">
        <v>45597</v>
      </c>
      <c r="H601" s="108">
        <v>45566</v>
      </c>
      <c r="I601" s="264">
        <v>5005</v>
      </c>
      <c r="J601" s="6" t="s">
        <v>1762</v>
      </c>
      <c r="K601" s="148">
        <v>3879.92</v>
      </c>
      <c r="L601" s="28">
        <v>37900</v>
      </c>
      <c r="M601" s="9">
        <f>+L601*0.08</f>
        <v>3032</v>
      </c>
      <c r="N601" s="9">
        <f t="shared" si="87"/>
        <v>18950</v>
      </c>
      <c r="O601" s="9">
        <f t="shared" si="88"/>
        <v>12038.08</v>
      </c>
      <c r="P601" s="9">
        <f t="shared" si="89"/>
        <v>6911.92</v>
      </c>
      <c r="Q601" s="139">
        <f t="shared" si="90"/>
        <v>0.63525488126649077</v>
      </c>
      <c r="R601" s="395">
        <f>VLOOKUP(C601,'[1]ORIGINAL (2)'!$A:$C,3,FALSE)</f>
        <v>334</v>
      </c>
      <c r="S601" s="24" t="e">
        <f>VLOOKUP(C601,#REF!,6,FALSE)</f>
        <v>#REF!</v>
      </c>
      <c r="T601" s="24" t="e">
        <f>VLOOKUP(C601,#REF!,7,FALSE)</f>
        <v>#REF!</v>
      </c>
      <c r="U601" s="24" t="e">
        <f>VLOOKUP(C601,#REF!,12,FALSE)</f>
        <v>#REF!</v>
      </c>
      <c r="V601" s="24" t="e">
        <f>VLOOKUP(C601,#REF!,13,FALSE)</f>
        <v>#REF!</v>
      </c>
    </row>
    <row r="602" spans="1:22" x14ac:dyDescent="0.25">
      <c r="A602" s="7" t="s">
        <v>1937</v>
      </c>
      <c r="B602" s="283">
        <v>9789500215619</v>
      </c>
      <c r="C602" s="8">
        <v>722614</v>
      </c>
      <c r="D602" s="25">
        <v>304</v>
      </c>
      <c r="E602" s="278" t="s">
        <v>1938</v>
      </c>
      <c r="F602" s="278" t="s">
        <v>1939</v>
      </c>
      <c r="G602" s="107">
        <v>45597</v>
      </c>
      <c r="H602" s="108">
        <v>45809</v>
      </c>
      <c r="I602" s="264">
        <v>2003</v>
      </c>
      <c r="J602" s="280" t="s">
        <v>1762</v>
      </c>
      <c r="K602" s="148">
        <v>2292.71</v>
      </c>
      <c r="L602" s="9">
        <v>33900</v>
      </c>
      <c r="M602" s="9">
        <f>+L602*0.08</f>
        <v>2712</v>
      </c>
      <c r="N602" s="9">
        <f t="shared" si="87"/>
        <v>16950</v>
      </c>
      <c r="O602" s="9">
        <f t="shared" si="88"/>
        <v>11945.29</v>
      </c>
      <c r="P602" s="9">
        <f t="shared" si="89"/>
        <v>5004.71</v>
      </c>
      <c r="Q602" s="139">
        <f t="shared" si="90"/>
        <v>0.70473687315634226</v>
      </c>
      <c r="R602" s="395">
        <f>VLOOKUP(C602,'[1]ORIGINAL (2)'!$A:$C,3,FALSE)</f>
        <v>463</v>
      </c>
      <c r="S602" s="24" t="e">
        <f>VLOOKUP(C602,#REF!,6,FALSE)</f>
        <v>#REF!</v>
      </c>
      <c r="T602" s="24" t="e">
        <f>VLOOKUP(C602,#REF!,7,FALSE)</f>
        <v>#REF!</v>
      </c>
      <c r="U602" s="24" t="e">
        <f>VLOOKUP(C602,#REF!,12,FALSE)</f>
        <v>#REF!</v>
      </c>
      <c r="V602" s="24" t="e">
        <f>VLOOKUP(C602,#REF!,13,FALSE)</f>
        <v>#REF!</v>
      </c>
    </row>
    <row r="603" spans="1:22" x14ac:dyDescent="0.25">
      <c r="A603" s="6" t="s">
        <v>1873</v>
      </c>
      <c r="B603" s="8">
        <v>9789500215336</v>
      </c>
      <c r="C603" s="8">
        <v>717940</v>
      </c>
      <c r="D603" s="25">
        <v>416</v>
      </c>
      <c r="E603" s="6" t="s">
        <v>1874</v>
      </c>
      <c r="F603" s="25" t="s">
        <v>1875</v>
      </c>
      <c r="G603" s="107">
        <v>45474</v>
      </c>
      <c r="H603" s="108">
        <v>45444</v>
      </c>
      <c r="I603" s="264">
        <v>3950</v>
      </c>
      <c r="J603" s="6" t="s">
        <v>2136</v>
      </c>
      <c r="K603" s="148">
        <v>3258.44</v>
      </c>
      <c r="L603" s="9">
        <v>29900</v>
      </c>
      <c r="M603" s="112">
        <f>+L603*0.08</f>
        <v>2392</v>
      </c>
      <c r="N603" s="9">
        <f t="shared" si="87"/>
        <v>14950</v>
      </c>
      <c r="O603" s="9">
        <f t="shared" si="88"/>
        <v>9299.56</v>
      </c>
      <c r="P603" s="9">
        <f t="shared" si="89"/>
        <v>5650.4400000000005</v>
      </c>
      <c r="Q603" s="139">
        <f t="shared" si="90"/>
        <v>0.62204414715719059</v>
      </c>
      <c r="R603" s="395">
        <f>VLOOKUP(C603,'[1]ORIGINAL (2)'!$A:$C,3,FALSE)</f>
        <v>320</v>
      </c>
      <c r="S603" s="24" t="e">
        <f>VLOOKUP(C603,#REF!,6,FALSE)</f>
        <v>#REF!</v>
      </c>
      <c r="T603" s="24" t="e">
        <f>VLOOKUP(C603,#REF!,7,FALSE)</f>
        <v>#REF!</v>
      </c>
      <c r="U603" s="24" t="e">
        <f>VLOOKUP(C603,#REF!,12,FALSE)</f>
        <v>#REF!</v>
      </c>
      <c r="V603" s="24" t="e">
        <f>VLOOKUP(C603,#REF!,13,FALSE)</f>
        <v>#REF!</v>
      </c>
    </row>
    <row r="604" spans="1:22" x14ac:dyDescent="0.25">
      <c r="A604" s="6" t="s">
        <v>1828</v>
      </c>
      <c r="B604" s="8">
        <v>9789500215060</v>
      </c>
      <c r="C604" s="8">
        <v>715423</v>
      </c>
      <c r="D604" s="41">
        <v>384</v>
      </c>
      <c r="E604" s="7" t="s">
        <v>1829</v>
      </c>
      <c r="F604" s="25" t="s">
        <v>1830</v>
      </c>
      <c r="G604" s="107">
        <v>45444</v>
      </c>
      <c r="H604" s="108">
        <v>45931</v>
      </c>
      <c r="I604" s="267">
        <v>2025</v>
      </c>
      <c r="J604" s="25" t="s">
        <v>2219</v>
      </c>
      <c r="K604" s="148">
        <v>3187.53</v>
      </c>
      <c r="L604" s="9">
        <v>35500</v>
      </c>
      <c r="M604" s="112">
        <f>+L604*0.1</f>
        <v>3550</v>
      </c>
      <c r="N604" s="9">
        <f t="shared" si="87"/>
        <v>17750</v>
      </c>
      <c r="O604" s="9">
        <f t="shared" si="88"/>
        <v>11012.47</v>
      </c>
      <c r="P604" s="9">
        <f t="shared" si="89"/>
        <v>6737.5300000000007</v>
      </c>
      <c r="Q604" s="139">
        <f t="shared" si="90"/>
        <v>0.6204208450704225</v>
      </c>
      <c r="R604" s="395">
        <f>VLOOKUP(C604,'[1]ORIGINAL (2)'!$A:$C,3,FALSE)</f>
        <v>1007</v>
      </c>
      <c r="S604" s="24" t="e">
        <f>VLOOKUP(C604,#REF!,6,FALSE)</f>
        <v>#REF!</v>
      </c>
      <c r="T604" s="24" t="e">
        <f>VLOOKUP(C604,#REF!,7,FALSE)</f>
        <v>#REF!</v>
      </c>
      <c r="U604" s="24" t="e">
        <f>VLOOKUP(C604,#REF!,12,FALSE)</f>
        <v>#REF!</v>
      </c>
      <c r="V604" s="24" t="e">
        <f>VLOOKUP(C604,#REF!,13,FALSE)</f>
        <v>#REF!</v>
      </c>
    </row>
    <row r="605" spans="1:22" x14ac:dyDescent="0.25">
      <c r="A605" s="6" t="s">
        <v>1453</v>
      </c>
      <c r="B605" s="8">
        <v>9789500213400</v>
      </c>
      <c r="C605" s="8">
        <v>702980</v>
      </c>
      <c r="D605" s="41">
        <v>304</v>
      </c>
      <c r="E605" s="7" t="s">
        <v>758</v>
      </c>
      <c r="F605" s="7" t="s">
        <v>755</v>
      </c>
      <c r="G605" s="107">
        <v>44958</v>
      </c>
      <c r="H605" s="108">
        <v>46174</v>
      </c>
      <c r="I605" s="264">
        <v>2071</v>
      </c>
      <c r="J605" s="6" t="s">
        <v>2219</v>
      </c>
      <c r="K605" s="328">
        <v>2662.2278174794787</v>
      </c>
      <c r="L605" s="9">
        <v>35500</v>
      </c>
      <c r="M605" s="112">
        <f>+L605*0.1</f>
        <v>3550</v>
      </c>
      <c r="N605" s="9">
        <f t="shared" si="87"/>
        <v>17750</v>
      </c>
      <c r="O605" s="9">
        <f t="shared" si="88"/>
        <v>11537.772182520521</v>
      </c>
      <c r="P605" s="9">
        <f t="shared" si="89"/>
        <v>6212.2278174794792</v>
      </c>
      <c r="Q605" s="139">
        <f t="shared" si="90"/>
        <v>0.65001533422650826</v>
      </c>
      <c r="R605" s="395">
        <f>VLOOKUP(C605,'[1]ORIGINAL (2)'!$A:$C,3,FALSE)</f>
        <v>2396</v>
      </c>
      <c r="S605" s="24" t="e">
        <f>VLOOKUP(C605,#REF!,6,FALSE)</f>
        <v>#REF!</v>
      </c>
      <c r="T605" s="24" t="e">
        <f>VLOOKUP(C605,#REF!,7,FALSE)</f>
        <v>#REF!</v>
      </c>
      <c r="U605" s="24" t="e">
        <f>VLOOKUP(C605,#REF!,12,FALSE)</f>
        <v>#REF!</v>
      </c>
      <c r="V605" s="24" t="e">
        <f>VLOOKUP(C605,#REF!,13,FALSE)</f>
        <v>#REF!</v>
      </c>
    </row>
    <row r="606" spans="1:22" x14ac:dyDescent="0.25">
      <c r="A606" s="7" t="s">
        <v>1454</v>
      </c>
      <c r="B606" s="8">
        <v>9789500213967</v>
      </c>
      <c r="C606" s="8">
        <v>707946</v>
      </c>
      <c r="D606" s="25">
        <v>48</v>
      </c>
      <c r="E606" s="7" t="s">
        <v>801</v>
      </c>
      <c r="F606" s="7" t="s">
        <v>794</v>
      </c>
      <c r="G606" s="107">
        <v>45139</v>
      </c>
      <c r="H606" s="108">
        <v>45108</v>
      </c>
      <c r="I606" s="7">
        <v>3040</v>
      </c>
      <c r="J606" s="6" t="s">
        <v>2136</v>
      </c>
      <c r="K606" s="117">
        <v>701.87</v>
      </c>
      <c r="L606" s="9">
        <v>19700</v>
      </c>
      <c r="M606" s="112">
        <f>+L606*0.1</f>
        <v>1970</v>
      </c>
      <c r="N606" s="9">
        <f t="shared" si="87"/>
        <v>9850</v>
      </c>
      <c r="O606" s="9">
        <f t="shared" si="88"/>
        <v>7178.13</v>
      </c>
      <c r="P606" s="9">
        <f t="shared" si="89"/>
        <v>2671.87</v>
      </c>
      <c r="Q606" s="139">
        <f t="shared" si="90"/>
        <v>0.72874416243654827</v>
      </c>
      <c r="R606" s="395">
        <f>VLOOKUP(C606,'[1]ORIGINAL (2)'!$A:$C,3,FALSE)</f>
        <v>25</v>
      </c>
      <c r="S606" s="24" t="e">
        <f>VLOOKUP(C606,#REF!,6,FALSE)</f>
        <v>#REF!</v>
      </c>
      <c r="T606" s="24" t="e">
        <f>VLOOKUP(C606,#REF!,7,FALSE)</f>
        <v>#REF!</v>
      </c>
      <c r="U606" s="24" t="e">
        <f>VLOOKUP(C606,#REF!,12,FALSE)</f>
        <v>#REF!</v>
      </c>
      <c r="V606" s="24" t="e">
        <f>VLOOKUP(C606,#REF!,13,FALSE)</f>
        <v>#REF!</v>
      </c>
    </row>
    <row r="607" spans="1:22" x14ac:dyDescent="0.25">
      <c r="A607" s="7" t="s">
        <v>1455</v>
      </c>
      <c r="B607" s="8">
        <v>9789500212052</v>
      </c>
      <c r="C607" s="8">
        <v>687545</v>
      </c>
      <c r="D607" s="25">
        <v>164</v>
      </c>
      <c r="E607" s="9" t="s">
        <v>584</v>
      </c>
      <c r="F607" s="7" t="s">
        <v>585</v>
      </c>
      <c r="G607" s="107">
        <v>44470</v>
      </c>
      <c r="H607" s="108">
        <v>44440</v>
      </c>
      <c r="I607" s="7">
        <v>3012</v>
      </c>
      <c r="J607" s="6" t="s">
        <v>2136</v>
      </c>
      <c r="K607" s="9">
        <v>135.74</v>
      </c>
      <c r="L607" s="112">
        <v>17500</v>
      </c>
      <c r="M607" s="9">
        <f>+L607*0.1</f>
        <v>1750</v>
      </c>
      <c r="N607" s="9">
        <f t="shared" si="87"/>
        <v>8750</v>
      </c>
      <c r="O607" s="9">
        <f t="shared" si="88"/>
        <v>6864.26</v>
      </c>
      <c r="P607" s="9">
        <f t="shared" si="89"/>
        <v>1885.74</v>
      </c>
      <c r="Q607" s="139">
        <f t="shared" si="90"/>
        <v>0.78448685714285715</v>
      </c>
      <c r="R607" s="395">
        <f>VLOOKUP(C607,'[1]ORIGINAL (2)'!$A:$C,3,FALSE)</f>
        <v>148</v>
      </c>
      <c r="S607" s="24" t="e">
        <f>VLOOKUP(C607,#REF!,6,FALSE)</f>
        <v>#REF!</v>
      </c>
      <c r="T607" s="24" t="e">
        <f>VLOOKUP(C607,#REF!,7,FALSE)</f>
        <v>#REF!</v>
      </c>
      <c r="U607" s="24" t="e">
        <f>VLOOKUP(C607,#REF!,12,FALSE)</f>
        <v>#REF!</v>
      </c>
      <c r="V607" s="24" t="e">
        <f>VLOOKUP(C607,#REF!,13,FALSE)</f>
        <v>#REF!</v>
      </c>
    </row>
    <row r="608" spans="1:22" x14ac:dyDescent="0.25">
      <c r="A608" s="7" t="s">
        <v>1456</v>
      </c>
      <c r="B608" s="8">
        <v>9789500214162</v>
      </c>
      <c r="C608" s="8">
        <v>709896</v>
      </c>
      <c r="D608" s="25">
        <v>176</v>
      </c>
      <c r="E608" s="7" t="s">
        <v>472</v>
      </c>
      <c r="F608" s="7" t="s">
        <v>850</v>
      </c>
      <c r="G608" s="107">
        <v>45200</v>
      </c>
      <c r="H608" s="108">
        <v>45170</v>
      </c>
      <c r="I608" s="7">
        <v>3089</v>
      </c>
      <c r="J608" s="7" t="s">
        <v>1762</v>
      </c>
      <c r="K608" s="117">
        <v>865.32</v>
      </c>
      <c r="L608" s="112">
        <v>21500</v>
      </c>
      <c r="M608" s="9">
        <f>+L608*0.1</f>
        <v>2150</v>
      </c>
      <c r="N608" s="9">
        <f t="shared" si="87"/>
        <v>10750</v>
      </c>
      <c r="O608" s="9">
        <f t="shared" si="88"/>
        <v>7734.68</v>
      </c>
      <c r="P608" s="9">
        <f t="shared" si="89"/>
        <v>3015.32</v>
      </c>
      <c r="Q608" s="139">
        <f t="shared" si="90"/>
        <v>0.71950511627906977</v>
      </c>
      <c r="R608" s="395">
        <f>VLOOKUP(C608,'[1]ORIGINAL (2)'!$A:$C,3,FALSE)</f>
        <v>225</v>
      </c>
      <c r="S608" s="24" t="e">
        <f>VLOOKUP(C608,#REF!,6,FALSE)</f>
        <v>#REF!</v>
      </c>
      <c r="T608" s="24" t="e">
        <f>VLOOKUP(C608,#REF!,7,FALSE)</f>
        <v>#REF!</v>
      </c>
      <c r="U608" s="24" t="e">
        <f>VLOOKUP(C608,#REF!,12,FALSE)</f>
        <v>#REF!</v>
      </c>
      <c r="V608" s="24" t="e">
        <f>VLOOKUP(C608,#REF!,13,FALSE)</f>
        <v>#REF!</v>
      </c>
    </row>
    <row r="609" spans="1:22" x14ac:dyDescent="0.25">
      <c r="A609" s="7" t="s">
        <v>1457</v>
      </c>
      <c r="B609" s="8">
        <v>9789500211376</v>
      </c>
      <c r="C609" s="8">
        <v>680645</v>
      </c>
      <c r="D609" s="25">
        <v>224</v>
      </c>
      <c r="E609" s="7" t="s">
        <v>472</v>
      </c>
      <c r="F609" s="7" t="s">
        <v>522</v>
      </c>
      <c r="G609" s="107">
        <v>44166</v>
      </c>
      <c r="H609" s="108">
        <v>45717</v>
      </c>
      <c r="I609" s="293">
        <v>2105</v>
      </c>
      <c r="J609" s="7" t="s">
        <v>1762</v>
      </c>
      <c r="K609" s="9">
        <v>2781.21</v>
      </c>
      <c r="L609" s="295">
        <v>21500</v>
      </c>
      <c r="M609" s="112">
        <f>+L609*0.08</f>
        <v>1720</v>
      </c>
      <c r="N609" s="9">
        <f t="shared" si="87"/>
        <v>10750</v>
      </c>
      <c r="O609" s="9">
        <f t="shared" si="88"/>
        <v>6248.79</v>
      </c>
      <c r="P609" s="9">
        <f t="shared" si="89"/>
        <v>4501.21</v>
      </c>
      <c r="Q609" s="139">
        <f t="shared" si="90"/>
        <v>0.58128279069767441</v>
      </c>
      <c r="R609" s="395">
        <f>VLOOKUP(C609,'[1]ORIGINAL (2)'!$A:$C,3,FALSE)</f>
        <v>191</v>
      </c>
      <c r="S609" s="24" t="e">
        <f>VLOOKUP(C609,#REF!,6,FALSE)</f>
        <v>#REF!</v>
      </c>
      <c r="T609" s="24" t="e">
        <f>VLOOKUP(C609,#REF!,7,FALSE)</f>
        <v>#REF!</v>
      </c>
      <c r="U609" s="24" t="e">
        <f>VLOOKUP(C609,#REF!,12,FALSE)</f>
        <v>#REF!</v>
      </c>
      <c r="V609" s="24" t="e">
        <f>VLOOKUP(C609,#REF!,13,FALSE)</f>
        <v>#REF!</v>
      </c>
    </row>
    <row r="610" spans="1:22" x14ac:dyDescent="0.25">
      <c r="A610" s="7" t="s">
        <v>1458</v>
      </c>
      <c r="B610" s="8">
        <v>9789500210263</v>
      </c>
      <c r="C610" s="13">
        <v>671442</v>
      </c>
      <c r="D610" s="25">
        <v>192</v>
      </c>
      <c r="E610" s="7" t="s">
        <v>472</v>
      </c>
      <c r="F610" s="7" t="s">
        <v>473</v>
      </c>
      <c r="G610" s="107">
        <v>43800</v>
      </c>
      <c r="H610" s="108">
        <v>45566</v>
      </c>
      <c r="I610" s="7">
        <v>2000</v>
      </c>
      <c r="J610" s="7" t="s">
        <v>1762</v>
      </c>
      <c r="K610" s="9">
        <v>1701.47</v>
      </c>
      <c r="L610" s="9">
        <v>21500</v>
      </c>
      <c r="M610" s="9">
        <f>+L610*0.08</f>
        <v>1720</v>
      </c>
      <c r="N610" s="9">
        <f t="shared" si="87"/>
        <v>10750</v>
      </c>
      <c r="O610" s="9">
        <f t="shared" si="88"/>
        <v>7328.53</v>
      </c>
      <c r="P610" s="9">
        <f t="shared" si="89"/>
        <v>3421.4700000000003</v>
      </c>
      <c r="Q610" s="139">
        <f t="shared" si="90"/>
        <v>0.68172372093023248</v>
      </c>
      <c r="R610" s="395">
        <f>VLOOKUP(C610,'[1]ORIGINAL (2)'!$A:$C,3,FALSE)</f>
        <v>887</v>
      </c>
      <c r="S610" s="24" t="e">
        <f>VLOOKUP(C610,#REF!,6,FALSE)</f>
        <v>#REF!</v>
      </c>
      <c r="T610" s="24" t="e">
        <f>VLOOKUP(C610,#REF!,7,FALSE)</f>
        <v>#REF!</v>
      </c>
      <c r="U610" s="24" t="e">
        <f>VLOOKUP(C610,#REF!,12,FALSE)</f>
        <v>#REF!</v>
      </c>
      <c r="V610" s="24" t="e">
        <f>VLOOKUP(C610,#REF!,13,FALSE)</f>
        <v>#REF!</v>
      </c>
    </row>
    <row r="611" spans="1:22" x14ac:dyDescent="0.25">
      <c r="A611" s="7" t="s">
        <v>1459</v>
      </c>
      <c r="B611" s="8">
        <v>9789500210959</v>
      </c>
      <c r="C611" s="8">
        <v>677294</v>
      </c>
      <c r="D611" s="25">
        <v>176</v>
      </c>
      <c r="E611" s="7" t="s">
        <v>499</v>
      </c>
      <c r="F611" s="7" t="s">
        <v>494</v>
      </c>
      <c r="G611" s="107">
        <v>44075</v>
      </c>
      <c r="H611" s="108">
        <v>44044</v>
      </c>
      <c r="I611" s="7">
        <v>3050</v>
      </c>
      <c r="J611" s="6" t="s">
        <v>1762</v>
      </c>
      <c r="K611" s="9">
        <v>130.29</v>
      </c>
      <c r="L611" s="112">
        <v>14900</v>
      </c>
      <c r="M611" s="9">
        <f>+L611*0.08</f>
        <v>1192</v>
      </c>
      <c r="N611" s="9">
        <f t="shared" si="87"/>
        <v>7450</v>
      </c>
      <c r="O611" s="9">
        <f t="shared" si="88"/>
        <v>6127.71</v>
      </c>
      <c r="P611" s="9">
        <f t="shared" si="89"/>
        <v>1322.29</v>
      </c>
      <c r="Q611" s="139">
        <f t="shared" si="90"/>
        <v>0.82251140939597311</v>
      </c>
      <c r="R611" s="395">
        <f>VLOOKUP(C611,'[1]ORIGINAL (2)'!$A:$C,3,FALSE)</f>
        <v>37</v>
      </c>
      <c r="S611" s="24" t="e">
        <f>VLOOKUP(C611,#REF!,6,FALSE)</f>
        <v>#REF!</v>
      </c>
      <c r="T611" s="24" t="e">
        <f>VLOOKUP(C611,#REF!,7,FALSE)</f>
        <v>#REF!</v>
      </c>
      <c r="U611" s="24" t="e">
        <f>VLOOKUP(C611,#REF!,12,FALSE)</f>
        <v>#REF!</v>
      </c>
      <c r="V611" s="24" t="e">
        <f>VLOOKUP(C611,#REF!,13,FALSE)</f>
        <v>#REF!</v>
      </c>
    </row>
    <row r="612" spans="1:22" x14ac:dyDescent="0.25">
      <c r="A612" s="1"/>
      <c r="B612" s="3"/>
      <c r="C612" s="3"/>
      <c r="D612" s="2"/>
      <c r="E612" s="274"/>
      <c r="F612" s="275"/>
      <c r="G612" s="2"/>
      <c r="H612" s="2"/>
      <c r="I612" s="132"/>
      <c r="J612" s="134"/>
      <c r="K612" s="132"/>
      <c r="L612" s="134"/>
      <c r="M612" s="132"/>
      <c r="N612" s="132"/>
      <c r="O612" s="132"/>
      <c r="P612" s="132"/>
      <c r="Q612" s="147"/>
      <c r="R612" s="395" t="e">
        <f>VLOOKUP(C612,'[1]ORIGINAL (2)'!$A:$C,3,FALSE)</f>
        <v>#N/A</v>
      </c>
      <c r="S612" s="100"/>
      <c r="T612" s="100"/>
      <c r="U612" s="100"/>
      <c r="V612" s="100"/>
    </row>
    <row r="613" spans="1:22" x14ac:dyDescent="0.25">
      <c r="A613" s="377"/>
      <c r="B613" s="333"/>
      <c r="C613" s="333"/>
      <c r="D613" s="68"/>
      <c r="E613" s="381"/>
      <c r="F613" s="349"/>
      <c r="G613" s="68"/>
      <c r="H613" s="68"/>
      <c r="I613" s="68"/>
      <c r="J613" s="134"/>
      <c r="K613" s="132"/>
      <c r="L613" s="134"/>
      <c r="M613" s="132"/>
      <c r="N613" s="132"/>
      <c r="O613" s="132"/>
      <c r="P613" s="132"/>
      <c r="Q613" s="147"/>
      <c r="R613" s="395" t="e">
        <f>VLOOKUP(C613,'[1]ORIGINAL (2)'!$A:$C,3,FALSE)</f>
        <v>#N/A</v>
      </c>
      <c r="S613" s="100"/>
      <c r="T613" s="100"/>
      <c r="U613" s="100"/>
      <c r="V613" s="100"/>
    </row>
    <row r="614" spans="1:22" ht="15.75" x14ac:dyDescent="0.3">
      <c r="A614" s="276" t="s">
        <v>1460</v>
      </c>
      <c r="B614" s="133"/>
      <c r="C614" s="133"/>
      <c r="D614" s="154"/>
      <c r="E614" s="197"/>
      <c r="F614" s="132"/>
      <c r="G614" s="132"/>
      <c r="H614" s="132"/>
      <c r="I614" s="132"/>
      <c r="J614" s="134"/>
      <c r="K614" s="132"/>
      <c r="L614" s="134"/>
      <c r="M614" s="132"/>
      <c r="N614" s="132"/>
      <c r="O614" s="132"/>
      <c r="P614" s="132"/>
      <c r="Q614" s="147"/>
      <c r="R614" s="395" t="e">
        <f>VLOOKUP(C614,'[1]ORIGINAL (2)'!$A:$C,3,FALSE)</f>
        <v>#N/A</v>
      </c>
      <c r="S614" s="100"/>
      <c r="T614" s="100"/>
      <c r="U614" s="100"/>
      <c r="V614" s="100"/>
    </row>
    <row r="615" spans="1:22" x14ac:dyDescent="0.25">
      <c r="A615" s="202" t="s">
        <v>666</v>
      </c>
      <c r="B615" s="203"/>
      <c r="C615" s="203"/>
      <c r="D615" s="204"/>
      <c r="E615" s="205"/>
      <c r="F615" s="162" t="s">
        <v>1461</v>
      </c>
      <c r="G615" s="162"/>
      <c r="H615" s="132"/>
      <c r="I615" s="132"/>
      <c r="J615" s="134"/>
      <c r="K615" s="132"/>
      <c r="L615" s="134"/>
      <c r="M615" s="132"/>
      <c r="N615" s="132"/>
      <c r="O615" s="132"/>
      <c r="P615" s="132"/>
      <c r="Q615" s="147"/>
      <c r="R615" s="395" t="e">
        <f>VLOOKUP(C615,'[1]ORIGINAL (2)'!$A:$C,3,FALSE)</f>
        <v>#N/A</v>
      </c>
      <c r="S615" s="100"/>
      <c r="T615" s="100"/>
      <c r="U615" s="100"/>
      <c r="V615" s="100"/>
    </row>
    <row r="616" spans="1:22" x14ac:dyDescent="0.25">
      <c r="A616" s="6" t="s">
        <v>1462</v>
      </c>
      <c r="B616" s="8">
        <v>9789500209496</v>
      </c>
      <c r="C616" s="6">
        <v>651680</v>
      </c>
      <c r="D616" s="7">
        <v>8</v>
      </c>
      <c r="E616" s="8" t="s">
        <v>386</v>
      </c>
      <c r="F616" s="7" t="s">
        <v>395</v>
      </c>
      <c r="G616" s="107">
        <v>43313</v>
      </c>
      <c r="H616" s="108">
        <v>43282</v>
      </c>
      <c r="I616" s="24">
        <v>3000</v>
      </c>
      <c r="J616" s="28" t="s">
        <v>1894</v>
      </c>
      <c r="K616" s="28">
        <v>155.54</v>
      </c>
      <c r="L616" s="112">
        <v>17400</v>
      </c>
      <c r="M616" s="9"/>
      <c r="N616" s="9">
        <f t="shared" ref="N616:N621" si="91">+L616/2</f>
        <v>8700</v>
      </c>
      <c r="O616" s="9">
        <f t="shared" ref="O616:O621" si="92">+N616-M616-K616</f>
        <v>8544.4599999999991</v>
      </c>
      <c r="P616" s="9">
        <f t="shared" ref="P616:P621" si="93">+M616+K616</f>
        <v>155.54</v>
      </c>
      <c r="Q616" s="139">
        <f t="shared" ref="Q616:Q621" si="94">+O616/N616</f>
        <v>0.98212183908045969</v>
      </c>
      <c r="R616" s="395">
        <f>VLOOKUP(C616,'[1]ORIGINAL (2)'!$A:$C,3,FALSE)</f>
        <v>23</v>
      </c>
      <c r="S616" s="24" t="e">
        <f>VLOOKUP(C616,#REF!,6,FALSE)</f>
        <v>#REF!</v>
      </c>
      <c r="T616" s="24" t="e">
        <f>VLOOKUP(C616,#REF!,7,FALSE)</f>
        <v>#REF!</v>
      </c>
      <c r="U616" s="24" t="e">
        <f>VLOOKUP(C616,#REF!,12,FALSE)</f>
        <v>#REF!</v>
      </c>
      <c r="V616" s="24" t="e">
        <f>VLOOKUP(C616,#REF!,13,FALSE)</f>
        <v>#REF!</v>
      </c>
    </row>
    <row r="617" spans="1:22" x14ac:dyDescent="0.25">
      <c r="A617" s="6" t="s">
        <v>1463</v>
      </c>
      <c r="B617" s="8">
        <v>9789500209502</v>
      </c>
      <c r="C617" s="6">
        <v>651679</v>
      </c>
      <c r="D617" s="7">
        <v>40</v>
      </c>
      <c r="E617" s="8" t="s">
        <v>386</v>
      </c>
      <c r="F617" s="7" t="s">
        <v>400</v>
      </c>
      <c r="G617" s="107">
        <v>43344</v>
      </c>
      <c r="H617" s="108">
        <v>43274</v>
      </c>
      <c r="I617" s="24">
        <v>3120</v>
      </c>
      <c r="J617" s="6" t="s">
        <v>2136</v>
      </c>
      <c r="K617" s="28">
        <v>90.94</v>
      </c>
      <c r="L617" s="112">
        <v>20800</v>
      </c>
      <c r="M617" s="9"/>
      <c r="N617" s="9">
        <f t="shared" si="91"/>
        <v>10400</v>
      </c>
      <c r="O617" s="9">
        <f t="shared" si="92"/>
        <v>10309.06</v>
      </c>
      <c r="P617" s="9">
        <f t="shared" si="93"/>
        <v>90.94</v>
      </c>
      <c r="Q617" s="139">
        <f t="shared" si="94"/>
        <v>0.99125576923076919</v>
      </c>
      <c r="R617" s="395">
        <f>VLOOKUP(C617,'[1]ORIGINAL (2)'!$A:$C,3,FALSE)</f>
        <v>3</v>
      </c>
      <c r="S617" s="24" t="e">
        <f>VLOOKUP(C617,#REF!,6,FALSE)</f>
        <v>#REF!</v>
      </c>
      <c r="T617" s="24" t="e">
        <f>VLOOKUP(C617,#REF!,7,FALSE)</f>
        <v>#REF!</v>
      </c>
      <c r="U617" s="24" t="e">
        <f>VLOOKUP(C617,#REF!,12,FALSE)</f>
        <v>#REF!</v>
      </c>
      <c r="V617" s="24" t="e">
        <f>VLOOKUP(C617,#REF!,13,FALSE)</f>
        <v>#REF!</v>
      </c>
    </row>
    <row r="618" spans="1:22" x14ac:dyDescent="0.25">
      <c r="A618" s="7" t="s">
        <v>1464</v>
      </c>
      <c r="B618" s="8">
        <v>9789500209236</v>
      </c>
      <c r="C618" s="6">
        <v>648600</v>
      </c>
      <c r="D618" s="7">
        <v>40</v>
      </c>
      <c r="E618" s="9" t="s">
        <v>386</v>
      </c>
      <c r="F618" s="7" t="s">
        <v>387</v>
      </c>
      <c r="G618" s="107">
        <v>43252</v>
      </c>
      <c r="H618" s="108">
        <v>43221</v>
      </c>
      <c r="I618" s="24">
        <v>3150</v>
      </c>
      <c r="J618" s="6" t="s">
        <v>2136</v>
      </c>
      <c r="K618" s="28">
        <v>64.48</v>
      </c>
      <c r="L618" s="112">
        <v>20800</v>
      </c>
      <c r="M618" s="9"/>
      <c r="N618" s="9">
        <f t="shared" si="91"/>
        <v>10400</v>
      </c>
      <c r="O618" s="9">
        <f t="shared" si="92"/>
        <v>10335.52</v>
      </c>
      <c r="P618" s="9">
        <f t="shared" si="93"/>
        <v>64.48</v>
      </c>
      <c r="Q618" s="139">
        <f t="shared" si="94"/>
        <v>0.99380000000000002</v>
      </c>
      <c r="R618" s="395">
        <f>VLOOKUP(C618,'[1]ORIGINAL (2)'!$A:$C,3,FALSE)</f>
        <v>14</v>
      </c>
      <c r="S618" s="24" t="e">
        <f>VLOOKUP(C618,#REF!,6,FALSE)</f>
        <v>#REF!</v>
      </c>
      <c r="T618" s="24" t="e">
        <f>VLOOKUP(C618,#REF!,7,FALSE)</f>
        <v>#REF!</v>
      </c>
      <c r="U618" s="24" t="e">
        <f>VLOOKUP(C618,#REF!,12,FALSE)</f>
        <v>#REF!</v>
      </c>
      <c r="V618" s="24" t="e">
        <f>VLOOKUP(C618,#REF!,13,FALSE)</f>
        <v>#REF!</v>
      </c>
    </row>
    <row r="619" spans="1:22" x14ac:dyDescent="0.25">
      <c r="A619" s="6" t="s">
        <v>1465</v>
      </c>
      <c r="B619" s="8">
        <v>9789500299114</v>
      </c>
      <c r="C619" s="8">
        <v>617598</v>
      </c>
      <c r="D619" s="7">
        <v>96</v>
      </c>
      <c r="E619" s="11" t="s">
        <v>253</v>
      </c>
      <c r="F619" s="11" t="s">
        <v>1466</v>
      </c>
      <c r="G619" s="107">
        <v>42583</v>
      </c>
      <c r="H619" s="108">
        <v>44896</v>
      </c>
      <c r="I619" s="24">
        <v>3000</v>
      </c>
      <c r="J619" s="7" t="s">
        <v>1762</v>
      </c>
      <c r="K619" s="117">
        <v>2650.45</v>
      </c>
      <c r="L619" s="112">
        <v>36500</v>
      </c>
      <c r="M619" s="9"/>
      <c r="N619" s="9">
        <f t="shared" si="91"/>
        <v>18250</v>
      </c>
      <c r="O619" s="9">
        <f t="shared" si="92"/>
        <v>15599.55</v>
      </c>
      <c r="P619" s="9">
        <f t="shared" si="93"/>
        <v>2650.45</v>
      </c>
      <c r="Q619" s="139">
        <f t="shared" si="94"/>
        <v>0.85476986301369862</v>
      </c>
      <c r="R619" s="395">
        <f>VLOOKUP(C619,'[1]ORIGINAL (2)'!$A:$C,3,FALSE)</f>
        <v>998</v>
      </c>
      <c r="S619" s="24" t="e">
        <f>VLOOKUP(C619,#REF!,6,FALSE)</f>
        <v>#REF!</v>
      </c>
      <c r="T619" s="24" t="e">
        <f>VLOOKUP(C619,#REF!,7,FALSE)</f>
        <v>#REF!</v>
      </c>
      <c r="U619" s="24" t="e">
        <f>VLOOKUP(C619,#REF!,12,FALSE)</f>
        <v>#REF!</v>
      </c>
      <c r="V619" s="24" t="e">
        <f>VLOOKUP(C619,#REF!,13,FALSE)</f>
        <v>#REF!</v>
      </c>
    </row>
    <row r="620" spans="1:22" x14ac:dyDescent="0.25">
      <c r="A620" s="7" t="s">
        <v>1467</v>
      </c>
      <c r="B620" s="8">
        <v>9789500211307</v>
      </c>
      <c r="C620" s="8">
        <v>679310</v>
      </c>
      <c r="D620" s="25">
        <v>128</v>
      </c>
      <c r="E620" s="7" t="s">
        <v>386</v>
      </c>
      <c r="F620" s="7" t="s">
        <v>1468</v>
      </c>
      <c r="G620" s="107">
        <v>44166</v>
      </c>
      <c r="H620" s="108">
        <v>45597</v>
      </c>
      <c r="I620" s="7">
        <v>3059</v>
      </c>
      <c r="J620" s="28" t="s">
        <v>1946</v>
      </c>
      <c r="K620" s="9">
        <v>737.24</v>
      </c>
      <c r="L620" s="112">
        <v>13200</v>
      </c>
      <c r="M620" s="9"/>
      <c r="N620" s="9">
        <f t="shared" si="91"/>
        <v>6600</v>
      </c>
      <c r="O620" s="9">
        <f t="shared" si="92"/>
        <v>5862.76</v>
      </c>
      <c r="P620" s="9">
        <f t="shared" si="93"/>
        <v>737.24</v>
      </c>
      <c r="Q620" s="139">
        <f t="shared" si="94"/>
        <v>0.8882969696969697</v>
      </c>
      <c r="R620" s="395">
        <f>VLOOKUP(C620,'[1]ORIGINAL (2)'!$A:$C,3,FALSE)</f>
        <v>699</v>
      </c>
      <c r="S620" s="24" t="e">
        <f>VLOOKUP(C620,#REF!,6,FALSE)</f>
        <v>#REF!</v>
      </c>
      <c r="T620" s="24" t="e">
        <f>VLOOKUP(C620,#REF!,7,FALSE)</f>
        <v>#REF!</v>
      </c>
      <c r="U620" s="24" t="e">
        <f>VLOOKUP(C620,#REF!,12,FALSE)</f>
        <v>#REF!</v>
      </c>
      <c r="V620" s="24" t="e">
        <f>VLOOKUP(C620,#REF!,13,FALSE)</f>
        <v>#REF!</v>
      </c>
    </row>
    <row r="621" spans="1:22" x14ac:dyDescent="0.25">
      <c r="A621" s="7" t="s">
        <v>2402</v>
      </c>
      <c r="B621" s="8">
        <v>9789500218047</v>
      </c>
      <c r="C621" s="8">
        <v>748670</v>
      </c>
      <c r="D621" s="7">
        <v>96</v>
      </c>
      <c r="E621" s="7" t="s">
        <v>2403</v>
      </c>
      <c r="F621" s="7" t="s">
        <v>2414</v>
      </c>
      <c r="G621" s="107">
        <v>46235</v>
      </c>
      <c r="H621" s="108">
        <v>46204</v>
      </c>
      <c r="I621" s="116">
        <v>5040</v>
      </c>
      <c r="J621" s="7" t="s">
        <v>1894</v>
      </c>
      <c r="K621" s="148">
        <v>850.24</v>
      </c>
      <c r="L621" s="352">
        <v>7900</v>
      </c>
      <c r="M621" s="352"/>
      <c r="N621" s="9">
        <f t="shared" si="91"/>
        <v>3950</v>
      </c>
      <c r="O621" s="9">
        <f t="shared" si="92"/>
        <v>3099.76</v>
      </c>
      <c r="P621" s="9">
        <f t="shared" si="93"/>
        <v>850.24</v>
      </c>
      <c r="Q621" s="139">
        <f t="shared" si="94"/>
        <v>0.78474936708860765</v>
      </c>
      <c r="R621" s="395">
        <f>VLOOKUP(C621,'[1]ORIGINAL (2)'!$A:$C,3,FALSE)</f>
        <v>2210</v>
      </c>
      <c r="S621" s="24" t="e">
        <f>VLOOKUP(C621,#REF!,6,FALSE)</f>
        <v>#REF!</v>
      </c>
      <c r="T621" s="24" t="e">
        <f>VLOOKUP(C621,#REF!,7,FALSE)</f>
        <v>#REF!</v>
      </c>
      <c r="U621" s="24" t="e">
        <f>VLOOKUP(C621,#REF!,12,FALSE)</f>
        <v>#REF!</v>
      </c>
      <c r="V621" s="24" t="e">
        <f>VLOOKUP(C621,#REF!,13,FALSE)</f>
        <v>#REF!</v>
      </c>
    </row>
    <row r="622" spans="1:22" x14ac:dyDescent="0.25">
      <c r="A622" s="1"/>
      <c r="B622" s="3"/>
      <c r="C622" s="3"/>
      <c r="D622" s="2"/>
      <c r="E622" s="274"/>
      <c r="F622" s="275"/>
      <c r="G622" s="2"/>
      <c r="H622" s="132"/>
      <c r="I622" s="132"/>
      <c r="J622" s="134"/>
      <c r="K622" s="132"/>
      <c r="L622" s="18"/>
      <c r="M622" s="132"/>
      <c r="N622" s="132"/>
      <c r="O622" s="132"/>
      <c r="P622" s="132"/>
      <c r="Q622" s="147"/>
      <c r="R622" s="395" t="e">
        <f>VLOOKUP(C622,'[1]ORIGINAL (2)'!$A:$C,3,FALSE)</f>
        <v>#N/A</v>
      </c>
      <c r="S622" s="100"/>
      <c r="T622" s="100"/>
      <c r="U622" s="100"/>
      <c r="V622" s="100"/>
    </row>
    <row r="623" spans="1:22" x14ac:dyDescent="0.25">
      <c r="A623" s="160" t="s">
        <v>667</v>
      </c>
      <c r="B623" s="168"/>
      <c r="C623" s="168"/>
      <c r="D623" s="206"/>
      <c r="E623" s="174"/>
      <c r="F623" s="162"/>
      <c r="G623" s="162"/>
      <c r="H623" s="132"/>
      <c r="I623" s="132"/>
      <c r="J623" s="134"/>
      <c r="K623" s="132"/>
      <c r="L623" s="18"/>
      <c r="M623" s="132"/>
      <c r="N623" s="132"/>
      <c r="O623" s="132"/>
      <c r="P623" s="132"/>
      <c r="Q623" s="147"/>
      <c r="R623" s="395" t="e">
        <f>VLOOKUP(C623,'[1]ORIGINAL (2)'!$A:$C,3,FALSE)</f>
        <v>#N/A</v>
      </c>
      <c r="S623" s="100"/>
      <c r="T623" s="100"/>
      <c r="U623" s="100"/>
      <c r="V623" s="100"/>
    </row>
    <row r="624" spans="1:22" x14ac:dyDescent="0.25">
      <c r="A624" s="6" t="s">
        <v>1469</v>
      </c>
      <c r="B624" s="8">
        <v>9789500208963</v>
      </c>
      <c r="C624" s="8">
        <v>609577</v>
      </c>
      <c r="D624" s="7">
        <v>24</v>
      </c>
      <c r="E624" s="6" t="s">
        <v>292</v>
      </c>
      <c r="F624" s="6" t="s">
        <v>294</v>
      </c>
      <c r="G624" s="107">
        <v>42430</v>
      </c>
      <c r="H624" s="108">
        <v>42401</v>
      </c>
      <c r="I624" s="24">
        <v>3000</v>
      </c>
      <c r="J624" s="28" t="s">
        <v>1946</v>
      </c>
      <c r="K624" s="28">
        <v>34.520000000000003</v>
      </c>
      <c r="L624" s="112">
        <v>12200</v>
      </c>
      <c r="M624" s="112">
        <f>+L624*0.08</f>
        <v>976</v>
      </c>
      <c r="N624" s="9">
        <f>+L624/2</f>
        <v>6100</v>
      </c>
      <c r="O624" s="9">
        <f>+N624-M624-K624</f>
        <v>5089.4799999999996</v>
      </c>
      <c r="P624" s="9">
        <f>+M624+K624</f>
        <v>1010.52</v>
      </c>
      <c r="Q624" s="139">
        <f>+O624/N624</f>
        <v>0.83434098360655728</v>
      </c>
      <c r="R624" s="395" t="e">
        <f>VLOOKUP(C624,'[1]ORIGINAL (2)'!$A:$C,3,FALSE)</f>
        <v>#N/A</v>
      </c>
      <c r="S624" s="24" t="e">
        <f>VLOOKUP(C624,#REF!,6,FALSE)</f>
        <v>#REF!</v>
      </c>
      <c r="T624" s="24" t="e">
        <f>VLOOKUP(C624,#REF!,7,FALSE)</f>
        <v>#REF!</v>
      </c>
      <c r="U624" s="24" t="e">
        <f>VLOOKUP(C624,#REF!,12,FALSE)</f>
        <v>#REF!</v>
      </c>
      <c r="V624" s="24" t="e">
        <f>VLOOKUP(C624,#REF!,13,FALSE)</f>
        <v>#REF!</v>
      </c>
    </row>
    <row r="625" spans="1:22" x14ac:dyDescent="0.25">
      <c r="A625" s="6" t="s">
        <v>1470</v>
      </c>
      <c r="B625" s="8">
        <v>9789500208949</v>
      </c>
      <c r="C625" s="8">
        <v>613396</v>
      </c>
      <c r="D625" s="7">
        <v>40</v>
      </c>
      <c r="E625" s="31" t="s">
        <v>292</v>
      </c>
      <c r="F625" s="32" t="s">
        <v>293</v>
      </c>
      <c r="G625" s="107">
        <v>42491</v>
      </c>
      <c r="H625" s="108">
        <v>42461</v>
      </c>
      <c r="I625" s="24">
        <v>3030</v>
      </c>
      <c r="J625" s="28" t="s">
        <v>1946</v>
      </c>
      <c r="K625" s="28">
        <v>42.51</v>
      </c>
      <c r="L625" s="112">
        <v>12200</v>
      </c>
      <c r="M625" s="112">
        <f>+L625*0.08</f>
        <v>976</v>
      </c>
      <c r="N625" s="9">
        <f>+L625/2</f>
        <v>6100</v>
      </c>
      <c r="O625" s="9">
        <f>+N625-M625-K625</f>
        <v>5081.49</v>
      </c>
      <c r="P625" s="9">
        <f>+M625+K625</f>
        <v>1018.51</v>
      </c>
      <c r="Q625" s="139">
        <f>+O625/N625</f>
        <v>0.83303114754098362</v>
      </c>
      <c r="R625" s="395">
        <f>VLOOKUP(C625,'[1]ORIGINAL (2)'!$A:$C,3,FALSE)</f>
        <v>2</v>
      </c>
      <c r="S625" s="24" t="e">
        <f>VLOOKUP(C625,#REF!,6,FALSE)</f>
        <v>#REF!</v>
      </c>
      <c r="T625" s="24" t="e">
        <f>VLOOKUP(C625,#REF!,7,FALSE)</f>
        <v>#REF!</v>
      </c>
      <c r="U625" s="24" t="e">
        <f>VLOOKUP(C625,#REF!,12,FALSE)</f>
        <v>#REF!</v>
      </c>
      <c r="V625" s="24" t="e">
        <f>VLOOKUP(C625,#REF!,13,FALSE)</f>
        <v>#REF!</v>
      </c>
    </row>
    <row r="626" spans="1:22" x14ac:dyDescent="0.25">
      <c r="A626" s="6" t="s">
        <v>1471</v>
      </c>
      <c r="B626" s="8">
        <v>9789500208956</v>
      </c>
      <c r="C626" s="8">
        <v>614604</v>
      </c>
      <c r="D626" s="7">
        <v>40</v>
      </c>
      <c r="E626" s="31" t="s">
        <v>292</v>
      </c>
      <c r="F626" s="32" t="s">
        <v>295</v>
      </c>
      <c r="G626" s="107">
        <v>42522</v>
      </c>
      <c r="H626" s="108">
        <v>42491</v>
      </c>
      <c r="I626" s="24">
        <v>3046</v>
      </c>
      <c r="J626" s="28" t="s">
        <v>1946</v>
      </c>
      <c r="K626" s="28">
        <v>42.67</v>
      </c>
      <c r="L626" s="112">
        <v>12200</v>
      </c>
      <c r="M626" s="112">
        <f>+L626*0.08</f>
        <v>976</v>
      </c>
      <c r="N626" s="9">
        <f>+L626/2</f>
        <v>6100</v>
      </c>
      <c r="O626" s="9">
        <f>+N626-M626-K626</f>
        <v>5081.33</v>
      </c>
      <c r="P626" s="9">
        <f>+M626+K626</f>
        <v>1018.67</v>
      </c>
      <c r="Q626" s="139">
        <f>+O626/N626</f>
        <v>0.83300491803278687</v>
      </c>
      <c r="R626" s="395">
        <f>VLOOKUP(C626,'[1]ORIGINAL (2)'!$A:$C,3,FALSE)</f>
        <v>1</v>
      </c>
      <c r="S626" s="24" t="e">
        <f>VLOOKUP(C626,#REF!,6,FALSE)</f>
        <v>#REF!</v>
      </c>
      <c r="T626" s="24" t="e">
        <f>VLOOKUP(C626,#REF!,7,FALSE)</f>
        <v>#REF!</v>
      </c>
      <c r="U626" s="24" t="e">
        <f>VLOOKUP(C626,#REF!,12,FALSE)</f>
        <v>#REF!</v>
      </c>
      <c r="V626" s="24" t="e">
        <f>VLOOKUP(C626,#REF!,13,FALSE)</f>
        <v>#REF!</v>
      </c>
    </row>
    <row r="627" spans="1:22" x14ac:dyDescent="0.25">
      <c r="A627" s="1"/>
      <c r="B627" s="3"/>
      <c r="C627" s="3"/>
      <c r="D627" s="2"/>
      <c r="E627" s="274"/>
      <c r="F627" s="275"/>
      <c r="G627" s="2"/>
      <c r="H627" s="132"/>
      <c r="I627" s="132"/>
      <c r="J627" s="134"/>
      <c r="K627" s="132"/>
      <c r="L627" s="18"/>
      <c r="M627" s="132"/>
      <c r="N627" s="132"/>
      <c r="O627" s="132"/>
      <c r="P627" s="132"/>
      <c r="Q627" s="147"/>
      <c r="R627" s="395" t="e">
        <f>VLOOKUP(C627,'[1]ORIGINAL (2)'!$A:$C,3,FALSE)</f>
        <v>#N/A</v>
      </c>
      <c r="S627" s="100"/>
      <c r="T627" s="100"/>
      <c r="U627" s="100"/>
      <c r="V627" s="100"/>
    </row>
    <row r="628" spans="1:22" x14ac:dyDescent="0.25">
      <c r="A628" s="160" t="s">
        <v>668</v>
      </c>
      <c r="B628" s="168"/>
      <c r="C628" s="168"/>
      <c r="D628" s="206"/>
      <c r="E628" s="174"/>
      <c r="F628" s="162"/>
      <c r="G628" s="162"/>
      <c r="H628" s="132"/>
      <c r="I628" s="132"/>
      <c r="J628" s="134"/>
      <c r="K628" s="132"/>
      <c r="L628" s="18"/>
      <c r="M628" s="132"/>
      <c r="N628" s="132"/>
      <c r="O628" s="132"/>
      <c r="P628" s="132"/>
      <c r="Q628" s="147"/>
      <c r="R628" s="395" t="e">
        <f>VLOOKUP(C628,'[1]ORIGINAL (2)'!$A:$C,3,FALSE)</f>
        <v>#N/A</v>
      </c>
      <c r="S628" s="100"/>
      <c r="T628" s="100"/>
      <c r="U628" s="100"/>
      <c r="V628" s="100"/>
    </row>
    <row r="629" spans="1:22" x14ac:dyDescent="0.25">
      <c r="A629" s="6" t="s">
        <v>1472</v>
      </c>
      <c r="B629" s="8">
        <v>9789500208413</v>
      </c>
      <c r="C629" s="8">
        <v>592811</v>
      </c>
      <c r="D629" s="25">
        <v>56</v>
      </c>
      <c r="E629" s="22" t="s">
        <v>299</v>
      </c>
      <c r="F629" s="6" t="s">
        <v>300</v>
      </c>
      <c r="G629" s="107">
        <v>42156</v>
      </c>
      <c r="H629" s="108">
        <v>42125</v>
      </c>
      <c r="I629" s="24">
        <v>3000</v>
      </c>
      <c r="J629" s="28" t="s">
        <v>1894</v>
      </c>
      <c r="K629" s="28">
        <v>17.84</v>
      </c>
      <c r="L629" s="128">
        <v>8700</v>
      </c>
      <c r="M629" s="9">
        <f>+L629*0.07</f>
        <v>609.00000000000011</v>
      </c>
      <c r="N629" s="9">
        <f>+L629/2</f>
        <v>4350</v>
      </c>
      <c r="O629" s="9">
        <f>+N629-M629-K629</f>
        <v>3723.16</v>
      </c>
      <c r="P629" s="9">
        <f>+M629+K629</f>
        <v>626.84000000000015</v>
      </c>
      <c r="Q629" s="139">
        <f>+O629/N629</f>
        <v>0.8558988505747126</v>
      </c>
      <c r="R629" s="395" t="e">
        <f>VLOOKUP(C629,'[1]ORIGINAL (2)'!$A:$C,3,FALSE)</f>
        <v>#N/A</v>
      </c>
      <c r="S629" s="24" t="e">
        <f>VLOOKUP(C629,#REF!,6,FALSE)</f>
        <v>#REF!</v>
      </c>
      <c r="T629" s="24" t="e">
        <f>VLOOKUP(C629,#REF!,7,FALSE)</f>
        <v>#REF!</v>
      </c>
      <c r="U629" s="24" t="e">
        <f>VLOOKUP(C629,#REF!,12,FALSE)</f>
        <v>#REF!</v>
      </c>
      <c r="V629" s="24" t="e">
        <f>VLOOKUP(C629,#REF!,13,FALSE)</f>
        <v>#REF!</v>
      </c>
    </row>
    <row r="630" spans="1:22" x14ac:dyDescent="0.25">
      <c r="A630" s="6" t="s">
        <v>1473</v>
      </c>
      <c r="B630" s="8">
        <v>9789500208437</v>
      </c>
      <c r="C630" s="8">
        <v>592812</v>
      </c>
      <c r="D630" s="25">
        <v>56</v>
      </c>
      <c r="E630" s="22" t="s">
        <v>299</v>
      </c>
      <c r="F630" s="6" t="s">
        <v>1474</v>
      </c>
      <c r="G630" s="107">
        <v>42156</v>
      </c>
      <c r="H630" s="108">
        <v>42125</v>
      </c>
      <c r="I630" s="24">
        <v>3046</v>
      </c>
      <c r="J630" s="28" t="s">
        <v>1894</v>
      </c>
      <c r="K630" s="28">
        <v>17.75</v>
      </c>
      <c r="L630" s="128">
        <v>8700</v>
      </c>
      <c r="M630" s="9">
        <f>+L630*0.07</f>
        <v>609.00000000000011</v>
      </c>
      <c r="N630" s="9">
        <f>+L630/2</f>
        <v>4350</v>
      </c>
      <c r="O630" s="9">
        <f>+N630-M630-K630</f>
        <v>3723.25</v>
      </c>
      <c r="P630" s="9">
        <f>+M630+K630</f>
        <v>626.75000000000011</v>
      </c>
      <c r="Q630" s="139">
        <f>+O630/N630</f>
        <v>0.85591954022988503</v>
      </c>
      <c r="R630" s="395" t="e">
        <f>VLOOKUP(C630,'[1]ORIGINAL (2)'!$A:$C,3,FALSE)</f>
        <v>#N/A</v>
      </c>
      <c r="S630" s="24" t="e">
        <f>VLOOKUP(C630,#REF!,6,FALSE)</f>
        <v>#REF!</v>
      </c>
      <c r="T630" s="24" t="e">
        <f>VLOOKUP(C630,#REF!,7,FALSE)</f>
        <v>#REF!</v>
      </c>
      <c r="U630" s="24" t="e">
        <f>VLOOKUP(C630,#REF!,12,FALSE)</f>
        <v>#REF!</v>
      </c>
      <c r="V630" s="24" t="e">
        <f>VLOOKUP(C630,#REF!,13,FALSE)</f>
        <v>#REF!</v>
      </c>
    </row>
    <row r="631" spans="1:22" x14ac:dyDescent="0.25">
      <c r="A631" s="1"/>
      <c r="B631" s="3"/>
      <c r="C631" s="3"/>
      <c r="D631" s="2"/>
      <c r="E631" s="274"/>
      <c r="F631" s="275"/>
      <c r="G631" s="2"/>
      <c r="H631" s="132"/>
      <c r="I631" s="132"/>
      <c r="J631" s="134"/>
      <c r="K631" s="132"/>
      <c r="L631" s="134"/>
      <c r="M631" s="132"/>
      <c r="N631" s="132"/>
      <c r="O631" s="132"/>
      <c r="P631" s="132"/>
      <c r="Q631" s="147"/>
      <c r="R631" s="395" t="e">
        <f>VLOOKUP(C631,'[1]ORIGINAL (2)'!$A:$C,3,FALSE)</f>
        <v>#N/A</v>
      </c>
      <c r="S631" s="100"/>
      <c r="T631" s="100"/>
      <c r="U631" s="100"/>
      <c r="V631" s="100"/>
    </row>
    <row r="632" spans="1:22" x14ac:dyDescent="0.25">
      <c r="A632" s="160" t="s">
        <v>1475</v>
      </c>
      <c r="B632" s="168"/>
      <c r="C632" s="168"/>
      <c r="D632" s="206"/>
      <c r="E632" s="174"/>
      <c r="F632" s="162"/>
      <c r="G632" s="162"/>
      <c r="H632" s="132"/>
      <c r="I632" s="132"/>
      <c r="J632" s="134"/>
      <c r="K632" s="132"/>
      <c r="L632" s="134"/>
      <c r="M632" s="132"/>
      <c r="N632" s="132"/>
      <c r="O632" s="132"/>
      <c r="P632" s="132"/>
      <c r="Q632" s="147"/>
      <c r="R632" s="395" t="e">
        <f>VLOOKUP(C632,'[1]ORIGINAL (2)'!$A:$C,3,FALSE)</f>
        <v>#N/A</v>
      </c>
      <c r="S632" s="100"/>
      <c r="T632" s="100"/>
      <c r="U632" s="100"/>
      <c r="V632" s="100"/>
    </row>
    <row r="633" spans="1:22" x14ac:dyDescent="0.25">
      <c r="A633" s="7" t="s">
        <v>1476</v>
      </c>
      <c r="B633" s="8">
        <v>9789500207607</v>
      </c>
      <c r="C633" s="21">
        <v>569647</v>
      </c>
      <c r="D633" s="25">
        <v>32</v>
      </c>
      <c r="E633" s="22" t="s">
        <v>268</v>
      </c>
      <c r="F633" s="6" t="s">
        <v>269</v>
      </c>
      <c r="G633" s="107">
        <v>41548</v>
      </c>
      <c r="H633" s="108">
        <v>41518</v>
      </c>
      <c r="I633" s="24">
        <v>4040</v>
      </c>
      <c r="J633" s="28" t="s">
        <v>1946</v>
      </c>
      <c r="K633" s="28">
        <v>17.57</v>
      </c>
      <c r="L633" s="128">
        <v>15900</v>
      </c>
      <c r="M633" s="112">
        <f>+L633*0.06</f>
        <v>954</v>
      </c>
      <c r="N633" s="9">
        <f t="shared" ref="N633:N639" si="95">+L633/2</f>
        <v>7950</v>
      </c>
      <c r="O633" s="9">
        <f t="shared" ref="O633:O639" si="96">+N633-M633-K633</f>
        <v>6978.43</v>
      </c>
      <c r="P633" s="9">
        <f t="shared" ref="P633:P639" si="97">+M633+K633</f>
        <v>971.57</v>
      </c>
      <c r="Q633" s="139">
        <f t="shared" ref="Q633:Q639" si="98">+O633/N633</f>
        <v>0.87778993710691833</v>
      </c>
      <c r="R633" s="395" t="e">
        <f>VLOOKUP(C633,'[1]ORIGINAL (2)'!$A:$C,3,FALSE)</f>
        <v>#N/A</v>
      </c>
      <c r="S633" s="24" t="e">
        <f>VLOOKUP(C633,#REF!,6,FALSE)</f>
        <v>#REF!</v>
      </c>
      <c r="T633" s="24" t="e">
        <f>VLOOKUP(C633,#REF!,7,FALSE)</f>
        <v>#REF!</v>
      </c>
      <c r="U633" s="24" t="e">
        <f>VLOOKUP(C633,#REF!,12,FALSE)</f>
        <v>#REF!</v>
      </c>
      <c r="V633" s="24" t="e">
        <f>VLOOKUP(C633,#REF!,13,FALSE)</f>
        <v>#REF!</v>
      </c>
    </row>
    <row r="634" spans="1:22" x14ac:dyDescent="0.25">
      <c r="A634" s="7" t="s">
        <v>1477</v>
      </c>
      <c r="B634" s="8">
        <v>9789500213493</v>
      </c>
      <c r="C634" s="8">
        <v>703457</v>
      </c>
      <c r="D634" s="7">
        <v>36</v>
      </c>
      <c r="E634" s="6" t="s">
        <v>301</v>
      </c>
      <c r="F634" s="6" t="s">
        <v>1478</v>
      </c>
      <c r="G634" s="107">
        <v>44986</v>
      </c>
      <c r="H634" s="108">
        <v>44986</v>
      </c>
      <c r="I634" s="7">
        <v>2030</v>
      </c>
      <c r="J634" s="6" t="s">
        <v>1762</v>
      </c>
      <c r="K634" s="117">
        <v>511.7</v>
      </c>
      <c r="L634" s="128">
        <v>18600</v>
      </c>
      <c r="M634" s="9">
        <f t="shared" ref="M634:M639" si="99">+L634*0.08</f>
        <v>1488</v>
      </c>
      <c r="N634" s="9">
        <f t="shared" si="95"/>
        <v>9300</v>
      </c>
      <c r="O634" s="9">
        <f t="shared" si="96"/>
        <v>7300.3</v>
      </c>
      <c r="P634" s="9">
        <f t="shared" si="97"/>
        <v>1999.7</v>
      </c>
      <c r="Q634" s="139">
        <f t="shared" si="98"/>
        <v>0.78497849462365599</v>
      </c>
      <c r="R634" s="395">
        <f>VLOOKUP(C634,'[1]ORIGINAL (2)'!$A:$C,3,FALSE)</f>
        <v>45</v>
      </c>
      <c r="S634" s="24" t="e">
        <f>VLOOKUP(C634,#REF!,6,FALSE)</f>
        <v>#REF!</v>
      </c>
      <c r="T634" s="24" t="e">
        <f>VLOOKUP(C634,#REF!,7,FALSE)</f>
        <v>#REF!</v>
      </c>
      <c r="U634" s="24" t="e">
        <f>VLOOKUP(C634,#REF!,12,FALSE)</f>
        <v>#REF!</v>
      </c>
      <c r="V634" s="24" t="e">
        <f>VLOOKUP(C634,#REF!,13,FALSE)</f>
        <v>#REF!</v>
      </c>
    </row>
    <row r="635" spans="1:22" x14ac:dyDescent="0.25">
      <c r="A635" s="7" t="s">
        <v>1479</v>
      </c>
      <c r="B635" s="8">
        <v>9789500213509</v>
      </c>
      <c r="C635" s="8">
        <v>703456</v>
      </c>
      <c r="D635" s="7">
        <v>36</v>
      </c>
      <c r="E635" s="6" t="s">
        <v>301</v>
      </c>
      <c r="F635" s="6" t="s">
        <v>1480</v>
      </c>
      <c r="G635" s="107">
        <v>44986</v>
      </c>
      <c r="H635" s="108">
        <v>44986</v>
      </c>
      <c r="I635" s="7">
        <v>2070</v>
      </c>
      <c r="J635" s="6" t="s">
        <v>1762</v>
      </c>
      <c r="K635" s="117">
        <v>505.43</v>
      </c>
      <c r="L635" s="128">
        <v>18600</v>
      </c>
      <c r="M635" s="9">
        <f t="shared" si="99"/>
        <v>1488</v>
      </c>
      <c r="N635" s="9">
        <f t="shared" si="95"/>
        <v>9300</v>
      </c>
      <c r="O635" s="9">
        <f t="shared" si="96"/>
        <v>7306.57</v>
      </c>
      <c r="P635" s="9">
        <f t="shared" si="97"/>
        <v>1993.43</v>
      </c>
      <c r="Q635" s="139">
        <f t="shared" si="98"/>
        <v>0.78565268817204303</v>
      </c>
      <c r="R635" s="395">
        <f>VLOOKUP(C635,'[1]ORIGINAL (2)'!$A:$C,3,FALSE)</f>
        <v>26</v>
      </c>
      <c r="S635" s="24" t="e">
        <f>VLOOKUP(C635,#REF!,6,FALSE)</f>
        <v>#REF!</v>
      </c>
      <c r="T635" s="24" t="e">
        <f>VLOOKUP(C635,#REF!,7,FALSE)</f>
        <v>#REF!</v>
      </c>
      <c r="U635" s="24" t="e">
        <f>VLOOKUP(C635,#REF!,12,FALSE)</f>
        <v>#REF!</v>
      </c>
      <c r="V635" s="24" t="e">
        <f>VLOOKUP(C635,#REF!,13,FALSE)</f>
        <v>#REF!</v>
      </c>
    </row>
    <row r="636" spans="1:22" x14ac:dyDescent="0.25">
      <c r="A636" s="6" t="s">
        <v>1481</v>
      </c>
      <c r="B636" s="8">
        <v>9789500298667</v>
      </c>
      <c r="C636" s="8">
        <v>609578</v>
      </c>
      <c r="D636" s="7">
        <v>36</v>
      </c>
      <c r="E636" s="6" t="s">
        <v>301</v>
      </c>
      <c r="F636" s="6" t="s">
        <v>304</v>
      </c>
      <c r="G636" s="107">
        <v>42430</v>
      </c>
      <c r="H636" s="108">
        <v>42401</v>
      </c>
      <c r="I636" s="24">
        <v>3024</v>
      </c>
      <c r="J636" s="28" t="s">
        <v>1946</v>
      </c>
      <c r="K636" s="28">
        <v>35.43</v>
      </c>
      <c r="L636" s="128">
        <v>16700</v>
      </c>
      <c r="M636" s="9">
        <f t="shared" si="99"/>
        <v>1336</v>
      </c>
      <c r="N636" s="9">
        <f t="shared" si="95"/>
        <v>8350</v>
      </c>
      <c r="O636" s="9">
        <f t="shared" si="96"/>
        <v>6978.57</v>
      </c>
      <c r="P636" s="9">
        <f t="shared" si="97"/>
        <v>1371.43</v>
      </c>
      <c r="Q636" s="139">
        <f t="shared" si="98"/>
        <v>0.83575688622754485</v>
      </c>
      <c r="R636" s="395">
        <f>VLOOKUP(C636,'[1]ORIGINAL (2)'!$A:$C,3,FALSE)</f>
        <v>6</v>
      </c>
      <c r="S636" s="24" t="e">
        <f>VLOOKUP(C636,#REF!,6,FALSE)</f>
        <v>#REF!</v>
      </c>
      <c r="T636" s="24" t="e">
        <f>VLOOKUP(C636,#REF!,7,FALSE)</f>
        <v>#REF!</v>
      </c>
      <c r="U636" s="24" t="e">
        <f>VLOOKUP(C636,#REF!,12,FALSE)</f>
        <v>#REF!</v>
      </c>
      <c r="V636" s="24" t="e">
        <f>VLOOKUP(C636,#REF!,13,FALSE)</f>
        <v>#REF!</v>
      </c>
    </row>
    <row r="637" spans="1:22" x14ac:dyDescent="0.25">
      <c r="A637" s="6" t="s">
        <v>1482</v>
      </c>
      <c r="B637" s="8">
        <v>9789500298698</v>
      </c>
      <c r="C637" s="8">
        <v>609579</v>
      </c>
      <c r="D637" s="7">
        <v>36</v>
      </c>
      <c r="E637" s="6" t="s">
        <v>301</v>
      </c>
      <c r="F637" s="6" t="s">
        <v>305</v>
      </c>
      <c r="G637" s="107">
        <v>42430</v>
      </c>
      <c r="H637" s="108">
        <v>42401</v>
      </c>
      <c r="I637" s="24">
        <v>3006</v>
      </c>
      <c r="J637" s="28" t="s">
        <v>1946</v>
      </c>
      <c r="K637" s="28">
        <v>35.51</v>
      </c>
      <c r="L637" s="128">
        <v>16700</v>
      </c>
      <c r="M637" s="9">
        <f t="shared" si="99"/>
        <v>1336</v>
      </c>
      <c r="N637" s="9">
        <f t="shared" si="95"/>
        <v>8350</v>
      </c>
      <c r="O637" s="9">
        <f t="shared" si="96"/>
        <v>6978.49</v>
      </c>
      <c r="P637" s="9">
        <f t="shared" si="97"/>
        <v>1371.51</v>
      </c>
      <c r="Q637" s="139">
        <f t="shared" si="98"/>
        <v>0.83574730538922148</v>
      </c>
      <c r="R637" s="395" t="e">
        <f>VLOOKUP(C637,'[1]ORIGINAL (2)'!$A:$C,3,FALSE)</f>
        <v>#N/A</v>
      </c>
      <c r="S637" s="24" t="e">
        <f>VLOOKUP(C637,#REF!,6,FALSE)</f>
        <v>#REF!</v>
      </c>
      <c r="T637" s="24" t="e">
        <f>VLOOKUP(C637,#REF!,7,FALSE)</f>
        <v>#REF!</v>
      </c>
      <c r="U637" s="24" t="e">
        <f>VLOOKUP(C637,#REF!,12,FALSE)</f>
        <v>#REF!</v>
      </c>
      <c r="V637" s="24" t="e">
        <f>VLOOKUP(C637,#REF!,13,FALSE)</f>
        <v>#REF!</v>
      </c>
    </row>
    <row r="638" spans="1:22" x14ac:dyDescent="0.25">
      <c r="A638" s="6" t="s">
        <v>1483</v>
      </c>
      <c r="B638" s="8">
        <v>9789500298681</v>
      </c>
      <c r="C638" s="8">
        <v>609580</v>
      </c>
      <c r="D638" s="7">
        <v>36</v>
      </c>
      <c r="E638" s="6" t="s">
        <v>301</v>
      </c>
      <c r="F638" s="6" t="s">
        <v>303</v>
      </c>
      <c r="G638" s="107">
        <v>42430</v>
      </c>
      <c r="H638" s="108">
        <v>42401</v>
      </c>
      <c r="I638" s="24">
        <v>3042</v>
      </c>
      <c r="J638" s="6" t="s">
        <v>1762</v>
      </c>
      <c r="K638" s="28">
        <v>35.340000000000003</v>
      </c>
      <c r="L638" s="128">
        <v>18900</v>
      </c>
      <c r="M638" s="9">
        <f t="shared" si="99"/>
        <v>1512</v>
      </c>
      <c r="N638" s="9">
        <f t="shared" si="95"/>
        <v>9450</v>
      </c>
      <c r="O638" s="9">
        <f t="shared" si="96"/>
        <v>7902.66</v>
      </c>
      <c r="P638" s="9">
        <f t="shared" si="97"/>
        <v>1547.34</v>
      </c>
      <c r="Q638" s="139">
        <f t="shared" si="98"/>
        <v>0.83626031746031748</v>
      </c>
      <c r="R638" s="395">
        <f>VLOOKUP(C638,'[1]ORIGINAL (2)'!$A:$C,3,FALSE)</f>
        <v>15</v>
      </c>
      <c r="S638" s="24" t="e">
        <f>VLOOKUP(C638,#REF!,6,FALSE)</f>
        <v>#REF!</v>
      </c>
      <c r="T638" s="24" t="e">
        <f>VLOOKUP(C638,#REF!,7,FALSE)</f>
        <v>#REF!</v>
      </c>
      <c r="U638" s="24" t="e">
        <f>VLOOKUP(C638,#REF!,12,FALSE)</f>
        <v>#REF!</v>
      </c>
      <c r="V638" s="24" t="e">
        <f>VLOOKUP(C638,#REF!,13,FALSE)</f>
        <v>#REF!</v>
      </c>
    </row>
    <row r="639" spans="1:22" x14ac:dyDescent="0.25">
      <c r="A639" s="6" t="s">
        <v>1484</v>
      </c>
      <c r="B639" s="8">
        <v>9789500298674</v>
      </c>
      <c r="C639" s="8">
        <v>609581</v>
      </c>
      <c r="D639" s="7">
        <v>36</v>
      </c>
      <c r="E639" s="6" t="s">
        <v>301</v>
      </c>
      <c r="F639" s="6" t="s">
        <v>302</v>
      </c>
      <c r="G639" s="107">
        <v>42430</v>
      </c>
      <c r="H639" s="108">
        <v>42401</v>
      </c>
      <c r="I639" s="24">
        <v>3042</v>
      </c>
      <c r="J639" s="6" t="s">
        <v>1762</v>
      </c>
      <c r="K639" s="28">
        <v>35.340000000000003</v>
      </c>
      <c r="L639" s="128">
        <v>18900</v>
      </c>
      <c r="M639" s="9">
        <f t="shared" si="99"/>
        <v>1512</v>
      </c>
      <c r="N639" s="9">
        <f t="shared" si="95"/>
        <v>9450</v>
      </c>
      <c r="O639" s="9">
        <f t="shared" si="96"/>
        <v>7902.66</v>
      </c>
      <c r="P639" s="9">
        <f t="shared" si="97"/>
        <v>1547.34</v>
      </c>
      <c r="Q639" s="139">
        <f t="shared" si="98"/>
        <v>0.83626031746031748</v>
      </c>
      <c r="R639" s="395">
        <f>VLOOKUP(C639,'[1]ORIGINAL (2)'!$A:$C,3,FALSE)</f>
        <v>17</v>
      </c>
      <c r="S639" s="24" t="e">
        <f>VLOOKUP(C639,#REF!,6,FALSE)</f>
        <v>#REF!</v>
      </c>
      <c r="T639" s="24" t="e">
        <f>VLOOKUP(C639,#REF!,7,FALSE)</f>
        <v>#REF!</v>
      </c>
      <c r="U639" s="24" t="e">
        <f>VLOOKUP(C639,#REF!,12,FALSE)</f>
        <v>#REF!</v>
      </c>
      <c r="V639" s="24" t="e">
        <f>VLOOKUP(C639,#REF!,13,FALSE)</f>
        <v>#REF!</v>
      </c>
    </row>
    <row r="640" spans="1:22" x14ac:dyDescent="0.25">
      <c r="A640" s="1"/>
      <c r="B640" s="3"/>
      <c r="C640" s="3"/>
      <c r="D640" s="2"/>
      <c r="E640" s="274"/>
      <c r="F640" s="275"/>
      <c r="G640" s="2"/>
      <c r="H640" s="132"/>
      <c r="I640" s="132"/>
      <c r="J640" s="134"/>
      <c r="K640" s="132"/>
      <c r="L640" s="134"/>
      <c r="M640" s="132"/>
      <c r="N640" s="132"/>
      <c r="O640" s="132"/>
      <c r="P640" s="132"/>
      <c r="Q640" s="147"/>
      <c r="R640" s="395" t="e">
        <f>VLOOKUP(C640,'[1]ORIGINAL (2)'!$A:$C,3,FALSE)</f>
        <v>#N/A</v>
      </c>
      <c r="S640" s="100"/>
      <c r="T640" s="100"/>
      <c r="U640" s="100"/>
      <c r="V640" s="100"/>
    </row>
    <row r="641" spans="1:22" x14ac:dyDescent="0.25">
      <c r="A641" s="202" t="s">
        <v>669</v>
      </c>
      <c r="B641" s="203"/>
      <c r="C641" s="203"/>
      <c r="D641" s="204"/>
      <c r="E641" s="205"/>
      <c r="F641" s="162"/>
      <c r="G641" s="162"/>
      <c r="H641" s="132"/>
      <c r="I641" s="132"/>
      <c r="J641" s="134"/>
      <c r="K641" s="132"/>
      <c r="L641" s="134"/>
      <c r="M641" s="132"/>
      <c r="N641" s="132"/>
      <c r="O641" s="132"/>
      <c r="P641" s="132"/>
      <c r="Q641" s="147"/>
      <c r="R641" s="395" t="e">
        <f>VLOOKUP(C641,'[1]ORIGINAL (2)'!$A:$C,3,FALSE)</f>
        <v>#N/A</v>
      </c>
      <c r="S641" s="100"/>
      <c r="T641" s="100"/>
      <c r="U641" s="100"/>
      <c r="V641" s="100"/>
    </row>
    <row r="642" spans="1:22" x14ac:dyDescent="0.25">
      <c r="A642" s="6" t="s">
        <v>1485</v>
      </c>
      <c r="B642" s="8">
        <v>9789500209441</v>
      </c>
      <c r="C642" s="6">
        <v>655165</v>
      </c>
      <c r="D642" s="7">
        <v>40</v>
      </c>
      <c r="E642" s="8" t="s">
        <v>409</v>
      </c>
      <c r="F642" s="7" t="s">
        <v>410</v>
      </c>
      <c r="G642" s="107">
        <v>43374</v>
      </c>
      <c r="H642" s="108">
        <v>43313</v>
      </c>
      <c r="I642" s="24">
        <v>3060</v>
      </c>
      <c r="J642" s="28" t="s">
        <v>1946</v>
      </c>
      <c r="K642" s="28">
        <v>81.97</v>
      </c>
      <c r="L642" s="128">
        <v>14300</v>
      </c>
      <c r="M642" s="112"/>
      <c r="N642" s="9">
        <f t="shared" ref="N642:N648" si="100">+L642/2</f>
        <v>7150</v>
      </c>
      <c r="O642" s="9">
        <f t="shared" ref="O642:O648" si="101">+N642-M642-K642</f>
        <v>7068.03</v>
      </c>
      <c r="P642" s="9">
        <f t="shared" ref="P642:P648" si="102">+M642+K642</f>
        <v>81.97</v>
      </c>
      <c r="Q642" s="139">
        <f t="shared" ref="Q642:Q648" si="103">+O642/N642</f>
        <v>0.98853566433566431</v>
      </c>
      <c r="R642" s="395" t="e">
        <f>VLOOKUP(C642,'[1]ORIGINAL (2)'!$A:$C,3,FALSE)</f>
        <v>#N/A</v>
      </c>
      <c r="S642" s="24" t="e">
        <f>VLOOKUP(C642,#REF!,6,FALSE)</f>
        <v>#REF!</v>
      </c>
      <c r="T642" s="24" t="e">
        <f>VLOOKUP(C642,#REF!,7,FALSE)</f>
        <v>#REF!</v>
      </c>
      <c r="U642" s="24" t="e">
        <f>VLOOKUP(C642,#REF!,12,FALSE)</f>
        <v>#REF!</v>
      </c>
      <c r="V642" s="24" t="e">
        <f>VLOOKUP(C642,#REF!,13,FALSE)</f>
        <v>#REF!</v>
      </c>
    </row>
    <row r="643" spans="1:22" x14ac:dyDescent="0.25">
      <c r="A643" s="6" t="s">
        <v>1486</v>
      </c>
      <c r="B643" s="8">
        <v>9789500209588</v>
      </c>
      <c r="C643" s="6">
        <v>655164</v>
      </c>
      <c r="D643" s="7">
        <v>40</v>
      </c>
      <c r="E643" s="8" t="s">
        <v>409</v>
      </c>
      <c r="F643" s="7" t="s">
        <v>604</v>
      </c>
      <c r="G643" s="107">
        <v>43497</v>
      </c>
      <c r="H643" s="108">
        <v>43313</v>
      </c>
      <c r="I643" s="24">
        <v>3060</v>
      </c>
      <c r="J643" s="28" t="s">
        <v>1946</v>
      </c>
      <c r="K643" s="28">
        <v>82.621003267973805</v>
      </c>
      <c r="L643" s="128">
        <v>14300</v>
      </c>
      <c r="M643" s="112"/>
      <c r="N643" s="9">
        <f t="shared" si="100"/>
        <v>7150</v>
      </c>
      <c r="O643" s="9">
        <f t="shared" si="101"/>
        <v>7067.3789967320263</v>
      </c>
      <c r="P643" s="9">
        <f t="shared" si="102"/>
        <v>82.621003267973805</v>
      </c>
      <c r="Q643" s="139">
        <f t="shared" si="103"/>
        <v>0.98844461492755609</v>
      </c>
      <c r="R643" s="395">
        <f>VLOOKUP(C643,'[1]ORIGINAL (2)'!$A:$C,3,FALSE)</f>
        <v>1</v>
      </c>
      <c r="S643" s="24" t="e">
        <f>VLOOKUP(C643,#REF!,6,FALSE)</f>
        <v>#REF!</v>
      </c>
      <c r="T643" s="24" t="e">
        <f>VLOOKUP(C643,#REF!,7,FALSE)</f>
        <v>#REF!</v>
      </c>
      <c r="U643" s="24" t="e">
        <f>VLOOKUP(C643,#REF!,12,FALSE)</f>
        <v>#REF!</v>
      </c>
      <c r="V643" s="24" t="e">
        <f>VLOOKUP(C643,#REF!,13,FALSE)</f>
        <v>#REF!</v>
      </c>
    </row>
    <row r="644" spans="1:22" x14ac:dyDescent="0.25">
      <c r="A644" s="6" t="s">
        <v>1487</v>
      </c>
      <c r="B644" s="8">
        <v>9789500299558</v>
      </c>
      <c r="C644" s="6">
        <v>632045</v>
      </c>
      <c r="D644" s="7">
        <v>32</v>
      </c>
      <c r="E644" s="7" t="s">
        <v>239</v>
      </c>
      <c r="F644" s="11" t="s">
        <v>241</v>
      </c>
      <c r="G644" s="107">
        <v>42917</v>
      </c>
      <c r="H644" s="108">
        <v>44621</v>
      </c>
      <c r="I644" s="24">
        <v>3000</v>
      </c>
      <c r="J644" s="6" t="s">
        <v>1762</v>
      </c>
      <c r="K644" s="9">
        <v>367.05</v>
      </c>
      <c r="L644" s="128">
        <v>21900</v>
      </c>
      <c r="M644" s="112"/>
      <c r="N644" s="9">
        <f t="shared" si="100"/>
        <v>10950</v>
      </c>
      <c r="O644" s="9">
        <f t="shared" si="101"/>
        <v>10582.95</v>
      </c>
      <c r="P644" s="9">
        <f t="shared" si="102"/>
        <v>367.05</v>
      </c>
      <c r="Q644" s="139">
        <f t="shared" si="103"/>
        <v>0.96647945205479457</v>
      </c>
      <c r="R644" s="395">
        <f>VLOOKUP(C644,'[1]ORIGINAL (2)'!$A:$C,3,FALSE)</f>
        <v>72</v>
      </c>
      <c r="S644" s="24" t="e">
        <f>VLOOKUP(C644,#REF!,6,FALSE)</f>
        <v>#REF!</v>
      </c>
      <c r="T644" s="24" t="e">
        <f>VLOOKUP(C644,#REF!,7,FALSE)</f>
        <v>#REF!</v>
      </c>
      <c r="U644" s="24" t="e">
        <f>VLOOKUP(C644,#REF!,12,FALSE)</f>
        <v>#REF!</v>
      </c>
      <c r="V644" s="24" t="e">
        <f>VLOOKUP(C644,#REF!,13,FALSE)</f>
        <v>#REF!</v>
      </c>
    </row>
    <row r="645" spans="1:22" x14ac:dyDescent="0.25">
      <c r="A645" s="6" t="s">
        <v>1488</v>
      </c>
      <c r="B645" s="8">
        <v>9789500299572</v>
      </c>
      <c r="C645" s="6">
        <v>632046</v>
      </c>
      <c r="D645" s="7">
        <v>32</v>
      </c>
      <c r="E645" s="7" t="s">
        <v>239</v>
      </c>
      <c r="F645" s="11" t="s">
        <v>240</v>
      </c>
      <c r="G645" s="107">
        <v>42948</v>
      </c>
      <c r="H645" s="108">
        <v>44621</v>
      </c>
      <c r="I645" s="24">
        <v>3000</v>
      </c>
      <c r="J645" s="6" t="s">
        <v>1762</v>
      </c>
      <c r="K645" s="9">
        <v>367.05</v>
      </c>
      <c r="L645" s="128">
        <v>21900</v>
      </c>
      <c r="M645" s="112"/>
      <c r="N645" s="9">
        <f t="shared" si="100"/>
        <v>10950</v>
      </c>
      <c r="O645" s="9">
        <f t="shared" si="101"/>
        <v>10582.95</v>
      </c>
      <c r="P645" s="9">
        <f t="shared" si="102"/>
        <v>367.05</v>
      </c>
      <c r="Q645" s="139">
        <f t="shared" si="103"/>
        <v>0.96647945205479457</v>
      </c>
      <c r="R645" s="395">
        <f>VLOOKUP(C645,'[1]ORIGINAL (2)'!$A:$C,3,FALSE)</f>
        <v>81</v>
      </c>
      <c r="S645" s="24" t="e">
        <f>VLOOKUP(C645,#REF!,6,FALSE)</f>
        <v>#REF!</v>
      </c>
      <c r="T645" s="24" t="e">
        <f>VLOOKUP(C645,#REF!,7,FALSE)</f>
        <v>#REF!</v>
      </c>
      <c r="U645" s="24" t="e">
        <f>VLOOKUP(C645,#REF!,12,FALSE)</f>
        <v>#REF!</v>
      </c>
      <c r="V645" s="24" t="e">
        <f>VLOOKUP(C645,#REF!,13,FALSE)</f>
        <v>#REF!</v>
      </c>
    </row>
    <row r="646" spans="1:22" x14ac:dyDescent="0.25">
      <c r="A646" s="6" t="s">
        <v>1489</v>
      </c>
      <c r="B646" s="8">
        <v>9789500298735</v>
      </c>
      <c r="C646" s="8">
        <v>614605</v>
      </c>
      <c r="D646" s="7">
        <v>48</v>
      </c>
      <c r="E646" s="31" t="s">
        <v>278</v>
      </c>
      <c r="F646" s="6" t="s">
        <v>279</v>
      </c>
      <c r="G646" s="107">
        <v>42522</v>
      </c>
      <c r="H646" s="108">
        <v>42491</v>
      </c>
      <c r="I646" s="24">
        <v>3084</v>
      </c>
      <c r="J646" s="28" t="s">
        <v>1946</v>
      </c>
      <c r="K646" s="28">
        <v>67.13</v>
      </c>
      <c r="L646" s="128">
        <v>15900</v>
      </c>
      <c r="M646" s="9">
        <f>+L646*0.08</f>
        <v>1272</v>
      </c>
      <c r="N646" s="9">
        <f t="shared" si="100"/>
        <v>7950</v>
      </c>
      <c r="O646" s="9">
        <f t="shared" si="101"/>
        <v>6610.87</v>
      </c>
      <c r="P646" s="9">
        <f t="shared" si="102"/>
        <v>1339.13</v>
      </c>
      <c r="Q646" s="139">
        <f t="shared" si="103"/>
        <v>0.83155597484276733</v>
      </c>
      <c r="R646" s="395">
        <f>VLOOKUP(C646,'[1]ORIGINAL (2)'!$A:$C,3,FALSE)</f>
        <v>4</v>
      </c>
      <c r="S646" s="24" t="e">
        <f>VLOOKUP(C646,#REF!,6,FALSE)</f>
        <v>#REF!</v>
      </c>
      <c r="T646" s="24" t="e">
        <f>VLOOKUP(C646,#REF!,7,FALSE)</f>
        <v>#REF!</v>
      </c>
      <c r="U646" s="24" t="e">
        <f>VLOOKUP(C646,#REF!,12,FALSE)</f>
        <v>#REF!</v>
      </c>
      <c r="V646" s="24" t="e">
        <f>VLOOKUP(C646,#REF!,13,FALSE)</f>
        <v>#REF!</v>
      </c>
    </row>
    <row r="647" spans="1:22" x14ac:dyDescent="0.25">
      <c r="A647" s="6" t="s">
        <v>1490</v>
      </c>
      <c r="B647" s="8">
        <v>9789500298759</v>
      </c>
      <c r="C647" s="8">
        <v>617596</v>
      </c>
      <c r="D647" s="7">
        <v>40</v>
      </c>
      <c r="E647" s="11" t="s">
        <v>280</v>
      </c>
      <c r="F647" s="11" t="s">
        <v>1491</v>
      </c>
      <c r="G647" s="107">
        <v>42583</v>
      </c>
      <c r="H647" s="108">
        <v>42552</v>
      </c>
      <c r="I647" s="24">
        <v>3060</v>
      </c>
      <c r="J647" s="28" t="s">
        <v>1946</v>
      </c>
      <c r="K647" s="28">
        <v>58.49</v>
      </c>
      <c r="L647" s="128">
        <v>15900</v>
      </c>
      <c r="M647" s="9">
        <f>+L647*0.08</f>
        <v>1272</v>
      </c>
      <c r="N647" s="9">
        <f t="shared" si="100"/>
        <v>7950</v>
      </c>
      <c r="O647" s="9">
        <f t="shared" si="101"/>
        <v>6619.51</v>
      </c>
      <c r="P647" s="9">
        <f t="shared" si="102"/>
        <v>1330.49</v>
      </c>
      <c r="Q647" s="139">
        <f t="shared" si="103"/>
        <v>0.8326427672955975</v>
      </c>
      <c r="R647" s="395" t="e">
        <f>VLOOKUP(C647,'[1]ORIGINAL (2)'!$A:$C,3,FALSE)</f>
        <v>#N/A</v>
      </c>
      <c r="S647" s="24" t="e">
        <f>VLOOKUP(C647,#REF!,6,FALSE)</f>
        <v>#REF!</v>
      </c>
      <c r="T647" s="24" t="e">
        <f>VLOOKUP(C647,#REF!,7,FALSE)</f>
        <v>#REF!</v>
      </c>
      <c r="U647" s="24" t="e">
        <f>VLOOKUP(C647,#REF!,12,FALSE)</f>
        <v>#REF!</v>
      </c>
      <c r="V647" s="24" t="e">
        <f>VLOOKUP(C647,#REF!,13,FALSE)</f>
        <v>#REF!</v>
      </c>
    </row>
    <row r="648" spans="1:22" x14ac:dyDescent="0.25">
      <c r="A648" s="11" t="s">
        <v>1492</v>
      </c>
      <c r="B648" s="8">
        <v>9789500298742</v>
      </c>
      <c r="C648" s="8">
        <v>640868</v>
      </c>
      <c r="D648" s="7">
        <v>48</v>
      </c>
      <c r="E648" s="31" t="s">
        <v>280</v>
      </c>
      <c r="F648" s="11" t="s">
        <v>336</v>
      </c>
      <c r="G648" s="107">
        <v>43070</v>
      </c>
      <c r="H648" s="108">
        <v>43040</v>
      </c>
      <c r="I648" s="24">
        <v>2552</v>
      </c>
      <c r="J648" s="28" t="s">
        <v>1946</v>
      </c>
      <c r="K648" s="28">
        <v>83.9</v>
      </c>
      <c r="L648" s="128">
        <v>15900</v>
      </c>
      <c r="M648" s="141">
        <f>+L648*0.08</f>
        <v>1272</v>
      </c>
      <c r="N648" s="9">
        <f t="shared" si="100"/>
        <v>7950</v>
      </c>
      <c r="O648" s="9">
        <f t="shared" si="101"/>
        <v>6594.1</v>
      </c>
      <c r="P648" s="9">
        <f t="shared" si="102"/>
        <v>1355.9</v>
      </c>
      <c r="Q648" s="139">
        <f t="shared" si="103"/>
        <v>0.82944654088050318</v>
      </c>
      <c r="R648" s="395">
        <f>VLOOKUP(C648,'[1]ORIGINAL (2)'!$A:$C,3,FALSE)</f>
        <v>5</v>
      </c>
      <c r="S648" s="24" t="e">
        <f>VLOOKUP(C648,#REF!,6,FALSE)</f>
        <v>#REF!</v>
      </c>
      <c r="T648" s="24" t="e">
        <f>VLOOKUP(C648,#REF!,7,FALSE)</f>
        <v>#REF!</v>
      </c>
      <c r="U648" s="24" t="e">
        <f>VLOOKUP(C648,#REF!,12,FALSE)</f>
        <v>#REF!</v>
      </c>
      <c r="V648" s="24" t="e">
        <f>VLOOKUP(C648,#REF!,13,FALSE)</f>
        <v>#REF!</v>
      </c>
    </row>
    <row r="649" spans="1:22" x14ac:dyDescent="0.25">
      <c r="A649" s="2"/>
      <c r="B649" s="3"/>
      <c r="C649" s="3"/>
      <c r="D649" s="2"/>
      <c r="E649" s="2"/>
      <c r="F649" s="2"/>
      <c r="G649" s="2"/>
      <c r="H649" s="132"/>
      <c r="I649" s="132"/>
      <c r="J649" s="134"/>
      <c r="K649" s="132"/>
      <c r="L649" s="134"/>
      <c r="M649" s="132"/>
      <c r="N649" s="132"/>
      <c r="O649" s="132"/>
      <c r="P649" s="132"/>
      <c r="Q649" s="147"/>
      <c r="R649" s="395" t="e">
        <f>VLOOKUP(C649,'[1]ORIGINAL (2)'!$A:$C,3,FALSE)</f>
        <v>#N/A</v>
      </c>
      <c r="S649" s="100"/>
      <c r="T649" s="100"/>
      <c r="U649" s="100"/>
      <c r="V649" s="100"/>
    </row>
    <row r="650" spans="1:22" x14ac:dyDescent="0.25">
      <c r="A650" s="160" t="s">
        <v>1493</v>
      </c>
      <c r="B650" s="161"/>
      <c r="C650" s="375"/>
      <c r="D650" s="376"/>
      <c r="E650" s="162"/>
      <c r="F650" s="162"/>
      <c r="G650" s="162"/>
      <c r="H650" s="132"/>
      <c r="I650" s="132"/>
      <c r="J650" s="134"/>
      <c r="K650" s="132"/>
      <c r="L650" s="134"/>
      <c r="M650" s="132"/>
      <c r="N650" s="132"/>
      <c r="O650" s="132"/>
      <c r="P650" s="132"/>
      <c r="Q650" s="147"/>
      <c r="R650" s="395" t="e">
        <f>VLOOKUP(C650,'[1]ORIGINAL (2)'!$A:$C,3,FALSE)</f>
        <v>#N/A</v>
      </c>
      <c r="S650" s="100"/>
      <c r="T650" s="100"/>
      <c r="U650" s="100"/>
      <c r="V650" s="100"/>
    </row>
    <row r="651" spans="1:22" x14ac:dyDescent="0.25">
      <c r="A651" s="11" t="s">
        <v>1494</v>
      </c>
      <c r="B651" s="8">
        <v>9789500299770</v>
      </c>
      <c r="C651" s="6">
        <v>637581</v>
      </c>
      <c r="D651" s="7">
        <v>10</v>
      </c>
      <c r="E651" s="7" t="s">
        <v>334</v>
      </c>
      <c r="F651" s="11" t="s">
        <v>335</v>
      </c>
      <c r="G651" s="107">
        <v>43040</v>
      </c>
      <c r="H651" s="108">
        <v>43009</v>
      </c>
      <c r="I651" s="24">
        <v>4140</v>
      </c>
      <c r="J651" s="28" t="s">
        <v>1946</v>
      </c>
      <c r="K651" s="28">
        <v>106.27</v>
      </c>
      <c r="L651" s="28">
        <v>17000</v>
      </c>
      <c r="M651" s="112"/>
      <c r="N651" s="9">
        <f>+L651/2</f>
        <v>8500</v>
      </c>
      <c r="O651" s="9">
        <f>+N651-M651-K651</f>
        <v>8393.73</v>
      </c>
      <c r="P651" s="9">
        <f>+M651+K651</f>
        <v>106.27</v>
      </c>
      <c r="Q651" s="139">
        <f>+O651/N651</f>
        <v>0.98749764705882348</v>
      </c>
      <c r="R651" s="395" t="e">
        <f>VLOOKUP(C651,'[1]ORIGINAL (2)'!$A:$C,3,FALSE)</f>
        <v>#N/A</v>
      </c>
      <c r="S651" s="24" t="e">
        <f>VLOOKUP(C651,#REF!,6,FALSE)</f>
        <v>#REF!</v>
      </c>
      <c r="T651" s="24" t="e">
        <f>VLOOKUP(C651,#REF!,7,FALSE)</f>
        <v>#REF!</v>
      </c>
      <c r="U651" s="24" t="e">
        <f>VLOOKUP(C651,#REF!,12,FALSE)</f>
        <v>#REF!</v>
      </c>
      <c r="V651" s="24" t="e">
        <f>VLOOKUP(C651,#REF!,13,FALSE)</f>
        <v>#REF!</v>
      </c>
    </row>
    <row r="652" spans="1:22" x14ac:dyDescent="0.25">
      <c r="A652" s="1"/>
      <c r="B652" s="3"/>
      <c r="C652" s="3"/>
      <c r="D652" s="2"/>
      <c r="E652" s="3"/>
      <c r="F652" s="26"/>
      <c r="G652" s="3"/>
      <c r="H652" s="26"/>
      <c r="I652" s="3"/>
      <c r="J652" s="134"/>
      <c r="K652" s="132"/>
      <c r="L652" s="134"/>
      <c r="M652" s="132"/>
      <c r="N652" s="132"/>
      <c r="O652" s="132"/>
      <c r="P652" s="132"/>
      <c r="Q652" s="147"/>
      <c r="R652" s="395" t="e">
        <f>VLOOKUP(C652,'[1]ORIGINAL (2)'!$A:$C,3,FALSE)</f>
        <v>#N/A</v>
      </c>
      <c r="S652" s="100"/>
      <c r="T652" s="100"/>
      <c r="U652" s="100"/>
      <c r="V652" s="100"/>
    </row>
    <row r="653" spans="1:22" x14ac:dyDescent="0.25">
      <c r="A653" s="160" t="s">
        <v>1495</v>
      </c>
      <c r="B653" s="168"/>
      <c r="C653" s="168"/>
      <c r="D653" s="206"/>
      <c r="E653" s="174"/>
      <c r="F653" s="162"/>
      <c r="G653" s="162"/>
      <c r="H653" s="132"/>
      <c r="I653" s="132"/>
      <c r="J653" s="134"/>
      <c r="K653" s="132"/>
      <c r="L653" s="134"/>
      <c r="M653" s="132"/>
      <c r="N653" s="132"/>
      <c r="O653" s="132"/>
      <c r="P653" s="132"/>
      <c r="Q653" s="147"/>
      <c r="R653" s="395" t="e">
        <f>VLOOKUP(C653,'[1]ORIGINAL (2)'!$A:$C,3,FALSE)</f>
        <v>#N/A</v>
      </c>
      <c r="S653" s="100"/>
      <c r="T653" s="100"/>
      <c r="U653" s="100"/>
      <c r="V653" s="100"/>
    </row>
    <row r="654" spans="1:22" x14ac:dyDescent="0.25">
      <c r="A654" s="7" t="s">
        <v>2455</v>
      </c>
      <c r="B654" s="8">
        <v>9789500218290</v>
      </c>
      <c r="C654" s="8">
        <v>751238</v>
      </c>
      <c r="D654" s="7">
        <v>160</v>
      </c>
      <c r="E654" s="7" t="s">
        <v>156</v>
      </c>
      <c r="F654" s="7" t="s">
        <v>2456</v>
      </c>
      <c r="G654" s="107">
        <v>46296</v>
      </c>
      <c r="H654" s="108">
        <v>46266</v>
      </c>
      <c r="I654" s="116">
        <v>4039</v>
      </c>
      <c r="J654" s="6" t="s">
        <v>2160</v>
      </c>
      <c r="K654" s="148">
        <v>4130.87</v>
      </c>
      <c r="L654" s="352">
        <v>20900</v>
      </c>
      <c r="M654" s="112"/>
      <c r="N654" s="9">
        <f t="shared" ref="N654:N673" si="104">+L654/2</f>
        <v>10450</v>
      </c>
      <c r="O654" s="9">
        <f t="shared" ref="O654:O673" si="105">+N654-M654-K654</f>
        <v>6319.13</v>
      </c>
      <c r="P654" s="9">
        <f t="shared" ref="P654:P673" si="106">+M654+K654</f>
        <v>4130.87</v>
      </c>
      <c r="Q654" s="139">
        <f t="shared" ref="Q654:Q673" si="107">+O654/N654</f>
        <v>0.60470143540669863</v>
      </c>
      <c r="R654" s="395">
        <f>VLOOKUP(C654,'[1]ORIGINAL (2)'!$A:$C,3,FALSE)</f>
        <v>78</v>
      </c>
      <c r="S654" s="24" t="e">
        <f>VLOOKUP(C654,#REF!,6,FALSE)</f>
        <v>#REF!</v>
      </c>
      <c r="T654" s="24" t="e">
        <f>VLOOKUP(C654,#REF!,7,FALSE)</f>
        <v>#REF!</v>
      </c>
      <c r="U654" s="24" t="e">
        <f>VLOOKUP(C654,#REF!,12,FALSE)</f>
        <v>#REF!</v>
      </c>
      <c r="V654" s="24" t="e">
        <f>VLOOKUP(C654,#REF!,13,FALSE)</f>
        <v>#REF!</v>
      </c>
    </row>
    <row r="655" spans="1:22" x14ac:dyDescent="0.25">
      <c r="A655" s="7" t="s">
        <v>2453</v>
      </c>
      <c r="B655" s="8">
        <v>9789500218283</v>
      </c>
      <c r="C655" s="8">
        <v>751237</v>
      </c>
      <c r="D655" s="7">
        <v>36</v>
      </c>
      <c r="E655" s="7" t="s">
        <v>781</v>
      </c>
      <c r="F655" s="7" t="s">
        <v>2454</v>
      </c>
      <c r="G655" s="107">
        <v>46296</v>
      </c>
      <c r="H655" s="108">
        <v>46266</v>
      </c>
      <c r="I655" s="116">
        <v>3160</v>
      </c>
      <c r="J655" s="6" t="s">
        <v>2160</v>
      </c>
      <c r="K655" s="148">
        <v>2226.89</v>
      </c>
      <c r="L655" s="9">
        <v>23500</v>
      </c>
      <c r="M655" s="141">
        <f>+L655*0.08</f>
        <v>1880</v>
      </c>
      <c r="N655" s="142">
        <f t="shared" si="104"/>
        <v>11750</v>
      </c>
      <c r="O655" s="142">
        <f t="shared" si="105"/>
        <v>7643.1100000000006</v>
      </c>
      <c r="P655" s="142">
        <f t="shared" si="106"/>
        <v>4106.8899999999994</v>
      </c>
      <c r="Q655" s="139">
        <f t="shared" si="107"/>
        <v>0.65047744680851072</v>
      </c>
      <c r="R655" s="395">
        <f>VLOOKUP(C655,'[1]ORIGINAL (2)'!$A:$C,3,FALSE)</f>
        <v>91</v>
      </c>
      <c r="S655" s="24" t="e">
        <f>VLOOKUP(C655,#REF!,6,FALSE)</f>
        <v>#REF!</v>
      </c>
      <c r="T655" s="24" t="e">
        <f>VLOOKUP(C655,#REF!,7,FALSE)</f>
        <v>#REF!</v>
      </c>
      <c r="U655" s="24" t="e">
        <f>VLOOKUP(C655,#REF!,12,FALSE)</f>
        <v>#REF!</v>
      </c>
      <c r="V655" s="24" t="e">
        <f>VLOOKUP(C655,#REF!,13,FALSE)</f>
        <v>#REF!</v>
      </c>
    </row>
    <row r="656" spans="1:22" x14ac:dyDescent="0.25">
      <c r="A656" s="6" t="s">
        <v>2347</v>
      </c>
      <c r="B656" s="8">
        <v>9789500217767</v>
      </c>
      <c r="C656" s="8">
        <v>745992</v>
      </c>
      <c r="D656" s="8">
        <v>160</v>
      </c>
      <c r="E656" s="6" t="s">
        <v>2348</v>
      </c>
      <c r="F656" s="6" t="s">
        <v>2349</v>
      </c>
      <c r="G656" s="107">
        <v>46174</v>
      </c>
      <c r="H656" s="108">
        <v>46143</v>
      </c>
      <c r="I656" s="116">
        <v>5060</v>
      </c>
      <c r="J656" s="8" t="s">
        <v>1762</v>
      </c>
      <c r="K656" s="148">
        <v>3712.42</v>
      </c>
      <c r="L656" s="352">
        <v>20900</v>
      </c>
      <c r="M656" s="112"/>
      <c r="N656" s="9">
        <f t="shared" si="104"/>
        <v>10450</v>
      </c>
      <c r="O656" s="9">
        <f t="shared" si="105"/>
        <v>6737.58</v>
      </c>
      <c r="P656" s="9">
        <f t="shared" si="106"/>
        <v>3712.42</v>
      </c>
      <c r="Q656" s="139">
        <f t="shared" si="107"/>
        <v>0.64474449760765551</v>
      </c>
      <c r="R656" s="395">
        <f>VLOOKUP(C656,'[1]ORIGINAL (2)'!$A:$C,3,FALSE)</f>
        <v>1478</v>
      </c>
      <c r="S656" s="24" t="e">
        <f>VLOOKUP(C656,#REF!,6,FALSE)</f>
        <v>#REF!</v>
      </c>
      <c r="T656" s="24" t="e">
        <f>VLOOKUP(C656,#REF!,7,FALSE)</f>
        <v>#REF!</v>
      </c>
      <c r="U656" s="24" t="e">
        <f>VLOOKUP(C656,#REF!,12,FALSE)</f>
        <v>#REF!</v>
      </c>
      <c r="V656" s="24" t="e">
        <f>VLOOKUP(C656,#REF!,13,FALSE)</f>
        <v>#REF!</v>
      </c>
    </row>
    <row r="657" spans="1:22" x14ac:dyDescent="0.25">
      <c r="A657" s="6" t="s">
        <v>2248</v>
      </c>
      <c r="B657" s="153">
        <v>9789500217354</v>
      </c>
      <c r="C657" s="6">
        <v>741700</v>
      </c>
      <c r="D657" s="41">
        <v>96</v>
      </c>
      <c r="E657" s="6" t="s">
        <v>1899</v>
      </c>
      <c r="F657" s="6" t="s">
        <v>2249</v>
      </c>
      <c r="G657" s="107">
        <v>46082</v>
      </c>
      <c r="H657" s="108">
        <v>46174</v>
      </c>
      <c r="I657" s="7">
        <v>2120</v>
      </c>
      <c r="J657" s="7" t="s">
        <v>1762</v>
      </c>
      <c r="K657" s="148">
        <v>2871.23</v>
      </c>
      <c r="L657" s="9">
        <v>24500</v>
      </c>
      <c r="M657" s="112">
        <f>+L657*0.08</f>
        <v>1960</v>
      </c>
      <c r="N657" s="9">
        <f t="shared" si="104"/>
        <v>12250</v>
      </c>
      <c r="O657" s="9">
        <f t="shared" si="105"/>
        <v>7418.77</v>
      </c>
      <c r="P657" s="9">
        <f t="shared" si="106"/>
        <v>4831.2299999999996</v>
      </c>
      <c r="Q657" s="139">
        <f t="shared" si="107"/>
        <v>0.60561387755102047</v>
      </c>
      <c r="R657" s="395">
        <f>VLOOKUP(C657,'[1]ORIGINAL (2)'!$A:$C,3,FALSE)</f>
        <v>3336</v>
      </c>
      <c r="S657" s="24" t="e">
        <f>VLOOKUP(C657,#REF!,6,FALSE)</f>
        <v>#REF!</v>
      </c>
      <c r="T657" s="24" t="e">
        <f>VLOOKUP(C657,#REF!,7,FALSE)</f>
        <v>#REF!</v>
      </c>
      <c r="U657" s="24" t="e">
        <f>VLOOKUP(C657,#REF!,12,FALSE)</f>
        <v>#REF!</v>
      </c>
      <c r="V657" s="24" t="e">
        <f>VLOOKUP(C657,#REF!,13,FALSE)</f>
        <v>#REF!</v>
      </c>
    </row>
    <row r="658" spans="1:22" x14ac:dyDescent="0.25">
      <c r="A658" s="6" t="s">
        <v>2182</v>
      </c>
      <c r="B658" s="153">
        <v>9789500216876</v>
      </c>
      <c r="C658" s="6">
        <v>737025</v>
      </c>
      <c r="D658" s="41">
        <v>64</v>
      </c>
      <c r="E658" s="316" t="s">
        <v>1899</v>
      </c>
      <c r="F658" s="29" t="s">
        <v>2183</v>
      </c>
      <c r="G658" s="329">
        <v>45962</v>
      </c>
      <c r="H658" s="108">
        <v>46174</v>
      </c>
      <c r="I658" s="7">
        <v>2053</v>
      </c>
      <c r="J658" s="7" t="s">
        <v>1762</v>
      </c>
      <c r="K658" s="292">
        <v>2195.48</v>
      </c>
      <c r="L658" s="9">
        <v>20500</v>
      </c>
      <c r="M658" s="112">
        <f>+L658*0.08</f>
        <v>1640</v>
      </c>
      <c r="N658" s="9">
        <f t="shared" si="104"/>
        <v>10250</v>
      </c>
      <c r="O658" s="9">
        <f t="shared" si="105"/>
        <v>6414.52</v>
      </c>
      <c r="P658" s="9">
        <f t="shared" si="106"/>
        <v>3835.48</v>
      </c>
      <c r="Q658" s="139">
        <f t="shared" si="107"/>
        <v>0.62580682926829267</v>
      </c>
      <c r="R658" s="395">
        <f>VLOOKUP(C658,'[1]ORIGINAL (2)'!$A:$C,3,FALSE)</f>
        <v>220</v>
      </c>
      <c r="S658" s="24" t="e">
        <f>VLOOKUP(C658,#REF!,6,FALSE)</f>
        <v>#REF!</v>
      </c>
      <c r="T658" s="24" t="e">
        <f>VLOOKUP(C658,#REF!,7,FALSE)</f>
        <v>#REF!</v>
      </c>
      <c r="U658" s="24" t="e">
        <f>VLOOKUP(C658,#REF!,12,FALSE)</f>
        <v>#REF!</v>
      </c>
      <c r="V658" s="24" t="e">
        <f>VLOOKUP(C658,#REF!,13,FALSE)</f>
        <v>#REF!</v>
      </c>
    </row>
    <row r="659" spans="1:22" x14ac:dyDescent="0.25">
      <c r="A659" s="6" t="s">
        <v>2184</v>
      </c>
      <c r="B659" s="153">
        <v>9789500216586</v>
      </c>
      <c r="C659" s="6">
        <v>737017</v>
      </c>
      <c r="D659" s="41">
        <v>64</v>
      </c>
      <c r="E659" s="6" t="s">
        <v>1899</v>
      </c>
      <c r="F659" s="29" t="s">
        <v>2185</v>
      </c>
      <c r="G659" s="329">
        <v>45962</v>
      </c>
      <c r="H659" s="108">
        <v>45931</v>
      </c>
      <c r="I659" s="7">
        <v>2053</v>
      </c>
      <c r="J659" s="7" t="s">
        <v>1946</v>
      </c>
      <c r="K659" s="148">
        <v>9682.14</v>
      </c>
      <c r="L659" s="9">
        <v>45000</v>
      </c>
      <c r="M659" s="141">
        <f>+L659*0.08</f>
        <v>3600</v>
      </c>
      <c r="N659" s="9">
        <f t="shared" si="104"/>
        <v>22500</v>
      </c>
      <c r="O659" s="9">
        <f t="shared" si="105"/>
        <v>9217.86</v>
      </c>
      <c r="P659" s="9">
        <f t="shared" si="106"/>
        <v>13282.14</v>
      </c>
      <c r="Q659" s="139">
        <f t="shared" si="107"/>
        <v>0.40968266666666669</v>
      </c>
      <c r="R659" s="395">
        <f>VLOOKUP(C659,'[1]ORIGINAL (2)'!$A:$C,3,FALSE)</f>
        <v>1042</v>
      </c>
      <c r="S659" s="24" t="e">
        <f>VLOOKUP(C659,#REF!,6,FALSE)</f>
        <v>#REF!</v>
      </c>
      <c r="T659" s="24" t="e">
        <f>VLOOKUP(C659,#REF!,7,FALSE)</f>
        <v>#REF!</v>
      </c>
      <c r="U659" s="24" t="e">
        <f>VLOOKUP(C659,#REF!,12,FALSE)</f>
        <v>#REF!</v>
      </c>
      <c r="V659" s="24" t="e">
        <f>VLOOKUP(C659,#REF!,13,FALSE)</f>
        <v>#REF!</v>
      </c>
    </row>
    <row r="660" spans="1:22" x14ac:dyDescent="0.25">
      <c r="A660" s="6" t="s">
        <v>2179</v>
      </c>
      <c r="B660" s="153">
        <v>9789500216890</v>
      </c>
      <c r="C660" s="6">
        <v>737019</v>
      </c>
      <c r="D660" s="41">
        <v>36</v>
      </c>
      <c r="E660" s="6" t="s">
        <v>2180</v>
      </c>
      <c r="F660" s="29" t="s">
        <v>2181</v>
      </c>
      <c r="G660" s="329">
        <v>45962</v>
      </c>
      <c r="H660" s="108">
        <v>45931</v>
      </c>
      <c r="I660" s="7">
        <v>6080</v>
      </c>
      <c r="J660" s="7" t="s">
        <v>1762</v>
      </c>
      <c r="K660" s="148">
        <v>994.36229440789475</v>
      </c>
      <c r="L660" s="9">
        <v>23500</v>
      </c>
      <c r="M660" s="141">
        <f>+L660*0.08</f>
        <v>1880</v>
      </c>
      <c r="N660" s="142">
        <f t="shared" si="104"/>
        <v>11750</v>
      </c>
      <c r="O660" s="142">
        <f t="shared" si="105"/>
        <v>8875.6377055921057</v>
      </c>
      <c r="P660" s="142">
        <f t="shared" si="106"/>
        <v>2874.3622944078948</v>
      </c>
      <c r="Q660" s="139">
        <f t="shared" si="107"/>
        <v>0.75537342175251965</v>
      </c>
      <c r="R660" s="395">
        <f>VLOOKUP(C660,'[1]ORIGINAL (2)'!$A:$C,3,FALSE)</f>
        <v>1359</v>
      </c>
      <c r="S660" s="24" t="e">
        <f>VLOOKUP(C660,#REF!,6,FALSE)</f>
        <v>#REF!</v>
      </c>
      <c r="T660" s="24" t="e">
        <f>VLOOKUP(C660,#REF!,7,FALSE)</f>
        <v>#REF!</v>
      </c>
      <c r="U660" s="24" t="e">
        <f>VLOOKUP(C660,#REF!,12,FALSE)</f>
        <v>#REF!</v>
      </c>
      <c r="V660" s="24" t="e">
        <f>VLOOKUP(C660,#REF!,13,FALSE)</f>
        <v>#REF!</v>
      </c>
    </row>
    <row r="661" spans="1:22" ht="23.25" x14ac:dyDescent="0.25">
      <c r="A661" s="6" t="s">
        <v>2080</v>
      </c>
      <c r="B661" s="279">
        <v>9789500216302</v>
      </c>
      <c r="C661" s="6">
        <v>731834</v>
      </c>
      <c r="D661" s="8" t="s">
        <v>2081</v>
      </c>
      <c r="E661" s="8" t="s">
        <v>706</v>
      </c>
      <c r="F661" s="6" t="s">
        <v>2082</v>
      </c>
      <c r="G661" s="107">
        <v>45839</v>
      </c>
      <c r="H661" s="108">
        <v>45809</v>
      </c>
      <c r="I661" s="264">
        <v>4120</v>
      </c>
      <c r="J661" s="315" t="s">
        <v>1946</v>
      </c>
      <c r="K661" s="292">
        <v>2408.9699999999998</v>
      </c>
      <c r="L661" s="9">
        <v>26900</v>
      </c>
      <c r="M661" s="112">
        <f>+L661*0.1</f>
        <v>2690</v>
      </c>
      <c r="N661" s="9">
        <f t="shared" si="104"/>
        <v>13450</v>
      </c>
      <c r="O661" s="9">
        <f t="shared" si="105"/>
        <v>8351.0300000000007</v>
      </c>
      <c r="P661" s="9">
        <f t="shared" si="106"/>
        <v>5098.9699999999993</v>
      </c>
      <c r="Q661" s="139">
        <f t="shared" si="107"/>
        <v>0.62089442379182158</v>
      </c>
      <c r="R661" s="395">
        <f>VLOOKUP(C661,'[1]ORIGINAL (2)'!$A:$C,3,FALSE)</f>
        <v>512</v>
      </c>
      <c r="S661" s="24" t="e">
        <f>VLOOKUP(C661,#REF!,6,FALSE)</f>
        <v>#REF!</v>
      </c>
      <c r="T661" s="24" t="e">
        <f>VLOOKUP(C661,#REF!,7,FALSE)</f>
        <v>#REF!</v>
      </c>
      <c r="U661" s="24" t="e">
        <f>VLOOKUP(C661,#REF!,12,FALSE)</f>
        <v>#REF!</v>
      </c>
      <c r="V661" s="24" t="e">
        <f>VLOOKUP(C661,#REF!,13,FALSE)</f>
        <v>#REF!</v>
      </c>
    </row>
    <row r="662" spans="1:22" x14ac:dyDescent="0.25">
      <c r="A662" s="6" t="s">
        <v>1968</v>
      </c>
      <c r="B662" s="8">
        <v>9789500215824</v>
      </c>
      <c r="C662" s="6">
        <v>725188</v>
      </c>
      <c r="D662" s="239">
        <v>36</v>
      </c>
      <c r="E662" s="6" t="s">
        <v>781</v>
      </c>
      <c r="F662" s="6" t="s">
        <v>1969</v>
      </c>
      <c r="G662" s="107">
        <v>45658</v>
      </c>
      <c r="H662" s="108">
        <v>45992</v>
      </c>
      <c r="I662" s="264">
        <v>3145</v>
      </c>
      <c r="J662" s="7" t="s">
        <v>1762</v>
      </c>
      <c r="K662" s="148">
        <v>1503.84</v>
      </c>
      <c r="L662" s="9">
        <v>23500</v>
      </c>
      <c r="M662" s="141">
        <f>+L662*0.08</f>
        <v>1880</v>
      </c>
      <c r="N662" s="142">
        <f t="shared" si="104"/>
        <v>11750</v>
      </c>
      <c r="O662" s="142">
        <f t="shared" si="105"/>
        <v>8366.16</v>
      </c>
      <c r="P662" s="142">
        <f t="shared" si="106"/>
        <v>3383.84</v>
      </c>
      <c r="Q662" s="139">
        <f t="shared" si="107"/>
        <v>0.71201361702127663</v>
      </c>
      <c r="R662" s="395">
        <f>VLOOKUP(C662,'[1]ORIGINAL (2)'!$A:$C,3,FALSE)</f>
        <v>673</v>
      </c>
      <c r="S662" s="24" t="e">
        <f>VLOOKUP(C662,#REF!,6,FALSE)</f>
        <v>#REF!</v>
      </c>
      <c r="T662" s="24" t="e">
        <f>VLOOKUP(C662,#REF!,7,FALSE)</f>
        <v>#REF!</v>
      </c>
      <c r="U662" s="24" t="e">
        <f>VLOOKUP(C662,#REF!,12,FALSE)</f>
        <v>#REF!</v>
      </c>
      <c r="V662" s="24" t="e">
        <f>VLOOKUP(C662,#REF!,13,FALSE)</f>
        <v>#REF!</v>
      </c>
    </row>
    <row r="663" spans="1:22" x14ac:dyDescent="0.25">
      <c r="A663" s="7" t="s">
        <v>1842</v>
      </c>
      <c r="B663" s="8">
        <v>9789500215169</v>
      </c>
      <c r="C663" s="8">
        <v>716995</v>
      </c>
      <c r="D663" s="25">
        <v>36</v>
      </c>
      <c r="E663" s="25" t="s">
        <v>1843</v>
      </c>
      <c r="F663" s="25" t="s">
        <v>1844</v>
      </c>
      <c r="G663" s="107">
        <v>45444</v>
      </c>
      <c r="H663" s="108">
        <v>45413</v>
      </c>
      <c r="I663" s="264">
        <v>2110</v>
      </c>
      <c r="J663" s="28" t="s">
        <v>2136</v>
      </c>
      <c r="K663" s="148">
        <v>1613.45</v>
      </c>
      <c r="L663" s="9">
        <v>18900</v>
      </c>
      <c r="M663" s="112">
        <f>+L663*0.08</f>
        <v>1512</v>
      </c>
      <c r="N663" s="9">
        <f t="shared" si="104"/>
        <v>9450</v>
      </c>
      <c r="O663" s="9">
        <f t="shared" si="105"/>
        <v>6324.55</v>
      </c>
      <c r="P663" s="9">
        <f t="shared" si="106"/>
        <v>3125.45</v>
      </c>
      <c r="Q663" s="139">
        <f t="shared" si="107"/>
        <v>0.66926455026455023</v>
      </c>
      <c r="R663" s="395">
        <f>VLOOKUP(C663,'[1]ORIGINAL (2)'!$A:$C,3,FALSE)</f>
        <v>10</v>
      </c>
      <c r="S663" s="24" t="e">
        <f>VLOOKUP(C663,#REF!,6,FALSE)</f>
        <v>#REF!</v>
      </c>
      <c r="T663" s="24" t="e">
        <f>VLOOKUP(C663,#REF!,7,FALSE)</f>
        <v>#REF!</v>
      </c>
      <c r="U663" s="24" t="e">
        <f>VLOOKUP(C663,#REF!,12,FALSE)</f>
        <v>#REF!</v>
      </c>
      <c r="V663" s="24" t="e">
        <f>VLOOKUP(C663,#REF!,13,FALSE)</f>
        <v>#REF!</v>
      </c>
    </row>
    <row r="664" spans="1:22" x14ac:dyDescent="0.25">
      <c r="A664" s="7" t="s">
        <v>1823</v>
      </c>
      <c r="B664" s="8">
        <v>9789500215046</v>
      </c>
      <c r="C664" s="8">
        <v>715424</v>
      </c>
      <c r="D664" s="25">
        <v>64</v>
      </c>
      <c r="E664" s="7" t="s">
        <v>515</v>
      </c>
      <c r="F664" s="25" t="s">
        <v>1817</v>
      </c>
      <c r="G664" s="107">
        <v>45413</v>
      </c>
      <c r="H664" s="108">
        <v>45566</v>
      </c>
      <c r="I664" s="264">
        <v>2120</v>
      </c>
      <c r="J664" s="28" t="s">
        <v>2136</v>
      </c>
      <c r="K664" s="148">
        <v>2042.32</v>
      </c>
      <c r="L664" s="9">
        <v>25900</v>
      </c>
      <c r="M664" s="112">
        <f>+L664*0.1</f>
        <v>2590</v>
      </c>
      <c r="N664" s="9">
        <f t="shared" si="104"/>
        <v>12950</v>
      </c>
      <c r="O664" s="9">
        <f t="shared" si="105"/>
        <v>8317.68</v>
      </c>
      <c r="P664" s="9">
        <f t="shared" si="106"/>
        <v>4632.32</v>
      </c>
      <c r="Q664" s="139">
        <f t="shared" si="107"/>
        <v>0.64229189189189195</v>
      </c>
      <c r="R664" s="395">
        <f>VLOOKUP(C664,'[1]ORIGINAL (2)'!$A:$C,3,FALSE)</f>
        <v>175</v>
      </c>
      <c r="S664" s="24" t="e">
        <f>VLOOKUP(C664,#REF!,6,FALSE)</f>
        <v>#REF!</v>
      </c>
      <c r="T664" s="24" t="e">
        <f>VLOOKUP(C664,#REF!,7,FALSE)</f>
        <v>#REF!</v>
      </c>
      <c r="U664" s="24" t="e">
        <f>VLOOKUP(C664,#REF!,12,FALSE)</f>
        <v>#REF!</v>
      </c>
      <c r="V664" s="24" t="e">
        <f>VLOOKUP(C664,#REF!,13,FALSE)</f>
        <v>#REF!</v>
      </c>
    </row>
    <row r="665" spans="1:22" x14ac:dyDescent="0.25">
      <c r="A665" s="7" t="s">
        <v>1824</v>
      </c>
      <c r="B665" s="8">
        <v>9789500215022</v>
      </c>
      <c r="C665" s="8">
        <v>715425</v>
      </c>
      <c r="D665" s="25">
        <v>36</v>
      </c>
      <c r="E665" s="25" t="s">
        <v>1825</v>
      </c>
      <c r="F665" s="25" t="s">
        <v>1818</v>
      </c>
      <c r="G665" s="107">
        <v>45413</v>
      </c>
      <c r="H665" s="108">
        <v>45383</v>
      </c>
      <c r="I665" s="264">
        <v>2113</v>
      </c>
      <c r="J665" s="28" t="s">
        <v>2136</v>
      </c>
      <c r="K665" s="148">
        <v>1562.96</v>
      </c>
      <c r="L665" s="9">
        <v>19700</v>
      </c>
      <c r="M665" s="112">
        <f>+L665*0.08</f>
        <v>1576</v>
      </c>
      <c r="N665" s="9">
        <f t="shared" si="104"/>
        <v>9850</v>
      </c>
      <c r="O665" s="9">
        <f t="shared" si="105"/>
        <v>6711.04</v>
      </c>
      <c r="P665" s="9">
        <f t="shared" si="106"/>
        <v>3138.96</v>
      </c>
      <c r="Q665" s="139">
        <f t="shared" si="107"/>
        <v>0.6813238578680203</v>
      </c>
      <c r="R665" s="395">
        <f>VLOOKUP(C665,'[1]ORIGINAL (2)'!$A:$C,3,FALSE)</f>
        <v>32</v>
      </c>
      <c r="S665" s="24" t="e">
        <f>VLOOKUP(C665,#REF!,6,FALSE)</f>
        <v>#REF!</v>
      </c>
      <c r="T665" s="24" t="e">
        <f>VLOOKUP(C665,#REF!,7,FALSE)</f>
        <v>#REF!</v>
      </c>
      <c r="U665" s="24" t="e">
        <f>VLOOKUP(C665,#REF!,12,FALSE)</f>
        <v>#REF!</v>
      </c>
      <c r="V665" s="24" t="e">
        <f>VLOOKUP(C665,#REF!,13,FALSE)</f>
        <v>#REF!</v>
      </c>
    </row>
    <row r="666" spans="1:22" x14ac:dyDescent="0.25">
      <c r="A666" s="7" t="s">
        <v>1795</v>
      </c>
      <c r="B666" s="8">
        <v>9789500214964</v>
      </c>
      <c r="C666" s="8">
        <v>714592</v>
      </c>
      <c r="D666" s="25">
        <v>36</v>
      </c>
      <c r="E666" s="25" t="s">
        <v>1796</v>
      </c>
      <c r="F666" s="25" t="s">
        <v>1800</v>
      </c>
      <c r="G666" s="107">
        <v>45383</v>
      </c>
      <c r="H666" s="108">
        <v>45352</v>
      </c>
      <c r="I666" s="7">
        <v>3125</v>
      </c>
      <c r="J666" s="28" t="s">
        <v>2136</v>
      </c>
      <c r="K666" s="148">
        <v>1430.28</v>
      </c>
      <c r="L666" s="9">
        <v>19900</v>
      </c>
      <c r="M666" s="112">
        <f>+L666*0.08</f>
        <v>1592</v>
      </c>
      <c r="N666" s="9">
        <f t="shared" si="104"/>
        <v>9950</v>
      </c>
      <c r="O666" s="9">
        <f t="shared" si="105"/>
        <v>6927.72</v>
      </c>
      <c r="P666" s="9">
        <f t="shared" si="106"/>
        <v>3022.2799999999997</v>
      </c>
      <c r="Q666" s="139">
        <f t="shared" si="107"/>
        <v>0.69625326633165829</v>
      </c>
      <c r="R666" s="395">
        <f>VLOOKUP(C666,'[1]ORIGINAL (2)'!$A:$C,3,FALSE)</f>
        <v>369</v>
      </c>
      <c r="S666" s="24" t="e">
        <f>VLOOKUP(C666,#REF!,6,FALSE)</f>
        <v>#REF!</v>
      </c>
      <c r="T666" s="24" t="e">
        <f>VLOOKUP(C666,#REF!,7,FALSE)</f>
        <v>#REF!</v>
      </c>
      <c r="U666" s="24" t="e">
        <f>VLOOKUP(C666,#REF!,12,FALSE)</f>
        <v>#REF!</v>
      </c>
      <c r="V666" s="24" t="e">
        <f>VLOOKUP(C666,#REF!,13,FALSE)</f>
        <v>#REF!</v>
      </c>
    </row>
    <row r="667" spans="1:22" x14ac:dyDescent="0.25">
      <c r="A667" s="7" t="s">
        <v>1792</v>
      </c>
      <c r="B667" s="8">
        <v>9789500214940</v>
      </c>
      <c r="C667" s="8">
        <v>714591</v>
      </c>
      <c r="D667" s="25">
        <v>64</v>
      </c>
      <c r="E667" s="25" t="s">
        <v>1793</v>
      </c>
      <c r="F667" s="25" t="s">
        <v>1794</v>
      </c>
      <c r="G667" s="107">
        <v>45383</v>
      </c>
      <c r="H667" s="108">
        <v>45383</v>
      </c>
      <c r="I667" s="7">
        <v>3099</v>
      </c>
      <c r="J667" s="8" t="s">
        <v>2258</v>
      </c>
      <c r="K667" s="148">
        <v>1338.96</v>
      </c>
      <c r="L667" s="9">
        <v>19800</v>
      </c>
      <c r="M667" s="112">
        <f>+L667*0.08</f>
        <v>1584</v>
      </c>
      <c r="N667" s="9">
        <f t="shared" si="104"/>
        <v>9900</v>
      </c>
      <c r="O667" s="9">
        <f t="shared" si="105"/>
        <v>6977.04</v>
      </c>
      <c r="P667" s="9">
        <f t="shared" si="106"/>
        <v>2922.96</v>
      </c>
      <c r="Q667" s="139">
        <f t="shared" si="107"/>
        <v>0.70475151515151513</v>
      </c>
      <c r="R667" s="395">
        <f>VLOOKUP(C667,'[1]ORIGINAL (2)'!$A:$C,3,FALSE)</f>
        <v>9</v>
      </c>
      <c r="S667" s="24" t="e">
        <f>VLOOKUP(C667,#REF!,6,FALSE)</f>
        <v>#REF!</v>
      </c>
      <c r="T667" s="24" t="e">
        <f>VLOOKUP(C667,#REF!,7,FALSE)</f>
        <v>#REF!</v>
      </c>
      <c r="U667" s="24" t="e">
        <f>VLOOKUP(C667,#REF!,12,FALSE)</f>
        <v>#REF!</v>
      </c>
      <c r="V667" s="24" t="e">
        <f>VLOOKUP(C667,#REF!,13,FALSE)</f>
        <v>#REF!</v>
      </c>
    </row>
    <row r="668" spans="1:22" x14ac:dyDescent="0.25">
      <c r="A668" s="6" t="s">
        <v>1876</v>
      </c>
      <c r="B668" s="8">
        <v>9789500215398</v>
      </c>
      <c r="C668" s="8">
        <v>718511</v>
      </c>
      <c r="D668" s="41">
        <v>72</v>
      </c>
      <c r="E668" s="25" t="s">
        <v>1793</v>
      </c>
      <c r="F668" s="25" t="s">
        <v>1877</v>
      </c>
      <c r="G668" s="118">
        <v>45383</v>
      </c>
      <c r="H668" s="108">
        <v>46204</v>
      </c>
      <c r="I668" s="267">
        <v>3090</v>
      </c>
      <c r="J668" s="25" t="s">
        <v>1762</v>
      </c>
      <c r="K668" s="148">
        <v>2008.68</v>
      </c>
      <c r="L668" s="9">
        <v>23900</v>
      </c>
      <c r="M668" s="112">
        <f>+L668*0.08</f>
        <v>1912</v>
      </c>
      <c r="N668" s="9">
        <f t="shared" si="104"/>
        <v>11950</v>
      </c>
      <c r="O668" s="9">
        <f t="shared" si="105"/>
        <v>8029.32</v>
      </c>
      <c r="P668" s="9">
        <f t="shared" si="106"/>
        <v>3920.6800000000003</v>
      </c>
      <c r="Q668" s="139">
        <f t="shared" si="107"/>
        <v>0.67190962343096228</v>
      </c>
      <c r="R668" s="395">
        <f>VLOOKUP(C668,'[1]ORIGINAL (2)'!$A:$C,3,FALSE)</f>
        <v>3848</v>
      </c>
      <c r="S668" s="24" t="e">
        <f>VLOOKUP(C668,#REF!,6,FALSE)</f>
        <v>#REF!</v>
      </c>
      <c r="T668" s="24" t="e">
        <f>VLOOKUP(C668,#REF!,7,FALSE)</f>
        <v>#REF!</v>
      </c>
      <c r="U668" s="24" t="e">
        <f>VLOOKUP(C668,#REF!,12,FALSE)</f>
        <v>#REF!</v>
      </c>
      <c r="V668" s="24" t="e">
        <f>VLOOKUP(C668,#REF!,13,FALSE)</f>
        <v>#REF!</v>
      </c>
    </row>
    <row r="669" spans="1:22" x14ac:dyDescent="0.25">
      <c r="A669" s="6" t="s">
        <v>2024</v>
      </c>
      <c r="B669" s="8">
        <v>9789500216135</v>
      </c>
      <c r="C669" s="8">
        <v>728156</v>
      </c>
      <c r="D669" s="41">
        <v>80</v>
      </c>
      <c r="E669" s="6" t="s">
        <v>1899</v>
      </c>
      <c r="F669" s="8" t="s">
        <v>2025</v>
      </c>
      <c r="G669" s="118">
        <v>45748</v>
      </c>
      <c r="H669" s="108">
        <v>46082</v>
      </c>
      <c r="I669" s="264">
        <v>2140</v>
      </c>
      <c r="J669" s="7" t="s">
        <v>1762</v>
      </c>
      <c r="K669" s="148">
        <v>2356.41</v>
      </c>
      <c r="L669" s="9">
        <v>23900</v>
      </c>
      <c r="M669" s="112">
        <f>+L669*0.1</f>
        <v>2390</v>
      </c>
      <c r="N669" s="9">
        <f t="shared" si="104"/>
        <v>11950</v>
      </c>
      <c r="O669" s="9">
        <f t="shared" si="105"/>
        <v>7203.59</v>
      </c>
      <c r="P669" s="9">
        <f t="shared" si="106"/>
        <v>4746.41</v>
      </c>
      <c r="Q669" s="109">
        <f t="shared" si="107"/>
        <v>0.60281087866108785</v>
      </c>
      <c r="R669" s="395">
        <f>VLOOKUP(C669,'[1]ORIGINAL (2)'!$A:$C,3,FALSE)</f>
        <v>1960</v>
      </c>
      <c r="S669" s="24" t="e">
        <f>VLOOKUP(C669,#REF!,6,FALSE)</f>
        <v>#REF!</v>
      </c>
      <c r="T669" s="24" t="e">
        <f>VLOOKUP(C669,#REF!,7,FALSE)</f>
        <v>#REF!</v>
      </c>
      <c r="U669" s="24" t="e">
        <f>VLOOKUP(C669,#REF!,12,FALSE)</f>
        <v>#REF!</v>
      </c>
      <c r="V669" s="24" t="e">
        <f>VLOOKUP(C669,#REF!,13,FALSE)</f>
        <v>#REF!</v>
      </c>
    </row>
    <row r="670" spans="1:22" x14ac:dyDescent="0.25">
      <c r="A670" s="6" t="s">
        <v>2026</v>
      </c>
      <c r="B670" s="8">
        <v>9789500216074</v>
      </c>
      <c r="C670" s="8">
        <v>728157</v>
      </c>
      <c r="D670" s="41">
        <v>72</v>
      </c>
      <c r="E670" s="6" t="s">
        <v>1899</v>
      </c>
      <c r="F670" s="8" t="s">
        <v>2027</v>
      </c>
      <c r="G670" s="107">
        <v>45748</v>
      </c>
      <c r="H670" s="108">
        <v>45839</v>
      </c>
      <c r="I670" s="41">
        <v>3050</v>
      </c>
      <c r="J670" s="8" t="s">
        <v>2136</v>
      </c>
      <c r="K670" s="148">
        <v>4789.92</v>
      </c>
      <c r="L670" s="9">
        <v>29900</v>
      </c>
      <c r="M670" s="9">
        <f>+L670*0.08</f>
        <v>2392</v>
      </c>
      <c r="N670" s="9">
        <f t="shared" si="104"/>
        <v>14950</v>
      </c>
      <c r="O670" s="9">
        <f t="shared" si="105"/>
        <v>7768.08</v>
      </c>
      <c r="P670" s="9">
        <f t="shared" si="106"/>
        <v>7181.92</v>
      </c>
      <c r="Q670" s="109">
        <f t="shared" si="107"/>
        <v>0.51960401337792639</v>
      </c>
      <c r="R670" s="395">
        <f>VLOOKUP(C670,'[1]ORIGINAL (2)'!$A:$C,3,FALSE)</f>
        <v>898</v>
      </c>
      <c r="S670" s="24" t="e">
        <f>VLOOKUP(C670,#REF!,6,FALSE)</f>
        <v>#REF!</v>
      </c>
      <c r="T670" s="24" t="e">
        <f>VLOOKUP(C670,#REF!,7,FALSE)</f>
        <v>#REF!</v>
      </c>
      <c r="U670" s="24" t="e">
        <f>VLOOKUP(C670,#REF!,12,FALSE)</f>
        <v>#REF!</v>
      </c>
      <c r="V670" s="24" t="e">
        <f>VLOOKUP(C670,#REF!,13,FALSE)</f>
        <v>#REF!</v>
      </c>
    </row>
    <row r="671" spans="1:22" x14ac:dyDescent="0.25">
      <c r="A671" s="7" t="s">
        <v>1496</v>
      </c>
      <c r="B671" s="8">
        <v>9789500214254</v>
      </c>
      <c r="C671" s="8">
        <v>710541</v>
      </c>
      <c r="D671" s="25">
        <v>48</v>
      </c>
      <c r="E671" s="7" t="s">
        <v>860</v>
      </c>
      <c r="F671" s="7" t="s">
        <v>861</v>
      </c>
      <c r="G671" s="107">
        <v>45231</v>
      </c>
      <c r="H671" s="108">
        <v>45200</v>
      </c>
      <c r="I671" s="7">
        <v>3050</v>
      </c>
      <c r="J671" s="28" t="s">
        <v>2136</v>
      </c>
      <c r="K671" s="117">
        <v>657.43</v>
      </c>
      <c r="L671" s="9">
        <v>19900</v>
      </c>
      <c r="M671" s="9">
        <f>+L671*0.1</f>
        <v>1990</v>
      </c>
      <c r="N671" s="9">
        <f t="shared" si="104"/>
        <v>9950</v>
      </c>
      <c r="O671" s="9">
        <f t="shared" si="105"/>
        <v>7302.57</v>
      </c>
      <c r="P671" s="9">
        <f t="shared" si="106"/>
        <v>2647.43</v>
      </c>
      <c r="Q671" s="139">
        <f t="shared" si="107"/>
        <v>0.73392663316582907</v>
      </c>
      <c r="R671" s="395">
        <f>VLOOKUP(C671,'[1]ORIGINAL (2)'!$A:$C,3,FALSE)</f>
        <v>144</v>
      </c>
      <c r="S671" s="24" t="e">
        <f>VLOOKUP(C671,#REF!,6,FALSE)</f>
        <v>#REF!</v>
      </c>
      <c r="T671" s="24" t="e">
        <f>VLOOKUP(C671,#REF!,7,FALSE)</f>
        <v>#REF!</v>
      </c>
      <c r="U671" s="24" t="e">
        <f>VLOOKUP(C671,#REF!,12,FALSE)</f>
        <v>#REF!</v>
      </c>
      <c r="V671" s="24" t="e">
        <f>VLOOKUP(C671,#REF!,13,FALSE)</f>
        <v>#REF!</v>
      </c>
    </row>
    <row r="672" spans="1:22" x14ac:dyDescent="0.25">
      <c r="A672" s="7" t="s">
        <v>1797</v>
      </c>
      <c r="B672" s="8">
        <v>9789500214957</v>
      </c>
      <c r="C672" s="8">
        <v>714593</v>
      </c>
      <c r="D672" s="25">
        <v>160</v>
      </c>
      <c r="E672" s="7" t="s">
        <v>156</v>
      </c>
      <c r="F672" s="25" t="s">
        <v>1802</v>
      </c>
      <c r="G672" s="107">
        <v>45383</v>
      </c>
      <c r="H672" s="108">
        <v>45809</v>
      </c>
      <c r="I672" s="264">
        <v>2055</v>
      </c>
      <c r="J672" s="7" t="s">
        <v>1762</v>
      </c>
      <c r="K672" s="148">
        <v>2462.7399999999998</v>
      </c>
      <c r="L672" s="9">
        <v>19900</v>
      </c>
      <c r="M672" s="112"/>
      <c r="N672" s="9">
        <f t="shared" si="104"/>
        <v>9950</v>
      </c>
      <c r="O672" s="9">
        <f t="shared" si="105"/>
        <v>7487.26</v>
      </c>
      <c r="P672" s="9">
        <f t="shared" si="106"/>
        <v>2462.7399999999998</v>
      </c>
      <c r="Q672" s="139">
        <f t="shared" si="107"/>
        <v>0.75248844221105526</v>
      </c>
      <c r="R672" s="395">
        <f>VLOOKUP(C672,'[1]ORIGINAL (2)'!$A:$C,3,FALSE)</f>
        <v>165</v>
      </c>
      <c r="S672" s="24" t="e">
        <f>VLOOKUP(C672,#REF!,6,FALSE)</f>
        <v>#REF!</v>
      </c>
      <c r="T672" s="24" t="e">
        <f>VLOOKUP(C672,#REF!,7,FALSE)</f>
        <v>#REF!</v>
      </c>
      <c r="U672" s="24" t="e">
        <f>VLOOKUP(C672,#REF!,12,FALSE)</f>
        <v>#REF!</v>
      </c>
      <c r="V672" s="24" t="e">
        <f>VLOOKUP(C672,#REF!,13,FALSE)</f>
        <v>#REF!</v>
      </c>
    </row>
    <row r="673" spans="1:22" x14ac:dyDescent="0.25">
      <c r="A673" s="6" t="s">
        <v>1497</v>
      </c>
      <c r="B673" s="8">
        <v>9789500214506</v>
      </c>
      <c r="C673" s="6">
        <v>711850</v>
      </c>
      <c r="D673" s="41">
        <v>160</v>
      </c>
      <c r="E673" s="7" t="s">
        <v>156</v>
      </c>
      <c r="F673" s="7" t="s">
        <v>868</v>
      </c>
      <c r="G673" s="107">
        <v>45261</v>
      </c>
      <c r="H673" s="108">
        <v>45717</v>
      </c>
      <c r="I673" s="293">
        <v>2075</v>
      </c>
      <c r="J673" s="8" t="s">
        <v>2219</v>
      </c>
      <c r="K673" s="148">
        <v>2882.77</v>
      </c>
      <c r="L673" s="295">
        <v>19900</v>
      </c>
      <c r="M673" s="112"/>
      <c r="N673" s="9">
        <f t="shared" si="104"/>
        <v>9950</v>
      </c>
      <c r="O673" s="9">
        <f t="shared" si="105"/>
        <v>7067.23</v>
      </c>
      <c r="P673" s="9">
        <f t="shared" si="106"/>
        <v>2882.77</v>
      </c>
      <c r="Q673" s="139">
        <f t="shared" si="107"/>
        <v>0.71027437185929643</v>
      </c>
      <c r="R673" s="395">
        <f>VLOOKUP(C673,'[1]ORIGINAL (2)'!$A:$C,3,FALSE)</f>
        <v>867</v>
      </c>
      <c r="S673" s="24" t="e">
        <f>VLOOKUP(C673,#REF!,6,FALSE)</f>
        <v>#REF!</v>
      </c>
      <c r="T673" s="24" t="e">
        <f>VLOOKUP(C673,#REF!,7,FALSE)</f>
        <v>#REF!</v>
      </c>
      <c r="U673" s="24" t="e">
        <f>VLOOKUP(C673,#REF!,12,FALSE)</f>
        <v>#REF!</v>
      </c>
      <c r="V673" s="24" t="e">
        <f>VLOOKUP(C673,#REF!,13,FALSE)</f>
        <v>#REF!</v>
      </c>
    </row>
    <row r="674" spans="1:22" x14ac:dyDescent="0.25">
      <c r="A674" s="6" t="s">
        <v>1498</v>
      </c>
      <c r="B674" s="8">
        <v>9789500213776</v>
      </c>
      <c r="C674" s="6">
        <v>707255</v>
      </c>
      <c r="D674" s="41">
        <v>160</v>
      </c>
      <c r="E674" s="7" t="s">
        <v>808</v>
      </c>
      <c r="F674" s="6" t="s">
        <v>807</v>
      </c>
      <c r="G674" s="107">
        <v>45108</v>
      </c>
      <c r="H674" s="107">
        <v>46235</v>
      </c>
      <c r="I674" s="239" t="s">
        <v>2435</v>
      </c>
      <c r="J674" s="6" t="s">
        <v>1762</v>
      </c>
      <c r="K674" s="148">
        <v>2812</v>
      </c>
      <c r="L674" s="295">
        <v>19900</v>
      </c>
      <c r="M674" s="9"/>
      <c r="N674" s="142">
        <v>1885</v>
      </c>
      <c r="O674" s="142">
        <v>1223.54</v>
      </c>
      <c r="P674" s="142">
        <v>661.46</v>
      </c>
      <c r="Q674" s="139">
        <v>0.64909283819628649</v>
      </c>
      <c r="R674" s="395">
        <f>VLOOKUP(C674,'[1]ORIGINAL (2)'!$A:$C,3,FALSE)</f>
        <v>539</v>
      </c>
      <c r="S674" s="24" t="e">
        <f>VLOOKUP(C674,#REF!,6,FALSE)</f>
        <v>#REF!</v>
      </c>
      <c r="T674" s="24" t="e">
        <f>VLOOKUP(C674,#REF!,7,FALSE)</f>
        <v>#REF!</v>
      </c>
      <c r="U674" s="24" t="e">
        <f>VLOOKUP(C674,#REF!,12,FALSE)</f>
        <v>#REF!</v>
      </c>
      <c r="V674" s="24" t="e">
        <f>VLOOKUP(C674,#REF!,13,FALSE)</f>
        <v>#REF!</v>
      </c>
    </row>
    <row r="675" spans="1:22" x14ac:dyDescent="0.25">
      <c r="A675" s="6" t="s">
        <v>1499</v>
      </c>
      <c r="B675" s="8">
        <v>9789500214056</v>
      </c>
      <c r="C675" s="6">
        <v>709131</v>
      </c>
      <c r="D675" s="41">
        <v>160</v>
      </c>
      <c r="E675" s="7" t="s">
        <v>156</v>
      </c>
      <c r="F675" s="6" t="s">
        <v>818</v>
      </c>
      <c r="G675" s="107">
        <v>45170</v>
      </c>
      <c r="H675" s="108">
        <v>45901</v>
      </c>
      <c r="I675" s="7">
        <v>2066</v>
      </c>
      <c r="J675" s="7" t="s">
        <v>1762</v>
      </c>
      <c r="K675" s="117">
        <v>2720.42</v>
      </c>
      <c r="L675" s="9">
        <v>19900</v>
      </c>
      <c r="M675" s="9"/>
      <c r="N675" s="142">
        <v>1885</v>
      </c>
      <c r="O675" s="142">
        <v>1223.54</v>
      </c>
      <c r="P675" s="142">
        <v>661.46</v>
      </c>
      <c r="Q675" s="139">
        <v>0.64909283819628649</v>
      </c>
      <c r="R675" s="395">
        <f>VLOOKUP(C675,'[1]ORIGINAL (2)'!$A:$C,3,FALSE)</f>
        <v>187</v>
      </c>
      <c r="S675" s="24" t="e">
        <f>VLOOKUP(C675,#REF!,6,FALSE)</f>
        <v>#REF!</v>
      </c>
      <c r="T675" s="24" t="e">
        <f>VLOOKUP(C675,#REF!,7,FALSE)</f>
        <v>#REF!</v>
      </c>
      <c r="U675" s="24" t="e">
        <f>VLOOKUP(C675,#REF!,12,FALSE)</f>
        <v>#REF!</v>
      </c>
      <c r="V675" s="24" t="e">
        <f>VLOOKUP(C675,#REF!,13,FALSE)</f>
        <v>#REF!</v>
      </c>
    </row>
    <row r="676" spans="1:22" x14ac:dyDescent="0.25">
      <c r="A676" s="7" t="s">
        <v>1913</v>
      </c>
      <c r="B676" s="277">
        <v>9789500215510</v>
      </c>
      <c r="C676" s="8">
        <v>721549</v>
      </c>
      <c r="D676" s="25">
        <v>160</v>
      </c>
      <c r="E676" s="278" t="s">
        <v>1914</v>
      </c>
      <c r="F676" s="278" t="s">
        <v>1915</v>
      </c>
      <c r="G676" s="107">
        <v>45566</v>
      </c>
      <c r="H676" s="108">
        <v>45931</v>
      </c>
      <c r="I676" s="264">
        <v>2085</v>
      </c>
      <c r="J676" s="25" t="s">
        <v>2219</v>
      </c>
      <c r="K676" s="117">
        <v>3249.62</v>
      </c>
      <c r="L676" s="9">
        <v>19900</v>
      </c>
      <c r="M676" s="9"/>
      <c r="N676" s="142">
        <v>1885</v>
      </c>
      <c r="O676" s="142">
        <v>1223.54</v>
      </c>
      <c r="P676" s="142">
        <v>661.46</v>
      </c>
      <c r="Q676" s="139">
        <v>0.64909283819628649</v>
      </c>
      <c r="R676" s="395">
        <f>VLOOKUP(C676,'[1]ORIGINAL (2)'!$A:$C,3,FALSE)</f>
        <v>388</v>
      </c>
      <c r="S676" s="24" t="e">
        <f>VLOOKUP(C676,#REF!,6,FALSE)</f>
        <v>#REF!</v>
      </c>
      <c r="T676" s="24" t="e">
        <f>VLOOKUP(C676,#REF!,7,FALSE)</f>
        <v>#REF!</v>
      </c>
      <c r="U676" s="24" t="e">
        <f>VLOOKUP(C676,#REF!,12,FALSE)</f>
        <v>#REF!</v>
      </c>
      <c r="V676" s="24" t="e">
        <f>VLOOKUP(C676,#REF!,13,FALSE)</f>
        <v>#REF!</v>
      </c>
    </row>
    <row r="677" spans="1:22" x14ac:dyDescent="0.25">
      <c r="A677" s="6" t="s">
        <v>892</v>
      </c>
      <c r="B677" s="8">
        <v>9789500214797</v>
      </c>
      <c r="C677" s="8">
        <v>713926</v>
      </c>
      <c r="D677" s="41">
        <v>48</v>
      </c>
      <c r="E677" s="7" t="s">
        <v>781</v>
      </c>
      <c r="F677" s="7" t="s">
        <v>878</v>
      </c>
      <c r="G677" s="107">
        <v>45352</v>
      </c>
      <c r="H677" s="108">
        <v>45689</v>
      </c>
      <c r="I677" s="7">
        <v>2052</v>
      </c>
      <c r="J677" s="7" t="s">
        <v>1762</v>
      </c>
      <c r="K677" s="117">
        <v>1651.37</v>
      </c>
      <c r="L677" s="9">
        <v>23500</v>
      </c>
      <c r="M677" s="141">
        <f>+L677*0.08</f>
        <v>1880</v>
      </c>
      <c r="N677" s="142">
        <f t="shared" ref="N677:N701" si="108">+L677/2</f>
        <v>11750</v>
      </c>
      <c r="O677" s="142">
        <f t="shared" ref="O677:O701" si="109">+N677-M677-K677</f>
        <v>8218.630000000001</v>
      </c>
      <c r="P677" s="142">
        <f t="shared" ref="P677:P701" si="110">+M677+K677</f>
        <v>3531.37</v>
      </c>
      <c r="Q677" s="139">
        <f t="shared" ref="Q677:Q701" si="111">+O677/N677</f>
        <v>0.69945787234042567</v>
      </c>
      <c r="R677" s="395">
        <f>VLOOKUP(C677,'[1]ORIGINAL (2)'!$A:$C,3,FALSE)</f>
        <v>334</v>
      </c>
      <c r="S677" s="24" t="e">
        <f>VLOOKUP(C677,#REF!,6,FALSE)</f>
        <v>#REF!</v>
      </c>
      <c r="T677" s="24" t="e">
        <f>VLOOKUP(C677,#REF!,7,FALSE)</f>
        <v>#REF!</v>
      </c>
      <c r="U677" s="24" t="e">
        <f>VLOOKUP(C677,#REF!,12,FALSE)</f>
        <v>#REF!</v>
      </c>
      <c r="V677" s="24" t="e">
        <f>VLOOKUP(C677,#REF!,13,FALSE)</f>
        <v>#REF!</v>
      </c>
    </row>
    <row r="678" spans="1:22" x14ac:dyDescent="0.25">
      <c r="A678" s="6" t="s">
        <v>892</v>
      </c>
      <c r="B678" s="8">
        <v>9789500213790</v>
      </c>
      <c r="C678" s="6">
        <v>706239</v>
      </c>
      <c r="D678" s="41">
        <v>60</v>
      </c>
      <c r="E678" s="7" t="s">
        <v>781</v>
      </c>
      <c r="F678" s="6" t="s">
        <v>782</v>
      </c>
      <c r="G678" s="107">
        <v>45078</v>
      </c>
      <c r="H678" s="108">
        <v>46023</v>
      </c>
      <c r="I678" s="264">
        <v>3030</v>
      </c>
      <c r="J678" s="7" t="s">
        <v>1762</v>
      </c>
      <c r="K678" s="9">
        <v>2055.15</v>
      </c>
      <c r="L678" s="9">
        <v>23500</v>
      </c>
      <c r="M678" s="141">
        <f>+L678*0.08</f>
        <v>1880</v>
      </c>
      <c r="N678" s="142">
        <f t="shared" si="108"/>
        <v>11750</v>
      </c>
      <c r="O678" s="142">
        <f t="shared" si="109"/>
        <v>7814.85</v>
      </c>
      <c r="P678" s="142">
        <f t="shared" si="110"/>
        <v>3935.15</v>
      </c>
      <c r="Q678" s="139">
        <f t="shared" si="111"/>
        <v>0.66509361702127667</v>
      </c>
      <c r="R678" s="395">
        <f>VLOOKUP(C678,'[1]ORIGINAL (2)'!$A:$C,3,FALSE)</f>
        <v>1647</v>
      </c>
      <c r="S678" s="24" t="e">
        <f>VLOOKUP(C678,#REF!,6,FALSE)</f>
        <v>#REF!</v>
      </c>
      <c r="T678" s="24" t="e">
        <f>VLOOKUP(C678,#REF!,7,FALSE)</f>
        <v>#REF!</v>
      </c>
      <c r="U678" s="24" t="e">
        <f>VLOOKUP(C678,#REF!,12,FALSE)</f>
        <v>#REF!</v>
      </c>
      <c r="V678" s="24" t="e">
        <f>VLOOKUP(C678,#REF!,13,FALSE)</f>
        <v>#REF!</v>
      </c>
    </row>
    <row r="679" spans="1:22" x14ac:dyDescent="0.25">
      <c r="A679" s="6" t="s">
        <v>1500</v>
      </c>
      <c r="B679" s="8">
        <v>9789500213691</v>
      </c>
      <c r="C679" s="6">
        <v>705128</v>
      </c>
      <c r="D679" s="41">
        <v>64</v>
      </c>
      <c r="E679" s="7" t="s">
        <v>790</v>
      </c>
      <c r="F679" s="6" t="s">
        <v>1501</v>
      </c>
      <c r="G679" s="107">
        <v>45047</v>
      </c>
      <c r="H679" s="108">
        <v>45017</v>
      </c>
      <c r="I679" s="7">
        <v>1080</v>
      </c>
      <c r="J679" s="28" t="s">
        <v>1946</v>
      </c>
      <c r="K679" s="117">
        <v>980.18</v>
      </c>
      <c r="L679" s="9">
        <v>19100</v>
      </c>
      <c r="M679" s="112"/>
      <c r="N679" s="9">
        <f t="shared" si="108"/>
        <v>9550</v>
      </c>
      <c r="O679" s="9">
        <f t="shared" si="109"/>
        <v>8569.82</v>
      </c>
      <c r="P679" s="9">
        <f t="shared" si="110"/>
        <v>980.18</v>
      </c>
      <c r="Q679" s="139">
        <f t="shared" si="111"/>
        <v>0.89736335078534024</v>
      </c>
      <c r="R679" s="395">
        <f>VLOOKUP(C679,'[1]ORIGINAL (2)'!$A:$C,3,FALSE)</f>
        <v>22</v>
      </c>
      <c r="S679" s="24" t="e">
        <f>VLOOKUP(C679,#REF!,6,FALSE)</f>
        <v>#REF!</v>
      </c>
      <c r="T679" s="24" t="e">
        <f>VLOOKUP(C679,#REF!,7,FALSE)</f>
        <v>#REF!</v>
      </c>
      <c r="U679" s="24" t="e">
        <f>VLOOKUP(C679,#REF!,12,FALSE)</f>
        <v>#REF!</v>
      </c>
      <c r="V679" s="24" t="e">
        <f>VLOOKUP(C679,#REF!,13,FALSE)</f>
        <v>#REF!</v>
      </c>
    </row>
    <row r="680" spans="1:22" x14ac:dyDescent="0.25">
      <c r="A680" s="6" t="s">
        <v>1502</v>
      </c>
      <c r="B680" s="8">
        <v>9789500213417</v>
      </c>
      <c r="C680" s="6">
        <v>702981</v>
      </c>
      <c r="D680" s="41">
        <v>64</v>
      </c>
      <c r="E680" s="7" t="s">
        <v>515</v>
      </c>
      <c r="F680" s="7" t="s">
        <v>754</v>
      </c>
      <c r="G680" s="107">
        <v>44958</v>
      </c>
      <c r="H680" s="107">
        <v>45078</v>
      </c>
      <c r="I680" s="7">
        <v>4133</v>
      </c>
      <c r="J680" s="28" t="s">
        <v>2136</v>
      </c>
      <c r="K680" s="117">
        <v>685.13</v>
      </c>
      <c r="L680" s="9">
        <v>25900</v>
      </c>
      <c r="M680" s="9">
        <f>+L680*0.1</f>
        <v>2590</v>
      </c>
      <c r="N680" s="9">
        <f t="shared" si="108"/>
        <v>12950</v>
      </c>
      <c r="O680" s="9">
        <f t="shared" si="109"/>
        <v>9674.8700000000008</v>
      </c>
      <c r="P680" s="9">
        <f t="shared" si="110"/>
        <v>3275.13</v>
      </c>
      <c r="Q680" s="139">
        <f t="shared" si="111"/>
        <v>0.7470942084942086</v>
      </c>
      <c r="R680" s="395">
        <f>VLOOKUP(C680,'[1]ORIGINAL (2)'!$A:$C,3,FALSE)</f>
        <v>313</v>
      </c>
      <c r="S680" s="24" t="e">
        <f>VLOOKUP(C680,#REF!,6,FALSE)</f>
        <v>#REF!</v>
      </c>
      <c r="T680" s="24" t="e">
        <f>VLOOKUP(C680,#REF!,7,FALSE)</f>
        <v>#REF!</v>
      </c>
      <c r="U680" s="24" t="e">
        <f>VLOOKUP(C680,#REF!,12,FALSE)</f>
        <v>#REF!</v>
      </c>
      <c r="V680" s="24" t="e">
        <f>VLOOKUP(C680,#REF!,13,FALSE)</f>
        <v>#REF!</v>
      </c>
    </row>
    <row r="681" spans="1:22" x14ac:dyDescent="0.25">
      <c r="A681" s="6" t="s">
        <v>1503</v>
      </c>
      <c r="B681" s="8">
        <v>9789500213134</v>
      </c>
      <c r="C681" s="6">
        <v>700538</v>
      </c>
      <c r="D681" s="41">
        <v>32</v>
      </c>
      <c r="E681" s="7" t="s">
        <v>742</v>
      </c>
      <c r="F681" s="7" t="s">
        <v>743</v>
      </c>
      <c r="G681" s="107">
        <v>43862</v>
      </c>
      <c r="H681" s="108">
        <v>44470</v>
      </c>
      <c r="I681" s="7">
        <v>4150</v>
      </c>
      <c r="J681" s="28" t="s">
        <v>2136</v>
      </c>
      <c r="K681" s="9">
        <v>220.73</v>
      </c>
      <c r="L681" s="112">
        <v>22900</v>
      </c>
      <c r="M681" s="112">
        <f>+L681*0.08</f>
        <v>1832</v>
      </c>
      <c r="N681" s="9">
        <f t="shared" si="108"/>
        <v>11450</v>
      </c>
      <c r="O681" s="9">
        <f t="shared" si="109"/>
        <v>9397.27</v>
      </c>
      <c r="P681" s="9">
        <f t="shared" si="110"/>
        <v>2052.73</v>
      </c>
      <c r="Q681" s="139">
        <f t="shared" si="111"/>
        <v>0.82072227074235815</v>
      </c>
      <c r="R681" s="395">
        <f>VLOOKUP(C681,'[1]ORIGINAL (2)'!$A:$C,3,FALSE)</f>
        <v>46</v>
      </c>
      <c r="S681" s="24" t="e">
        <f>VLOOKUP(C681,#REF!,6,FALSE)</f>
        <v>#REF!</v>
      </c>
      <c r="T681" s="24" t="e">
        <f>VLOOKUP(C681,#REF!,7,FALSE)</f>
        <v>#REF!</v>
      </c>
      <c r="U681" s="24" t="e">
        <f>VLOOKUP(C681,#REF!,12,FALSE)</f>
        <v>#REF!</v>
      </c>
      <c r="V681" s="24" t="e">
        <f>VLOOKUP(C681,#REF!,13,FALSE)</f>
        <v>#REF!</v>
      </c>
    </row>
    <row r="682" spans="1:22" x14ac:dyDescent="0.25">
      <c r="A682" s="6" t="s">
        <v>1504</v>
      </c>
      <c r="B682" s="8">
        <v>9789500213158</v>
      </c>
      <c r="C682" s="8">
        <v>700558</v>
      </c>
      <c r="D682" s="41">
        <v>32</v>
      </c>
      <c r="E682" s="7" t="s">
        <v>744</v>
      </c>
      <c r="F682" s="7" t="s">
        <v>745</v>
      </c>
      <c r="G682" s="107">
        <v>43862</v>
      </c>
      <c r="H682" s="108">
        <v>44470</v>
      </c>
      <c r="I682" s="7">
        <v>4045</v>
      </c>
      <c r="J682" s="28" t="s">
        <v>2136</v>
      </c>
      <c r="K682" s="9">
        <v>415.88</v>
      </c>
      <c r="L682" s="9">
        <v>19900</v>
      </c>
      <c r="M682" s="9">
        <f>+L682*0.08</f>
        <v>1592</v>
      </c>
      <c r="N682" s="9">
        <f t="shared" si="108"/>
        <v>9950</v>
      </c>
      <c r="O682" s="9">
        <f t="shared" si="109"/>
        <v>7942.12</v>
      </c>
      <c r="P682" s="9">
        <f t="shared" si="110"/>
        <v>2007.88</v>
      </c>
      <c r="Q682" s="139">
        <f t="shared" si="111"/>
        <v>0.79820301507537683</v>
      </c>
      <c r="R682" s="395">
        <f>VLOOKUP(C682,'[1]ORIGINAL (2)'!$A:$C,3,FALSE)</f>
        <v>92</v>
      </c>
      <c r="S682" s="24" t="e">
        <f>VLOOKUP(C682,#REF!,6,FALSE)</f>
        <v>#REF!</v>
      </c>
      <c r="T682" s="24" t="e">
        <f>VLOOKUP(C682,#REF!,7,FALSE)</f>
        <v>#REF!</v>
      </c>
      <c r="U682" s="24" t="e">
        <f>VLOOKUP(C682,#REF!,12,FALSE)</f>
        <v>#REF!</v>
      </c>
      <c r="V682" s="24" t="e">
        <f>VLOOKUP(C682,#REF!,13,FALSE)</f>
        <v>#REF!</v>
      </c>
    </row>
    <row r="683" spans="1:22" x14ac:dyDescent="0.25">
      <c r="A683" s="6" t="s">
        <v>1505</v>
      </c>
      <c r="B683" s="8">
        <v>9789500213950</v>
      </c>
      <c r="C683" s="8">
        <v>707951</v>
      </c>
      <c r="D683" s="41">
        <v>36</v>
      </c>
      <c r="E683" s="7" t="s">
        <v>744</v>
      </c>
      <c r="F683" s="7" t="s">
        <v>795</v>
      </c>
      <c r="G683" s="107">
        <v>45139</v>
      </c>
      <c r="H683" s="108">
        <v>45108</v>
      </c>
      <c r="I683" s="7">
        <v>4060</v>
      </c>
      <c r="J683" s="28" t="s">
        <v>2136</v>
      </c>
      <c r="K683" s="9">
        <v>552.17999999999995</v>
      </c>
      <c r="L683" s="112">
        <v>19900</v>
      </c>
      <c r="M683" s="112">
        <f>+L683*0.08</f>
        <v>1592</v>
      </c>
      <c r="N683" s="9">
        <f t="shared" si="108"/>
        <v>9950</v>
      </c>
      <c r="O683" s="9">
        <f t="shared" si="109"/>
        <v>7805.82</v>
      </c>
      <c r="P683" s="9">
        <f t="shared" si="110"/>
        <v>2144.1799999999998</v>
      </c>
      <c r="Q683" s="139">
        <f t="shared" si="111"/>
        <v>0.78450452261306525</v>
      </c>
      <c r="R683" s="395">
        <f>VLOOKUP(C683,'[1]ORIGINAL (2)'!$A:$C,3,FALSE)</f>
        <v>329</v>
      </c>
      <c r="S683" s="24" t="e">
        <f>VLOOKUP(C683,#REF!,6,FALSE)</f>
        <v>#REF!</v>
      </c>
      <c r="T683" s="24" t="e">
        <f>VLOOKUP(C683,#REF!,7,FALSE)</f>
        <v>#REF!</v>
      </c>
      <c r="U683" s="24" t="e">
        <f>VLOOKUP(C683,#REF!,12,FALSE)</f>
        <v>#REF!</v>
      </c>
      <c r="V683" s="24" t="e">
        <f>VLOOKUP(C683,#REF!,13,FALSE)</f>
        <v>#REF!</v>
      </c>
    </row>
    <row r="684" spans="1:22" x14ac:dyDescent="0.25">
      <c r="A684" s="6" t="s">
        <v>1506</v>
      </c>
      <c r="B684" s="8">
        <v>9789500214070</v>
      </c>
      <c r="C684" s="8">
        <v>709126</v>
      </c>
      <c r="D684" s="41">
        <v>32</v>
      </c>
      <c r="E684" s="7" t="s">
        <v>744</v>
      </c>
      <c r="F684" s="7" t="s">
        <v>817</v>
      </c>
      <c r="G684" s="107">
        <v>45170</v>
      </c>
      <c r="H684" s="108">
        <v>45839</v>
      </c>
      <c r="I684" s="264">
        <v>2058</v>
      </c>
      <c r="J684" s="108" t="s">
        <v>2136</v>
      </c>
      <c r="K684" s="9">
        <v>1644.58</v>
      </c>
      <c r="L684" s="9">
        <v>19900</v>
      </c>
      <c r="M684" s="112">
        <f>+L684*0.08</f>
        <v>1592</v>
      </c>
      <c r="N684" s="9">
        <f t="shared" si="108"/>
        <v>9950</v>
      </c>
      <c r="O684" s="9">
        <f t="shared" si="109"/>
        <v>6713.42</v>
      </c>
      <c r="P684" s="9">
        <f t="shared" si="110"/>
        <v>3236.58</v>
      </c>
      <c r="Q684" s="139">
        <f t="shared" si="111"/>
        <v>0.67471557788944725</v>
      </c>
      <c r="R684" s="395">
        <f>VLOOKUP(C684,'[1]ORIGINAL (2)'!$A:$C,3,FALSE)</f>
        <v>328</v>
      </c>
      <c r="S684" s="24" t="e">
        <f>VLOOKUP(C684,#REF!,6,FALSE)</f>
        <v>#REF!</v>
      </c>
      <c r="T684" s="24" t="e">
        <f>VLOOKUP(C684,#REF!,7,FALSE)</f>
        <v>#REF!</v>
      </c>
      <c r="U684" s="24" t="e">
        <f>VLOOKUP(C684,#REF!,12,FALSE)</f>
        <v>#REF!</v>
      </c>
      <c r="V684" s="24" t="e">
        <f>VLOOKUP(C684,#REF!,13,FALSE)</f>
        <v>#REF!</v>
      </c>
    </row>
    <row r="685" spans="1:22" x14ac:dyDescent="0.25">
      <c r="A685" s="6" t="s">
        <v>1507</v>
      </c>
      <c r="B685" s="8">
        <v>9789500212847</v>
      </c>
      <c r="C685" s="8">
        <v>696625</v>
      </c>
      <c r="D685" s="7">
        <v>64</v>
      </c>
      <c r="E685" s="7" t="s">
        <v>706</v>
      </c>
      <c r="F685" s="7" t="s">
        <v>1508</v>
      </c>
      <c r="G685" s="107">
        <v>44774</v>
      </c>
      <c r="H685" s="108">
        <v>44743</v>
      </c>
      <c r="I685" s="7">
        <v>5005</v>
      </c>
      <c r="J685" s="28" t="s">
        <v>2136</v>
      </c>
      <c r="K685" s="9">
        <v>411.17</v>
      </c>
      <c r="L685" s="9">
        <v>24900</v>
      </c>
      <c r="M685" s="112">
        <f>+L685*0.1</f>
        <v>2490</v>
      </c>
      <c r="N685" s="9">
        <f t="shared" si="108"/>
        <v>12450</v>
      </c>
      <c r="O685" s="9">
        <f t="shared" si="109"/>
        <v>9548.83</v>
      </c>
      <c r="P685" s="9">
        <f t="shared" si="110"/>
        <v>2901.17</v>
      </c>
      <c r="Q685" s="139">
        <f t="shared" si="111"/>
        <v>0.76697429718875498</v>
      </c>
      <c r="R685" s="395">
        <f>VLOOKUP(C685,'[1]ORIGINAL (2)'!$A:$C,3,FALSE)</f>
        <v>45</v>
      </c>
      <c r="S685" s="24" t="e">
        <f>VLOOKUP(C685,#REF!,6,FALSE)</f>
        <v>#REF!</v>
      </c>
      <c r="T685" s="24" t="e">
        <f>VLOOKUP(C685,#REF!,7,FALSE)</f>
        <v>#REF!</v>
      </c>
      <c r="U685" s="24" t="e">
        <f>VLOOKUP(C685,#REF!,12,FALSE)</f>
        <v>#REF!</v>
      </c>
      <c r="V685" s="24" t="e">
        <f>VLOOKUP(C685,#REF!,13,FALSE)</f>
        <v>#REF!</v>
      </c>
    </row>
    <row r="686" spans="1:22" x14ac:dyDescent="0.25">
      <c r="A686" s="7" t="s">
        <v>1509</v>
      </c>
      <c r="B686" s="8">
        <v>9789500212632</v>
      </c>
      <c r="C686" s="8">
        <v>693800</v>
      </c>
      <c r="D686" s="25">
        <v>64</v>
      </c>
      <c r="E686" s="7" t="s">
        <v>691</v>
      </c>
      <c r="F686" s="7" t="s">
        <v>831</v>
      </c>
      <c r="G686" s="107">
        <v>44682</v>
      </c>
      <c r="H686" s="108">
        <v>44652</v>
      </c>
      <c r="I686" s="7">
        <v>1050</v>
      </c>
      <c r="J686" s="28" t="s">
        <v>1762</v>
      </c>
      <c r="K686" s="9">
        <v>357.53</v>
      </c>
      <c r="L686" s="128">
        <v>18600</v>
      </c>
      <c r="M686" s="112"/>
      <c r="N686" s="9">
        <f t="shared" si="108"/>
        <v>9300</v>
      </c>
      <c r="O686" s="9">
        <f t="shared" si="109"/>
        <v>8942.4699999999993</v>
      </c>
      <c r="P686" s="9">
        <f t="shared" si="110"/>
        <v>357.53</v>
      </c>
      <c r="Q686" s="139">
        <f t="shared" si="111"/>
        <v>0.9615559139784946</v>
      </c>
      <c r="R686" s="395">
        <f>VLOOKUP(C686,'[1]ORIGINAL (2)'!$A:$C,3,FALSE)</f>
        <v>18</v>
      </c>
      <c r="S686" s="24" t="e">
        <f>VLOOKUP(C686,#REF!,6,FALSE)</f>
        <v>#REF!</v>
      </c>
      <c r="T686" s="24" t="e">
        <f>VLOOKUP(C686,#REF!,7,FALSE)</f>
        <v>#REF!</v>
      </c>
      <c r="U686" s="24" t="e">
        <f>VLOOKUP(C686,#REF!,12,FALSE)</f>
        <v>#REF!</v>
      </c>
      <c r="V686" s="24" t="e">
        <f>VLOOKUP(C686,#REF!,13,FALSE)</f>
        <v>#REF!</v>
      </c>
    </row>
    <row r="687" spans="1:22" x14ac:dyDescent="0.25">
      <c r="A687" s="7" t="s">
        <v>1510</v>
      </c>
      <c r="B687" s="8">
        <v>9789500210492</v>
      </c>
      <c r="C687" s="8">
        <v>674460</v>
      </c>
      <c r="D687" s="25">
        <v>128</v>
      </c>
      <c r="E687" s="7" t="s">
        <v>343</v>
      </c>
      <c r="F687" s="7" t="s">
        <v>485</v>
      </c>
      <c r="G687" s="107">
        <v>43983</v>
      </c>
      <c r="H687" s="108">
        <v>45017</v>
      </c>
      <c r="I687" s="7">
        <v>3095</v>
      </c>
      <c r="J687" s="28" t="s">
        <v>1333</v>
      </c>
      <c r="K687" s="9">
        <v>956.72</v>
      </c>
      <c r="L687" s="9">
        <v>24900</v>
      </c>
      <c r="M687" s="112"/>
      <c r="N687" s="9">
        <f t="shared" si="108"/>
        <v>12450</v>
      </c>
      <c r="O687" s="9">
        <f t="shared" si="109"/>
        <v>11493.28</v>
      </c>
      <c r="P687" s="9">
        <f t="shared" si="110"/>
        <v>956.72</v>
      </c>
      <c r="Q687" s="139">
        <f t="shared" si="111"/>
        <v>0.92315502008032135</v>
      </c>
      <c r="R687" s="395">
        <f>VLOOKUP(C687,'[1]ORIGINAL (2)'!$A:$C,3,FALSE)</f>
        <v>169</v>
      </c>
      <c r="S687" s="24" t="e">
        <f>VLOOKUP(C687,#REF!,6,FALSE)</f>
        <v>#REF!</v>
      </c>
      <c r="T687" s="24" t="e">
        <f>VLOOKUP(C687,#REF!,7,FALSE)</f>
        <v>#REF!</v>
      </c>
      <c r="U687" s="24" t="e">
        <f>VLOOKUP(C687,#REF!,12,FALSE)</f>
        <v>#REF!</v>
      </c>
      <c r="V687" s="24" t="e">
        <f>VLOOKUP(C687,#REF!,13,FALSE)</f>
        <v>#REF!</v>
      </c>
    </row>
    <row r="688" spans="1:22" x14ac:dyDescent="0.25">
      <c r="A688" s="7" t="s">
        <v>1511</v>
      </c>
      <c r="B688" s="8">
        <v>9789500210201</v>
      </c>
      <c r="C688" s="14">
        <v>670528</v>
      </c>
      <c r="D688" s="25">
        <v>32</v>
      </c>
      <c r="E688" s="7" t="s">
        <v>464</v>
      </c>
      <c r="F688" s="7" t="s">
        <v>465</v>
      </c>
      <c r="G688" s="107">
        <v>43770</v>
      </c>
      <c r="H688" s="108">
        <v>43739</v>
      </c>
      <c r="I688" s="7">
        <v>2220</v>
      </c>
      <c r="J688" s="28" t="s">
        <v>1762</v>
      </c>
      <c r="K688" s="9">
        <v>54.61</v>
      </c>
      <c r="L688" s="128">
        <v>17900</v>
      </c>
      <c r="M688" s="112">
        <f>+L688*0.1</f>
        <v>1790</v>
      </c>
      <c r="N688" s="9">
        <f t="shared" si="108"/>
        <v>8950</v>
      </c>
      <c r="O688" s="9">
        <f t="shared" si="109"/>
        <v>7105.39</v>
      </c>
      <c r="P688" s="9">
        <f t="shared" si="110"/>
        <v>1844.61</v>
      </c>
      <c r="Q688" s="139">
        <f t="shared" si="111"/>
        <v>0.79389832402234639</v>
      </c>
      <c r="R688" s="395">
        <f>VLOOKUP(C688,'[1]ORIGINAL (2)'!$A:$C,3,FALSE)</f>
        <v>16</v>
      </c>
      <c r="S688" s="24" t="e">
        <f>VLOOKUP(C688,#REF!,6,FALSE)</f>
        <v>#REF!</v>
      </c>
      <c r="T688" s="24" t="e">
        <f>VLOOKUP(C688,#REF!,7,FALSE)</f>
        <v>#REF!</v>
      </c>
      <c r="U688" s="24" t="e">
        <f>VLOOKUP(C688,#REF!,12,FALSE)</f>
        <v>#REF!</v>
      </c>
      <c r="V688" s="24" t="e">
        <f>VLOOKUP(C688,#REF!,13,FALSE)</f>
        <v>#REF!</v>
      </c>
    </row>
    <row r="689" spans="1:22" x14ac:dyDescent="0.25">
      <c r="A689" s="7" t="s">
        <v>1512</v>
      </c>
      <c r="B689" s="8">
        <v>9789500210164</v>
      </c>
      <c r="C689" s="14">
        <v>669520</v>
      </c>
      <c r="D689" s="25">
        <v>36</v>
      </c>
      <c r="E689" s="7" t="s">
        <v>459</v>
      </c>
      <c r="F689" s="7" t="s">
        <v>460</v>
      </c>
      <c r="G689" s="107">
        <v>43739</v>
      </c>
      <c r="H689" s="108">
        <v>43709</v>
      </c>
      <c r="I689" s="24">
        <v>2125</v>
      </c>
      <c r="J689" s="28" t="s">
        <v>1946</v>
      </c>
      <c r="K689" s="28">
        <v>97.46</v>
      </c>
      <c r="L689" s="128">
        <v>14850</v>
      </c>
      <c r="M689" s="112">
        <f>+L689*0.07</f>
        <v>1039.5</v>
      </c>
      <c r="N689" s="9">
        <f t="shared" si="108"/>
        <v>7425</v>
      </c>
      <c r="O689" s="9">
        <f t="shared" si="109"/>
        <v>6288.04</v>
      </c>
      <c r="P689" s="9">
        <f t="shared" si="110"/>
        <v>1136.96</v>
      </c>
      <c r="Q689" s="139">
        <f t="shared" si="111"/>
        <v>0.84687407407407411</v>
      </c>
      <c r="R689" s="395" t="e">
        <f>VLOOKUP(C689,'[1]ORIGINAL (2)'!$A:$C,3,FALSE)</f>
        <v>#N/A</v>
      </c>
      <c r="S689" s="24" t="e">
        <f>VLOOKUP(C689,#REF!,6,FALSE)</f>
        <v>#REF!</v>
      </c>
      <c r="T689" s="24" t="e">
        <f>VLOOKUP(C689,#REF!,7,FALSE)</f>
        <v>#REF!</v>
      </c>
      <c r="U689" s="24" t="e">
        <f>VLOOKUP(C689,#REF!,12,FALSE)</f>
        <v>#REF!</v>
      </c>
      <c r="V689" s="24" t="e">
        <f>VLOOKUP(C689,#REF!,13,FALSE)</f>
        <v>#REF!</v>
      </c>
    </row>
    <row r="690" spans="1:22" x14ac:dyDescent="0.25">
      <c r="A690" s="6" t="s">
        <v>2176</v>
      </c>
      <c r="B690" s="153">
        <v>9789500216845</v>
      </c>
      <c r="C690" s="6">
        <v>737018</v>
      </c>
      <c r="D690" s="41">
        <v>160</v>
      </c>
      <c r="E690" s="6" t="s">
        <v>2177</v>
      </c>
      <c r="F690" s="29" t="s">
        <v>2178</v>
      </c>
      <c r="G690" s="329">
        <v>45962</v>
      </c>
      <c r="H690" s="108">
        <v>45931</v>
      </c>
      <c r="I690" s="7">
        <v>4038</v>
      </c>
      <c r="J690" s="7" t="s">
        <v>2219</v>
      </c>
      <c r="K690" s="148">
        <v>2672.93</v>
      </c>
      <c r="L690" s="9">
        <v>19900</v>
      </c>
      <c r="M690" s="112"/>
      <c r="N690" s="9">
        <f t="shared" si="108"/>
        <v>9950</v>
      </c>
      <c r="O690" s="9">
        <f t="shared" si="109"/>
        <v>7277.07</v>
      </c>
      <c r="P690" s="9">
        <f t="shared" si="110"/>
        <v>2672.93</v>
      </c>
      <c r="Q690" s="139">
        <f t="shared" si="111"/>
        <v>0.73136381909547732</v>
      </c>
      <c r="R690" s="395">
        <f>VLOOKUP(C690,'[1]ORIGINAL (2)'!$A:$C,3,FALSE)</f>
        <v>1543</v>
      </c>
      <c r="S690" s="24" t="e">
        <f>VLOOKUP(C690,#REF!,6,FALSE)</f>
        <v>#REF!</v>
      </c>
      <c r="T690" s="24" t="e">
        <f>VLOOKUP(C690,#REF!,7,FALSE)</f>
        <v>#REF!</v>
      </c>
      <c r="U690" s="24" t="e">
        <f>VLOOKUP(C690,#REF!,12,FALSE)</f>
        <v>#REF!</v>
      </c>
      <c r="V690" s="24" t="e">
        <f>VLOOKUP(C690,#REF!,13,FALSE)</f>
        <v>#REF!</v>
      </c>
    </row>
    <row r="691" spans="1:22" x14ac:dyDescent="0.25">
      <c r="A691" s="6" t="s">
        <v>1995</v>
      </c>
      <c r="B691" s="8">
        <v>9789500216012</v>
      </c>
      <c r="C691" s="6">
        <v>727009</v>
      </c>
      <c r="D691" s="239">
        <v>160</v>
      </c>
      <c r="E691" s="7" t="s">
        <v>2007</v>
      </c>
      <c r="F691" s="6" t="s">
        <v>1996</v>
      </c>
      <c r="G691" s="107">
        <v>45717</v>
      </c>
      <c r="H691" s="107">
        <v>46235</v>
      </c>
      <c r="I691" s="239" t="s">
        <v>2435</v>
      </c>
      <c r="J691" s="6" t="s">
        <v>2219</v>
      </c>
      <c r="K691" s="148">
        <v>2812</v>
      </c>
      <c r="L691" s="9">
        <v>19900</v>
      </c>
      <c r="M691" s="112"/>
      <c r="N691" s="9">
        <f t="shared" si="108"/>
        <v>9950</v>
      </c>
      <c r="O691" s="9">
        <f t="shared" si="109"/>
        <v>7138</v>
      </c>
      <c r="P691" s="9">
        <f t="shared" si="110"/>
        <v>2812</v>
      </c>
      <c r="Q691" s="139">
        <f t="shared" si="111"/>
        <v>0.71738693467336678</v>
      </c>
      <c r="R691" s="395">
        <f>VLOOKUP(C691,'[1]ORIGINAL (2)'!$A:$C,3,FALSE)</f>
        <v>1217</v>
      </c>
      <c r="S691" s="24" t="e">
        <f>VLOOKUP(C691,#REF!,6,FALSE)</f>
        <v>#REF!</v>
      </c>
      <c r="T691" s="24" t="e">
        <f>VLOOKUP(C691,#REF!,7,FALSE)</f>
        <v>#REF!</v>
      </c>
      <c r="U691" s="24" t="e">
        <f>VLOOKUP(C691,#REF!,12,FALSE)</f>
        <v>#REF!</v>
      </c>
      <c r="V691" s="24" t="e">
        <f>VLOOKUP(C691,#REF!,13,FALSE)</f>
        <v>#REF!</v>
      </c>
    </row>
    <row r="692" spans="1:22" x14ac:dyDescent="0.25">
      <c r="A692" s="7" t="s">
        <v>1513</v>
      </c>
      <c r="B692" s="8">
        <v>9789500210157</v>
      </c>
      <c r="C692" s="6">
        <v>668113</v>
      </c>
      <c r="D692" s="25">
        <v>176</v>
      </c>
      <c r="E692" s="7" t="s">
        <v>155</v>
      </c>
      <c r="F692" s="6" t="s">
        <v>729</v>
      </c>
      <c r="G692" s="107">
        <v>43709</v>
      </c>
      <c r="H692" s="107">
        <v>46174</v>
      </c>
      <c r="I692" s="7">
        <v>2069</v>
      </c>
      <c r="J692" s="28" t="s">
        <v>2219</v>
      </c>
      <c r="K692" s="148">
        <v>3537.7</v>
      </c>
      <c r="L692" s="9">
        <v>19900</v>
      </c>
      <c r="M692" s="112"/>
      <c r="N692" s="9">
        <f t="shared" si="108"/>
        <v>9950</v>
      </c>
      <c r="O692" s="9">
        <f t="shared" si="109"/>
        <v>6412.3</v>
      </c>
      <c r="P692" s="9">
        <f t="shared" si="110"/>
        <v>3537.7</v>
      </c>
      <c r="Q692" s="139">
        <f t="shared" si="111"/>
        <v>0.64445226130653266</v>
      </c>
      <c r="R692" s="395">
        <f>VLOOKUP(C692,'[1]ORIGINAL (2)'!$A:$C,3,FALSE)</f>
        <v>1195</v>
      </c>
      <c r="S692" s="24" t="e">
        <f>VLOOKUP(C692,#REF!,6,FALSE)</f>
        <v>#REF!</v>
      </c>
      <c r="T692" s="24" t="e">
        <f>VLOOKUP(C692,#REF!,7,FALSE)</f>
        <v>#REF!</v>
      </c>
      <c r="U692" s="24" t="e">
        <f>VLOOKUP(C692,#REF!,12,FALSE)</f>
        <v>#REF!</v>
      </c>
      <c r="V692" s="24" t="e">
        <f>VLOOKUP(C692,#REF!,13,FALSE)</f>
        <v>#REF!</v>
      </c>
    </row>
    <row r="693" spans="1:22" x14ac:dyDescent="0.25">
      <c r="A693" s="7" t="s">
        <v>1514</v>
      </c>
      <c r="B693" s="8">
        <v>9789500210416</v>
      </c>
      <c r="C693" s="6">
        <v>673647</v>
      </c>
      <c r="D693" s="25">
        <v>176</v>
      </c>
      <c r="E693" s="7" t="s">
        <v>155</v>
      </c>
      <c r="F693" s="7" t="s">
        <v>600</v>
      </c>
      <c r="G693" s="107">
        <v>43862</v>
      </c>
      <c r="H693" s="108">
        <v>46054</v>
      </c>
      <c r="I693" s="7">
        <v>3100</v>
      </c>
      <c r="J693" s="28" t="s">
        <v>2219</v>
      </c>
      <c r="K693" s="117">
        <v>3141.0645161290322</v>
      </c>
      <c r="L693" s="9">
        <v>19900</v>
      </c>
      <c r="M693" s="112"/>
      <c r="N693" s="9">
        <f t="shared" si="108"/>
        <v>9950</v>
      </c>
      <c r="O693" s="9">
        <f t="shared" si="109"/>
        <v>6808.9354838709678</v>
      </c>
      <c r="P693" s="9">
        <f t="shared" si="110"/>
        <v>3141.0645161290322</v>
      </c>
      <c r="Q693" s="139">
        <f t="shared" si="111"/>
        <v>0.68431512400713246</v>
      </c>
      <c r="R693" s="395">
        <f>VLOOKUP(C693,'[1]ORIGINAL (2)'!$A:$C,3,FALSE)</f>
        <v>484</v>
      </c>
      <c r="S693" s="24" t="e">
        <f>VLOOKUP(C693,#REF!,6,FALSE)</f>
        <v>#REF!</v>
      </c>
      <c r="T693" s="24" t="e">
        <f>VLOOKUP(C693,#REF!,7,FALSE)</f>
        <v>#REF!</v>
      </c>
      <c r="U693" s="24" t="e">
        <f>VLOOKUP(C693,#REF!,12,FALSE)</f>
        <v>#REF!</v>
      </c>
      <c r="V693" s="24" t="e">
        <f>VLOOKUP(C693,#REF!,13,FALSE)</f>
        <v>#REF!</v>
      </c>
    </row>
    <row r="694" spans="1:22" x14ac:dyDescent="0.25">
      <c r="A694" s="7" t="s">
        <v>1515</v>
      </c>
      <c r="B694" s="8">
        <v>9789500211178</v>
      </c>
      <c r="C694" s="6">
        <v>678281</v>
      </c>
      <c r="D694" s="25">
        <v>176</v>
      </c>
      <c r="E694" s="7" t="s">
        <v>508</v>
      </c>
      <c r="F694" s="7" t="s">
        <v>601</v>
      </c>
      <c r="G694" s="107">
        <v>44136</v>
      </c>
      <c r="H694" s="108">
        <v>46054</v>
      </c>
      <c r="I694" s="7">
        <v>3037</v>
      </c>
      <c r="J694" s="28" t="s">
        <v>2219</v>
      </c>
      <c r="K694" s="117">
        <v>3159.49</v>
      </c>
      <c r="L694" s="9">
        <v>19900</v>
      </c>
      <c r="M694" s="112"/>
      <c r="N694" s="9">
        <f t="shared" si="108"/>
        <v>9950</v>
      </c>
      <c r="O694" s="9">
        <f t="shared" si="109"/>
        <v>6790.51</v>
      </c>
      <c r="P694" s="9">
        <f t="shared" si="110"/>
        <v>3159.49</v>
      </c>
      <c r="Q694" s="139">
        <f t="shared" si="111"/>
        <v>0.68246331658291459</v>
      </c>
      <c r="R694" s="395">
        <f>VLOOKUP(C694,'[1]ORIGINAL (2)'!$A:$C,3,FALSE)</f>
        <v>444</v>
      </c>
      <c r="S694" s="24" t="e">
        <f>VLOOKUP(C694,#REF!,6,FALSE)</f>
        <v>#REF!</v>
      </c>
      <c r="T694" s="24" t="e">
        <f>VLOOKUP(C694,#REF!,7,FALSE)</f>
        <v>#REF!</v>
      </c>
      <c r="U694" s="24" t="e">
        <f>VLOOKUP(C694,#REF!,12,FALSE)</f>
        <v>#REF!</v>
      </c>
      <c r="V694" s="24" t="e">
        <f>VLOOKUP(C694,#REF!,13,FALSE)</f>
        <v>#REF!</v>
      </c>
    </row>
    <row r="695" spans="1:22" x14ac:dyDescent="0.25">
      <c r="A695" s="7" t="s">
        <v>1516</v>
      </c>
      <c r="B695" s="8">
        <v>9789500211925</v>
      </c>
      <c r="C695" s="6">
        <v>685401</v>
      </c>
      <c r="D695" s="25">
        <v>176</v>
      </c>
      <c r="E695" s="7" t="s">
        <v>562</v>
      </c>
      <c r="F695" s="7" t="s">
        <v>563</v>
      </c>
      <c r="G695" s="107">
        <v>44409</v>
      </c>
      <c r="H695" s="107">
        <v>45536</v>
      </c>
      <c r="I695" s="7">
        <v>5000</v>
      </c>
      <c r="J695" s="28" t="s">
        <v>2219</v>
      </c>
      <c r="K695" s="117">
        <v>1686.2</v>
      </c>
      <c r="L695" s="9">
        <v>19900</v>
      </c>
      <c r="M695" s="112"/>
      <c r="N695" s="9">
        <f t="shared" si="108"/>
        <v>9950</v>
      </c>
      <c r="O695" s="9">
        <f t="shared" si="109"/>
        <v>8263.7999999999993</v>
      </c>
      <c r="P695" s="9">
        <f t="shared" si="110"/>
        <v>1686.2</v>
      </c>
      <c r="Q695" s="139">
        <f t="shared" si="111"/>
        <v>0.83053266331658282</v>
      </c>
      <c r="R695" s="395">
        <f>VLOOKUP(C695,'[1]ORIGINAL (2)'!$A:$C,3,FALSE)</f>
        <v>401</v>
      </c>
      <c r="S695" s="24" t="e">
        <f>VLOOKUP(C695,#REF!,6,FALSE)</f>
        <v>#REF!</v>
      </c>
      <c r="T695" s="24" t="e">
        <f>VLOOKUP(C695,#REF!,7,FALSE)</f>
        <v>#REF!</v>
      </c>
      <c r="U695" s="24" t="e">
        <f>VLOOKUP(C695,#REF!,12,FALSE)</f>
        <v>#REF!</v>
      </c>
      <c r="V695" s="24" t="e">
        <f>VLOOKUP(C695,#REF!,13,FALSE)</f>
        <v>#REF!</v>
      </c>
    </row>
    <row r="696" spans="1:22" x14ac:dyDescent="0.25">
      <c r="A696" s="7" t="s">
        <v>1517</v>
      </c>
      <c r="B696" s="8">
        <v>9789500212489</v>
      </c>
      <c r="C696" s="8">
        <v>692882</v>
      </c>
      <c r="D696" s="25">
        <v>176</v>
      </c>
      <c r="E696" s="7" t="s">
        <v>682</v>
      </c>
      <c r="F696" s="7" t="s">
        <v>683</v>
      </c>
      <c r="G696" s="107">
        <v>44652</v>
      </c>
      <c r="H696" s="108">
        <v>46054</v>
      </c>
      <c r="I696" s="7">
        <v>3065</v>
      </c>
      <c r="J696" s="28" t="s">
        <v>2219</v>
      </c>
      <c r="K696" s="117">
        <v>3151.21</v>
      </c>
      <c r="L696" s="9">
        <v>19900</v>
      </c>
      <c r="M696" s="112"/>
      <c r="N696" s="9">
        <f t="shared" si="108"/>
        <v>9950</v>
      </c>
      <c r="O696" s="9">
        <f t="shared" si="109"/>
        <v>6798.79</v>
      </c>
      <c r="P696" s="9">
        <f t="shared" si="110"/>
        <v>3151.21</v>
      </c>
      <c r="Q696" s="139">
        <f t="shared" si="111"/>
        <v>0.68329547738693464</v>
      </c>
      <c r="R696" s="395">
        <f>VLOOKUP(C696,'[1]ORIGINAL (2)'!$A:$C,3,FALSE)</f>
        <v>445</v>
      </c>
      <c r="S696" s="24" t="e">
        <f>VLOOKUP(C696,#REF!,6,FALSE)</f>
        <v>#REF!</v>
      </c>
      <c r="T696" s="24" t="e">
        <f>VLOOKUP(C696,#REF!,7,FALSE)</f>
        <v>#REF!</v>
      </c>
      <c r="U696" s="24" t="e">
        <f>VLOOKUP(C696,#REF!,12,FALSE)</f>
        <v>#REF!</v>
      </c>
      <c r="V696" s="24" t="e">
        <f>VLOOKUP(C696,#REF!,13,FALSE)</f>
        <v>#REF!</v>
      </c>
    </row>
    <row r="697" spans="1:22" x14ac:dyDescent="0.25">
      <c r="A697" s="6" t="s">
        <v>1518</v>
      </c>
      <c r="B697" s="8">
        <v>9789500213189</v>
      </c>
      <c r="C697" s="6">
        <v>698861</v>
      </c>
      <c r="D697" s="41">
        <v>176</v>
      </c>
      <c r="E697" s="7" t="s">
        <v>562</v>
      </c>
      <c r="F697" s="7" t="s">
        <v>727</v>
      </c>
      <c r="G697" s="107">
        <v>44835</v>
      </c>
      <c r="H697" s="107">
        <v>45536</v>
      </c>
      <c r="I697" s="7">
        <v>4935</v>
      </c>
      <c r="J697" s="28" t="s">
        <v>2219</v>
      </c>
      <c r="K697" s="117">
        <v>1694.8034447821683</v>
      </c>
      <c r="L697" s="9">
        <v>19900</v>
      </c>
      <c r="M697" s="112"/>
      <c r="N697" s="9">
        <f t="shared" si="108"/>
        <v>9950</v>
      </c>
      <c r="O697" s="9">
        <f t="shared" si="109"/>
        <v>8255.1965552178317</v>
      </c>
      <c r="P697" s="9">
        <f t="shared" si="110"/>
        <v>1694.8034447821683</v>
      </c>
      <c r="Q697" s="139">
        <f t="shared" si="111"/>
        <v>0.82966799549927961</v>
      </c>
      <c r="R697" s="395">
        <f>VLOOKUP(C697,'[1]ORIGINAL (2)'!$A:$C,3,FALSE)</f>
        <v>467</v>
      </c>
      <c r="S697" s="24" t="e">
        <f>VLOOKUP(C697,#REF!,6,FALSE)</f>
        <v>#REF!</v>
      </c>
      <c r="T697" s="24" t="e">
        <f>VLOOKUP(C697,#REF!,7,FALSE)</f>
        <v>#REF!</v>
      </c>
      <c r="U697" s="24" t="e">
        <f>VLOOKUP(C697,#REF!,12,FALSE)</f>
        <v>#REF!</v>
      </c>
      <c r="V697" s="24" t="e">
        <f>VLOOKUP(C697,#REF!,13,FALSE)</f>
        <v>#REF!</v>
      </c>
    </row>
    <row r="698" spans="1:22" x14ac:dyDescent="0.25">
      <c r="A698" s="7" t="s">
        <v>1519</v>
      </c>
      <c r="B698" s="8">
        <v>9789500212731</v>
      </c>
      <c r="C698" s="8">
        <v>694755</v>
      </c>
      <c r="D698" s="25">
        <v>176</v>
      </c>
      <c r="E698" s="7" t="s">
        <v>155</v>
      </c>
      <c r="F698" s="7" t="s">
        <v>1520</v>
      </c>
      <c r="G698" s="107">
        <v>44713</v>
      </c>
      <c r="H698" s="108">
        <v>46054</v>
      </c>
      <c r="I698" s="7">
        <v>3007</v>
      </c>
      <c r="J698" s="28" t="s">
        <v>2219</v>
      </c>
      <c r="K698" s="148">
        <v>1979.1000000000001</v>
      </c>
      <c r="L698" s="9">
        <v>16900</v>
      </c>
      <c r="M698" s="112"/>
      <c r="N698" s="9">
        <f t="shared" si="108"/>
        <v>8450</v>
      </c>
      <c r="O698" s="9">
        <f t="shared" si="109"/>
        <v>6470.9</v>
      </c>
      <c r="P698" s="9">
        <f t="shared" si="110"/>
        <v>1979.1000000000001</v>
      </c>
      <c r="Q698" s="139">
        <f t="shared" si="111"/>
        <v>0.76578698224852071</v>
      </c>
      <c r="R698" s="395">
        <f>VLOOKUP(C698,'[1]ORIGINAL (2)'!$A:$C,3,FALSE)</f>
        <v>990</v>
      </c>
      <c r="S698" s="24" t="e">
        <f>VLOOKUP(C698,#REF!,6,FALSE)</f>
        <v>#REF!</v>
      </c>
      <c r="T698" s="24" t="e">
        <f>VLOOKUP(C698,#REF!,7,FALSE)</f>
        <v>#REF!</v>
      </c>
      <c r="U698" s="24" t="e">
        <f>VLOOKUP(C698,#REF!,12,FALSE)</f>
        <v>#REF!</v>
      </c>
      <c r="V698" s="24" t="e">
        <f>VLOOKUP(C698,#REF!,13,FALSE)</f>
        <v>#REF!</v>
      </c>
    </row>
    <row r="699" spans="1:22" x14ac:dyDescent="0.25">
      <c r="A699" s="6" t="s">
        <v>1521</v>
      </c>
      <c r="B699" s="8">
        <v>9789500213486</v>
      </c>
      <c r="C699" s="6">
        <v>703398</v>
      </c>
      <c r="D699" s="41">
        <v>176</v>
      </c>
      <c r="E699" s="7" t="s">
        <v>155</v>
      </c>
      <c r="F699" s="7" t="s">
        <v>1522</v>
      </c>
      <c r="G699" s="107">
        <v>44986</v>
      </c>
      <c r="H699" s="107">
        <v>46266</v>
      </c>
      <c r="I699" s="239">
        <v>1000</v>
      </c>
      <c r="J699" s="6" t="s">
        <v>2219</v>
      </c>
      <c r="K699" s="148">
        <v>3427.5</v>
      </c>
      <c r="L699" s="295">
        <v>16900</v>
      </c>
      <c r="M699" s="112"/>
      <c r="N699" s="9">
        <f t="shared" si="108"/>
        <v>8450</v>
      </c>
      <c r="O699" s="9">
        <f t="shared" si="109"/>
        <v>5022.5</v>
      </c>
      <c r="P699" s="9">
        <f t="shared" si="110"/>
        <v>3427.5</v>
      </c>
      <c r="Q699" s="139">
        <f t="shared" si="111"/>
        <v>0.59437869822485212</v>
      </c>
      <c r="R699" s="395">
        <f>VLOOKUP(C699,'[1]ORIGINAL (2)'!$A:$C,3,FALSE)</f>
        <v>789</v>
      </c>
      <c r="S699" s="24" t="e">
        <f>VLOOKUP(C699,#REF!,6,FALSE)</f>
        <v>#REF!</v>
      </c>
      <c r="T699" s="24" t="e">
        <f>VLOOKUP(C699,#REF!,7,FALSE)</f>
        <v>#REF!</v>
      </c>
      <c r="U699" s="24" t="e">
        <f>VLOOKUP(C699,#REF!,12,FALSE)</f>
        <v>#REF!</v>
      </c>
      <c r="V699" s="24" t="e">
        <f>VLOOKUP(C699,#REF!,13,FALSE)</f>
        <v>#REF!</v>
      </c>
    </row>
    <row r="700" spans="1:22" x14ac:dyDescent="0.25">
      <c r="A700" s="7" t="s">
        <v>1523</v>
      </c>
      <c r="B700" s="8">
        <v>9789500210102</v>
      </c>
      <c r="C700" s="14">
        <v>666999</v>
      </c>
      <c r="D700" s="25">
        <v>160</v>
      </c>
      <c r="E700" s="7" t="s">
        <v>156</v>
      </c>
      <c r="F700" s="7" t="s">
        <v>453</v>
      </c>
      <c r="G700" s="107">
        <v>43678</v>
      </c>
      <c r="H700" s="108">
        <v>44501</v>
      </c>
      <c r="I700" s="7">
        <v>3025</v>
      </c>
      <c r="J700" s="28" t="s">
        <v>1762</v>
      </c>
      <c r="K700" s="28">
        <v>285.93</v>
      </c>
      <c r="L700" s="112">
        <v>19900</v>
      </c>
      <c r="M700" s="9"/>
      <c r="N700" s="9">
        <f t="shared" si="108"/>
        <v>9950</v>
      </c>
      <c r="O700" s="9">
        <f t="shared" si="109"/>
        <v>9664.07</v>
      </c>
      <c r="P700" s="9">
        <f t="shared" si="110"/>
        <v>285.93</v>
      </c>
      <c r="Q700" s="139">
        <f t="shared" si="111"/>
        <v>0.97126331658291454</v>
      </c>
      <c r="R700" s="395">
        <f>VLOOKUP(C700,'[1]ORIGINAL (2)'!$A:$C,3,FALSE)</f>
        <v>84</v>
      </c>
      <c r="S700" s="24" t="e">
        <f>VLOOKUP(C700,#REF!,6,FALSE)</f>
        <v>#REF!</v>
      </c>
      <c r="T700" s="24" t="e">
        <f>VLOOKUP(C700,#REF!,7,FALSE)</f>
        <v>#REF!</v>
      </c>
      <c r="U700" s="24" t="e">
        <f>VLOOKUP(C700,#REF!,12,FALSE)</f>
        <v>#REF!</v>
      </c>
      <c r="V700" s="24" t="e">
        <f>VLOOKUP(C700,#REF!,13,FALSE)</f>
        <v>#REF!</v>
      </c>
    </row>
    <row r="701" spans="1:22" x14ac:dyDescent="0.25">
      <c r="A701" s="6" t="s">
        <v>1524</v>
      </c>
      <c r="B701" s="8">
        <v>9789500213141</v>
      </c>
      <c r="C701" s="8">
        <v>704438</v>
      </c>
      <c r="D701" s="41">
        <v>48</v>
      </c>
      <c r="E701" s="7" t="s">
        <v>448</v>
      </c>
      <c r="F701" s="6" t="s">
        <v>766</v>
      </c>
      <c r="G701" s="107">
        <v>45017</v>
      </c>
      <c r="H701" s="108">
        <v>44986</v>
      </c>
      <c r="I701" s="7">
        <v>6000</v>
      </c>
      <c r="J701" s="28" t="s">
        <v>2136</v>
      </c>
      <c r="K701" s="117">
        <v>723.82</v>
      </c>
      <c r="L701" s="9">
        <v>24900</v>
      </c>
      <c r="M701" s="112">
        <f>+L701*0.12</f>
        <v>2988</v>
      </c>
      <c r="N701" s="9">
        <f t="shared" si="108"/>
        <v>12450</v>
      </c>
      <c r="O701" s="9">
        <f t="shared" si="109"/>
        <v>8738.18</v>
      </c>
      <c r="P701" s="9">
        <f t="shared" si="110"/>
        <v>3711.82</v>
      </c>
      <c r="Q701" s="139">
        <f t="shared" si="111"/>
        <v>0.70186184738955826</v>
      </c>
      <c r="R701" s="395">
        <f>VLOOKUP(C701,'[1]ORIGINAL (2)'!$A:$C,3,FALSE)</f>
        <v>171</v>
      </c>
      <c r="S701" s="24" t="e">
        <f>VLOOKUP(C701,#REF!,6,FALSE)</f>
        <v>#REF!</v>
      </c>
      <c r="T701" s="24" t="e">
        <f>VLOOKUP(C701,#REF!,7,FALSE)</f>
        <v>#REF!</v>
      </c>
      <c r="U701" s="24" t="e">
        <f>VLOOKUP(C701,#REF!,12,FALSE)</f>
        <v>#REF!</v>
      </c>
      <c r="V701" s="24" t="e">
        <f>VLOOKUP(C701,#REF!,13,FALSE)</f>
        <v>#REF!</v>
      </c>
    </row>
    <row r="702" spans="1:22" x14ac:dyDescent="0.25">
      <c r="A702" s="1"/>
      <c r="B702" s="3"/>
      <c r="C702" s="3"/>
      <c r="D702" s="2"/>
      <c r="E702" s="274"/>
      <c r="F702" s="275"/>
      <c r="G702" s="2"/>
      <c r="H702" s="132"/>
      <c r="I702" s="132"/>
      <c r="J702" s="134"/>
      <c r="K702" s="132"/>
      <c r="L702" s="134"/>
      <c r="M702" s="132"/>
      <c r="N702" s="132"/>
      <c r="O702" s="132"/>
      <c r="P702" s="132"/>
      <c r="Q702" s="147"/>
      <c r="R702" s="395" t="e">
        <f>VLOOKUP(C702,'[1]ORIGINAL (2)'!$A:$C,3,FALSE)</f>
        <v>#N/A</v>
      </c>
      <c r="S702" s="100"/>
      <c r="T702" s="100"/>
      <c r="U702" s="100"/>
      <c r="V702" s="100"/>
    </row>
    <row r="703" spans="1:22" x14ac:dyDescent="0.25">
      <c r="A703" s="1"/>
      <c r="B703" s="3"/>
      <c r="C703" s="3"/>
      <c r="D703" s="2"/>
      <c r="E703" s="3"/>
      <c r="F703" s="26"/>
      <c r="G703" s="132"/>
      <c r="H703" s="132"/>
      <c r="I703" s="132"/>
      <c r="J703" s="134"/>
      <c r="K703" s="132"/>
      <c r="L703" s="134"/>
      <c r="M703" s="132"/>
      <c r="N703" s="132"/>
      <c r="O703" s="132"/>
      <c r="P703" s="132"/>
      <c r="Q703" s="147"/>
      <c r="R703" s="395" t="e">
        <f>VLOOKUP(C703,'[1]ORIGINAL (2)'!$A:$C,3,FALSE)</f>
        <v>#N/A</v>
      </c>
      <c r="S703" s="100"/>
      <c r="T703" s="100"/>
      <c r="U703" s="100"/>
      <c r="V703" s="100"/>
    </row>
    <row r="704" spans="1:22" x14ac:dyDescent="0.25">
      <c r="A704" s="202" t="s">
        <v>1525</v>
      </c>
      <c r="B704" s="203"/>
      <c r="C704" s="203"/>
      <c r="D704" s="204"/>
      <c r="E704" s="205"/>
      <c r="F704" s="162"/>
      <c r="G704" s="162"/>
      <c r="H704" s="132"/>
      <c r="I704" s="132"/>
      <c r="J704" s="134"/>
      <c r="K704" s="132"/>
      <c r="L704" s="134"/>
      <c r="M704" s="132"/>
      <c r="N704" s="132"/>
      <c r="O704" s="132"/>
      <c r="P704" s="132"/>
      <c r="Q704" s="147"/>
      <c r="R704" s="395" t="e">
        <f>VLOOKUP(C704,'[1]ORIGINAL (2)'!$A:$C,3,FALSE)</f>
        <v>#N/A</v>
      </c>
      <c r="S704" s="100"/>
      <c r="T704" s="100"/>
      <c r="U704" s="100"/>
      <c r="V704" s="100"/>
    </row>
    <row r="705" spans="1:22" x14ac:dyDescent="0.25">
      <c r="A705" s="6" t="s">
        <v>2326</v>
      </c>
      <c r="B705" s="153">
        <v>9789500217149</v>
      </c>
      <c r="C705" s="6">
        <v>744141</v>
      </c>
      <c r="D705" s="41">
        <v>12</v>
      </c>
      <c r="E705" s="6" t="s">
        <v>2327</v>
      </c>
      <c r="F705" s="6" t="s">
        <v>2328</v>
      </c>
      <c r="G705" s="107">
        <v>46143</v>
      </c>
      <c r="H705" s="108">
        <v>46113</v>
      </c>
      <c r="I705" s="267">
        <v>4008</v>
      </c>
      <c r="J705" s="7" t="s">
        <v>2329</v>
      </c>
      <c r="K705" s="148">
        <v>4918.1899999999996</v>
      </c>
      <c r="L705" s="352">
        <v>24900</v>
      </c>
      <c r="M705" s="9"/>
      <c r="N705" s="9">
        <f>+L705/2</f>
        <v>12450</v>
      </c>
      <c r="O705" s="9">
        <f>+N705-M705-K705</f>
        <v>7531.81</v>
      </c>
      <c r="P705" s="9">
        <f>+M705+K705</f>
        <v>4918.1899999999996</v>
      </c>
      <c r="Q705" s="139">
        <f>+O705/N705</f>
        <v>0.60496465863453819</v>
      </c>
      <c r="R705" s="395">
        <f>VLOOKUP(C705,'[1]ORIGINAL (2)'!$A:$C,3,FALSE)</f>
        <v>818</v>
      </c>
      <c r="S705" s="24" t="e">
        <f>VLOOKUP(C705,#REF!,6,FALSE)</f>
        <v>#REF!</v>
      </c>
      <c r="T705" s="24" t="e">
        <f>VLOOKUP(C705,#REF!,7,FALSE)</f>
        <v>#REF!</v>
      </c>
      <c r="U705" s="24" t="e">
        <f>VLOOKUP(C705,#REF!,12,FALSE)</f>
        <v>#REF!</v>
      </c>
      <c r="V705" s="24" t="e">
        <f>VLOOKUP(C705,#REF!,13,FALSE)</f>
        <v>#REF!</v>
      </c>
    </row>
    <row r="706" spans="1:22" x14ac:dyDescent="0.25">
      <c r="A706" s="6" t="s">
        <v>2042</v>
      </c>
      <c r="B706" s="279">
        <v>9789500216210</v>
      </c>
      <c r="C706" s="6">
        <v>729378</v>
      </c>
      <c r="D706" s="41">
        <v>48</v>
      </c>
      <c r="E706" s="8" t="s">
        <v>2043</v>
      </c>
      <c r="F706" s="6" t="s">
        <v>2044</v>
      </c>
      <c r="G706" s="108">
        <v>45778</v>
      </c>
      <c r="H706" s="108">
        <v>45748</v>
      </c>
      <c r="I706" s="264">
        <v>4001</v>
      </c>
      <c r="J706" s="176" t="s">
        <v>2136</v>
      </c>
      <c r="K706" s="292">
        <v>3333.49</v>
      </c>
      <c r="L706" s="9">
        <v>25900</v>
      </c>
      <c r="M706" s="112">
        <f t="shared" ref="M706:M712" si="112">+L706*0.08</f>
        <v>2072</v>
      </c>
      <c r="N706" s="9">
        <f>+L706/2</f>
        <v>12950</v>
      </c>
      <c r="O706" s="9">
        <f>+N706-M706-K706</f>
        <v>7544.51</v>
      </c>
      <c r="P706" s="9">
        <f>+M706+K706</f>
        <v>5405.49</v>
      </c>
      <c r="Q706" s="139">
        <f>+O706/N706</f>
        <v>0.5825876447876448</v>
      </c>
      <c r="R706" s="395">
        <f>VLOOKUP(C706,'[1]ORIGINAL (2)'!$A:$C,3,FALSE)</f>
        <v>534</v>
      </c>
      <c r="S706" s="24" t="e">
        <f>VLOOKUP(C706,#REF!,6,FALSE)</f>
        <v>#REF!</v>
      </c>
      <c r="T706" s="24" t="e">
        <f>VLOOKUP(C706,#REF!,7,FALSE)</f>
        <v>#REF!</v>
      </c>
      <c r="U706" s="24" t="e">
        <f>VLOOKUP(C706,#REF!,12,FALSE)</f>
        <v>#REF!</v>
      </c>
      <c r="V706" s="24" t="e">
        <f>VLOOKUP(C706,#REF!,13,FALSE)</f>
        <v>#REF!</v>
      </c>
    </row>
    <row r="707" spans="1:22" x14ac:dyDescent="0.25">
      <c r="A707" s="6" t="s">
        <v>1878</v>
      </c>
      <c r="B707" s="8">
        <v>9789500215220</v>
      </c>
      <c r="C707" s="8">
        <v>717943</v>
      </c>
      <c r="D707" s="41">
        <v>48</v>
      </c>
      <c r="E707" s="7" t="s">
        <v>1879</v>
      </c>
      <c r="F707" s="25" t="s">
        <v>1865</v>
      </c>
      <c r="G707" s="118">
        <v>45474</v>
      </c>
      <c r="H707" s="107">
        <v>46266</v>
      </c>
      <c r="I707" s="239">
        <v>1154</v>
      </c>
      <c r="J707" s="6" t="s">
        <v>1762</v>
      </c>
      <c r="K707" s="148">
        <v>3329.51</v>
      </c>
      <c r="L707" s="9">
        <v>22900</v>
      </c>
      <c r="M707" s="112">
        <f t="shared" si="112"/>
        <v>1832</v>
      </c>
      <c r="N707" s="9">
        <f>+L707/2</f>
        <v>11450</v>
      </c>
      <c r="O707" s="9">
        <f>+N707-M707-K707</f>
        <v>6288.49</v>
      </c>
      <c r="P707" s="9">
        <f>+M707+K707</f>
        <v>5161.51</v>
      </c>
      <c r="Q707" s="139">
        <f>+O707/N707</f>
        <v>0.54921310043668126</v>
      </c>
      <c r="R707" s="395">
        <f>VLOOKUP(C707,'[1]ORIGINAL (2)'!$A:$C,3,FALSE)</f>
        <v>760</v>
      </c>
      <c r="S707" s="24" t="e">
        <f>VLOOKUP(C707,#REF!,6,FALSE)</f>
        <v>#REF!</v>
      </c>
      <c r="T707" s="24" t="e">
        <f>VLOOKUP(C707,#REF!,7,FALSE)</f>
        <v>#REF!</v>
      </c>
      <c r="U707" s="24" t="e">
        <f>VLOOKUP(C707,#REF!,12,FALSE)</f>
        <v>#REF!</v>
      </c>
      <c r="V707" s="24" t="e">
        <f>VLOOKUP(C707,#REF!,13,FALSE)</f>
        <v>#REF!</v>
      </c>
    </row>
    <row r="708" spans="1:22" x14ac:dyDescent="0.25">
      <c r="A708" s="6" t="s">
        <v>1526</v>
      </c>
      <c r="B708" s="8">
        <v>9789500212960</v>
      </c>
      <c r="C708" s="6">
        <v>698774</v>
      </c>
      <c r="D708" s="41">
        <v>32</v>
      </c>
      <c r="E708" s="7" t="s">
        <v>723</v>
      </c>
      <c r="F708" s="7" t="s">
        <v>724</v>
      </c>
      <c r="G708" s="107">
        <v>44835</v>
      </c>
      <c r="H708" s="108">
        <v>44805</v>
      </c>
      <c r="I708" s="7">
        <v>1978</v>
      </c>
      <c r="J708" s="28" t="s">
        <v>2136</v>
      </c>
      <c r="K708" s="117">
        <v>621.70000000000005</v>
      </c>
      <c r="L708" s="9">
        <v>23500</v>
      </c>
      <c r="M708" s="112">
        <f t="shared" si="112"/>
        <v>1880</v>
      </c>
      <c r="N708" s="9">
        <v>1480</v>
      </c>
      <c r="O708" s="9">
        <v>726</v>
      </c>
      <c r="P708" s="9">
        <v>754</v>
      </c>
      <c r="Q708" s="139">
        <v>0.49054054054054053</v>
      </c>
      <c r="R708" s="395">
        <f>VLOOKUP(C708,'[1]ORIGINAL (2)'!$A:$C,3,FALSE)</f>
        <v>5</v>
      </c>
      <c r="S708" s="24" t="e">
        <f>VLOOKUP(C708,#REF!,6,FALSE)</f>
        <v>#REF!</v>
      </c>
      <c r="T708" s="24" t="e">
        <f>VLOOKUP(C708,#REF!,7,FALSE)</f>
        <v>#REF!</v>
      </c>
      <c r="U708" s="24" t="e">
        <f>VLOOKUP(C708,#REF!,12,FALSE)</f>
        <v>#REF!</v>
      </c>
      <c r="V708" s="24" t="e">
        <f>VLOOKUP(C708,#REF!,13,FALSE)</f>
        <v>#REF!</v>
      </c>
    </row>
    <row r="709" spans="1:22" x14ac:dyDescent="0.25">
      <c r="A709" s="6" t="s">
        <v>1527</v>
      </c>
      <c r="B709" s="8">
        <v>9789500213004</v>
      </c>
      <c r="C709" s="6">
        <v>698775</v>
      </c>
      <c r="D709" s="41">
        <v>48</v>
      </c>
      <c r="E709" s="7" t="s">
        <v>725</v>
      </c>
      <c r="F709" s="7" t="s">
        <v>726</v>
      </c>
      <c r="G709" s="107">
        <v>44835</v>
      </c>
      <c r="H709" s="108">
        <v>44805</v>
      </c>
      <c r="I709" s="7">
        <v>2055</v>
      </c>
      <c r="J709" s="28" t="s">
        <v>2136</v>
      </c>
      <c r="K709" s="117">
        <v>842.26</v>
      </c>
      <c r="L709" s="9">
        <v>24900</v>
      </c>
      <c r="M709" s="112">
        <f t="shared" si="112"/>
        <v>1992</v>
      </c>
      <c r="N709" s="9">
        <v>1480</v>
      </c>
      <c r="O709" s="9">
        <v>726</v>
      </c>
      <c r="P709" s="9">
        <v>754</v>
      </c>
      <c r="Q709" s="139">
        <v>0.49054054054054053</v>
      </c>
      <c r="R709" s="395">
        <f>VLOOKUP(C709,'[1]ORIGINAL (2)'!$A:$C,3,FALSE)</f>
        <v>10</v>
      </c>
      <c r="S709" s="24" t="e">
        <f>VLOOKUP(C709,#REF!,6,FALSE)</f>
        <v>#REF!</v>
      </c>
      <c r="T709" s="24" t="e">
        <f>VLOOKUP(C709,#REF!,7,FALSE)</f>
        <v>#REF!</v>
      </c>
      <c r="U709" s="24" t="e">
        <f>VLOOKUP(C709,#REF!,12,FALSE)</f>
        <v>#REF!</v>
      </c>
      <c r="V709" s="24" t="e">
        <f>VLOOKUP(C709,#REF!,13,FALSE)</f>
        <v>#REF!</v>
      </c>
    </row>
    <row r="710" spans="1:22" x14ac:dyDescent="0.25">
      <c r="A710" s="6" t="s">
        <v>1528</v>
      </c>
      <c r="B710" s="8">
        <v>9789500212915</v>
      </c>
      <c r="C710" s="6">
        <v>697477</v>
      </c>
      <c r="D710" s="41">
        <v>48</v>
      </c>
      <c r="E710" s="7" t="s">
        <v>717</v>
      </c>
      <c r="F710" s="7" t="s">
        <v>718</v>
      </c>
      <c r="G710" s="107">
        <v>44805</v>
      </c>
      <c r="H710" s="108">
        <v>44774</v>
      </c>
      <c r="I710" s="7">
        <v>2000</v>
      </c>
      <c r="J710" s="28" t="s">
        <v>2136</v>
      </c>
      <c r="K710" s="117">
        <v>517.20000000000005</v>
      </c>
      <c r="L710" s="9">
        <v>22900</v>
      </c>
      <c r="M710" s="112">
        <f t="shared" si="112"/>
        <v>1832</v>
      </c>
      <c r="N710" s="9">
        <f t="shared" ref="N710:N773" si="113">+L710/2</f>
        <v>11450</v>
      </c>
      <c r="O710" s="9">
        <f t="shared" ref="O710:O773" si="114">+N710-M710-K710</f>
        <v>9100.7999999999993</v>
      </c>
      <c r="P710" s="9">
        <f t="shared" ref="P710:P773" si="115">+M710+K710</f>
        <v>2349.1999999999998</v>
      </c>
      <c r="Q710" s="139">
        <f t="shared" ref="Q710:Q773" si="116">+O710/N710</f>
        <v>0.79482969432314399</v>
      </c>
      <c r="R710" s="395">
        <f>VLOOKUP(C710,'[1]ORIGINAL (2)'!$A:$C,3,FALSE)</f>
        <v>9</v>
      </c>
      <c r="S710" s="24" t="e">
        <f>VLOOKUP(C710,#REF!,6,FALSE)</f>
        <v>#REF!</v>
      </c>
      <c r="T710" s="24" t="e">
        <f>VLOOKUP(C710,#REF!,7,FALSE)</f>
        <v>#REF!</v>
      </c>
      <c r="U710" s="24" t="e">
        <f>VLOOKUP(C710,#REF!,12,FALSE)</f>
        <v>#REF!</v>
      </c>
      <c r="V710" s="24" t="e">
        <f>VLOOKUP(C710,#REF!,13,FALSE)</f>
        <v>#REF!</v>
      </c>
    </row>
    <row r="711" spans="1:22" x14ac:dyDescent="0.25">
      <c r="A711" s="6" t="s">
        <v>1529</v>
      </c>
      <c r="B711" s="8">
        <v>9789500212823</v>
      </c>
      <c r="C711" s="6">
        <v>696627</v>
      </c>
      <c r="D711" s="41">
        <v>24</v>
      </c>
      <c r="E711" s="7" t="s">
        <v>708</v>
      </c>
      <c r="F711" s="7" t="s">
        <v>709</v>
      </c>
      <c r="G711" s="107">
        <v>44774</v>
      </c>
      <c r="H711" s="108">
        <v>44743</v>
      </c>
      <c r="I711" s="7">
        <v>3000</v>
      </c>
      <c r="J711" s="28" t="s">
        <v>1762</v>
      </c>
      <c r="K711" s="117">
        <v>396.66</v>
      </c>
      <c r="L711" s="9">
        <v>18900</v>
      </c>
      <c r="M711" s="112">
        <f t="shared" si="112"/>
        <v>1512</v>
      </c>
      <c r="N711" s="9">
        <f t="shared" si="113"/>
        <v>9450</v>
      </c>
      <c r="O711" s="9">
        <f t="shared" si="114"/>
        <v>7541.34</v>
      </c>
      <c r="P711" s="9">
        <f t="shared" si="115"/>
        <v>1908.66</v>
      </c>
      <c r="Q711" s="139">
        <f t="shared" si="116"/>
        <v>0.79802539682539686</v>
      </c>
      <c r="R711" s="395">
        <f>VLOOKUP(C711,'[1]ORIGINAL (2)'!$A:$C,3,FALSE)</f>
        <v>182</v>
      </c>
      <c r="S711" s="24" t="e">
        <f>VLOOKUP(C711,#REF!,6,FALSE)</f>
        <v>#REF!</v>
      </c>
      <c r="T711" s="24" t="e">
        <f>VLOOKUP(C711,#REF!,7,FALSE)</f>
        <v>#REF!</v>
      </c>
      <c r="U711" s="24" t="e">
        <f>VLOOKUP(C711,#REF!,12,FALSE)</f>
        <v>#REF!</v>
      </c>
      <c r="V711" s="24" t="e">
        <f>VLOOKUP(C711,#REF!,13,FALSE)</f>
        <v>#REF!</v>
      </c>
    </row>
    <row r="712" spans="1:22" x14ac:dyDescent="0.25">
      <c r="A712" s="6" t="s">
        <v>1530</v>
      </c>
      <c r="B712" s="8">
        <v>9789500212779</v>
      </c>
      <c r="C712" s="8">
        <v>695683</v>
      </c>
      <c r="D712" s="7">
        <v>32</v>
      </c>
      <c r="E712" s="7" t="s">
        <v>701</v>
      </c>
      <c r="F712" s="7" t="s">
        <v>702</v>
      </c>
      <c r="G712" s="107">
        <v>44743</v>
      </c>
      <c r="H712" s="108">
        <v>44713</v>
      </c>
      <c r="I712" s="7">
        <v>4000</v>
      </c>
      <c r="J712" s="28" t="s">
        <v>1762</v>
      </c>
      <c r="K712" s="117">
        <v>481.14</v>
      </c>
      <c r="L712" s="9">
        <v>18900</v>
      </c>
      <c r="M712" s="112">
        <f t="shared" si="112"/>
        <v>1512</v>
      </c>
      <c r="N712" s="9">
        <f t="shared" si="113"/>
        <v>9450</v>
      </c>
      <c r="O712" s="9">
        <f t="shared" si="114"/>
        <v>7456.86</v>
      </c>
      <c r="P712" s="9">
        <f t="shared" si="115"/>
        <v>1993.1399999999999</v>
      </c>
      <c r="Q712" s="139">
        <f t="shared" si="116"/>
        <v>0.78908571428571428</v>
      </c>
      <c r="R712" s="395">
        <f>VLOOKUP(C712,'[1]ORIGINAL (2)'!$A:$C,3,FALSE)</f>
        <v>120</v>
      </c>
      <c r="S712" s="24" t="e">
        <f>VLOOKUP(C712,#REF!,6,FALSE)</f>
        <v>#REF!</v>
      </c>
      <c r="T712" s="24" t="e">
        <f>VLOOKUP(C712,#REF!,7,FALSE)</f>
        <v>#REF!</v>
      </c>
      <c r="U712" s="24" t="e">
        <f>VLOOKUP(C712,#REF!,12,FALSE)</f>
        <v>#REF!</v>
      </c>
      <c r="V712" s="24" t="e">
        <f>VLOOKUP(C712,#REF!,13,FALSE)</f>
        <v>#REF!</v>
      </c>
    </row>
    <row r="713" spans="1:22" x14ac:dyDescent="0.25">
      <c r="A713" s="7" t="s">
        <v>1531</v>
      </c>
      <c r="B713" s="8">
        <v>9789500212458</v>
      </c>
      <c r="C713" s="8">
        <v>692880</v>
      </c>
      <c r="D713" s="25">
        <v>48</v>
      </c>
      <c r="E713" s="7" t="s">
        <v>680</v>
      </c>
      <c r="F713" s="7" t="s">
        <v>681</v>
      </c>
      <c r="G713" s="107">
        <v>44652</v>
      </c>
      <c r="H713" s="108">
        <v>44621</v>
      </c>
      <c r="I713" s="7">
        <v>3000</v>
      </c>
      <c r="J713" s="28" t="s">
        <v>1762</v>
      </c>
      <c r="K713" s="9">
        <v>432.82</v>
      </c>
      <c r="L713" s="9">
        <v>21900</v>
      </c>
      <c r="M713" s="112">
        <f>+L713*0.1</f>
        <v>2190</v>
      </c>
      <c r="N713" s="9">
        <f t="shared" si="113"/>
        <v>10950</v>
      </c>
      <c r="O713" s="9">
        <f t="shared" si="114"/>
        <v>8327.18</v>
      </c>
      <c r="P713" s="9">
        <f t="shared" si="115"/>
        <v>2622.82</v>
      </c>
      <c r="Q713" s="139">
        <f t="shared" si="116"/>
        <v>0.76047305936073062</v>
      </c>
      <c r="R713" s="395">
        <f>VLOOKUP(C713,'[1]ORIGINAL (2)'!$A:$C,3,FALSE)</f>
        <v>4</v>
      </c>
      <c r="S713" s="24" t="e">
        <f>VLOOKUP(C713,#REF!,6,FALSE)</f>
        <v>#REF!</v>
      </c>
      <c r="T713" s="24" t="e">
        <f>VLOOKUP(C713,#REF!,7,FALSE)</f>
        <v>#REF!</v>
      </c>
      <c r="U713" s="24" t="e">
        <f>VLOOKUP(C713,#REF!,12,FALSE)</f>
        <v>#REF!</v>
      </c>
      <c r="V713" s="24" t="e">
        <f>VLOOKUP(C713,#REF!,13,FALSE)</f>
        <v>#REF!</v>
      </c>
    </row>
    <row r="714" spans="1:22" x14ac:dyDescent="0.25">
      <c r="A714" s="7" t="s">
        <v>1532</v>
      </c>
      <c r="B714" s="8">
        <v>9789500212212</v>
      </c>
      <c r="C714" s="8">
        <v>688427</v>
      </c>
      <c r="D714" s="25">
        <v>48</v>
      </c>
      <c r="E714" s="9" t="s">
        <v>589</v>
      </c>
      <c r="F714" s="7" t="s">
        <v>659</v>
      </c>
      <c r="G714" s="107">
        <v>44501</v>
      </c>
      <c r="H714" s="108">
        <v>44470</v>
      </c>
      <c r="I714" s="7">
        <v>3000</v>
      </c>
      <c r="J714" s="28" t="s">
        <v>1762</v>
      </c>
      <c r="K714" s="9">
        <v>275.7</v>
      </c>
      <c r="L714" s="9">
        <v>21900</v>
      </c>
      <c r="M714" s="112">
        <f>+L714*0.08</f>
        <v>1752</v>
      </c>
      <c r="N714" s="9">
        <f t="shared" si="113"/>
        <v>10950</v>
      </c>
      <c r="O714" s="9">
        <f t="shared" si="114"/>
        <v>8922.2999999999993</v>
      </c>
      <c r="P714" s="9">
        <f t="shared" si="115"/>
        <v>2027.7</v>
      </c>
      <c r="Q714" s="139">
        <f t="shared" si="116"/>
        <v>0.81482191780821911</v>
      </c>
      <c r="R714" s="395">
        <f>VLOOKUP(C714,'[1]ORIGINAL (2)'!$A:$C,3,FALSE)</f>
        <v>8</v>
      </c>
      <c r="S714" s="24" t="e">
        <f>VLOOKUP(C714,#REF!,6,FALSE)</f>
        <v>#REF!</v>
      </c>
      <c r="T714" s="24" t="e">
        <f>VLOOKUP(C714,#REF!,7,FALSE)</f>
        <v>#REF!</v>
      </c>
      <c r="U714" s="24" t="e">
        <f>VLOOKUP(C714,#REF!,12,FALSE)</f>
        <v>#REF!</v>
      </c>
      <c r="V714" s="24" t="e">
        <f>VLOOKUP(C714,#REF!,13,FALSE)</f>
        <v>#REF!</v>
      </c>
    </row>
    <row r="715" spans="1:22" x14ac:dyDescent="0.25">
      <c r="A715" s="11" t="s">
        <v>1533</v>
      </c>
      <c r="B715" s="8">
        <v>9789500299794</v>
      </c>
      <c r="C715" s="6">
        <v>637754</v>
      </c>
      <c r="D715" s="7">
        <v>32</v>
      </c>
      <c r="E715" s="7" t="s">
        <v>340</v>
      </c>
      <c r="F715" s="11" t="s">
        <v>1534</v>
      </c>
      <c r="G715" s="107">
        <v>43070</v>
      </c>
      <c r="H715" s="108">
        <v>43009</v>
      </c>
      <c r="I715" s="24">
        <v>4120</v>
      </c>
      <c r="J715" s="28" t="s">
        <v>1894</v>
      </c>
      <c r="K715" s="28">
        <v>51.57</v>
      </c>
      <c r="L715" s="28">
        <v>14100</v>
      </c>
      <c r="M715" s="112"/>
      <c r="N715" s="9">
        <f t="shared" si="113"/>
        <v>7050</v>
      </c>
      <c r="O715" s="9">
        <f t="shared" si="114"/>
        <v>6998.43</v>
      </c>
      <c r="P715" s="9">
        <f t="shared" si="115"/>
        <v>51.57</v>
      </c>
      <c r="Q715" s="139">
        <f t="shared" si="116"/>
        <v>0.9926851063829788</v>
      </c>
      <c r="R715" s="395">
        <f>VLOOKUP(C715,'[1]ORIGINAL (2)'!$A:$C,3,FALSE)</f>
        <v>6</v>
      </c>
      <c r="S715" s="24" t="e">
        <f>VLOOKUP(C715,#REF!,6,FALSE)</f>
        <v>#REF!</v>
      </c>
      <c r="T715" s="24" t="e">
        <f>VLOOKUP(C715,#REF!,7,FALSE)</f>
        <v>#REF!</v>
      </c>
      <c r="U715" s="24" t="e">
        <f>VLOOKUP(C715,#REF!,12,FALSE)</f>
        <v>#REF!</v>
      </c>
      <c r="V715" s="24" t="e">
        <f>VLOOKUP(C715,#REF!,13,FALSE)</f>
        <v>#REF!</v>
      </c>
    </row>
    <row r="716" spans="1:22" x14ac:dyDescent="0.25">
      <c r="A716" s="7" t="s">
        <v>1535</v>
      </c>
      <c r="B716" s="8">
        <v>9789500207362</v>
      </c>
      <c r="C716" s="8">
        <v>568266</v>
      </c>
      <c r="D716" s="25">
        <v>48</v>
      </c>
      <c r="E716" s="22" t="s">
        <v>242</v>
      </c>
      <c r="F716" s="6" t="s">
        <v>262</v>
      </c>
      <c r="G716" s="107">
        <v>41518</v>
      </c>
      <c r="H716" s="108">
        <v>41487</v>
      </c>
      <c r="I716" s="24">
        <v>4120</v>
      </c>
      <c r="J716" s="28" t="s">
        <v>1894</v>
      </c>
      <c r="K716" s="28">
        <v>18.97</v>
      </c>
      <c r="L716" s="28">
        <v>14100</v>
      </c>
      <c r="M716" s="112">
        <f>+L716*0.07</f>
        <v>987.00000000000011</v>
      </c>
      <c r="N716" s="9">
        <f t="shared" si="113"/>
        <v>7050</v>
      </c>
      <c r="O716" s="9">
        <f t="shared" si="114"/>
        <v>6044.03</v>
      </c>
      <c r="P716" s="9">
        <f t="shared" si="115"/>
        <v>1005.9700000000001</v>
      </c>
      <c r="Q716" s="139">
        <f t="shared" si="116"/>
        <v>0.857309219858156</v>
      </c>
      <c r="R716" s="395" t="e">
        <f>VLOOKUP(C716,'[1]ORIGINAL (2)'!$A:$C,3,FALSE)</f>
        <v>#N/A</v>
      </c>
      <c r="S716" s="24" t="e">
        <f>VLOOKUP(C716,#REF!,6,FALSE)</f>
        <v>#REF!</v>
      </c>
      <c r="T716" s="24" t="e">
        <f>VLOOKUP(C716,#REF!,7,FALSE)</f>
        <v>#REF!</v>
      </c>
      <c r="U716" s="24" t="e">
        <f>VLOOKUP(C716,#REF!,12,FALSE)</f>
        <v>#REF!</v>
      </c>
      <c r="V716" s="24" t="e">
        <f>VLOOKUP(C716,#REF!,13,FALSE)</f>
        <v>#REF!</v>
      </c>
    </row>
    <row r="717" spans="1:22" x14ac:dyDescent="0.25">
      <c r="A717" s="6" t="s">
        <v>1536</v>
      </c>
      <c r="B717" s="8">
        <v>9789500299992</v>
      </c>
      <c r="C717" s="6">
        <v>643879</v>
      </c>
      <c r="D717" s="7">
        <v>32</v>
      </c>
      <c r="E717" s="7" t="s">
        <v>343</v>
      </c>
      <c r="F717" s="11" t="s">
        <v>344</v>
      </c>
      <c r="G717" s="107">
        <v>43132</v>
      </c>
      <c r="H717" s="108">
        <v>43070</v>
      </c>
      <c r="I717" s="24">
        <v>3080</v>
      </c>
      <c r="J717" s="28" t="s">
        <v>1894</v>
      </c>
      <c r="K717" s="28">
        <v>81.16</v>
      </c>
      <c r="L717" s="28">
        <v>14100</v>
      </c>
      <c r="M717" s="9"/>
      <c r="N717" s="9">
        <f t="shared" si="113"/>
        <v>7050</v>
      </c>
      <c r="O717" s="9">
        <f t="shared" si="114"/>
        <v>6968.84</v>
      </c>
      <c r="P717" s="9">
        <f t="shared" si="115"/>
        <v>81.16</v>
      </c>
      <c r="Q717" s="139">
        <f t="shared" si="116"/>
        <v>0.98848794326241141</v>
      </c>
      <c r="R717" s="395">
        <f>VLOOKUP(C717,'[1]ORIGINAL (2)'!$A:$C,3,FALSE)</f>
        <v>4</v>
      </c>
      <c r="S717" s="24" t="e">
        <f>VLOOKUP(C717,#REF!,6,FALSE)</f>
        <v>#REF!</v>
      </c>
      <c r="T717" s="24" t="e">
        <f>VLOOKUP(C717,#REF!,7,FALSE)</f>
        <v>#REF!</v>
      </c>
      <c r="U717" s="24" t="e">
        <f>VLOOKUP(C717,#REF!,12,FALSE)</f>
        <v>#REF!</v>
      </c>
      <c r="V717" s="24" t="e">
        <f>VLOOKUP(C717,#REF!,13,FALSE)</f>
        <v>#REF!</v>
      </c>
    </row>
    <row r="718" spans="1:22" x14ac:dyDescent="0.25">
      <c r="A718" s="7" t="s">
        <v>1537</v>
      </c>
      <c r="B718" s="8">
        <v>9789500207355</v>
      </c>
      <c r="C718" s="8">
        <v>566240</v>
      </c>
      <c r="D718" s="25">
        <v>40</v>
      </c>
      <c r="E718" s="22" t="s">
        <v>246</v>
      </c>
      <c r="F718" s="6" t="s">
        <v>247</v>
      </c>
      <c r="G718" s="107">
        <v>41456</v>
      </c>
      <c r="H718" s="108">
        <v>41426</v>
      </c>
      <c r="I718" s="24">
        <v>4101</v>
      </c>
      <c r="J718" s="28" t="s">
        <v>1894</v>
      </c>
      <c r="K718" s="28">
        <v>17.350000000000001</v>
      </c>
      <c r="L718" s="28">
        <v>14100</v>
      </c>
      <c r="M718" s="112">
        <f t="shared" ref="M718:M724" si="117">+L718*0.07</f>
        <v>987.00000000000011</v>
      </c>
      <c r="N718" s="9">
        <f t="shared" si="113"/>
        <v>7050</v>
      </c>
      <c r="O718" s="9">
        <f t="shared" si="114"/>
        <v>6045.65</v>
      </c>
      <c r="P718" s="9">
        <f t="shared" si="115"/>
        <v>1004.3500000000001</v>
      </c>
      <c r="Q718" s="139">
        <f t="shared" si="116"/>
        <v>0.85753900709219855</v>
      </c>
      <c r="R718" s="395" t="e">
        <f>VLOOKUP(C718,'[1]ORIGINAL (2)'!$A:$C,3,FALSE)</f>
        <v>#N/A</v>
      </c>
      <c r="S718" s="24" t="e">
        <f>VLOOKUP(C718,#REF!,6,FALSE)</f>
        <v>#REF!</v>
      </c>
      <c r="T718" s="24" t="e">
        <f>VLOOKUP(C718,#REF!,7,FALSE)</f>
        <v>#REF!</v>
      </c>
      <c r="U718" s="24" t="e">
        <f>VLOOKUP(C718,#REF!,12,FALSE)</f>
        <v>#REF!</v>
      </c>
      <c r="V718" s="24" t="e">
        <f>VLOOKUP(C718,#REF!,13,FALSE)</f>
        <v>#REF!</v>
      </c>
    </row>
    <row r="719" spans="1:22" x14ac:dyDescent="0.25">
      <c r="A719" s="6" t="s">
        <v>1538</v>
      </c>
      <c r="B719" s="8">
        <v>9789500208116</v>
      </c>
      <c r="C719" s="8">
        <v>582180</v>
      </c>
      <c r="D719" s="25">
        <v>40</v>
      </c>
      <c r="E719" s="22" t="s">
        <v>251</v>
      </c>
      <c r="F719" s="6" t="s">
        <v>252</v>
      </c>
      <c r="G719" s="107">
        <v>41883</v>
      </c>
      <c r="H719" s="108">
        <v>41852</v>
      </c>
      <c r="I719" s="24">
        <v>4000</v>
      </c>
      <c r="J719" s="28" t="s">
        <v>1894</v>
      </c>
      <c r="K719" s="28">
        <v>21.97</v>
      </c>
      <c r="L719" s="28">
        <v>14100</v>
      </c>
      <c r="M719" s="112">
        <f t="shared" si="117"/>
        <v>987.00000000000011</v>
      </c>
      <c r="N719" s="9">
        <f t="shared" si="113"/>
        <v>7050</v>
      </c>
      <c r="O719" s="9">
        <f t="shared" si="114"/>
        <v>6041.03</v>
      </c>
      <c r="P719" s="9">
        <f t="shared" si="115"/>
        <v>1008.9700000000001</v>
      </c>
      <c r="Q719" s="139">
        <f t="shared" si="116"/>
        <v>0.85688368794326242</v>
      </c>
      <c r="R719" s="395">
        <f>VLOOKUP(C719,'[1]ORIGINAL (2)'!$A:$C,3,FALSE)</f>
        <v>1</v>
      </c>
      <c r="S719" s="24" t="e">
        <f>VLOOKUP(C719,#REF!,6,FALSE)</f>
        <v>#REF!</v>
      </c>
      <c r="T719" s="24" t="e">
        <f>VLOOKUP(C719,#REF!,7,FALSE)</f>
        <v>#REF!</v>
      </c>
      <c r="U719" s="24" t="e">
        <f>VLOOKUP(C719,#REF!,12,FALSE)</f>
        <v>#REF!</v>
      </c>
      <c r="V719" s="24" t="e">
        <f>VLOOKUP(C719,#REF!,13,FALSE)</f>
        <v>#REF!</v>
      </c>
    </row>
    <row r="720" spans="1:22" x14ac:dyDescent="0.25">
      <c r="A720" s="7" t="s">
        <v>1539</v>
      </c>
      <c r="B720" s="8">
        <v>9789500206143</v>
      </c>
      <c r="C720" s="8">
        <v>545080</v>
      </c>
      <c r="D720" s="7">
        <v>48</v>
      </c>
      <c r="E720" s="7" t="s">
        <v>244</v>
      </c>
      <c r="F720" s="7" t="s">
        <v>245</v>
      </c>
      <c r="G720" s="107">
        <v>40969</v>
      </c>
      <c r="H720" s="108">
        <v>42309</v>
      </c>
      <c r="I720" s="24">
        <v>3030</v>
      </c>
      <c r="J720" s="28" t="s">
        <v>1894</v>
      </c>
      <c r="K720" s="28">
        <v>33.54</v>
      </c>
      <c r="L720" s="28">
        <v>14100</v>
      </c>
      <c r="M720" s="112">
        <f t="shared" si="117"/>
        <v>987.00000000000011</v>
      </c>
      <c r="N720" s="9">
        <f t="shared" si="113"/>
        <v>7050</v>
      </c>
      <c r="O720" s="9">
        <f t="shared" si="114"/>
        <v>6029.46</v>
      </c>
      <c r="P720" s="9">
        <f t="shared" si="115"/>
        <v>1020.5400000000001</v>
      </c>
      <c r="Q720" s="139">
        <f t="shared" si="116"/>
        <v>0.85524255319148934</v>
      </c>
      <c r="R720" s="395" t="e">
        <f>VLOOKUP(C720,'[1]ORIGINAL (2)'!$A:$C,3,FALSE)</f>
        <v>#N/A</v>
      </c>
      <c r="S720" s="24" t="e">
        <f>VLOOKUP(C720,#REF!,6,FALSE)</f>
        <v>#REF!</v>
      </c>
      <c r="T720" s="24" t="e">
        <f>VLOOKUP(C720,#REF!,7,FALSE)</f>
        <v>#REF!</v>
      </c>
      <c r="U720" s="24" t="e">
        <f>VLOOKUP(C720,#REF!,12,FALSE)</f>
        <v>#REF!</v>
      </c>
      <c r="V720" s="24" t="e">
        <f>VLOOKUP(C720,#REF!,13,FALSE)</f>
        <v>#REF!</v>
      </c>
    </row>
    <row r="721" spans="1:22" x14ac:dyDescent="0.25">
      <c r="A721" s="6" t="s">
        <v>1540</v>
      </c>
      <c r="B721" s="8">
        <v>9789500207928</v>
      </c>
      <c r="C721" s="8">
        <v>580539</v>
      </c>
      <c r="D721" s="25">
        <v>48</v>
      </c>
      <c r="E721" s="22" t="s">
        <v>242</v>
      </c>
      <c r="F721" s="6" t="s">
        <v>243</v>
      </c>
      <c r="G721" s="107">
        <v>41852</v>
      </c>
      <c r="H721" s="108">
        <v>41821</v>
      </c>
      <c r="I721" s="24">
        <v>4242</v>
      </c>
      <c r="J721" s="28" t="s">
        <v>1894</v>
      </c>
      <c r="K721" s="28">
        <v>23.3</v>
      </c>
      <c r="L721" s="128">
        <v>14100</v>
      </c>
      <c r="M721" s="112">
        <f t="shared" si="117"/>
        <v>987.00000000000011</v>
      </c>
      <c r="N721" s="9">
        <f t="shared" si="113"/>
        <v>7050</v>
      </c>
      <c r="O721" s="9">
        <f t="shared" si="114"/>
        <v>6039.7</v>
      </c>
      <c r="P721" s="9">
        <f t="shared" si="115"/>
        <v>1010.3000000000001</v>
      </c>
      <c r="Q721" s="139">
        <f t="shared" si="116"/>
        <v>0.8566950354609929</v>
      </c>
      <c r="R721" s="395" t="e">
        <f>VLOOKUP(C721,'[1]ORIGINAL (2)'!$A:$C,3,FALSE)</f>
        <v>#N/A</v>
      </c>
      <c r="S721" s="24" t="e">
        <f>VLOOKUP(C721,#REF!,6,FALSE)</f>
        <v>#REF!</v>
      </c>
      <c r="T721" s="24" t="e">
        <f>VLOOKUP(C721,#REF!,7,FALSE)</f>
        <v>#REF!</v>
      </c>
      <c r="U721" s="24" t="e">
        <f>VLOOKUP(C721,#REF!,12,FALSE)</f>
        <v>#REF!</v>
      </c>
      <c r="V721" s="24" t="e">
        <f>VLOOKUP(C721,#REF!,13,FALSE)</f>
        <v>#REF!</v>
      </c>
    </row>
    <row r="722" spans="1:22" x14ac:dyDescent="0.25">
      <c r="A722" s="7" t="s">
        <v>1541</v>
      </c>
      <c r="B722" s="8">
        <v>9789500299008</v>
      </c>
      <c r="C722" s="8">
        <v>684666</v>
      </c>
      <c r="D722" s="25">
        <v>48</v>
      </c>
      <c r="E722" s="7" t="s">
        <v>555</v>
      </c>
      <c r="F722" s="116" t="s">
        <v>556</v>
      </c>
      <c r="G722" s="107">
        <v>44378</v>
      </c>
      <c r="H722" s="108">
        <v>44348</v>
      </c>
      <c r="I722" s="7">
        <v>3000</v>
      </c>
      <c r="J722" s="28" t="s">
        <v>1946</v>
      </c>
      <c r="K722" s="9">
        <v>300.02</v>
      </c>
      <c r="L722" s="112">
        <v>19000</v>
      </c>
      <c r="M722" s="112">
        <f t="shared" si="117"/>
        <v>1330.0000000000002</v>
      </c>
      <c r="N722" s="9">
        <f t="shared" si="113"/>
        <v>9500</v>
      </c>
      <c r="O722" s="9">
        <f t="shared" si="114"/>
        <v>7869.98</v>
      </c>
      <c r="P722" s="9">
        <f t="shared" si="115"/>
        <v>1630.0200000000002</v>
      </c>
      <c r="Q722" s="139">
        <f t="shared" si="116"/>
        <v>0.82841894736842103</v>
      </c>
      <c r="R722" s="395" t="e">
        <f>VLOOKUP(C722,'[1]ORIGINAL (2)'!$A:$C,3,FALSE)</f>
        <v>#N/A</v>
      </c>
      <c r="S722" s="24" t="e">
        <f>VLOOKUP(C722,#REF!,6,FALSE)</f>
        <v>#REF!</v>
      </c>
      <c r="T722" s="24" t="e">
        <f>VLOOKUP(C722,#REF!,7,FALSE)</f>
        <v>#REF!</v>
      </c>
      <c r="U722" s="24" t="e">
        <f>VLOOKUP(C722,#REF!,12,FALSE)</f>
        <v>#REF!</v>
      </c>
      <c r="V722" s="24" t="e">
        <f>VLOOKUP(C722,#REF!,13,FALSE)</f>
        <v>#REF!</v>
      </c>
    </row>
    <row r="723" spans="1:22" x14ac:dyDescent="0.25">
      <c r="A723" s="7" t="s">
        <v>1542</v>
      </c>
      <c r="B723" s="8">
        <v>9789500208192</v>
      </c>
      <c r="C723" s="8">
        <v>584957</v>
      </c>
      <c r="D723" s="7">
        <v>32</v>
      </c>
      <c r="E723" s="7" t="s">
        <v>1543</v>
      </c>
      <c r="F723" s="7" t="s">
        <v>271</v>
      </c>
      <c r="G723" s="107">
        <v>41944</v>
      </c>
      <c r="H723" s="108">
        <v>41913</v>
      </c>
      <c r="I723" s="24">
        <v>4000</v>
      </c>
      <c r="J723" s="28" t="s">
        <v>1894</v>
      </c>
      <c r="K723" s="28">
        <v>34.200000000000003</v>
      </c>
      <c r="L723" s="28">
        <v>14100</v>
      </c>
      <c r="M723" s="112">
        <f t="shared" si="117"/>
        <v>987.00000000000011</v>
      </c>
      <c r="N723" s="9">
        <f t="shared" si="113"/>
        <v>7050</v>
      </c>
      <c r="O723" s="9">
        <f t="shared" si="114"/>
        <v>6028.8</v>
      </c>
      <c r="P723" s="9">
        <f t="shared" si="115"/>
        <v>1021.2000000000002</v>
      </c>
      <c r="Q723" s="139">
        <f t="shared" si="116"/>
        <v>0.85514893617021281</v>
      </c>
      <c r="R723" s="395">
        <f>VLOOKUP(C723,'[1]ORIGINAL (2)'!$A:$C,3,FALSE)</f>
        <v>4</v>
      </c>
      <c r="S723" s="24" t="e">
        <f>VLOOKUP(C723,#REF!,6,FALSE)</f>
        <v>#REF!</v>
      </c>
      <c r="T723" s="24" t="e">
        <f>VLOOKUP(C723,#REF!,7,FALSE)</f>
        <v>#REF!</v>
      </c>
      <c r="U723" s="24" t="e">
        <f>VLOOKUP(C723,#REF!,12,FALSE)</f>
        <v>#REF!</v>
      </c>
      <c r="V723" s="24" t="e">
        <f>VLOOKUP(C723,#REF!,13,FALSE)</f>
        <v>#REF!</v>
      </c>
    </row>
    <row r="724" spans="1:22" x14ac:dyDescent="0.25">
      <c r="A724" s="6" t="s">
        <v>1544</v>
      </c>
      <c r="B724" s="8">
        <v>9789500208796</v>
      </c>
      <c r="C724" s="8">
        <v>595692</v>
      </c>
      <c r="D724" s="25">
        <v>40</v>
      </c>
      <c r="E724" s="22" t="s">
        <v>1545</v>
      </c>
      <c r="F724" s="6" t="s">
        <v>260</v>
      </c>
      <c r="G724" s="107">
        <v>42248</v>
      </c>
      <c r="H724" s="108">
        <v>42217</v>
      </c>
      <c r="I724" s="24">
        <v>3111</v>
      </c>
      <c r="J724" s="28" t="s">
        <v>1894</v>
      </c>
      <c r="K724" s="28">
        <v>35.96</v>
      </c>
      <c r="L724" s="128">
        <v>14100</v>
      </c>
      <c r="M724" s="112">
        <f t="shared" si="117"/>
        <v>987.00000000000011</v>
      </c>
      <c r="N724" s="9">
        <f t="shared" si="113"/>
        <v>7050</v>
      </c>
      <c r="O724" s="9">
        <f t="shared" si="114"/>
        <v>6027.04</v>
      </c>
      <c r="P724" s="9">
        <f t="shared" si="115"/>
        <v>1022.9600000000002</v>
      </c>
      <c r="Q724" s="139">
        <f t="shared" si="116"/>
        <v>0.85489929078014182</v>
      </c>
      <c r="R724" s="395">
        <f>VLOOKUP(C724,'[1]ORIGINAL (2)'!$A:$C,3,FALSE)</f>
        <v>1</v>
      </c>
      <c r="S724" s="24" t="e">
        <f>VLOOKUP(C724,#REF!,6,FALSE)</f>
        <v>#REF!</v>
      </c>
      <c r="T724" s="24" t="e">
        <f>VLOOKUP(C724,#REF!,7,FALSE)</f>
        <v>#REF!</v>
      </c>
      <c r="U724" s="24" t="e">
        <f>VLOOKUP(C724,#REF!,12,FALSE)</f>
        <v>#REF!</v>
      </c>
      <c r="V724" s="24" t="e">
        <f>VLOOKUP(C724,#REF!,13,FALSE)</f>
        <v>#REF!</v>
      </c>
    </row>
    <row r="725" spans="1:22" x14ac:dyDescent="0.25">
      <c r="A725" s="7" t="s">
        <v>1546</v>
      </c>
      <c r="B725" s="8">
        <v>9789500208291</v>
      </c>
      <c r="C725" s="8">
        <v>586577</v>
      </c>
      <c r="D725" s="7">
        <v>40</v>
      </c>
      <c r="E725" s="7" t="s">
        <v>273</v>
      </c>
      <c r="F725" s="7" t="s">
        <v>2145</v>
      </c>
      <c r="G725" s="107">
        <v>41974</v>
      </c>
      <c r="H725" s="108">
        <v>45231</v>
      </c>
      <c r="I725" s="24">
        <v>5145</v>
      </c>
      <c r="J725" s="28" t="s">
        <v>1333</v>
      </c>
      <c r="K725" s="384">
        <v>1556.59</v>
      </c>
      <c r="L725" s="128">
        <v>24900</v>
      </c>
      <c r="M725" s="112">
        <f>+L725*0.08</f>
        <v>1992</v>
      </c>
      <c r="N725" s="9">
        <f t="shared" si="113"/>
        <v>12450</v>
      </c>
      <c r="O725" s="9">
        <f t="shared" si="114"/>
        <v>8901.41</v>
      </c>
      <c r="P725" s="9">
        <f t="shared" si="115"/>
        <v>3548.59</v>
      </c>
      <c r="Q725" s="139">
        <f t="shared" si="116"/>
        <v>0.71497269076305214</v>
      </c>
      <c r="R725" s="395">
        <f>VLOOKUP(C725,'[1]ORIGINAL (2)'!$A:$C,3,FALSE)</f>
        <v>157</v>
      </c>
      <c r="S725" s="24" t="e">
        <f>VLOOKUP(C725,#REF!,6,FALSE)</f>
        <v>#REF!</v>
      </c>
      <c r="T725" s="24" t="e">
        <f>VLOOKUP(C725,#REF!,7,FALSE)</f>
        <v>#REF!</v>
      </c>
      <c r="U725" s="24" t="e">
        <f>VLOOKUP(C725,#REF!,12,FALSE)</f>
        <v>#REF!</v>
      </c>
      <c r="V725" s="24" t="e">
        <f>VLOOKUP(C725,#REF!,13,FALSE)</f>
        <v>#REF!</v>
      </c>
    </row>
    <row r="726" spans="1:22" x14ac:dyDescent="0.25">
      <c r="A726" s="6" t="s">
        <v>1547</v>
      </c>
      <c r="B726" s="8">
        <v>9789500299565</v>
      </c>
      <c r="C726" s="6">
        <v>652579</v>
      </c>
      <c r="D726" s="7">
        <v>48</v>
      </c>
      <c r="E726" s="9" t="s">
        <v>393</v>
      </c>
      <c r="F726" s="7" t="s">
        <v>394</v>
      </c>
      <c r="G726" s="107">
        <v>43313</v>
      </c>
      <c r="H726" s="108">
        <v>43282</v>
      </c>
      <c r="I726" s="24">
        <v>2530</v>
      </c>
      <c r="J726" s="28" t="s">
        <v>1894</v>
      </c>
      <c r="K726" s="28">
        <v>86.12</v>
      </c>
      <c r="L726" s="128">
        <v>14100</v>
      </c>
      <c r="M726" s="112">
        <f>+L726*0.07</f>
        <v>987.00000000000011</v>
      </c>
      <c r="N726" s="9">
        <f t="shared" si="113"/>
        <v>7050</v>
      </c>
      <c r="O726" s="9">
        <f t="shared" si="114"/>
        <v>5976.88</v>
      </c>
      <c r="P726" s="9">
        <f t="shared" si="115"/>
        <v>1073.1200000000001</v>
      </c>
      <c r="Q726" s="139">
        <f t="shared" si="116"/>
        <v>0.8477843971631206</v>
      </c>
      <c r="R726" s="395" t="e">
        <f>VLOOKUP(C726,'[1]ORIGINAL (2)'!$A:$C,3,FALSE)</f>
        <v>#N/A</v>
      </c>
      <c r="S726" s="24" t="e">
        <f>VLOOKUP(C726,#REF!,6,FALSE)</f>
        <v>#REF!</v>
      </c>
      <c r="T726" s="24" t="e">
        <f>VLOOKUP(C726,#REF!,7,FALSE)</f>
        <v>#REF!</v>
      </c>
      <c r="U726" s="24" t="e">
        <f>VLOOKUP(C726,#REF!,12,FALSE)</f>
        <v>#REF!</v>
      </c>
      <c r="V726" s="24" t="e">
        <f>VLOOKUP(C726,#REF!,13,FALSE)</f>
        <v>#REF!</v>
      </c>
    </row>
    <row r="727" spans="1:22" x14ac:dyDescent="0.25">
      <c r="A727" s="6" t="s">
        <v>1548</v>
      </c>
      <c r="B727" s="8">
        <v>9789500208802</v>
      </c>
      <c r="C727" s="8">
        <v>594412</v>
      </c>
      <c r="D727" s="25">
        <v>40</v>
      </c>
      <c r="E727" s="22" t="s">
        <v>1549</v>
      </c>
      <c r="F727" s="6" t="s">
        <v>258</v>
      </c>
      <c r="G727" s="107">
        <v>42217</v>
      </c>
      <c r="H727" s="108">
        <v>42186</v>
      </c>
      <c r="I727" s="24">
        <v>4130</v>
      </c>
      <c r="J727" s="28" t="s">
        <v>1894</v>
      </c>
      <c r="K727" s="28">
        <v>30.77</v>
      </c>
      <c r="L727" s="128">
        <v>14100</v>
      </c>
      <c r="M727" s="112">
        <f>+L727*0.07</f>
        <v>987.00000000000011</v>
      </c>
      <c r="N727" s="9">
        <f t="shared" si="113"/>
        <v>7050</v>
      </c>
      <c r="O727" s="9">
        <f t="shared" si="114"/>
        <v>6032.23</v>
      </c>
      <c r="P727" s="9">
        <f t="shared" si="115"/>
        <v>1017.7700000000001</v>
      </c>
      <c r="Q727" s="139">
        <f t="shared" si="116"/>
        <v>0.85563546099290777</v>
      </c>
      <c r="R727" s="395">
        <f>VLOOKUP(C727,'[1]ORIGINAL (2)'!$A:$C,3,FALSE)</f>
        <v>1</v>
      </c>
      <c r="S727" s="24" t="e">
        <f>VLOOKUP(C727,#REF!,6,FALSE)</f>
        <v>#REF!</v>
      </c>
      <c r="T727" s="24" t="e">
        <f>VLOOKUP(C727,#REF!,7,FALSE)</f>
        <v>#REF!</v>
      </c>
      <c r="U727" s="24" t="e">
        <f>VLOOKUP(C727,#REF!,12,FALSE)</f>
        <v>#REF!</v>
      </c>
      <c r="V727" s="24" t="e">
        <f>VLOOKUP(C727,#REF!,13,FALSE)</f>
        <v>#REF!</v>
      </c>
    </row>
    <row r="728" spans="1:22" x14ac:dyDescent="0.25">
      <c r="A728" s="6" t="s">
        <v>1550</v>
      </c>
      <c r="B728" s="8">
        <v>9789500208376</v>
      </c>
      <c r="C728" s="8">
        <v>589999</v>
      </c>
      <c r="D728" s="25">
        <v>48</v>
      </c>
      <c r="E728" s="22" t="s">
        <v>1551</v>
      </c>
      <c r="F728" s="6" t="s">
        <v>250</v>
      </c>
      <c r="G728" s="107">
        <v>42095</v>
      </c>
      <c r="H728" s="108">
        <v>42036</v>
      </c>
      <c r="I728" s="24">
        <v>4000</v>
      </c>
      <c r="J728" s="28" t="s">
        <v>1894</v>
      </c>
      <c r="K728" s="28">
        <v>28.4</v>
      </c>
      <c r="L728" s="128">
        <v>14100</v>
      </c>
      <c r="M728" s="112">
        <f>+L728*0.07</f>
        <v>987.00000000000011</v>
      </c>
      <c r="N728" s="9">
        <f t="shared" si="113"/>
        <v>7050</v>
      </c>
      <c r="O728" s="9">
        <f t="shared" si="114"/>
        <v>6034.6</v>
      </c>
      <c r="P728" s="9">
        <f t="shared" si="115"/>
        <v>1015.4000000000001</v>
      </c>
      <c r="Q728" s="139">
        <f t="shared" si="116"/>
        <v>0.85597163120567377</v>
      </c>
      <c r="R728" s="395" t="e">
        <f>VLOOKUP(C728,'[1]ORIGINAL (2)'!$A:$C,3,FALSE)</f>
        <v>#N/A</v>
      </c>
      <c r="S728" s="24" t="e">
        <f>VLOOKUP(C728,#REF!,6,FALSE)</f>
        <v>#REF!</v>
      </c>
      <c r="T728" s="24" t="e">
        <f>VLOOKUP(C728,#REF!,7,FALSE)</f>
        <v>#REF!</v>
      </c>
      <c r="U728" s="24" t="e">
        <f>VLOOKUP(C728,#REF!,12,FALSE)</f>
        <v>#REF!</v>
      </c>
      <c r="V728" s="24" t="e">
        <f>VLOOKUP(C728,#REF!,13,FALSE)</f>
        <v>#REF!</v>
      </c>
    </row>
    <row r="729" spans="1:22" x14ac:dyDescent="0.25">
      <c r="A729" s="6" t="s">
        <v>1552</v>
      </c>
      <c r="B729" s="8">
        <v>9789500208208</v>
      </c>
      <c r="C729" s="8">
        <v>584958</v>
      </c>
      <c r="D729" s="25">
        <v>40</v>
      </c>
      <c r="E729" s="22" t="s">
        <v>1553</v>
      </c>
      <c r="F729" s="6" t="s">
        <v>259</v>
      </c>
      <c r="G729" s="107">
        <v>41944</v>
      </c>
      <c r="H729" s="108">
        <v>41913</v>
      </c>
      <c r="I729" s="24">
        <v>4000</v>
      </c>
      <c r="J729" s="28" t="s">
        <v>1894</v>
      </c>
      <c r="K729" s="28">
        <v>23.6</v>
      </c>
      <c r="L729" s="128">
        <v>14100</v>
      </c>
      <c r="M729" s="112">
        <f>+L729*0.07</f>
        <v>987.00000000000011</v>
      </c>
      <c r="N729" s="9">
        <f t="shared" si="113"/>
        <v>7050</v>
      </c>
      <c r="O729" s="9">
        <f t="shared" si="114"/>
        <v>6039.4</v>
      </c>
      <c r="P729" s="9">
        <f t="shared" si="115"/>
        <v>1010.6000000000001</v>
      </c>
      <c r="Q729" s="139">
        <f t="shared" si="116"/>
        <v>0.85665248226950352</v>
      </c>
      <c r="R729" s="395" t="e">
        <f>VLOOKUP(C729,'[1]ORIGINAL (2)'!$A:$C,3,FALSE)</f>
        <v>#N/A</v>
      </c>
      <c r="S729" s="24" t="e">
        <f>VLOOKUP(C729,#REF!,6,FALSE)</f>
        <v>#REF!</v>
      </c>
      <c r="T729" s="24" t="e">
        <f>VLOOKUP(C729,#REF!,7,FALSE)</f>
        <v>#REF!</v>
      </c>
      <c r="U729" s="24" t="e">
        <f>VLOOKUP(C729,#REF!,12,FALSE)</f>
        <v>#REF!</v>
      </c>
      <c r="V729" s="24" t="e">
        <f>VLOOKUP(C729,#REF!,13,FALSE)</f>
        <v>#REF!</v>
      </c>
    </row>
    <row r="730" spans="1:22" x14ac:dyDescent="0.25">
      <c r="A730" s="6" t="s">
        <v>1554</v>
      </c>
      <c r="B730" s="8">
        <v>9789500298803</v>
      </c>
      <c r="C730" s="8">
        <v>617597</v>
      </c>
      <c r="D730" s="7">
        <v>48</v>
      </c>
      <c r="E730" s="11" t="s">
        <v>284</v>
      </c>
      <c r="F730" s="11" t="s">
        <v>5</v>
      </c>
      <c r="G730" s="107">
        <v>42583</v>
      </c>
      <c r="H730" s="108">
        <v>42552</v>
      </c>
      <c r="I730" s="24">
        <v>3046</v>
      </c>
      <c r="J730" s="28" t="s">
        <v>1894</v>
      </c>
      <c r="K730" s="28">
        <v>41.99</v>
      </c>
      <c r="L730" s="128">
        <v>14100</v>
      </c>
      <c r="M730" s="112">
        <f>+L730*0.08</f>
        <v>1128</v>
      </c>
      <c r="N730" s="9">
        <f t="shared" si="113"/>
        <v>7050</v>
      </c>
      <c r="O730" s="9">
        <f t="shared" si="114"/>
        <v>5880.01</v>
      </c>
      <c r="P730" s="9">
        <f t="shared" si="115"/>
        <v>1169.99</v>
      </c>
      <c r="Q730" s="139">
        <f t="shared" si="116"/>
        <v>0.83404397163120569</v>
      </c>
      <c r="R730" s="395" t="e">
        <f>VLOOKUP(C730,'[1]ORIGINAL (2)'!$A:$C,3,FALSE)</f>
        <v>#N/A</v>
      </c>
      <c r="S730" s="24" t="e">
        <f>VLOOKUP(C730,#REF!,6,FALSE)</f>
        <v>#REF!</v>
      </c>
      <c r="T730" s="24" t="e">
        <f>VLOOKUP(C730,#REF!,7,FALSE)</f>
        <v>#REF!</v>
      </c>
      <c r="U730" s="24" t="e">
        <f>VLOOKUP(C730,#REF!,12,FALSE)</f>
        <v>#REF!</v>
      </c>
      <c r="V730" s="24" t="e">
        <f>VLOOKUP(C730,#REF!,13,FALSE)</f>
        <v>#REF!</v>
      </c>
    </row>
    <row r="731" spans="1:22" x14ac:dyDescent="0.25">
      <c r="A731" s="6" t="s">
        <v>1555</v>
      </c>
      <c r="B731" s="8">
        <v>9789500299138</v>
      </c>
      <c r="C731" s="8">
        <v>620184</v>
      </c>
      <c r="D731" s="7">
        <v>40</v>
      </c>
      <c r="E731" s="7" t="s">
        <v>285</v>
      </c>
      <c r="F731" s="7" t="s">
        <v>1556</v>
      </c>
      <c r="G731" s="107">
        <v>42644</v>
      </c>
      <c r="H731" s="108">
        <v>42614</v>
      </c>
      <c r="I731" s="24">
        <v>3030</v>
      </c>
      <c r="J731" s="28" t="s">
        <v>1894</v>
      </c>
      <c r="K731" s="28">
        <v>61.24</v>
      </c>
      <c r="L731" s="128">
        <v>14100</v>
      </c>
      <c r="M731" s="112">
        <f>+L731*0.08</f>
        <v>1128</v>
      </c>
      <c r="N731" s="9">
        <f t="shared" si="113"/>
        <v>7050</v>
      </c>
      <c r="O731" s="9">
        <f t="shared" si="114"/>
        <v>5860.76</v>
      </c>
      <c r="P731" s="9">
        <f t="shared" si="115"/>
        <v>1189.24</v>
      </c>
      <c r="Q731" s="139">
        <f t="shared" si="116"/>
        <v>0.83131347517730503</v>
      </c>
      <c r="R731" s="395" t="e">
        <f>VLOOKUP(C731,'[1]ORIGINAL (2)'!$A:$C,3,FALSE)</f>
        <v>#N/A</v>
      </c>
      <c r="S731" s="24" t="e">
        <f>VLOOKUP(C731,#REF!,6,FALSE)</f>
        <v>#REF!</v>
      </c>
      <c r="T731" s="24" t="e">
        <f>VLOOKUP(C731,#REF!,7,FALSE)</f>
        <v>#REF!</v>
      </c>
      <c r="U731" s="24" t="e">
        <f>VLOOKUP(C731,#REF!,12,FALSE)</f>
        <v>#REF!</v>
      </c>
      <c r="V731" s="24" t="e">
        <f>VLOOKUP(C731,#REF!,13,FALSE)</f>
        <v>#REF!</v>
      </c>
    </row>
    <row r="732" spans="1:22" x14ac:dyDescent="0.25">
      <c r="A732" s="7" t="s">
        <v>1557</v>
      </c>
      <c r="B732" s="8">
        <v>9789500209885</v>
      </c>
      <c r="C732" s="6">
        <v>664751</v>
      </c>
      <c r="D732" s="7">
        <v>80</v>
      </c>
      <c r="E732" s="22" t="s">
        <v>443</v>
      </c>
      <c r="F732" s="15" t="s">
        <v>444</v>
      </c>
      <c r="G732" s="107">
        <v>43617</v>
      </c>
      <c r="H732" s="108">
        <v>43586</v>
      </c>
      <c r="I732" s="24">
        <v>3150</v>
      </c>
      <c r="J732" s="28" t="s">
        <v>1946</v>
      </c>
      <c r="K732" s="28">
        <v>200.61</v>
      </c>
      <c r="L732" s="128">
        <v>21000</v>
      </c>
      <c r="M732" s="112"/>
      <c r="N732" s="9">
        <f t="shared" si="113"/>
        <v>10500</v>
      </c>
      <c r="O732" s="9">
        <f t="shared" si="114"/>
        <v>10299.39</v>
      </c>
      <c r="P732" s="9">
        <f t="shared" si="115"/>
        <v>200.61</v>
      </c>
      <c r="Q732" s="139">
        <f t="shared" si="116"/>
        <v>0.98089428571428561</v>
      </c>
      <c r="R732" s="395" t="e">
        <f>VLOOKUP(C732,'[1]ORIGINAL (2)'!$A:$C,3,FALSE)</f>
        <v>#N/A</v>
      </c>
      <c r="S732" s="24" t="e">
        <f>VLOOKUP(C732,#REF!,6,FALSE)</f>
        <v>#REF!</v>
      </c>
      <c r="T732" s="24" t="e">
        <f>VLOOKUP(C732,#REF!,7,FALSE)</f>
        <v>#REF!</v>
      </c>
      <c r="U732" s="24" t="e">
        <f>VLOOKUP(C732,#REF!,12,FALSE)</f>
        <v>#REF!</v>
      </c>
      <c r="V732" s="24" t="e">
        <f>VLOOKUP(C732,#REF!,13,FALSE)</f>
        <v>#REF!</v>
      </c>
    </row>
    <row r="733" spans="1:22" x14ac:dyDescent="0.25">
      <c r="A733" s="11" t="s">
        <v>1558</v>
      </c>
      <c r="B733" s="13">
        <v>9789500209731</v>
      </c>
      <c r="C733" s="6">
        <v>656692</v>
      </c>
      <c r="D733" s="7">
        <v>80</v>
      </c>
      <c r="E733" s="6" t="s">
        <v>423</v>
      </c>
      <c r="F733" s="7" t="s">
        <v>1559</v>
      </c>
      <c r="G733" s="107">
        <v>43435</v>
      </c>
      <c r="H733" s="108">
        <v>43405</v>
      </c>
      <c r="I733" s="24">
        <v>3150</v>
      </c>
      <c r="J733" s="28" t="s">
        <v>1946</v>
      </c>
      <c r="K733" s="28">
        <v>178.34</v>
      </c>
      <c r="L733" s="128">
        <v>21000</v>
      </c>
      <c r="M733" s="112"/>
      <c r="N733" s="9">
        <f t="shared" si="113"/>
        <v>10500</v>
      </c>
      <c r="O733" s="9">
        <f t="shared" si="114"/>
        <v>10321.66</v>
      </c>
      <c r="P733" s="9">
        <f t="shared" si="115"/>
        <v>178.34</v>
      </c>
      <c r="Q733" s="139">
        <f t="shared" si="116"/>
        <v>0.98301523809523805</v>
      </c>
      <c r="R733" s="395" t="e">
        <f>VLOOKUP(C733,'[1]ORIGINAL (2)'!$A:$C,3,FALSE)</f>
        <v>#N/A</v>
      </c>
      <c r="S733" s="24" t="e">
        <f>VLOOKUP(C733,#REF!,6,FALSE)</f>
        <v>#REF!</v>
      </c>
      <c r="T733" s="24" t="e">
        <f>VLOOKUP(C733,#REF!,7,FALSE)</f>
        <v>#REF!</v>
      </c>
      <c r="U733" s="24" t="e">
        <f>VLOOKUP(C733,#REF!,12,FALSE)</f>
        <v>#REF!</v>
      </c>
      <c r="V733" s="24" t="e">
        <f>VLOOKUP(C733,#REF!,13,FALSE)</f>
        <v>#REF!</v>
      </c>
    </row>
    <row r="734" spans="1:22" x14ac:dyDescent="0.25">
      <c r="A734" s="11" t="s">
        <v>1560</v>
      </c>
      <c r="B734" s="13">
        <v>9789500209724</v>
      </c>
      <c r="C734" s="6">
        <v>656690</v>
      </c>
      <c r="D734" s="7">
        <v>40</v>
      </c>
      <c r="E734" s="8" t="s">
        <v>416</v>
      </c>
      <c r="F734" s="7" t="s">
        <v>1561</v>
      </c>
      <c r="G734" s="107">
        <v>43405</v>
      </c>
      <c r="H734" s="108">
        <v>43374</v>
      </c>
      <c r="I734" s="24">
        <v>3150</v>
      </c>
      <c r="J734" s="28" t="s">
        <v>1946</v>
      </c>
      <c r="K734" s="28">
        <v>223.13</v>
      </c>
      <c r="L734" s="128">
        <v>26300</v>
      </c>
      <c r="M734" s="112"/>
      <c r="N734" s="9">
        <f t="shared" si="113"/>
        <v>13150</v>
      </c>
      <c r="O734" s="9">
        <f t="shared" si="114"/>
        <v>12926.87</v>
      </c>
      <c r="P734" s="9">
        <f t="shared" si="115"/>
        <v>223.13</v>
      </c>
      <c r="Q734" s="139">
        <f t="shared" si="116"/>
        <v>0.98303193916349818</v>
      </c>
      <c r="R734" s="395" t="e">
        <f>VLOOKUP(C734,'[1]ORIGINAL (2)'!$A:$C,3,FALSE)</f>
        <v>#N/A</v>
      </c>
      <c r="S734" s="24" t="e">
        <f>VLOOKUP(C734,#REF!,6,FALSE)</f>
        <v>#REF!</v>
      </c>
      <c r="T734" s="24" t="e">
        <f>VLOOKUP(C734,#REF!,7,FALSE)</f>
        <v>#REF!</v>
      </c>
      <c r="U734" s="24" t="e">
        <f>VLOOKUP(C734,#REF!,12,FALSE)</f>
        <v>#REF!</v>
      </c>
      <c r="V734" s="24" t="e">
        <f>VLOOKUP(C734,#REF!,13,FALSE)</f>
        <v>#REF!</v>
      </c>
    </row>
    <row r="735" spans="1:22" x14ac:dyDescent="0.25">
      <c r="A735" s="7" t="s">
        <v>1562</v>
      </c>
      <c r="B735" s="25">
        <v>9789500209946</v>
      </c>
      <c r="C735" s="6">
        <v>665878</v>
      </c>
      <c r="D735" s="7">
        <v>80</v>
      </c>
      <c r="E735" s="8" t="s">
        <v>447</v>
      </c>
      <c r="F735" s="7" t="s">
        <v>1563</v>
      </c>
      <c r="G735" s="107">
        <v>43647</v>
      </c>
      <c r="H735" s="108">
        <v>43617</v>
      </c>
      <c r="I735" s="24">
        <v>3150</v>
      </c>
      <c r="J735" s="28" t="s">
        <v>1946</v>
      </c>
      <c r="K735" s="28">
        <v>235.78</v>
      </c>
      <c r="L735" s="128">
        <v>26300</v>
      </c>
      <c r="M735" s="9"/>
      <c r="N735" s="9">
        <f t="shared" si="113"/>
        <v>13150</v>
      </c>
      <c r="O735" s="9">
        <f t="shared" si="114"/>
        <v>12914.22</v>
      </c>
      <c r="P735" s="9">
        <f t="shared" si="115"/>
        <v>235.78</v>
      </c>
      <c r="Q735" s="139">
        <f t="shared" si="116"/>
        <v>0.98206996197718621</v>
      </c>
      <c r="R735" s="395" t="e">
        <f>VLOOKUP(C735,'[1]ORIGINAL (2)'!$A:$C,3,FALSE)</f>
        <v>#N/A</v>
      </c>
      <c r="S735" s="24" t="e">
        <f>VLOOKUP(C735,#REF!,6,FALSE)</f>
        <v>#REF!</v>
      </c>
      <c r="T735" s="24" t="e">
        <f>VLOOKUP(C735,#REF!,7,FALSE)</f>
        <v>#REF!</v>
      </c>
      <c r="U735" s="24" t="e">
        <f>VLOOKUP(C735,#REF!,12,FALSE)</f>
        <v>#REF!</v>
      </c>
      <c r="V735" s="24" t="e">
        <f>VLOOKUP(C735,#REF!,13,FALSE)</f>
        <v>#REF!</v>
      </c>
    </row>
    <row r="736" spans="1:22" x14ac:dyDescent="0.25">
      <c r="A736" s="6" t="s">
        <v>1564</v>
      </c>
      <c r="B736" s="8">
        <v>9789500299077</v>
      </c>
      <c r="C736" s="8">
        <v>618706</v>
      </c>
      <c r="D736" s="7">
        <v>52</v>
      </c>
      <c r="E736" s="11" t="s">
        <v>276</v>
      </c>
      <c r="F736" s="11" t="s">
        <v>277</v>
      </c>
      <c r="G736" s="107">
        <v>42614</v>
      </c>
      <c r="H736" s="108">
        <v>42583</v>
      </c>
      <c r="I736" s="24">
        <v>3078</v>
      </c>
      <c r="J736" s="28" t="s">
        <v>1894</v>
      </c>
      <c r="K736" s="28">
        <v>58.01</v>
      </c>
      <c r="L736" s="128">
        <v>14100</v>
      </c>
      <c r="M736" s="112">
        <f>+L736*0.07</f>
        <v>987.00000000000011</v>
      </c>
      <c r="N736" s="9">
        <f t="shared" si="113"/>
        <v>7050</v>
      </c>
      <c r="O736" s="9">
        <f t="shared" si="114"/>
        <v>6004.99</v>
      </c>
      <c r="P736" s="9">
        <f t="shared" si="115"/>
        <v>1045.0100000000002</v>
      </c>
      <c r="Q736" s="139">
        <f t="shared" si="116"/>
        <v>0.85177163120567367</v>
      </c>
      <c r="R736" s="395" t="e">
        <f>VLOOKUP(C736,'[1]ORIGINAL (2)'!$A:$C,3,FALSE)</f>
        <v>#N/A</v>
      </c>
      <c r="S736" s="24" t="e">
        <f>VLOOKUP(C736,#REF!,6,FALSE)</f>
        <v>#REF!</v>
      </c>
      <c r="T736" s="24" t="e">
        <f>VLOOKUP(C736,#REF!,7,FALSE)</f>
        <v>#REF!</v>
      </c>
      <c r="U736" s="24" t="e">
        <f>VLOOKUP(C736,#REF!,12,FALSE)</f>
        <v>#REF!</v>
      </c>
      <c r="V736" s="24" t="e">
        <f>VLOOKUP(C736,#REF!,13,FALSE)</f>
        <v>#REF!</v>
      </c>
    </row>
    <row r="737" spans="1:22" x14ac:dyDescent="0.25">
      <c r="A737" s="6" t="s">
        <v>1565</v>
      </c>
      <c r="B737" s="8">
        <v>9789500208840</v>
      </c>
      <c r="C737" s="8">
        <v>610473</v>
      </c>
      <c r="D737" s="7">
        <v>40</v>
      </c>
      <c r="E737" s="6" t="s">
        <v>263</v>
      </c>
      <c r="F737" s="6" t="s">
        <v>264</v>
      </c>
      <c r="G737" s="107">
        <v>42461</v>
      </c>
      <c r="H737" s="108">
        <v>42430</v>
      </c>
      <c r="I737" s="24">
        <v>3060</v>
      </c>
      <c r="J737" s="28" t="s">
        <v>1894</v>
      </c>
      <c r="K737" s="28">
        <v>50.23</v>
      </c>
      <c r="L737" s="128">
        <v>14100</v>
      </c>
      <c r="M737" s="112">
        <f>+L737*0.08</f>
        <v>1128</v>
      </c>
      <c r="N737" s="9">
        <f t="shared" si="113"/>
        <v>7050</v>
      </c>
      <c r="O737" s="9">
        <f t="shared" si="114"/>
        <v>5871.77</v>
      </c>
      <c r="P737" s="9">
        <f t="shared" si="115"/>
        <v>1178.23</v>
      </c>
      <c r="Q737" s="139">
        <f t="shared" si="116"/>
        <v>0.83287517730496463</v>
      </c>
      <c r="R737" s="395">
        <f>VLOOKUP(C737,'[1]ORIGINAL (2)'!$A:$C,3,FALSE)</f>
        <v>2</v>
      </c>
      <c r="S737" s="24" t="e">
        <f>VLOOKUP(C737,#REF!,6,FALSE)</f>
        <v>#REF!</v>
      </c>
      <c r="T737" s="24" t="e">
        <f>VLOOKUP(C737,#REF!,7,FALSE)</f>
        <v>#REF!</v>
      </c>
      <c r="U737" s="24" t="e">
        <f>VLOOKUP(C737,#REF!,12,FALSE)</f>
        <v>#REF!</v>
      </c>
      <c r="V737" s="24" t="e">
        <f>VLOOKUP(C737,#REF!,13,FALSE)</f>
        <v>#REF!</v>
      </c>
    </row>
    <row r="738" spans="1:22" x14ac:dyDescent="0.25">
      <c r="A738" s="7" t="s">
        <v>1566</v>
      </c>
      <c r="B738" s="8">
        <v>9789500210249</v>
      </c>
      <c r="C738" s="13">
        <v>673646</v>
      </c>
      <c r="D738" s="25">
        <v>40</v>
      </c>
      <c r="E738" s="9" t="s">
        <v>464</v>
      </c>
      <c r="F738" s="7" t="s">
        <v>481</v>
      </c>
      <c r="G738" s="107">
        <v>43862</v>
      </c>
      <c r="H738" s="108">
        <v>43862</v>
      </c>
      <c r="I738" s="24">
        <v>2000</v>
      </c>
      <c r="J738" s="28" t="s">
        <v>1333</v>
      </c>
      <c r="K738" s="9">
        <v>142.87</v>
      </c>
      <c r="L738" s="128">
        <v>19900</v>
      </c>
      <c r="M738" s="112">
        <f>+L738*0.1</f>
        <v>1990</v>
      </c>
      <c r="N738" s="9">
        <f t="shared" si="113"/>
        <v>9950</v>
      </c>
      <c r="O738" s="9">
        <f t="shared" si="114"/>
        <v>7817.13</v>
      </c>
      <c r="P738" s="9">
        <f t="shared" si="115"/>
        <v>2132.87</v>
      </c>
      <c r="Q738" s="139">
        <f t="shared" si="116"/>
        <v>0.78564120603015075</v>
      </c>
      <c r="R738" s="395">
        <f>VLOOKUP(C738,'[1]ORIGINAL (2)'!$A:$C,3,FALSE)</f>
        <v>13</v>
      </c>
      <c r="S738" s="24" t="e">
        <f>VLOOKUP(C738,#REF!,6,FALSE)</f>
        <v>#REF!</v>
      </c>
      <c r="T738" s="24" t="e">
        <f>VLOOKUP(C738,#REF!,7,FALSE)</f>
        <v>#REF!</v>
      </c>
      <c r="U738" s="24" t="e">
        <f>VLOOKUP(C738,#REF!,12,FALSE)</f>
        <v>#REF!</v>
      </c>
      <c r="V738" s="24" t="e">
        <f>VLOOKUP(C738,#REF!,13,FALSE)</f>
        <v>#REF!</v>
      </c>
    </row>
    <row r="739" spans="1:22" x14ac:dyDescent="0.25">
      <c r="A739" s="6" t="s">
        <v>1567</v>
      </c>
      <c r="B739" s="8">
        <v>9789500298704</v>
      </c>
      <c r="C739" s="8">
        <v>617595</v>
      </c>
      <c r="D739" s="7">
        <v>32</v>
      </c>
      <c r="E739" s="11" t="s">
        <v>275</v>
      </c>
      <c r="F739" s="11" t="s">
        <v>1568</v>
      </c>
      <c r="G739" s="107">
        <v>42583</v>
      </c>
      <c r="H739" s="108">
        <v>42552</v>
      </c>
      <c r="I739" s="24">
        <v>3021</v>
      </c>
      <c r="J739" s="28" t="s">
        <v>1894</v>
      </c>
      <c r="K739" s="28">
        <v>44.07</v>
      </c>
      <c r="L739" s="128">
        <v>14100</v>
      </c>
      <c r="M739" s="112">
        <f>+L739*0.07</f>
        <v>987.00000000000011</v>
      </c>
      <c r="N739" s="9">
        <f t="shared" si="113"/>
        <v>7050</v>
      </c>
      <c r="O739" s="9">
        <f t="shared" si="114"/>
        <v>6018.93</v>
      </c>
      <c r="P739" s="9">
        <f t="shared" si="115"/>
        <v>1031.0700000000002</v>
      </c>
      <c r="Q739" s="139">
        <f t="shared" si="116"/>
        <v>0.85374893617021286</v>
      </c>
      <c r="R739" s="395">
        <f>VLOOKUP(C739,'[1]ORIGINAL (2)'!$A:$C,3,FALSE)</f>
        <v>1</v>
      </c>
      <c r="S739" s="24" t="e">
        <f>VLOOKUP(C739,#REF!,6,FALSE)</f>
        <v>#REF!</v>
      </c>
      <c r="T739" s="24" t="e">
        <f>VLOOKUP(C739,#REF!,7,FALSE)</f>
        <v>#REF!</v>
      </c>
      <c r="U739" s="24" t="e">
        <f>VLOOKUP(C739,#REF!,12,FALSE)</f>
        <v>#REF!</v>
      </c>
      <c r="V739" s="24" t="e">
        <f>VLOOKUP(C739,#REF!,13,FALSE)</f>
        <v>#REF!</v>
      </c>
    </row>
    <row r="740" spans="1:22" x14ac:dyDescent="0.25">
      <c r="A740" s="7" t="s">
        <v>1569</v>
      </c>
      <c r="B740" s="8">
        <v>9789500207751</v>
      </c>
      <c r="C740" s="21">
        <v>580536</v>
      </c>
      <c r="D740" s="7">
        <v>48</v>
      </c>
      <c r="E740" s="7" t="s">
        <v>254</v>
      </c>
      <c r="F740" s="7" t="s">
        <v>255</v>
      </c>
      <c r="G740" s="107">
        <v>40756</v>
      </c>
      <c r="H740" s="108">
        <v>41821</v>
      </c>
      <c r="I740" s="24">
        <v>4200</v>
      </c>
      <c r="J740" s="28" t="s">
        <v>1894</v>
      </c>
      <c r="K740" s="28">
        <v>23.12</v>
      </c>
      <c r="L740" s="128">
        <v>14100</v>
      </c>
      <c r="M740" s="112">
        <f>+L740*0.07</f>
        <v>987.00000000000011</v>
      </c>
      <c r="N740" s="9">
        <f t="shared" si="113"/>
        <v>7050</v>
      </c>
      <c r="O740" s="9">
        <f t="shared" si="114"/>
        <v>6039.88</v>
      </c>
      <c r="P740" s="9">
        <f t="shared" si="115"/>
        <v>1010.1200000000001</v>
      </c>
      <c r="Q740" s="139">
        <f t="shared" si="116"/>
        <v>0.85672056737588653</v>
      </c>
      <c r="R740" s="395">
        <f>VLOOKUP(C740,'[1]ORIGINAL (2)'!$A:$C,3,FALSE)</f>
        <v>1</v>
      </c>
      <c r="S740" s="24" t="e">
        <f>VLOOKUP(C740,#REF!,6,FALSE)</f>
        <v>#REF!</v>
      </c>
      <c r="T740" s="24" t="e">
        <f>VLOOKUP(C740,#REF!,7,FALSE)</f>
        <v>#REF!</v>
      </c>
      <c r="U740" s="24" t="e">
        <f>VLOOKUP(C740,#REF!,12,FALSE)</f>
        <v>#REF!</v>
      </c>
      <c r="V740" s="24" t="e">
        <f>VLOOKUP(C740,#REF!,13,FALSE)</f>
        <v>#REF!</v>
      </c>
    </row>
    <row r="741" spans="1:22" x14ac:dyDescent="0.25">
      <c r="A741" s="6" t="s">
        <v>1570</v>
      </c>
      <c r="B741" s="207">
        <v>9789500299602</v>
      </c>
      <c r="C741" s="6">
        <v>633017</v>
      </c>
      <c r="D741" s="7">
        <v>40</v>
      </c>
      <c r="E741" s="7" t="s">
        <v>238</v>
      </c>
      <c r="F741" s="11" t="s">
        <v>618</v>
      </c>
      <c r="G741" s="107">
        <v>42948</v>
      </c>
      <c r="H741" s="108">
        <v>42917</v>
      </c>
      <c r="I741" s="24">
        <v>4200</v>
      </c>
      <c r="J741" s="28" t="s">
        <v>1894</v>
      </c>
      <c r="K741" s="28">
        <v>53</v>
      </c>
      <c r="L741" s="128">
        <v>14100</v>
      </c>
      <c r="M741" s="112"/>
      <c r="N741" s="9">
        <f t="shared" si="113"/>
        <v>7050</v>
      </c>
      <c r="O741" s="9">
        <f t="shared" si="114"/>
        <v>6997</v>
      </c>
      <c r="P741" s="9">
        <f t="shared" si="115"/>
        <v>53</v>
      </c>
      <c r="Q741" s="139">
        <f t="shared" si="116"/>
        <v>0.99248226950354612</v>
      </c>
      <c r="R741" s="395">
        <f>VLOOKUP(C741,'[1]ORIGINAL (2)'!$A:$C,3,FALSE)</f>
        <v>6</v>
      </c>
      <c r="S741" s="24" t="e">
        <f>VLOOKUP(C741,#REF!,6,FALSE)</f>
        <v>#REF!</v>
      </c>
      <c r="T741" s="24" t="e">
        <f>VLOOKUP(C741,#REF!,7,FALSE)</f>
        <v>#REF!</v>
      </c>
      <c r="U741" s="24" t="e">
        <f>VLOOKUP(C741,#REF!,12,FALSE)</f>
        <v>#REF!</v>
      </c>
      <c r="V741" s="24" t="e">
        <f>VLOOKUP(C741,#REF!,13,FALSE)</f>
        <v>#REF!</v>
      </c>
    </row>
    <row r="742" spans="1:22" x14ac:dyDescent="0.25">
      <c r="A742" s="11" t="s">
        <v>1571</v>
      </c>
      <c r="B742" s="13">
        <v>9789500209656</v>
      </c>
      <c r="C742" s="6">
        <v>657293</v>
      </c>
      <c r="D742" s="7">
        <v>40</v>
      </c>
      <c r="E742" s="6" t="s">
        <v>422</v>
      </c>
      <c r="F742" s="11" t="s">
        <v>566</v>
      </c>
      <c r="G742" s="107">
        <v>43435</v>
      </c>
      <c r="H742" s="108">
        <v>43405</v>
      </c>
      <c r="I742" s="24">
        <v>3140</v>
      </c>
      <c r="J742" s="28" t="s">
        <v>1894</v>
      </c>
      <c r="K742" s="28">
        <v>112.02</v>
      </c>
      <c r="L742" s="128">
        <v>14100</v>
      </c>
      <c r="M742" s="112"/>
      <c r="N742" s="9">
        <f t="shared" si="113"/>
        <v>7050</v>
      </c>
      <c r="O742" s="9">
        <f t="shared" si="114"/>
        <v>6937.98</v>
      </c>
      <c r="P742" s="9">
        <f t="shared" si="115"/>
        <v>112.02</v>
      </c>
      <c r="Q742" s="139">
        <f t="shared" si="116"/>
        <v>0.98411063829787226</v>
      </c>
      <c r="R742" s="395" t="e">
        <f>VLOOKUP(C742,'[1]ORIGINAL (2)'!$A:$C,3,FALSE)</f>
        <v>#N/A</v>
      </c>
      <c r="S742" s="24" t="e">
        <f>VLOOKUP(C742,#REF!,6,FALSE)</f>
        <v>#REF!</v>
      </c>
      <c r="T742" s="24" t="e">
        <f>VLOOKUP(C742,#REF!,7,FALSE)</f>
        <v>#REF!</v>
      </c>
      <c r="U742" s="24" t="e">
        <f>VLOOKUP(C742,#REF!,12,FALSE)</f>
        <v>#REF!</v>
      </c>
      <c r="V742" s="24" t="e">
        <f>VLOOKUP(C742,#REF!,13,FALSE)</f>
        <v>#REF!</v>
      </c>
    </row>
    <row r="743" spans="1:22" x14ac:dyDescent="0.25">
      <c r="A743" s="6" t="s">
        <v>1572</v>
      </c>
      <c r="B743" s="8">
        <v>9789500299084</v>
      </c>
      <c r="C743" s="8">
        <v>618707</v>
      </c>
      <c r="D743" s="7">
        <v>40</v>
      </c>
      <c r="E743" s="11" t="s">
        <v>282</v>
      </c>
      <c r="F743" s="11" t="s">
        <v>283</v>
      </c>
      <c r="G743" s="107">
        <v>42614</v>
      </c>
      <c r="H743" s="108">
        <v>42583</v>
      </c>
      <c r="I743" s="24">
        <v>3030</v>
      </c>
      <c r="J743" s="28" t="s">
        <v>1894</v>
      </c>
      <c r="K743" s="28">
        <v>64.02</v>
      </c>
      <c r="L743" s="128">
        <v>14100</v>
      </c>
      <c r="M743" s="9">
        <f>+L743*0.08</f>
        <v>1128</v>
      </c>
      <c r="N743" s="9">
        <f t="shared" si="113"/>
        <v>7050</v>
      </c>
      <c r="O743" s="9">
        <f t="shared" si="114"/>
        <v>5857.98</v>
      </c>
      <c r="P743" s="9">
        <f t="shared" si="115"/>
        <v>1192.02</v>
      </c>
      <c r="Q743" s="139">
        <f t="shared" si="116"/>
        <v>0.83091914893617014</v>
      </c>
      <c r="R743" s="395">
        <f>VLOOKUP(C743,'[1]ORIGINAL (2)'!$A:$C,3,FALSE)</f>
        <v>1</v>
      </c>
      <c r="S743" s="24" t="e">
        <f>VLOOKUP(C743,#REF!,6,FALSE)</f>
        <v>#REF!</v>
      </c>
      <c r="T743" s="24" t="e">
        <f>VLOOKUP(C743,#REF!,7,FALSE)</f>
        <v>#REF!</v>
      </c>
      <c r="U743" s="24" t="e">
        <f>VLOOKUP(C743,#REF!,12,FALSE)</f>
        <v>#REF!</v>
      </c>
      <c r="V743" s="24" t="e">
        <f>VLOOKUP(C743,#REF!,13,FALSE)</f>
        <v>#REF!</v>
      </c>
    </row>
    <row r="744" spans="1:22" x14ac:dyDescent="0.25">
      <c r="A744" s="6" t="s">
        <v>1573</v>
      </c>
      <c r="B744" s="8">
        <v>9789500299954</v>
      </c>
      <c r="C744" s="6">
        <v>643880</v>
      </c>
      <c r="D744" s="7">
        <v>32</v>
      </c>
      <c r="E744" s="7" t="s">
        <v>341</v>
      </c>
      <c r="F744" s="177" t="s">
        <v>342</v>
      </c>
      <c r="G744" s="107">
        <v>43132</v>
      </c>
      <c r="H744" s="108">
        <v>43070</v>
      </c>
      <c r="I744" s="24">
        <v>3140</v>
      </c>
      <c r="J744" s="28" t="s">
        <v>1894</v>
      </c>
      <c r="K744" s="28">
        <v>75.36</v>
      </c>
      <c r="L744" s="128">
        <v>14100</v>
      </c>
      <c r="M744" s="9"/>
      <c r="N744" s="9">
        <f t="shared" si="113"/>
        <v>7050</v>
      </c>
      <c r="O744" s="9">
        <f t="shared" si="114"/>
        <v>6974.64</v>
      </c>
      <c r="P744" s="9">
        <f t="shared" si="115"/>
        <v>75.36</v>
      </c>
      <c r="Q744" s="139">
        <f t="shared" si="116"/>
        <v>0.98931063829787236</v>
      </c>
      <c r="R744" s="395" t="e">
        <f>VLOOKUP(C744,'[1]ORIGINAL (2)'!$A:$C,3,FALSE)</f>
        <v>#N/A</v>
      </c>
      <c r="S744" s="24" t="e">
        <f>VLOOKUP(C744,#REF!,6,FALSE)</f>
        <v>#REF!</v>
      </c>
      <c r="T744" s="24" t="e">
        <f>VLOOKUP(C744,#REF!,7,FALSE)</f>
        <v>#REF!</v>
      </c>
      <c r="U744" s="24" t="e">
        <f>VLOOKUP(C744,#REF!,12,FALSE)</f>
        <v>#REF!</v>
      </c>
      <c r="V744" s="24" t="e">
        <f>VLOOKUP(C744,#REF!,13,FALSE)</f>
        <v>#REF!</v>
      </c>
    </row>
    <row r="745" spans="1:22" x14ac:dyDescent="0.25">
      <c r="A745" s="6" t="s">
        <v>1574</v>
      </c>
      <c r="B745" s="8">
        <v>9789500298728</v>
      </c>
      <c r="C745" s="8">
        <v>610472</v>
      </c>
      <c r="D745" s="7">
        <v>40</v>
      </c>
      <c r="E745" s="31" t="s">
        <v>278</v>
      </c>
      <c r="F745" s="32" t="s">
        <v>281</v>
      </c>
      <c r="G745" s="107">
        <v>42461</v>
      </c>
      <c r="H745" s="108">
        <v>42430</v>
      </c>
      <c r="I745" s="24">
        <v>3000</v>
      </c>
      <c r="J745" s="28" t="s">
        <v>1894</v>
      </c>
      <c r="K745" s="28">
        <v>64.13</v>
      </c>
      <c r="L745" s="128">
        <v>14100</v>
      </c>
      <c r="M745" s="9">
        <f>+L745*0.08</f>
        <v>1128</v>
      </c>
      <c r="N745" s="9">
        <f t="shared" si="113"/>
        <v>7050</v>
      </c>
      <c r="O745" s="9">
        <f t="shared" si="114"/>
        <v>5857.87</v>
      </c>
      <c r="P745" s="9">
        <f t="shared" si="115"/>
        <v>1192.1300000000001</v>
      </c>
      <c r="Q745" s="139">
        <f t="shared" si="116"/>
        <v>0.83090354609929074</v>
      </c>
      <c r="R745" s="395" t="e">
        <f>VLOOKUP(C745,'[1]ORIGINAL (2)'!$A:$C,3,FALSE)</f>
        <v>#N/A</v>
      </c>
      <c r="S745" s="24" t="e">
        <f>VLOOKUP(C745,#REF!,6,FALSE)</f>
        <v>#REF!</v>
      </c>
      <c r="T745" s="24" t="e">
        <f>VLOOKUP(C745,#REF!,7,FALSE)</f>
        <v>#REF!</v>
      </c>
      <c r="U745" s="24" t="e">
        <f>VLOOKUP(C745,#REF!,12,FALSE)</f>
        <v>#REF!</v>
      </c>
      <c r="V745" s="24" t="e">
        <f>VLOOKUP(C745,#REF!,13,FALSE)</f>
        <v>#REF!</v>
      </c>
    </row>
    <row r="746" spans="1:22" x14ac:dyDescent="0.25">
      <c r="A746" s="6" t="s">
        <v>1575</v>
      </c>
      <c r="B746" s="8">
        <v>9789500208826</v>
      </c>
      <c r="C746" s="8">
        <v>598210</v>
      </c>
      <c r="D746" s="25">
        <v>48</v>
      </c>
      <c r="E746" s="22" t="s">
        <v>1576</v>
      </c>
      <c r="F746" s="6" t="s">
        <v>261</v>
      </c>
      <c r="G746" s="107">
        <v>42309</v>
      </c>
      <c r="H746" s="108">
        <v>42278</v>
      </c>
      <c r="I746" s="24">
        <v>4000</v>
      </c>
      <c r="J746" s="28" t="s">
        <v>1894</v>
      </c>
      <c r="K746" s="28">
        <v>38.82</v>
      </c>
      <c r="L746" s="128">
        <v>14100</v>
      </c>
      <c r="M746" s="9">
        <f>+L746*0.07</f>
        <v>987.00000000000011</v>
      </c>
      <c r="N746" s="9">
        <f t="shared" si="113"/>
        <v>7050</v>
      </c>
      <c r="O746" s="9">
        <f t="shared" si="114"/>
        <v>6024.18</v>
      </c>
      <c r="P746" s="9">
        <f t="shared" si="115"/>
        <v>1025.8200000000002</v>
      </c>
      <c r="Q746" s="139">
        <f t="shared" si="116"/>
        <v>0.85449361702127669</v>
      </c>
      <c r="R746" s="395" t="e">
        <f>VLOOKUP(C746,'[1]ORIGINAL (2)'!$A:$C,3,FALSE)</f>
        <v>#N/A</v>
      </c>
      <c r="S746" s="24" t="e">
        <f>VLOOKUP(C746,#REF!,6,FALSE)</f>
        <v>#REF!</v>
      </c>
      <c r="T746" s="24" t="e">
        <f>VLOOKUP(C746,#REF!,7,FALSE)</f>
        <v>#REF!</v>
      </c>
      <c r="U746" s="24" t="e">
        <f>VLOOKUP(C746,#REF!,12,FALSE)</f>
        <v>#REF!</v>
      </c>
      <c r="V746" s="24" t="e">
        <f>VLOOKUP(C746,#REF!,13,FALSE)</f>
        <v>#REF!</v>
      </c>
    </row>
    <row r="747" spans="1:22" x14ac:dyDescent="0.25">
      <c r="A747" s="6" t="s">
        <v>1489</v>
      </c>
      <c r="B747" s="8">
        <v>9789500298995</v>
      </c>
      <c r="C747" s="8">
        <v>616440</v>
      </c>
      <c r="D747" s="7">
        <v>36</v>
      </c>
      <c r="E747" s="31" t="s">
        <v>256</v>
      </c>
      <c r="F747" s="6" t="s">
        <v>257</v>
      </c>
      <c r="G747" s="107">
        <v>42552</v>
      </c>
      <c r="H747" s="108">
        <v>42522</v>
      </c>
      <c r="I747" s="24">
        <v>3024</v>
      </c>
      <c r="J747" s="28" t="s">
        <v>1894</v>
      </c>
      <c r="K747" s="28">
        <v>47.56</v>
      </c>
      <c r="L747" s="128">
        <v>14100</v>
      </c>
      <c r="M747" s="9">
        <f>+L747*0.08</f>
        <v>1128</v>
      </c>
      <c r="N747" s="9">
        <f t="shared" si="113"/>
        <v>7050</v>
      </c>
      <c r="O747" s="9">
        <f t="shared" si="114"/>
        <v>5874.44</v>
      </c>
      <c r="P747" s="9">
        <f t="shared" si="115"/>
        <v>1175.56</v>
      </c>
      <c r="Q747" s="139">
        <f t="shared" si="116"/>
        <v>0.83325390070921979</v>
      </c>
      <c r="R747" s="395" t="e">
        <f>VLOOKUP(C747,'[1]ORIGINAL (2)'!$A:$C,3,FALSE)</f>
        <v>#N/A</v>
      </c>
      <c r="S747" s="24" t="e">
        <f>VLOOKUP(C747,#REF!,6,FALSE)</f>
        <v>#REF!</v>
      </c>
      <c r="T747" s="24" t="e">
        <f>VLOOKUP(C747,#REF!,7,FALSE)</f>
        <v>#REF!</v>
      </c>
      <c r="U747" s="24" t="e">
        <f>VLOOKUP(C747,#REF!,12,FALSE)</f>
        <v>#REF!</v>
      </c>
      <c r="V747" s="24" t="e">
        <f>VLOOKUP(C747,#REF!,13,FALSE)</f>
        <v>#REF!</v>
      </c>
    </row>
    <row r="748" spans="1:22" x14ac:dyDescent="0.25">
      <c r="A748" s="7" t="s">
        <v>1577</v>
      </c>
      <c r="B748" s="8">
        <v>9789500210546</v>
      </c>
      <c r="C748" s="8">
        <v>681095</v>
      </c>
      <c r="D748" s="25">
        <v>40</v>
      </c>
      <c r="E748" s="7" t="s">
        <v>537</v>
      </c>
      <c r="F748" s="7" t="s">
        <v>523</v>
      </c>
      <c r="G748" s="107">
        <v>44256</v>
      </c>
      <c r="H748" s="108">
        <v>44228</v>
      </c>
      <c r="I748" s="7">
        <v>2018</v>
      </c>
      <c r="J748" s="28" t="s">
        <v>1894</v>
      </c>
      <c r="K748" s="9">
        <v>171.63</v>
      </c>
      <c r="L748" s="112">
        <v>14100</v>
      </c>
      <c r="M748" s="9">
        <f>+L748*0.07</f>
        <v>987.00000000000011</v>
      </c>
      <c r="N748" s="9">
        <f t="shared" si="113"/>
        <v>7050</v>
      </c>
      <c r="O748" s="9">
        <f t="shared" si="114"/>
        <v>5891.37</v>
      </c>
      <c r="P748" s="9">
        <f t="shared" si="115"/>
        <v>1158.6300000000001</v>
      </c>
      <c r="Q748" s="139">
        <f t="shared" si="116"/>
        <v>0.8356553191489362</v>
      </c>
      <c r="R748" s="395" t="e">
        <f>VLOOKUP(C748,'[1]ORIGINAL (2)'!$A:$C,3,FALSE)</f>
        <v>#N/A</v>
      </c>
      <c r="S748" s="24" t="e">
        <f>VLOOKUP(C748,#REF!,6,FALSE)</f>
        <v>#REF!</v>
      </c>
      <c r="T748" s="24" t="e">
        <f>VLOOKUP(C748,#REF!,7,FALSE)</f>
        <v>#REF!</v>
      </c>
      <c r="U748" s="24" t="e">
        <f>VLOOKUP(C748,#REF!,12,FALSE)</f>
        <v>#REF!</v>
      </c>
      <c r="V748" s="24" t="e">
        <f>VLOOKUP(C748,#REF!,13,FALSE)</f>
        <v>#REF!</v>
      </c>
    </row>
    <row r="749" spans="1:22" x14ac:dyDescent="0.25">
      <c r="A749" s="7" t="s">
        <v>1578</v>
      </c>
      <c r="B749" s="8">
        <v>9789500211369</v>
      </c>
      <c r="C749" s="8">
        <v>681102</v>
      </c>
      <c r="D749" s="25">
        <v>32</v>
      </c>
      <c r="E749" s="7" t="s">
        <v>530</v>
      </c>
      <c r="F749" s="7" t="s">
        <v>1579</v>
      </c>
      <c r="G749" s="107">
        <v>44228</v>
      </c>
      <c r="H749" s="108">
        <v>44197</v>
      </c>
      <c r="I749" s="24">
        <v>3000</v>
      </c>
      <c r="J749" s="28" t="s">
        <v>1762</v>
      </c>
      <c r="K749" s="9">
        <v>174.03</v>
      </c>
      <c r="L749" s="128">
        <v>17500</v>
      </c>
      <c r="M749" s="9">
        <f>+L749*0.08</f>
        <v>1400</v>
      </c>
      <c r="N749" s="9">
        <f t="shared" si="113"/>
        <v>8750</v>
      </c>
      <c r="O749" s="9">
        <f t="shared" si="114"/>
        <v>7175.97</v>
      </c>
      <c r="P749" s="9">
        <f t="shared" si="115"/>
        <v>1574.03</v>
      </c>
      <c r="Q749" s="139">
        <f t="shared" si="116"/>
        <v>0.82011085714285714</v>
      </c>
      <c r="R749" s="395">
        <f>VLOOKUP(C749,'[1]ORIGINAL (2)'!$A:$C,3,FALSE)</f>
        <v>4</v>
      </c>
      <c r="S749" s="24" t="e">
        <f>VLOOKUP(C749,#REF!,6,FALSE)</f>
        <v>#REF!</v>
      </c>
      <c r="T749" s="24" t="e">
        <f>VLOOKUP(C749,#REF!,7,FALSE)</f>
        <v>#REF!</v>
      </c>
      <c r="U749" s="24" t="e">
        <f>VLOOKUP(C749,#REF!,12,FALSE)</f>
        <v>#REF!</v>
      </c>
      <c r="V749" s="24" t="e">
        <f>VLOOKUP(C749,#REF!,13,FALSE)</f>
        <v>#REF!</v>
      </c>
    </row>
    <row r="750" spans="1:22" x14ac:dyDescent="0.25">
      <c r="A750" s="7" t="s">
        <v>1580</v>
      </c>
      <c r="B750" s="8">
        <v>9789500206129</v>
      </c>
      <c r="C750" s="8">
        <v>545081</v>
      </c>
      <c r="D750" s="7">
        <v>48</v>
      </c>
      <c r="E750" s="7" t="s">
        <v>286</v>
      </c>
      <c r="F750" s="7" t="s">
        <v>287</v>
      </c>
      <c r="G750" s="107">
        <v>40969</v>
      </c>
      <c r="H750" s="108">
        <v>42309</v>
      </c>
      <c r="I750" s="24">
        <v>3120</v>
      </c>
      <c r="J750" s="28" t="s">
        <v>1894</v>
      </c>
      <c r="K750" s="28">
        <v>33.299999999999997</v>
      </c>
      <c r="L750" s="128">
        <v>14100</v>
      </c>
      <c r="M750" s="112">
        <f>+L750*0.07</f>
        <v>987.00000000000011</v>
      </c>
      <c r="N750" s="9">
        <f t="shared" si="113"/>
        <v>7050</v>
      </c>
      <c r="O750" s="9">
        <f t="shared" si="114"/>
        <v>6029.7</v>
      </c>
      <c r="P750" s="9">
        <f t="shared" si="115"/>
        <v>1020.3000000000001</v>
      </c>
      <c r="Q750" s="139">
        <f t="shared" si="116"/>
        <v>0.85527659574468085</v>
      </c>
      <c r="R750" s="395" t="e">
        <f>VLOOKUP(C750,'[1]ORIGINAL (2)'!$A:$C,3,FALSE)</f>
        <v>#N/A</v>
      </c>
      <c r="S750" s="24" t="e">
        <f>VLOOKUP(C750,#REF!,6,FALSE)</f>
        <v>#REF!</v>
      </c>
      <c r="T750" s="24" t="e">
        <f>VLOOKUP(C750,#REF!,7,FALSE)</f>
        <v>#REF!</v>
      </c>
      <c r="U750" s="24" t="e">
        <f>VLOOKUP(C750,#REF!,12,FALSE)</f>
        <v>#REF!</v>
      </c>
      <c r="V750" s="24" t="e">
        <f>VLOOKUP(C750,#REF!,13,FALSE)</f>
        <v>#REF!</v>
      </c>
    </row>
    <row r="751" spans="1:22" x14ac:dyDescent="0.25">
      <c r="A751" s="11" t="s">
        <v>1581</v>
      </c>
      <c r="B751" s="8">
        <v>9789500299763</v>
      </c>
      <c r="C751" s="6">
        <v>635046</v>
      </c>
      <c r="D751" s="7">
        <v>40</v>
      </c>
      <c r="E751" s="7" t="s">
        <v>234</v>
      </c>
      <c r="F751" s="11" t="s">
        <v>236</v>
      </c>
      <c r="G751" s="107">
        <v>42979</v>
      </c>
      <c r="H751" s="108">
        <v>42948</v>
      </c>
      <c r="I751" s="24">
        <v>3140</v>
      </c>
      <c r="J751" s="28" t="s">
        <v>1894</v>
      </c>
      <c r="K751" s="28">
        <v>66.3</v>
      </c>
      <c r="L751" s="128">
        <v>14100</v>
      </c>
      <c r="M751" s="9"/>
      <c r="N751" s="9">
        <f t="shared" si="113"/>
        <v>7050</v>
      </c>
      <c r="O751" s="9">
        <f t="shared" si="114"/>
        <v>6983.7</v>
      </c>
      <c r="P751" s="9">
        <f t="shared" si="115"/>
        <v>66.3</v>
      </c>
      <c r="Q751" s="139">
        <f t="shared" si="116"/>
        <v>0.99059574468085099</v>
      </c>
      <c r="R751" s="395" t="e">
        <f>VLOOKUP(C751,'[1]ORIGINAL (2)'!$A:$C,3,FALSE)</f>
        <v>#N/A</v>
      </c>
      <c r="S751" s="24" t="e">
        <f>VLOOKUP(C751,#REF!,6,FALSE)</f>
        <v>#REF!</v>
      </c>
      <c r="T751" s="24" t="e">
        <f>VLOOKUP(C751,#REF!,7,FALSE)</f>
        <v>#REF!</v>
      </c>
      <c r="U751" s="24" t="e">
        <f>VLOOKUP(C751,#REF!,12,FALSE)</f>
        <v>#REF!</v>
      </c>
      <c r="V751" s="24" t="e">
        <f>VLOOKUP(C751,#REF!,13,FALSE)</f>
        <v>#REF!</v>
      </c>
    </row>
    <row r="752" spans="1:22" x14ac:dyDescent="0.25">
      <c r="A752" s="6" t="s">
        <v>1582</v>
      </c>
      <c r="B752" s="8">
        <v>9789500207782</v>
      </c>
      <c r="C752" s="8">
        <v>578532</v>
      </c>
      <c r="D752" s="25">
        <v>40</v>
      </c>
      <c r="E752" s="22" t="s">
        <v>248</v>
      </c>
      <c r="F752" s="6" t="s">
        <v>249</v>
      </c>
      <c r="G752" s="107">
        <v>41791</v>
      </c>
      <c r="H752" s="108">
        <v>41760</v>
      </c>
      <c r="I752" s="24">
        <v>4020</v>
      </c>
      <c r="J752" s="28" t="s">
        <v>1894</v>
      </c>
      <c r="K752" s="28">
        <v>24.7</v>
      </c>
      <c r="L752" s="128">
        <v>14100</v>
      </c>
      <c r="M752" s="9">
        <f>+L752*0.07</f>
        <v>987.00000000000011</v>
      </c>
      <c r="N752" s="9">
        <f t="shared" si="113"/>
        <v>7050</v>
      </c>
      <c r="O752" s="9">
        <f t="shared" si="114"/>
        <v>6038.3</v>
      </c>
      <c r="P752" s="9">
        <f t="shared" si="115"/>
        <v>1011.7000000000002</v>
      </c>
      <c r="Q752" s="139">
        <f t="shared" si="116"/>
        <v>0.85649645390070928</v>
      </c>
      <c r="R752" s="395" t="e">
        <f>VLOOKUP(C752,'[1]ORIGINAL (2)'!$A:$C,3,FALSE)</f>
        <v>#N/A</v>
      </c>
      <c r="S752" s="24" t="e">
        <f>VLOOKUP(C752,#REF!,6,FALSE)</f>
        <v>#REF!</v>
      </c>
      <c r="T752" s="24" t="e">
        <f>VLOOKUP(C752,#REF!,7,FALSE)</f>
        <v>#REF!</v>
      </c>
      <c r="U752" s="24" t="e">
        <f>VLOOKUP(C752,#REF!,12,FALSE)</f>
        <v>#REF!</v>
      </c>
      <c r="V752" s="24" t="e">
        <f>VLOOKUP(C752,#REF!,13,FALSE)</f>
        <v>#REF!</v>
      </c>
    </row>
    <row r="753" spans="1:22" x14ac:dyDescent="0.25">
      <c r="A753" s="7" t="s">
        <v>1452</v>
      </c>
      <c r="B753" s="8">
        <v>9789500208390</v>
      </c>
      <c r="C753" s="21">
        <v>593817</v>
      </c>
      <c r="D753" s="7">
        <v>40</v>
      </c>
      <c r="E753" s="7" t="s">
        <v>1583</v>
      </c>
      <c r="F753" s="7" t="s">
        <v>270</v>
      </c>
      <c r="G753" s="107">
        <v>42186</v>
      </c>
      <c r="H753" s="108">
        <v>42156</v>
      </c>
      <c r="I753" s="24">
        <v>3121</v>
      </c>
      <c r="J753" s="28" t="s">
        <v>1894</v>
      </c>
      <c r="K753" s="28">
        <v>32.15</v>
      </c>
      <c r="L753" s="128">
        <v>14100</v>
      </c>
      <c r="M753" s="9">
        <f>+L753*0.07</f>
        <v>987.00000000000011</v>
      </c>
      <c r="N753" s="9">
        <f t="shared" si="113"/>
        <v>7050</v>
      </c>
      <c r="O753" s="9">
        <f t="shared" si="114"/>
        <v>6030.85</v>
      </c>
      <c r="P753" s="9">
        <f t="shared" si="115"/>
        <v>1019.1500000000001</v>
      </c>
      <c r="Q753" s="139">
        <f t="shared" si="116"/>
        <v>0.85543971631205684</v>
      </c>
      <c r="R753" s="395">
        <f>VLOOKUP(C753,'[1]ORIGINAL (2)'!$A:$C,3,FALSE)</f>
        <v>3</v>
      </c>
      <c r="S753" s="24" t="e">
        <f>VLOOKUP(C753,#REF!,6,FALSE)</f>
        <v>#REF!</v>
      </c>
      <c r="T753" s="24" t="e">
        <f>VLOOKUP(C753,#REF!,7,FALSE)</f>
        <v>#REF!</v>
      </c>
      <c r="U753" s="24" t="e">
        <f>VLOOKUP(C753,#REF!,12,FALSE)</f>
        <v>#REF!</v>
      </c>
      <c r="V753" s="24" t="e">
        <f>VLOOKUP(C753,#REF!,13,FALSE)</f>
        <v>#REF!</v>
      </c>
    </row>
    <row r="754" spans="1:22" x14ac:dyDescent="0.25">
      <c r="A754" s="6" t="s">
        <v>1584</v>
      </c>
      <c r="B754" s="8">
        <v>9789500298766</v>
      </c>
      <c r="C754" s="8">
        <v>616439</v>
      </c>
      <c r="D754" s="7">
        <v>48</v>
      </c>
      <c r="E754" s="31" t="s">
        <v>288</v>
      </c>
      <c r="F754" s="32" t="s">
        <v>289</v>
      </c>
      <c r="G754" s="107">
        <v>42552</v>
      </c>
      <c r="H754" s="108">
        <v>42522</v>
      </c>
      <c r="I754" s="24">
        <v>3076</v>
      </c>
      <c r="J754" s="28" t="s">
        <v>1894</v>
      </c>
      <c r="K754" s="28">
        <v>66.44</v>
      </c>
      <c r="L754" s="128">
        <v>14100</v>
      </c>
      <c r="M754" s="9">
        <f>+L754*0.08</f>
        <v>1128</v>
      </c>
      <c r="N754" s="9">
        <f t="shared" si="113"/>
        <v>7050</v>
      </c>
      <c r="O754" s="9">
        <f t="shared" si="114"/>
        <v>5855.56</v>
      </c>
      <c r="P754" s="9">
        <f t="shared" si="115"/>
        <v>1194.44</v>
      </c>
      <c r="Q754" s="139">
        <f t="shared" si="116"/>
        <v>0.83057588652482273</v>
      </c>
      <c r="R754" s="395" t="e">
        <f>VLOOKUP(C754,'[1]ORIGINAL (2)'!$A:$C,3,FALSE)</f>
        <v>#N/A</v>
      </c>
      <c r="S754" s="24" t="e">
        <f>VLOOKUP(C754,#REF!,6,FALSE)</f>
        <v>#REF!</v>
      </c>
      <c r="T754" s="24" t="e">
        <f>VLOOKUP(C754,#REF!,7,FALSE)</f>
        <v>#REF!</v>
      </c>
      <c r="U754" s="24" t="e">
        <f>VLOOKUP(C754,#REF!,12,FALSE)</f>
        <v>#REF!</v>
      </c>
      <c r="V754" s="24" t="e">
        <f>VLOOKUP(C754,#REF!,13,FALSE)</f>
        <v>#REF!</v>
      </c>
    </row>
    <row r="755" spans="1:22" x14ac:dyDescent="0.25">
      <c r="A755" s="7" t="s">
        <v>1585</v>
      </c>
      <c r="B755" s="8">
        <v>9789500211680</v>
      </c>
      <c r="C755" s="8">
        <v>683320</v>
      </c>
      <c r="D755" s="25">
        <v>40</v>
      </c>
      <c r="E755" s="7" t="s">
        <v>543</v>
      </c>
      <c r="F755" s="6" t="s">
        <v>544</v>
      </c>
      <c r="G755" s="107">
        <v>44317</v>
      </c>
      <c r="H755" s="108">
        <v>44287</v>
      </c>
      <c r="I755" s="24">
        <v>3046</v>
      </c>
      <c r="J755" s="28" t="s">
        <v>2136</v>
      </c>
      <c r="K755" s="117">
        <v>194.72</v>
      </c>
      <c r="L755" s="128">
        <v>16900</v>
      </c>
      <c r="M755" s="141">
        <f>+L755*0.08</f>
        <v>1352</v>
      </c>
      <c r="N755" s="142">
        <f t="shared" si="113"/>
        <v>8450</v>
      </c>
      <c r="O755" s="142">
        <f t="shared" si="114"/>
        <v>6903.28</v>
      </c>
      <c r="P755" s="142">
        <f t="shared" si="115"/>
        <v>1546.72</v>
      </c>
      <c r="Q755" s="139">
        <f t="shared" si="116"/>
        <v>0.81695621301775145</v>
      </c>
      <c r="R755" s="395">
        <f>VLOOKUP(C755,'[1]ORIGINAL (2)'!$A:$C,3,FALSE)</f>
        <v>62</v>
      </c>
      <c r="S755" s="24" t="e">
        <f>VLOOKUP(C755,#REF!,6,FALSE)</f>
        <v>#REF!</v>
      </c>
      <c r="T755" s="24" t="e">
        <f>VLOOKUP(C755,#REF!,7,FALSE)</f>
        <v>#REF!</v>
      </c>
      <c r="U755" s="24" t="e">
        <f>VLOOKUP(C755,#REF!,12,FALSE)</f>
        <v>#REF!</v>
      </c>
      <c r="V755" s="24" t="e">
        <f>VLOOKUP(C755,#REF!,13,FALSE)</f>
        <v>#REF!</v>
      </c>
    </row>
    <row r="756" spans="1:22" x14ac:dyDescent="0.25">
      <c r="A756" s="6" t="s">
        <v>2295</v>
      </c>
      <c r="B756" s="279">
        <v>9789500217460</v>
      </c>
      <c r="C756" s="6">
        <v>743068</v>
      </c>
      <c r="D756" s="239">
        <v>36</v>
      </c>
      <c r="E756" s="7" t="s">
        <v>448</v>
      </c>
      <c r="F756" s="294" t="s">
        <v>2308</v>
      </c>
      <c r="G756" s="108">
        <v>46113</v>
      </c>
      <c r="H756" s="107">
        <v>46266</v>
      </c>
      <c r="I756" s="239">
        <v>3046</v>
      </c>
      <c r="J756" s="6" t="s">
        <v>1333</v>
      </c>
      <c r="K756" s="148">
        <v>3533.22</v>
      </c>
      <c r="L756" s="313">
        <v>30900</v>
      </c>
      <c r="M756" s="9">
        <f t="shared" ref="M756:M761" si="118">+L756*0.12</f>
        <v>3708</v>
      </c>
      <c r="N756" s="9">
        <f t="shared" si="113"/>
        <v>15450</v>
      </c>
      <c r="O756" s="9">
        <f t="shared" si="114"/>
        <v>8208.7800000000007</v>
      </c>
      <c r="P756" s="9">
        <f t="shared" si="115"/>
        <v>7241.2199999999993</v>
      </c>
      <c r="Q756" s="139">
        <f t="shared" si="116"/>
        <v>0.5313126213592233</v>
      </c>
      <c r="R756" s="395">
        <f>VLOOKUP(C756,'[1]ORIGINAL (2)'!$A:$C,3,FALSE)</f>
        <v>1498</v>
      </c>
      <c r="S756" s="24" t="e">
        <f>VLOOKUP(C756,#REF!,6,FALSE)</f>
        <v>#REF!</v>
      </c>
      <c r="T756" s="24" t="e">
        <f>VLOOKUP(C756,#REF!,7,FALSE)</f>
        <v>#REF!</v>
      </c>
      <c r="U756" s="24" t="e">
        <f>VLOOKUP(C756,#REF!,12,FALSE)</f>
        <v>#REF!</v>
      </c>
      <c r="V756" s="24" t="e">
        <f>VLOOKUP(C756,#REF!,13,FALSE)</f>
        <v>#REF!</v>
      </c>
    </row>
    <row r="757" spans="1:22" x14ac:dyDescent="0.25">
      <c r="A757" s="6" t="s">
        <v>2305</v>
      </c>
      <c r="B757" s="279">
        <v>9789500217224</v>
      </c>
      <c r="C757" s="6">
        <v>743235</v>
      </c>
      <c r="D757" s="239">
        <v>48</v>
      </c>
      <c r="E757" s="7" t="s">
        <v>448</v>
      </c>
      <c r="F757" s="294" t="s">
        <v>2306</v>
      </c>
      <c r="G757" s="108">
        <v>46113</v>
      </c>
      <c r="H757" s="108">
        <v>46113</v>
      </c>
      <c r="I757" s="7">
        <v>3094</v>
      </c>
      <c r="J757" s="6" t="s">
        <v>1333</v>
      </c>
      <c r="K757" s="9">
        <v>2007.39</v>
      </c>
      <c r="L757" s="9">
        <v>30900</v>
      </c>
      <c r="M757" s="9">
        <f t="shared" si="118"/>
        <v>3708</v>
      </c>
      <c r="N757" s="9">
        <f t="shared" si="113"/>
        <v>15450</v>
      </c>
      <c r="O757" s="9">
        <f t="shared" si="114"/>
        <v>9734.61</v>
      </c>
      <c r="P757" s="9">
        <f t="shared" si="115"/>
        <v>5715.39</v>
      </c>
      <c r="Q757" s="139">
        <f t="shared" si="116"/>
        <v>0.63007184466019417</v>
      </c>
      <c r="R757" s="395">
        <f>VLOOKUP(C757,'[1]ORIGINAL (2)'!$A:$C,3,FALSE)</f>
        <v>386</v>
      </c>
      <c r="S757" s="24" t="e">
        <f>VLOOKUP(C757,#REF!,6,FALSE)</f>
        <v>#REF!</v>
      </c>
      <c r="T757" s="24" t="e">
        <f>VLOOKUP(C757,#REF!,7,FALSE)</f>
        <v>#REF!</v>
      </c>
      <c r="U757" s="24" t="e">
        <f>VLOOKUP(C757,#REF!,12,FALSE)</f>
        <v>#REF!</v>
      </c>
      <c r="V757" s="24" t="e">
        <f>VLOOKUP(C757,#REF!,13,FALSE)</f>
        <v>#REF!</v>
      </c>
    </row>
    <row r="758" spans="1:22" x14ac:dyDescent="0.25">
      <c r="A758" s="6" t="s">
        <v>2051</v>
      </c>
      <c r="B758" s="279">
        <v>9789500216265</v>
      </c>
      <c r="C758" s="6">
        <v>729381</v>
      </c>
      <c r="D758" s="239">
        <v>40</v>
      </c>
      <c r="E758" s="7" t="s">
        <v>448</v>
      </c>
      <c r="F758" s="294" t="s">
        <v>2052</v>
      </c>
      <c r="G758" s="108">
        <v>45809</v>
      </c>
      <c r="H758" s="108">
        <v>46113</v>
      </c>
      <c r="I758" s="264">
        <v>3060</v>
      </c>
      <c r="J758" s="6" t="s">
        <v>1333</v>
      </c>
      <c r="K758" s="9">
        <v>1913.3</v>
      </c>
      <c r="L758" s="9">
        <v>30900</v>
      </c>
      <c r="M758" s="9">
        <f t="shared" si="118"/>
        <v>3708</v>
      </c>
      <c r="N758" s="9">
        <f t="shared" si="113"/>
        <v>15450</v>
      </c>
      <c r="O758" s="9">
        <f t="shared" si="114"/>
        <v>9828.7000000000007</v>
      </c>
      <c r="P758" s="9">
        <f t="shared" si="115"/>
        <v>5621.3</v>
      </c>
      <c r="Q758" s="139">
        <f t="shared" si="116"/>
        <v>0.63616181229773472</v>
      </c>
      <c r="R758" s="395">
        <f>VLOOKUP(C758,'[1]ORIGINAL (2)'!$A:$C,3,FALSE)</f>
        <v>2257</v>
      </c>
      <c r="S758" s="24" t="e">
        <f>VLOOKUP(C758,#REF!,6,FALSE)</f>
        <v>#REF!</v>
      </c>
      <c r="T758" s="24" t="e">
        <f>VLOOKUP(C758,#REF!,7,FALSE)</f>
        <v>#REF!</v>
      </c>
      <c r="U758" s="24" t="e">
        <f>VLOOKUP(C758,#REF!,12,FALSE)</f>
        <v>#REF!</v>
      </c>
      <c r="V758" s="24" t="e">
        <f>VLOOKUP(C758,#REF!,13,FALSE)</f>
        <v>#REF!</v>
      </c>
    </row>
    <row r="759" spans="1:22" x14ac:dyDescent="0.25">
      <c r="A759" s="6" t="s">
        <v>1586</v>
      </c>
      <c r="B759" s="8">
        <v>9789500213066</v>
      </c>
      <c r="C759" s="6">
        <v>699699</v>
      </c>
      <c r="D759" s="7">
        <v>36</v>
      </c>
      <c r="E759" s="7" t="s">
        <v>379</v>
      </c>
      <c r="F759" s="265" t="s">
        <v>380</v>
      </c>
      <c r="G759" s="107">
        <v>44866</v>
      </c>
      <c r="H759" s="108">
        <v>46113</v>
      </c>
      <c r="I759" s="7">
        <v>3024</v>
      </c>
      <c r="J759" s="6" t="s">
        <v>1333</v>
      </c>
      <c r="K759" s="9">
        <v>1791.68</v>
      </c>
      <c r="L759" s="9">
        <v>30900</v>
      </c>
      <c r="M759" s="9">
        <f t="shared" si="118"/>
        <v>3708</v>
      </c>
      <c r="N759" s="9">
        <f t="shared" si="113"/>
        <v>15450</v>
      </c>
      <c r="O759" s="9">
        <f t="shared" si="114"/>
        <v>9950.32</v>
      </c>
      <c r="P759" s="9">
        <f t="shared" si="115"/>
        <v>5499.68</v>
      </c>
      <c r="Q759" s="139">
        <f t="shared" si="116"/>
        <v>0.6440336569579288</v>
      </c>
      <c r="R759" s="395">
        <f>VLOOKUP(C759,'[1]ORIGINAL (2)'!$A:$C,3,FALSE)</f>
        <v>316</v>
      </c>
      <c r="S759" s="24" t="e">
        <f>VLOOKUP(C759,#REF!,6,FALSE)</f>
        <v>#REF!</v>
      </c>
      <c r="T759" s="24" t="e">
        <f>VLOOKUP(C759,#REF!,7,FALSE)</f>
        <v>#REF!</v>
      </c>
      <c r="U759" s="24" t="e">
        <f>VLOOKUP(C759,#REF!,12,FALSE)</f>
        <v>#REF!</v>
      </c>
      <c r="V759" s="24" t="e">
        <f>VLOOKUP(C759,#REF!,13,FALSE)</f>
        <v>#REF!</v>
      </c>
    </row>
    <row r="760" spans="1:22" x14ac:dyDescent="0.25">
      <c r="A760" s="7" t="s">
        <v>1587</v>
      </c>
      <c r="B760" s="8">
        <v>9789500213073</v>
      </c>
      <c r="C760" s="8">
        <v>699700</v>
      </c>
      <c r="D760" s="25">
        <v>40</v>
      </c>
      <c r="E760" s="7" t="s">
        <v>448</v>
      </c>
      <c r="F760" s="265" t="s">
        <v>517</v>
      </c>
      <c r="G760" s="107">
        <v>44866</v>
      </c>
      <c r="H760" s="108">
        <v>46113</v>
      </c>
      <c r="I760" s="7">
        <v>3024</v>
      </c>
      <c r="J760" s="6" t="s">
        <v>1333</v>
      </c>
      <c r="K760" s="9">
        <v>1913.3</v>
      </c>
      <c r="L760" s="9">
        <v>30900</v>
      </c>
      <c r="M760" s="9">
        <f t="shared" si="118"/>
        <v>3708</v>
      </c>
      <c r="N760" s="9">
        <f t="shared" si="113"/>
        <v>15450</v>
      </c>
      <c r="O760" s="9">
        <f t="shared" si="114"/>
        <v>9828.7000000000007</v>
      </c>
      <c r="P760" s="9">
        <f t="shared" si="115"/>
        <v>5621.3</v>
      </c>
      <c r="Q760" s="139">
        <f t="shared" si="116"/>
        <v>0.63616181229773472</v>
      </c>
      <c r="R760" s="395">
        <f>VLOOKUP(C760,'[1]ORIGINAL (2)'!$A:$C,3,FALSE)</f>
        <v>393</v>
      </c>
      <c r="S760" s="24" t="e">
        <f>VLOOKUP(C760,#REF!,6,FALSE)</f>
        <v>#REF!</v>
      </c>
      <c r="T760" s="24" t="e">
        <f>VLOOKUP(C760,#REF!,7,FALSE)</f>
        <v>#REF!</v>
      </c>
      <c r="U760" s="24" t="e">
        <f>VLOOKUP(C760,#REF!,12,FALSE)</f>
        <v>#REF!</v>
      </c>
      <c r="V760" s="24" t="e">
        <f>VLOOKUP(C760,#REF!,13,FALSE)</f>
        <v>#REF!</v>
      </c>
    </row>
    <row r="761" spans="1:22" x14ac:dyDescent="0.25">
      <c r="A761" s="6" t="s">
        <v>1588</v>
      </c>
      <c r="B761" s="8">
        <v>9789500213080</v>
      </c>
      <c r="C761" s="20">
        <v>699701</v>
      </c>
      <c r="D761" s="2">
        <v>40</v>
      </c>
      <c r="E761" s="7" t="s">
        <v>379</v>
      </c>
      <c r="F761" s="309" t="s">
        <v>620</v>
      </c>
      <c r="G761" s="107">
        <v>44866</v>
      </c>
      <c r="H761" s="108">
        <v>46113</v>
      </c>
      <c r="I761" s="7">
        <v>3060</v>
      </c>
      <c r="J761" s="6" t="s">
        <v>1333</v>
      </c>
      <c r="K761" s="9">
        <v>1913.3</v>
      </c>
      <c r="L761" s="9">
        <v>30900</v>
      </c>
      <c r="M761" s="9">
        <f t="shared" si="118"/>
        <v>3708</v>
      </c>
      <c r="N761" s="9">
        <f t="shared" si="113"/>
        <v>15450</v>
      </c>
      <c r="O761" s="9">
        <f t="shared" si="114"/>
        <v>9828.7000000000007</v>
      </c>
      <c r="P761" s="9">
        <f t="shared" si="115"/>
        <v>5621.3</v>
      </c>
      <c r="Q761" s="139">
        <f t="shared" si="116"/>
        <v>0.63616181229773472</v>
      </c>
      <c r="R761" s="395">
        <f>VLOOKUP(C761,'[1]ORIGINAL (2)'!$A:$C,3,FALSE)</f>
        <v>418</v>
      </c>
      <c r="S761" s="24" t="e">
        <f>VLOOKUP(C761,#REF!,6,FALSE)</f>
        <v>#REF!</v>
      </c>
      <c r="T761" s="24" t="e">
        <f>VLOOKUP(C761,#REF!,7,FALSE)</f>
        <v>#REF!</v>
      </c>
      <c r="U761" s="24" t="e">
        <f>VLOOKUP(C761,#REF!,12,FALSE)</f>
        <v>#REF!</v>
      </c>
      <c r="V761" s="24" t="e">
        <f>VLOOKUP(C761,#REF!,13,FALSE)</f>
        <v>#REF!</v>
      </c>
    </row>
    <row r="762" spans="1:22" x14ac:dyDescent="0.25">
      <c r="A762" s="7" t="s">
        <v>1589</v>
      </c>
      <c r="B762" s="8">
        <v>9789500210041</v>
      </c>
      <c r="C762" s="8">
        <v>665952</v>
      </c>
      <c r="D762" s="25">
        <v>36</v>
      </c>
      <c r="E762" s="7" t="s">
        <v>448</v>
      </c>
      <c r="F762" s="265" t="s">
        <v>449</v>
      </c>
      <c r="G762" s="107">
        <v>43647</v>
      </c>
      <c r="H762" s="108">
        <v>46113</v>
      </c>
      <c r="I762" s="7">
        <v>3015</v>
      </c>
      <c r="J762" s="6" t="s">
        <v>1333</v>
      </c>
      <c r="K762" s="9">
        <v>1791.68</v>
      </c>
      <c r="L762" s="9">
        <v>30900</v>
      </c>
      <c r="M762" s="9">
        <f>+L762*0.1</f>
        <v>3090</v>
      </c>
      <c r="N762" s="9">
        <f t="shared" si="113"/>
        <v>15450</v>
      </c>
      <c r="O762" s="9">
        <f t="shared" si="114"/>
        <v>10568.32</v>
      </c>
      <c r="P762" s="9">
        <f t="shared" si="115"/>
        <v>4881.68</v>
      </c>
      <c r="Q762" s="139">
        <f t="shared" si="116"/>
        <v>0.68403365695792884</v>
      </c>
      <c r="R762" s="395">
        <f>VLOOKUP(C762,'[1]ORIGINAL (2)'!$A:$C,3,FALSE)</f>
        <v>332</v>
      </c>
      <c r="S762" s="24" t="e">
        <f>VLOOKUP(C762,#REF!,6,FALSE)</f>
        <v>#REF!</v>
      </c>
      <c r="T762" s="24" t="e">
        <f>VLOOKUP(C762,#REF!,7,FALSE)</f>
        <v>#REF!</v>
      </c>
      <c r="U762" s="24" t="e">
        <f>VLOOKUP(C762,#REF!,12,FALSE)</f>
        <v>#REF!</v>
      </c>
      <c r="V762" s="24" t="e">
        <f>VLOOKUP(C762,#REF!,13,FALSE)</f>
        <v>#REF!</v>
      </c>
    </row>
    <row r="763" spans="1:22" x14ac:dyDescent="0.25">
      <c r="A763" s="6" t="s">
        <v>2028</v>
      </c>
      <c r="B763" s="279">
        <v>9789500216166</v>
      </c>
      <c r="C763" s="8">
        <v>728158</v>
      </c>
      <c r="D763" s="239">
        <v>32</v>
      </c>
      <c r="E763" s="6" t="s">
        <v>448</v>
      </c>
      <c r="F763" s="6" t="s">
        <v>2010</v>
      </c>
      <c r="G763" s="107">
        <v>45748</v>
      </c>
      <c r="H763" s="107">
        <v>46266</v>
      </c>
      <c r="I763" s="239">
        <v>2075</v>
      </c>
      <c r="J763" s="6" t="s">
        <v>1333</v>
      </c>
      <c r="K763" s="148">
        <v>2366.08</v>
      </c>
      <c r="L763" s="295">
        <v>25500</v>
      </c>
      <c r="M763" s="9">
        <f>+L763*0.1</f>
        <v>2550</v>
      </c>
      <c r="N763" s="9">
        <f t="shared" si="113"/>
        <v>12750</v>
      </c>
      <c r="O763" s="9">
        <f t="shared" si="114"/>
        <v>7833.92</v>
      </c>
      <c r="P763" s="9">
        <f t="shared" si="115"/>
        <v>4916.08</v>
      </c>
      <c r="Q763" s="139">
        <f t="shared" si="116"/>
        <v>0.61442509803921574</v>
      </c>
      <c r="R763" s="395">
        <f>VLOOKUP(C763,'[1]ORIGINAL (2)'!$A:$C,3,FALSE)</f>
        <v>808</v>
      </c>
      <c r="S763" s="24" t="e">
        <f>VLOOKUP(C763,#REF!,6,FALSE)</f>
        <v>#REF!</v>
      </c>
      <c r="T763" s="24" t="e">
        <f>VLOOKUP(C763,#REF!,7,FALSE)</f>
        <v>#REF!</v>
      </c>
      <c r="U763" s="24" t="e">
        <f>VLOOKUP(C763,#REF!,12,FALSE)</f>
        <v>#REF!</v>
      </c>
      <c r="V763" s="24" t="e">
        <f>VLOOKUP(C763,#REF!,13,FALSE)</f>
        <v>#REF!</v>
      </c>
    </row>
    <row r="764" spans="1:22" x14ac:dyDescent="0.25">
      <c r="A764" s="6" t="s">
        <v>1590</v>
      </c>
      <c r="B764" s="8">
        <v>9789500213998</v>
      </c>
      <c r="C764" s="8">
        <v>707948</v>
      </c>
      <c r="D764" s="41">
        <v>40</v>
      </c>
      <c r="E764" s="7" t="s">
        <v>448</v>
      </c>
      <c r="F764" s="7" t="s">
        <v>1952</v>
      </c>
      <c r="G764" s="118">
        <v>45139</v>
      </c>
      <c r="H764" s="108">
        <v>46082</v>
      </c>
      <c r="I764" s="264">
        <v>2145</v>
      </c>
      <c r="J764" s="6" t="s">
        <v>1333</v>
      </c>
      <c r="K764" s="9">
        <v>2523.5100000000002</v>
      </c>
      <c r="L764" s="295">
        <v>25500</v>
      </c>
      <c r="M764" s="9">
        <f>+L764*0.12</f>
        <v>3060</v>
      </c>
      <c r="N764" s="9">
        <f t="shared" si="113"/>
        <v>12750</v>
      </c>
      <c r="O764" s="9">
        <f t="shared" si="114"/>
        <v>7166.49</v>
      </c>
      <c r="P764" s="9">
        <f t="shared" si="115"/>
        <v>5583.51</v>
      </c>
      <c r="Q764" s="139">
        <f t="shared" si="116"/>
        <v>0.56207764705882346</v>
      </c>
      <c r="R764" s="395">
        <f>VLOOKUP(C764,'[1]ORIGINAL (2)'!$A:$C,3,FALSE)</f>
        <v>1353</v>
      </c>
      <c r="S764" s="24" t="e">
        <f>VLOOKUP(C764,#REF!,6,FALSE)</f>
        <v>#REF!</v>
      </c>
      <c r="T764" s="24" t="e">
        <f>VLOOKUP(C764,#REF!,7,FALSE)</f>
        <v>#REF!</v>
      </c>
      <c r="U764" s="24" t="e">
        <f>VLOOKUP(C764,#REF!,12,FALSE)</f>
        <v>#REF!</v>
      </c>
      <c r="V764" s="24" t="e">
        <f>VLOOKUP(C764,#REF!,13,FALSE)</f>
        <v>#REF!</v>
      </c>
    </row>
    <row r="765" spans="1:22" x14ac:dyDescent="0.25">
      <c r="A765" s="6" t="s">
        <v>1591</v>
      </c>
      <c r="B765" s="8">
        <v>9789500214100</v>
      </c>
      <c r="C765" s="8">
        <v>709129</v>
      </c>
      <c r="D765" s="41">
        <v>36</v>
      </c>
      <c r="E765" s="7" t="s">
        <v>448</v>
      </c>
      <c r="F765" s="7" t="s">
        <v>1953</v>
      </c>
      <c r="G765" s="107">
        <v>45170</v>
      </c>
      <c r="H765" s="107">
        <v>46266</v>
      </c>
      <c r="I765" s="239">
        <v>2075</v>
      </c>
      <c r="J765" s="6" t="s">
        <v>1333</v>
      </c>
      <c r="K765" s="148">
        <v>2471.4499999999998</v>
      </c>
      <c r="L765" s="295">
        <v>25500</v>
      </c>
      <c r="M765" s="9">
        <f>+L765*0.12</f>
        <v>3060</v>
      </c>
      <c r="N765" s="9">
        <f t="shared" si="113"/>
        <v>12750</v>
      </c>
      <c r="O765" s="9">
        <f t="shared" si="114"/>
        <v>7218.55</v>
      </c>
      <c r="P765" s="9">
        <f t="shared" si="115"/>
        <v>5531.45</v>
      </c>
      <c r="Q765" s="139">
        <f t="shared" si="116"/>
        <v>0.56616078431372552</v>
      </c>
      <c r="R765" s="395">
        <f>VLOOKUP(C765,'[1]ORIGINAL (2)'!$A:$C,3,FALSE)</f>
        <v>1292</v>
      </c>
      <c r="S765" s="24" t="e">
        <f>VLOOKUP(C765,#REF!,6,FALSE)</f>
        <v>#REF!</v>
      </c>
      <c r="T765" s="24" t="e">
        <f>VLOOKUP(C765,#REF!,7,FALSE)</f>
        <v>#REF!</v>
      </c>
      <c r="U765" s="24" t="e">
        <f>VLOOKUP(C765,#REF!,12,FALSE)</f>
        <v>#REF!</v>
      </c>
      <c r="V765" s="24" t="e">
        <f>VLOOKUP(C765,#REF!,13,FALSE)</f>
        <v>#REF!</v>
      </c>
    </row>
    <row r="766" spans="1:22" x14ac:dyDescent="0.25">
      <c r="A766" s="6" t="s">
        <v>1592</v>
      </c>
      <c r="B766" s="8">
        <v>9789500214117</v>
      </c>
      <c r="C766" s="8">
        <v>709130</v>
      </c>
      <c r="D766" s="41">
        <v>36</v>
      </c>
      <c r="E766" s="7" t="s">
        <v>448</v>
      </c>
      <c r="F766" s="7" t="s">
        <v>1954</v>
      </c>
      <c r="G766" s="107">
        <v>45170</v>
      </c>
      <c r="H766" s="107">
        <v>46266</v>
      </c>
      <c r="I766" s="239">
        <v>2070</v>
      </c>
      <c r="J766" s="6" t="s">
        <v>1333</v>
      </c>
      <c r="K766" s="148">
        <v>2620.5300000000002</v>
      </c>
      <c r="L766" s="295">
        <v>25500</v>
      </c>
      <c r="M766" s="9">
        <f>+L766*0.12</f>
        <v>3060</v>
      </c>
      <c r="N766" s="9">
        <f t="shared" si="113"/>
        <v>12750</v>
      </c>
      <c r="O766" s="9">
        <f t="shared" si="114"/>
        <v>7069.4699999999993</v>
      </c>
      <c r="P766" s="9">
        <f t="shared" si="115"/>
        <v>5680.5300000000007</v>
      </c>
      <c r="Q766" s="139">
        <f t="shared" si="116"/>
        <v>0.5544682352941176</v>
      </c>
      <c r="R766" s="395">
        <f>VLOOKUP(C766,'[1]ORIGINAL (2)'!$A:$C,3,FALSE)</f>
        <v>1316</v>
      </c>
      <c r="S766" s="24" t="e">
        <f>VLOOKUP(C766,#REF!,6,FALSE)</f>
        <v>#REF!</v>
      </c>
      <c r="T766" s="24" t="e">
        <f>VLOOKUP(C766,#REF!,7,FALSE)</f>
        <v>#REF!</v>
      </c>
      <c r="U766" s="24" t="e">
        <f>VLOOKUP(C766,#REF!,12,FALSE)</f>
        <v>#REF!</v>
      </c>
      <c r="V766" s="24" t="e">
        <f>VLOOKUP(C766,#REF!,13,FALSE)</f>
        <v>#REF!</v>
      </c>
    </row>
    <row r="767" spans="1:22" x14ac:dyDescent="0.25">
      <c r="A767" s="7" t="s">
        <v>1799</v>
      </c>
      <c r="B767" s="8">
        <v>9789500214995</v>
      </c>
      <c r="C767" s="8">
        <v>714679</v>
      </c>
      <c r="D767" s="25">
        <v>32</v>
      </c>
      <c r="E767" s="7" t="s">
        <v>448</v>
      </c>
      <c r="F767" s="116" t="s">
        <v>1955</v>
      </c>
      <c r="G767" s="107">
        <v>45383</v>
      </c>
      <c r="H767" s="108">
        <v>45931</v>
      </c>
      <c r="I767" s="7">
        <v>3055</v>
      </c>
      <c r="J767" s="6" t="s">
        <v>1333</v>
      </c>
      <c r="K767" s="148">
        <v>1850.75</v>
      </c>
      <c r="L767" s="295">
        <v>25500</v>
      </c>
      <c r="M767" s="112">
        <f>+L767*0.12</f>
        <v>3060</v>
      </c>
      <c r="N767" s="9">
        <f t="shared" si="113"/>
        <v>12750</v>
      </c>
      <c r="O767" s="9">
        <f t="shared" si="114"/>
        <v>7839.25</v>
      </c>
      <c r="P767" s="9">
        <f t="shared" si="115"/>
        <v>4910.75</v>
      </c>
      <c r="Q767" s="139">
        <f t="shared" si="116"/>
        <v>0.61484313725490192</v>
      </c>
      <c r="R767" s="395">
        <f>VLOOKUP(C767,'[1]ORIGINAL (2)'!$A:$C,3,FALSE)</f>
        <v>888</v>
      </c>
      <c r="S767" s="24" t="e">
        <f>VLOOKUP(C767,#REF!,6,FALSE)</f>
        <v>#REF!</v>
      </c>
      <c r="T767" s="24" t="e">
        <f>VLOOKUP(C767,#REF!,7,FALSE)</f>
        <v>#REF!</v>
      </c>
      <c r="U767" s="24" t="e">
        <f>VLOOKUP(C767,#REF!,12,FALSE)</f>
        <v>#REF!</v>
      </c>
      <c r="V767" s="24" t="e">
        <f>VLOOKUP(C767,#REF!,13,FALSE)</f>
        <v>#REF!</v>
      </c>
    </row>
    <row r="768" spans="1:22" x14ac:dyDescent="0.25">
      <c r="A768" s="6" t="s">
        <v>1979</v>
      </c>
      <c r="B768" s="8">
        <v>9789500215831</v>
      </c>
      <c r="C768" s="6">
        <v>725697</v>
      </c>
      <c r="D768" s="41">
        <v>32</v>
      </c>
      <c r="E768" s="288" t="s">
        <v>515</v>
      </c>
      <c r="F768" s="6" t="s">
        <v>1988</v>
      </c>
      <c r="G768" s="107">
        <v>45689</v>
      </c>
      <c r="H768" s="107">
        <v>46266</v>
      </c>
      <c r="I768" s="239" t="s">
        <v>2435</v>
      </c>
      <c r="J768" s="6" t="s">
        <v>1333</v>
      </c>
      <c r="K768" s="148">
        <v>3015.66</v>
      </c>
      <c r="L768" s="295">
        <v>25500</v>
      </c>
      <c r="M768" s="9">
        <f t="shared" ref="M768:M783" si="119">+L768*0.1</f>
        <v>2550</v>
      </c>
      <c r="N768" s="9">
        <f t="shared" si="113"/>
        <v>12750</v>
      </c>
      <c r="O768" s="9">
        <f t="shared" si="114"/>
        <v>7184.34</v>
      </c>
      <c r="P768" s="9">
        <f t="shared" si="115"/>
        <v>5565.66</v>
      </c>
      <c r="Q768" s="109">
        <f t="shared" si="116"/>
        <v>0.56347764705882353</v>
      </c>
      <c r="R768" s="395">
        <f>VLOOKUP(C768,'[1]ORIGINAL (2)'!$A:$C,3,FALSE)</f>
        <v>269</v>
      </c>
      <c r="S768" s="24" t="e">
        <f>VLOOKUP(C768,#REF!,6,FALSE)</f>
        <v>#REF!</v>
      </c>
      <c r="T768" s="24" t="e">
        <f>VLOOKUP(C768,#REF!,7,FALSE)</f>
        <v>#REF!</v>
      </c>
      <c r="U768" s="24" t="e">
        <f>VLOOKUP(C768,#REF!,12,FALSE)</f>
        <v>#REF!</v>
      </c>
      <c r="V768" s="24" t="e">
        <f>VLOOKUP(C768,#REF!,13,FALSE)</f>
        <v>#REF!</v>
      </c>
    </row>
    <row r="769" spans="1:22" x14ac:dyDescent="0.25">
      <c r="A769" s="7" t="s">
        <v>1798</v>
      </c>
      <c r="B769" s="8">
        <v>9789500215008</v>
      </c>
      <c r="C769" s="8">
        <v>714678</v>
      </c>
      <c r="D769" s="25">
        <v>32</v>
      </c>
      <c r="E769" s="7" t="s">
        <v>515</v>
      </c>
      <c r="F769" s="116" t="s">
        <v>1956</v>
      </c>
      <c r="G769" s="107">
        <v>45383</v>
      </c>
      <c r="H769" s="108">
        <v>46204</v>
      </c>
      <c r="I769" s="7">
        <v>2125</v>
      </c>
      <c r="J769" s="116" t="s">
        <v>1333</v>
      </c>
      <c r="K769" s="9">
        <v>2341.59</v>
      </c>
      <c r="L769" s="295">
        <v>25500</v>
      </c>
      <c r="M769" s="112">
        <f t="shared" si="119"/>
        <v>2550</v>
      </c>
      <c r="N769" s="9">
        <f t="shared" si="113"/>
        <v>12750</v>
      </c>
      <c r="O769" s="9">
        <f t="shared" si="114"/>
        <v>7858.41</v>
      </c>
      <c r="P769" s="9">
        <f t="shared" si="115"/>
        <v>4891.59</v>
      </c>
      <c r="Q769" s="139">
        <f t="shared" si="116"/>
        <v>0.61634588235294119</v>
      </c>
      <c r="R769" s="395">
        <f>VLOOKUP(C769,'[1]ORIGINAL (2)'!$A:$C,3,FALSE)</f>
        <v>1198</v>
      </c>
      <c r="S769" s="24" t="e">
        <f>VLOOKUP(C769,#REF!,6,FALSE)</f>
        <v>#REF!</v>
      </c>
      <c r="T769" s="24" t="e">
        <f>VLOOKUP(C769,#REF!,7,FALSE)</f>
        <v>#REF!</v>
      </c>
      <c r="U769" s="24" t="e">
        <f>VLOOKUP(C769,#REF!,12,FALSE)</f>
        <v>#REF!</v>
      </c>
      <c r="V769" s="24" t="e">
        <f>VLOOKUP(C769,#REF!,13,FALSE)</f>
        <v>#REF!</v>
      </c>
    </row>
    <row r="770" spans="1:22" x14ac:dyDescent="0.25">
      <c r="A770" s="7" t="s">
        <v>1593</v>
      </c>
      <c r="B770" s="8">
        <v>9789500214261</v>
      </c>
      <c r="C770" s="8">
        <v>710540</v>
      </c>
      <c r="D770" s="25">
        <v>32</v>
      </c>
      <c r="E770" s="7" t="s">
        <v>515</v>
      </c>
      <c r="F770" s="7" t="s">
        <v>1922</v>
      </c>
      <c r="G770" s="107">
        <v>45231</v>
      </c>
      <c r="H770" s="108">
        <v>45200</v>
      </c>
      <c r="I770" s="7">
        <v>5050</v>
      </c>
      <c r="J770" s="6" t="s">
        <v>1333</v>
      </c>
      <c r="K770" s="117">
        <v>803.63</v>
      </c>
      <c r="L770" s="295">
        <v>25500</v>
      </c>
      <c r="M770" s="112">
        <f t="shared" si="119"/>
        <v>2550</v>
      </c>
      <c r="N770" s="9">
        <f t="shared" si="113"/>
        <v>12750</v>
      </c>
      <c r="O770" s="9">
        <f t="shared" si="114"/>
        <v>9396.3700000000008</v>
      </c>
      <c r="P770" s="9">
        <f t="shared" si="115"/>
        <v>3353.63</v>
      </c>
      <c r="Q770" s="139">
        <f t="shared" si="116"/>
        <v>0.73697019607843139</v>
      </c>
      <c r="R770" s="395">
        <f>VLOOKUP(C770,'[1]ORIGINAL (2)'!$A:$C,3,FALSE)</f>
        <v>215</v>
      </c>
      <c r="S770" s="24" t="e">
        <f>VLOOKUP(C770,#REF!,6,FALSE)</f>
        <v>#REF!</v>
      </c>
      <c r="T770" s="24" t="e">
        <f>VLOOKUP(C770,#REF!,7,FALSE)</f>
        <v>#REF!</v>
      </c>
      <c r="U770" s="24" t="e">
        <f>VLOOKUP(C770,#REF!,12,FALSE)</f>
        <v>#REF!</v>
      </c>
      <c r="V770" s="24" t="e">
        <f>VLOOKUP(C770,#REF!,13,FALSE)</f>
        <v>#REF!</v>
      </c>
    </row>
    <row r="771" spans="1:22" x14ac:dyDescent="0.25">
      <c r="A771" s="6" t="s">
        <v>1880</v>
      </c>
      <c r="B771" s="8">
        <v>9789500215343</v>
      </c>
      <c r="C771" s="8">
        <v>717942</v>
      </c>
      <c r="D771" s="41">
        <v>32</v>
      </c>
      <c r="E771" s="7" t="s">
        <v>515</v>
      </c>
      <c r="F771" s="25" t="s">
        <v>1923</v>
      </c>
      <c r="G771" s="107">
        <v>45474</v>
      </c>
      <c r="H771" s="108">
        <v>46204</v>
      </c>
      <c r="I771" s="7">
        <v>2162</v>
      </c>
      <c r="J771" s="25" t="s">
        <v>1333</v>
      </c>
      <c r="K771" s="367">
        <v>2332.17</v>
      </c>
      <c r="L771" s="295">
        <v>25500</v>
      </c>
      <c r="M771" s="9">
        <f t="shared" si="119"/>
        <v>2550</v>
      </c>
      <c r="N771" s="9">
        <f t="shared" si="113"/>
        <v>12750</v>
      </c>
      <c r="O771" s="9">
        <f t="shared" si="114"/>
        <v>7867.83</v>
      </c>
      <c r="P771" s="9">
        <f t="shared" si="115"/>
        <v>4882.17</v>
      </c>
      <c r="Q771" s="139">
        <f t="shared" si="116"/>
        <v>0.61708470588235298</v>
      </c>
      <c r="R771" s="395">
        <f>VLOOKUP(C771,'[1]ORIGINAL (2)'!$A:$C,3,FALSE)</f>
        <v>1528</v>
      </c>
      <c r="S771" s="24" t="e">
        <f>VLOOKUP(C771,#REF!,6,FALSE)</f>
        <v>#REF!</v>
      </c>
      <c r="T771" s="24" t="e">
        <f>VLOOKUP(C771,#REF!,7,FALSE)</f>
        <v>#REF!</v>
      </c>
      <c r="U771" s="24" t="e">
        <f>VLOOKUP(C771,#REF!,12,FALSE)</f>
        <v>#REF!</v>
      </c>
      <c r="V771" s="24" t="e">
        <f>VLOOKUP(C771,#REF!,13,FALSE)</f>
        <v>#REF!</v>
      </c>
    </row>
    <row r="772" spans="1:22" x14ac:dyDescent="0.25">
      <c r="A772" s="6" t="s">
        <v>1924</v>
      </c>
      <c r="B772" s="8">
        <v>9789500215664</v>
      </c>
      <c r="C772" s="8">
        <v>722237</v>
      </c>
      <c r="D772" s="41">
        <v>32</v>
      </c>
      <c r="E772" s="7" t="s">
        <v>515</v>
      </c>
      <c r="F772" s="6" t="s">
        <v>2307</v>
      </c>
      <c r="G772" s="107">
        <v>45566</v>
      </c>
      <c r="H772" s="108">
        <v>46082</v>
      </c>
      <c r="I772" s="264">
        <v>2077</v>
      </c>
      <c r="J772" s="6" t="s">
        <v>1333</v>
      </c>
      <c r="K772" s="148">
        <v>2152.19</v>
      </c>
      <c r="L772" s="295">
        <v>25500</v>
      </c>
      <c r="M772" s="9">
        <f t="shared" si="119"/>
        <v>2550</v>
      </c>
      <c r="N772" s="9">
        <f t="shared" si="113"/>
        <v>12750</v>
      </c>
      <c r="O772" s="9">
        <f t="shared" si="114"/>
        <v>8047.8099999999995</v>
      </c>
      <c r="P772" s="9">
        <f t="shared" si="115"/>
        <v>4702.1900000000005</v>
      </c>
      <c r="Q772" s="139">
        <f t="shared" si="116"/>
        <v>0.6312007843137255</v>
      </c>
      <c r="R772" s="395">
        <f>VLOOKUP(C772,'[1]ORIGINAL (2)'!$A:$C,3,FALSE)</f>
        <v>771</v>
      </c>
      <c r="S772" s="24" t="e">
        <f>VLOOKUP(C772,#REF!,6,FALSE)</f>
        <v>#REF!</v>
      </c>
      <c r="T772" s="24" t="e">
        <f>VLOOKUP(C772,#REF!,7,FALSE)</f>
        <v>#REF!</v>
      </c>
      <c r="U772" s="24" t="e">
        <f>VLOOKUP(C772,#REF!,12,FALSE)</f>
        <v>#REF!</v>
      </c>
      <c r="V772" s="24" t="e">
        <f>VLOOKUP(C772,#REF!,13,FALSE)</f>
        <v>#REF!</v>
      </c>
    </row>
    <row r="773" spans="1:22" x14ac:dyDescent="0.25">
      <c r="A773" s="7" t="s">
        <v>1950</v>
      </c>
      <c r="B773" s="8">
        <v>9789500215701</v>
      </c>
      <c r="C773" s="8">
        <v>723728</v>
      </c>
      <c r="D773" s="25">
        <v>36</v>
      </c>
      <c r="E773" s="9" t="s">
        <v>648</v>
      </c>
      <c r="F773" s="7" t="s">
        <v>1951</v>
      </c>
      <c r="G773" s="118">
        <v>45597</v>
      </c>
      <c r="H773" s="108">
        <v>45901</v>
      </c>
      <c r="I773" s="264">
        <v>2025</v>
      </c>
      <c r="J773" s="6" t="s">
        <v>1333</v>
      </c>
      <c r="K773" s="9">
        <v>1513.18</v>
      </c>
      <c r="L773" s="295">
        <v>25500</v>
      </c>
      <c r="M773" s="9">
        <f t="shared" si="119"/>
        <v>2550</v>
      </c>
      <c r="N773" s="9">
        <f t="shared" si="113"/>
        <v>12750</v>
      </c>
      <c r="O773" s="9">
        <f t="shared" si="114"/>
        <v>8686.82</v>
      </c>
      <c r="P773" s="9">
        <f t="shared" si="115"/>
        <v>4063.1800000000003</v>
      </c>
      <c r="Q773" s="139">
        <f t="shared" si="116"/>
        <v>0.68131921568627452</v>
      </c>
      <c r="R773" s="395">
        <f>VLOOKUP(C773,'[1]ORIGINAL (2)'!$A:$C,3,FALSE)</f>
        <v>767</v>
      </c>
      <c r="S773" s="24" t="e">
        <f>VLOOKUP(C773,#REF!,6,FALSE)</f>
        <v>#REF!</v>
      </c>
      <c r="T773" s="24" t="e">
        <f>VLOOKUP(C773,#REF!,7,FALSE)</f>
        <v>#REF!</v>
      </c>
      <c r="U773" s="24" t="e">
        <f>VLOOKUP(C773,#REF!,12,FALSE)</f>
        <v>#REF!</v>
      </c>
      <c r="V773" s="24" t="e">
        <f>VLOOKUP(C773,#REF!,13,FALSE)</f>
        <v>#REF!</v>
      </c>
    </row>
    <row r="774" spans="1:22" x14ac:dyDescent="0.25">
      <c r="A774" s="7" t="s">
        <v>2053</v>
      </c>
      <c r="B774" s="8">
        <v>9789500216296</v>
      </c>
      <c r="C774" s="146">
        <v>729382</v>
      </c>
      <c r="D774" s="25">
        <v>32</v>
      </c>
      <c r="E774" s="6" t="s">
        <v>515</v>
      </c>
      <c r="F774" s="7" t="s">
        <v>2054</v>
      </c>
      <c r="G774" s="107">
        <v>45778</v>
      </c>
      <c r="H774" s="108">
        <v>46204</v>
      </c>
      <c r="I774" s="7">
        <v>2020</v>
      </c>
      <c r="J774" s="7" t="s">
        <v>1333</v>
      </c>
      <c r="K774" s="9">
        <v>2370.21</v>
      </c>
      <c r="L774" s="295">
        <v>25500</v>
      </c>
      <c r="M774" s="9">
        <f t="shared" si="119"/>
        <v>2550</v>
      </c>
      <c r="N774" s="9">
        <f t="shared" ref="N774:N784" si="120">+L774/2</f>
        <v>12750</v>
      </c>
      <c r="O774" s="9">
        <f t="shared" ref="O774:O784" si="121">+N774-M774-K774</f>
        <v>7829.79</v>
      </c>
      <c r="P774" s="9">
        <f t="shared" ref="P774:P784" si="122">+M774+K774</f>
        <v>4920.21</v>
      </c>
      <c r="Q774" s="139">
        <f t="shared" ref="Q774:Q784" si="123">+O774/N774</f>
        <v>0.61410117647058826</v>
      </c>
      <c r="R774" s="395">
        <f>VLOOKUP(C774,'[1]ORIGINAL (2)'!$A:$C,3,FALSE)</f>
        <v>722</v>
      </c>
      <c r="S774" s="24" t="e">
        <f>VLOOKUP(C774,#REF!,6,FALSE)</f>
        <v>#REF!</v>
      </c>
      <c r="T774" s="24" t="e">
        <f>VLOOKUP(C774,#REF!,7,FALSE)</f>
        <v>#REF!</v>
      </c>
      <c r="U774" s="24" t="e">
        <f>VLOOKUP(C774,#REF!,12,FALSE)</f>
        <v>#REF!</v>
      </c>
      <c r="V774" s="24" t="e">
        <f>VLOOKUP(C774,#REF!,13,FALSE)</f>
        <v>#REF!</v>
      </c>
    </row>
    <row r="775" spans="1:22" x14ac:dyDescent="0.25">
      <c r="A775" s="6" t="s">
        <v>1594</v>
      </c>
      <c r="B775" s="8">
        <v>9789500213028</v>
      </c>
      <c r="C775" s="6">
        <v>698770</v>
      </c>
      <c r="D775" s="41">
        <v>36</v>
      </c>
      <c r="E775" s="7" t="s">
        <v>515</v>
      </c>
      <c r="F775" s="265" t="s">
        <v>728</v>
      </c>
      <c r="G775" s="107">
        <v>44835</v>
      </c>
      <c r="H775" s="108">
        <v>44805</v>
      </c>
      <c r="I775" s="7">
        <v>5057</v>
      </c>
      <c r="J775" s="6" t="s">
        <v>1333</v>
      </c>
      <c r="K775" s="9">
        <v>728.85</v>
      </c>
      <c r="L775" s="9">
        <v>29900</v>
      </c>
      <c r="M775" s="112">
        <f t="shared" si="119"/>
        <v>2990</v>
      </c>
      <c r="N775" s="9">
        <f t="shared" si="120"/>
        <v>14950</v>
      </c>
      <c r="O775" s="9">
        <f t="shared" si="121"/>
        <v>11231.15</v>
      </c>
      <c r="P775" s="9">
        <f t="shared" si="122"/>
        <v>3718.85</v>
      </c>
      <c r="Q775" s="139">
        <f t="shared" si="123"/>
        <v>0.75124749163879601</v>
      </c>
      <c r="R775" s="395">
        <f>VLOOKUP(C775,'[1]ORIGINAL (2)'!$A:$C,3,FALSE)</f>
        <v>219</v>
      </c>
      <c r="S775" s="24" t="e">
        <f>VLOOKUP(C775,#REF!,6,FALSE)</f>
        <v>#REF!</v>
      </c>
      <c r="T775" s="24" t="e">
        <f>VLOOKUP(C775,#REF!,7,FALSE)</f>
        <v>#REF!</v>
      </c>
      <c r="U775" s="24" t="e">
        <f>VLOOKUP(C775,#REF!,12,FALSE)</f>
        <v>#REF!</v>
      </c>
      <c r="V775" s="24" t="e">
        <f>VLOOKUP(C775,#REF!,13,FALSE)</f>
        <v>#REF!</v>
      </c>
    </row>
    <row r="776" spans="1:22" x14ac:dyDescent="0.25">
      <c r="A776" s="6" t="s">
        <v>1599</v>
      </c>
      <c r="B776" s="8">
        <v>9789500213578</v>
      </c>
      <c r="C776" s="8">
        <v>704437</v>
      </c>
      <c r="D776" s="41">
        <v>36</v>
      </c>
      <c r="E776" s="7" t="s">
        <v>515</v>
      </c>
      <c r="F776" s="294" t="s">
        <v>1600</v>
      </c>
      <c r="G776" s="107">
        <v>45047</v>
      </c>
      <c r="H776" s="108">
        <v>45017</v>
      </c>
      <c r="I776" s="7">
        <v>5195</v>
      </c>
      <c r="J776" s="6" t="s">
        <v>1333</v>
      </c>
      <c r="K776" s="117">
        <v>1088.99</v>
      </c>
      <c r="L776" s="9">
        <v>29900</v>
      </c>
      <c r="M776" s="9">
        <f t="shared" si="119"/>
        <v>2990</v>
      </c>
      <c r="N776" s="9">
        <f t="shared" si="120"/>
        <v>14950</v>
      </c>
      <c r="O776" s="9">
        <f t="shared" si="121"/>
        <v>10871.01</v>
      </c>
      <c r="P776" s="9">
        <f t="shared" si="122"/>
        <v>4078.99</v>
      </c>
      <c r="Q776" s="139">
        <f t="shared" si="123"/>
        <v>0.72715785953177259</v>
      </c>
      <c r="R776" s="395">
        <f>VLOOKUP(C776,'[1]ORIGINAL (2)'!$A:$C,3,FALSE)</f>
        <v>166</v>
      </c>
      <c r="S776" s="24" t="e">
        <f>VLOOKUP(C776,#REF!,6,FALSE)</f>
        <v>#REF!</v>
      </c>
      <c r="T776" s="24" t="e">
        <f>VLOOKUP(C776,#REF!,7,FALSE)</f>
        <v>#REF!</v>
      </c>
      <c r="U776" s="24" t="e">
        <f>VLOOKUP(C776,#REF!,12,FALSE)</f>
        <v>#REF!</v>
      </c>
      <c r="V776" s="24" t="e">
        <f>VLOOKUP(C776,#REF!,13,FALSE)</f>
        <v>#REF!</v>
      </c>
    </row>
    <row r="777" spans="1:22" x14ac:dyDescent="0.25">
      <c r="A777" s="6" t="s">
        <v>1595</v>
      </c>
      <c r="B777" s="8">
        <v>9789500212762</v>
      </c>
      <c r="C777" s="8">
        <v>695682</v>
      </c>
      <c r="D777" s="7">
        <v>36</v>
      </c>
      <c r="E777" s="7" t="s">
        <v>515</v>
      </c>
      <c r="F777" s="265" t="s">
        <v>700</v>
      </c>
      <c r="G777" s="107">
        <v>44743</v>
      </c>
      <c r="H777" s="108">
        <v>44713</v>
      </c>
      <c r="I777" s="7">
        <v>10000</v>
      </c>
      <c r="J777" s="6" t="s">
        <v>1333</v>
      </c>
      <c r="K777" s="9">
        <v>383.92</v>
      </c>
      <c r="L777" s="9">
        <v>29900</v>
      </c>
      <c r="M777" s="112">
        <f t="shared" si="119"/>
        <v>2990</v>
      </c>
      <c r="N777" s="9">
        <f t="shared" si="120"/>
        <v>14950</v>
      </c>
      <c r="O777" s="9">
        <f t="shared" si="121"/>
        <v>11576.08</v>
      </c>
      <c r="P777" s="9">
        <f t="shared" si="122"/>
        <v>3373.92</v>
      </c>
      <c r="Q777" s="139">
        <f t="shared" si="123"/>
        <v>0.77431973244147156</v>
      </c>
      <c r="R777" s="395">
        <f>VLOOKUP(C777,'[1]ORIGINAL (2)'!$A:$C,3,FALSE)</f>
        <v>264</v>
      </c>
      <c r="S777" s="24" t="e">
        <f>VLOOKUP(C777,#REF!,6,FALSE)</f>
        <v>#REF!</v>
      </c>
      <c r="T777" s="24" t="e">
        <f>VLOOKUP(C777,#REF!,7,FALSE)</f>
        <v>#REF!</v>
      </c>
      <c r="U777" s="24" t="e">
        <f>VLOOKUP(C777,#REF!,12,FALSE)</f>
        <v>#REF!</v>
      </c>
      <c r="V777" s="24" t="e">
        <f>VLOOKUP(C777,#REF!,13,FALSE)</f>
        <v>#REF!</v>
      </c>
    </row>
    <row r="778" spans="1:22" x14ac:dyDescent="0.25">
      <c r="A778" s="7" t="s">
        <v>1585</v>
      </c>
      <c r="B778" s="8">
        <v>9789500211482</v>
      </c>
      <c r="C778" s="8">
        <v>682657</v>
      </c>
      <c r="D778" s="25">
        <v>36</v>
      </c>
      <c r="E778" s="7" t="s">
        <v>515</v>
      </c>
      <c r="F778" s="265" t="s">
        <v>540</v>
      </c>
      <c r="G778" s="107">
        <v>44287</v>
      </c>
      <c r="H778" s="108">
        <v>44562</v>
      </c>
      <c r="I778" s="7">
        <v>2950</v>
      </c>
      <c r="J778" s="6" t="s">
        <v>1333</v>
      </c>
      <c r="K778" s="117">
        <v>973.03</v>
      </c>
      <c r="L778" s="9">
        <v>29900</v>
      </c>
      <c r="M778" s="9">
        <f t="shared" si="119"/>
        <v>2990</v>
      </c>
      <c r="N778" s="9">
        <f t="shared" si="120"/>
        <v>14950</v>
      </c>
      <c r="O778" s="9">
        <f t="shared" si="121"/>
        <v>10986.97</v>
      </c>
      <c r="P778" s="9">
        <f t="shared" si="122"/>
        <v>3963.0299999999997</v>
      </c>
      <c r="Q778" s="139">
        <f t="shared" si="123"/>
        <v>0.73491438127090292</v>
      </c>
      <c r="R778" s="395">
        <f>VLOOKUP(C778,'[1]ORIGINAL (2)'!$A:$C,3,FALSE)</f>
        <v>8</v>
      </c>
      <c r="S778" s="24" t="e">
        <f>VLOOKUP(C778,#REF!,6,FALSE)</f>
        <v>#REF!</v>
      </c>
      <c r="T778" s="24" t="e">
        <f>VLOOKUP(C778,#REF!,7,FALSE)</f>
        <v>#REF!</v>
      </c>
      <c r="U778" s="24" t="e">
        <f>VLOOKUP(C778,#REF!,12,FALSE)</f>
        <v>#REF!</v>
      </c>
      <c r="V778" s="24" t="e">
        <f>VLOOKUP(C778,#REF!,13,FALSE)</f>
        <v>#REF!</v>
      </c>
    </row>
    <row r="779" spans="1:22" x14ac:dyDescent="0.25">
      <c r="A779" s="7" t="s">
        <v>1596</v>
      </c>
      <c r="B779" s="8">
        <v>9789500212410</v>
      </c>
      <c r="C779" s="8">
        <v>690834</v>
      </c>
      <c r="D779" s="25">
        <v>36</v>
      </c>
      <c r="E779" s="9" t="s">
        <v>648</v>
      </c>
      <c r="F779" s="265" t="s">
        <v>649</v>
      </c>
      <c r="G779" s="107">
        <v>44593</v>
      </c>
      <c r="H779" s="107">
        <v>44652</v>
      </c>
      <c r="I779" s="7">
        <v>3080</v>
      </c>
      <c r="J779" s="6" t="s">
        <v>1333</v>
      </c>
      <c r="K779" s="117">
        <v>965.35</v>
      </c>
      <c r="L779" s="9">
        <v>29900</v>
      </c>
      <c r="M779" s="9">
        <f t="shared" si="119"/>
        <v>2990</v>
      </c>
      <c r="N779" s="9">
        <f t="shared" si="120"/>
        <v>14950</v>
      </c>
      <c r="O779" s="9">
        <f t="shared" si="121"/>
        <v>10994.65</v>
      </c>
      <c r="P779" s="9">
        <f t="shared" si="122"/>
        <v>3955.35</v>
      </c>
      <c r="Q779" s="139">
        <f t="shared" si="123"/>
        <v>0.73542809364548489</v>
      </c>
      <c r="R779" s="395">
        <f>VLOOKUP(C779,'[1]ORIGINAL (2)'!$A:$C,3,FALSE)</f>
        <v>70</v>
      </c>
      <c r="S779" s="24" t="e">
        <f>VLOOKUP(C779,#REF!,6,FALSE)</f>
        <v>#REF!</v>
      </c>
      <c r="T779" s="24" t="e">
        <f>VLOOKUP(C779,#REF!,7,FALSE)</f>
        <v>#REF!</v>
      </c>
      <c r="U779" s="24" t="e">
        <f>VLOOKUP(C779,#REF!,12,FALSE)</f>
        <v>#REF!</v>
      </c>
      <c r="V779" s="24" t="e">
        <f>VLOOKUP(C779,#REF!,13,FALSE)</f>
        <v>#REF!</v>
      </c>
    </row>
    <row r="780" spans="1:22" x14ac:dyDescent="0.25">
      <c r="A780" s="7" t="s">
        <v>1597</v>
      </c>
      <c r="B780" s="8">
        <v>9789500212137</v>
      </c>
      <c r="C780" s="8">
        <v>687426</v>
      </c>
      <c r="D780" s="25">
        <v>36</v>
      </c>
      <c r="E780" s="6" t="s">
        <v>515</v>
      </c>
      <c r="F780" s="265" t="s">
        <v>586</v>
      </c>
      <c r="G780" s="107">
        <v>44470</v>
      </c>
      <c r="H780" s="108">
        <v>44652</v>
      </c>
      <c r="I780" s="7">
        <v>3110</v>
      </c>
      <c r="J780" s="6" t="s">
        <v>1333</v>
      </c>
      <c r="K780" s="117">
        <v>963.67</v>
      </c>
      <c r="L780" s="9">
        <v>29900</v>
      </c>
      <c r="M780" s="9">
        <f t="shared" si="119"/>
        <v>2990</v>
      </c>
      <c r="N780" s="9">
        <f t="shared" si="120"/>
        <v>14950</v>
      </c>
      <c r="O780" s="9">
        <f t="shared" si="121"/>
        <v>10996.33</v>
      </c>
      <c r="P780" s="9">
        <f t="shared" si="122"/>
        <v>3953.67</v>
      </c>
      <c r="Q780" s="139">
        <f t="shared" si="123"/>
        <v>0.73554046822742469</v>
      </c>
      <c r="R780" s="395">
        <f>VLOOKUP(C780,'[1]ORIGINAL (2)'!$A:$C,3,FALSE)</f>
        <v>81</v>
      </c>
      <c r="S780" s="24" t="e">
        <f>VLOOKUP(C780,#REF!,6,FALSE)</f>
        <v>#REF!</v>
      </c>
      <c r="T780" s="24" t="e">
        <f>VLOOKUP(C780,#REF!,7,FALSE)</f>
        <v>#REF!</v>
      </c>
      <c r="U780" s="24" t="e">
        <f>VLOOKUP(C780,#REF!,12,FALSE)</f>
        <v>#REF!</v>
      </c>
      <c r="V780" s="24" t="e">
        <f>VLOOKUP(C780,#REF!,13,FALSE)</f>
        <v>#REF!</v>
      </c>
    </row>
    <row r="781" spans="1:22" x14ac:dyDescent="0.25">
      <c r="A781" s="7" t="s">
        <v>1598</v>
      </c>
      <c r="B781" s="8">
        <v>9789500211246</v>
      </c>
      <c r="C781" s="8">
        <v>679309</v>
      </c>
      <c r="D781" s="25">
        <v>36</v>
      </c>
      <c r="E781" s="7" t="s">
        <v>515</v>
      </c>
      <c r="F781" s="265" t="s">
        <v>516</v>
      </c>
      <c r="G781" s="107">
        <v>44166</v>
      </c>
      <c r="H781" s="108">
        <v>44652</v>
      </c>
      <c r="I781" s="7">
        <v>5000</v>
      </c>
      <c r="J781" s="6" t="s">
        <v>1333</v>
      </c>
      <c r="K781" s="117">
        <v>347.56</v>
      </c>
      <c r="L781" s="9">
        <v>29900</v>
      </c>
      <c r="M781" s="9">
        <f t="shared" si="119"/>
        <v>2990</v>
      </c>
      <c r="N781" s="9">
        <f t="shared" si="120"/>
        <v>14950</v>
      </c>
      <c r="O781" s="9">
        <f t="shared" si="121"/>
        <v>11612.44</v>
      </c>
      <c r="P781" s="9">
        <f t="shared" si="122"/>
        <v>3337.56</v>
      </c>
      <c r="Q781" s="139">
        <f t="shared" si="123"/>
        <v>0.77675183946488302</v>
      </c>
      <c r="R781" s="395">
        <f>VLOOKUP(C781,'[1]ORIGINAL (2)'!$A:$C,3,FALSE)</f>
        <v>38</v>
      </c>
      <c r="S781" s="24" t="e">
        <f>VLOOKUP(C781,#REF!,6,FALSE)</f>
        <v>#REF!</v>
      </c>
      <c r="T781" s="24" t="e">
        <f>VLOOKUP(C781,#REF!,7,FALSE)</f>
        <v>#REF!</v>
      </c>
      <c r="U781" s="24" t="e">
        <f>VLOOKUP(C781,#REF!,12,FALSE)</f>
        <v>#REF!</v>
      </c>
      <c r="V781" s="24" t="e">
        <f>VLOOKUP(C781,#REF!,13,FALSE)</f>
        <v>#REF!</v>
      </c>
    </row>
    <row r="782" spans="1:22" x14ac:dyDescent="0.25">
      <c r="A782" s="6" t="s">
        <v>2232</v>
      </c>
      <c r="B782" s="153">
        <v>9789500217231</v>
      </c>
      <c r="C782" s="4">
        <v>740760</v>
      </c>
      <c r="D782" s="41">
        <v>36</v>
      </c>
      <c r="E782" s="6" t="s">
        <v>515</v>
      </c>
      <c r="F782" s="294" t="s">
        <v>2233</v>
      </c>
      <c r="G782" s="107">
        <v>46054</v>
      </c>
      <c r="H782" s="108">
        <v>46023</v>
      </c>
      <c r="I782" s="267">
        <v>6000</v>
      </c>
      <c r="J782" s="7" t="s">
        <v>1333</v>
      </c>
      <c r="K782" s="148">
        <v>2837.85</v>
      </c>
      <c r="L782" s="9">
        <v>29900</v>
      </c>
      <c r="M782" s="9">
        <f t="shared" si="119"/>
        <v>2990</v>
      </c>
      <c r="N782" s="9">
        <f t="shared" si="120"/>
        <v>14950</v>
      </c>
      <c r="O782" s="9">
        <f t="shared" si="121"/>
        <v>9122.15</v>
      </c>
      <c r="P782" s="9">
        <f t="shared" si="122"/>
        <v>5827.85</v>
      </c>
      <c r="Q782" s="139">
        <f t="shared" si="123"/>
        <v>0.61017725752508356</v>
      </c>
      <c r="R782" s="395">
        <f>VLOOKUP(C782,'[1]ORIGINAL (2)'!$A:$C,3,FALSE)</f>
        <v>644</v>
      </c>
      <c r="S782" s="24" t="e">
        <f>VLOOKUP(C782,#REF!,6,FALSE)</f>
        <v>#REF!</v>
      </c>
      <c r="T782" s="24" t="e">
        <f>VLOOKUP(C782,#REF!,7,FALSE)</f>
        <v>#REF!</v>
      </c>
      <c r="U782" s="24" t="e">
        <f>VLOOKUP(C782,#REF!,12,FALSE)</f>
        <v>#REF!</v>
      </c>
      <c r="V782" s="24" t="e">
        <f>VLOOKUP(C782,#REF!,13,FALSE)</f>
        <v>#REF!</v>
      </c>
    </row>
    <row r="783" spans="1:22" x14ac:dyDescent="0.25">
      <c r="A783" s="7" t="s">
        <v>1601</v>
      </c>
      <c r="B783" s="8">
        <v>9789500212403</v>
      </c>
      <c r="C783" s="8">
        <v>690836</v>
      </c>
      <c r="D783" s="25">
        <v>36</v>
      </c>
      <c r="E783" s="9" t="s">
        <v>650</v>
      </c>
      <c r="F783" s="7" t="s">
        <v>653</v>
      </c>
      <c r="G783" s="107">
        <v>44593</v>
      </c>
      <c r="H783" s="107">
        <v>44593</v>
      </c>
      <c r="I783" s="7">
        <v>3000</v>
      </c>
      <c r="J783" s="28" t="s">
        <v>1762</v>
      </c>
      <c r="K783" s="9">
        <v>379.65</v>
      </c>
      <c r="L783" s="9">
        <v>19900</v>
      </c>
      <c r="M783" s="9">
        <f t="shared" si="119"/>
        <v>1990</v>
      </c>
      <c r="N783" s="9">
        <f t="shared" si="120"/>
        <v>9950</v>
      </c>
      <c r="O783" s="9">
        <f t="shared" si="121"/>
        <v>7580.35</v>
      </c>
      <c r="P783" s="9">
        <f t="shared" si="122"/>
        <v>2369.65</v>
      </c>
      <c r="Q783" s="139">
        <f t="shared" si="123"/>
        <v>0.76184422110552763</v>
      </c>
      <c r="R783" s="395">
        <f>VLOOKUP(C783,'[1]ORIGINAL (2)'!$A:$C,3,FALSE)</f>
        <v>19</v>
      </c>
      <c r="S783" s="24" t="e">
        <f>VLOOKUP(C783,#REF!,6,FALSE)</f>
        <v>#REF!</v>
      </c>
      <c r="T783" s="24" t="e">
        <f>VLOOKUP(C783,#REF!,7,FALSE)</f>
        <v>#REF!</v>
      </c>
      <c r="U783" s="24" t="e">
        <f>VLOOKUP(C783,#REF!,12,FALSE)</f>
        <v>#REF!</v>
      </c>
      <c r="V783" s="24" t="e">
        <f>VLOOKUP(C783,#REF!,13,FALSE)</f>
        <v>#REF!</v>
      </c>
    </row>
    <row r="784" spans="1:22" x14ac:dyDescent="0.25">
      <c r="A784" s="11" t="s">
        <v>1602</v>
      </c>
      <c r="B784" s="13">
        <v>9789500299756</v>
      </c>
      <c r="C784" s="6">
        <v>635045</v>
      </c>
      <c r="D784" s="7">
        <v>40</v>
      </c>
      <c r="E784" s="7" t="s">
        <v>234</v>
      </c>
      <c r="F784" s="11" t="s">
        <v>235</v>
      </c>
      <c r="G784" s="107">
        <v>43009</v>
      </c>
      <c r="H784" s="108">
        <v>42948</v>
      </c>
      <c r="I784" s="24">
        <v>3140</v>
      </c>
      <c r="J784" s="28" t="s">
        <v>1894</v>
      </c>
      <c r="K784" s="28">
        <v>66.3</v>
      </c>
      <c r="L784" s="128">
        <v>16000</v>
      </c>
      <c r="M784" s="9"/>
      <c r="N784" s="9">
        <f t="shared" si="120"/>
        <v>8000</v>
      </c>
      <c r="O784" s="9">
        <f t="shared" si="121"/>
        <v>7933.7</v>
      </c>
      <c r="P784" s="9">
        <f t="shared" si="122"/>
        <v>66.3</v>
      </c>
      <c r="Q784" s="139">
        <f t="shared" si="123"/>
        <v>0.9917125</v>
      </c>
      <c r="R784" s="395">
        <f>VLOOKUP(C784,'[1]ORIGINAL (2)'!$A:$C,3,FALSE)</f>
        <v>3</v>
      </c>
      <c r="S784" s="24" t="e">
        <f>VLOOKUP(C784,#REF!,6,FALSE)</f>
        <v>#REF!</v>
      </c>
      <c r="T784" s="24" t="e">
        <f>VLOOKUP(C784,#REF!,7,FALSE)</f>
        <v>#REF!</v>
      </c>
      <c r="U784" s="24" t="e">
        <f>VLOOKUP(C784,#REF!,12,FALSE)</f>
        <v>#REF!</v>
      </c>
      <c r="V784" s="24" t="e">
        <f>VLOOKUP(C784,#REF!,13,FALSE)</f>
        <v>#REF!</v>
      </c>
    </row>
    <row r="785" spans="1:22" x14ac:dyDescent="0.25">
      <c r="A785" s="1"/>
      <c r="B785" s="3"/>
      <c r="C785" s="3"/>
      <c r="D785" s="2"/>
      <c r="E785" s="274"/>
      <c r="F785" s="275"/>
      <c r="G785" s="2"/>
      <c r="H785" s="132"/>
      <c r="I785" s="132"/>
      <c r="J785" s="134"/>
      <c r="K785" s="132"/>
      <c r="L785" s="134"/>
      <c r="M785" s="132"/>
      <c r="N785" s="132"/>
      <c r="O785" s="132"/>
      <c r="P785" s="132"/>
      <c r="Q785" s="147"/>
      <c r="R785" s="395" t="e">
        <f>VLOOKUP(C785,'[1]ORIGINAL (2)'!$A:$C,3,FALSE)</f>
        <v>#N/A</v>
      </c>
      <c r="S785" s="100"/>
      <c r="T785" s="100"/>
      <c r="U785" s="100"/>
      <c r="V785" s="100"/>
    </row>
    <row r="786" spans="1:22" x14ac:dyDescent="0.25">
      <c r="A786" s="6" t="s">
        <v>1603</v>
      </c>
      <c r="B786" s="8">
        <v>9789500207959</v>
      </c>
      <c r="C786" s="8">
        <v>583656</v>
      </c>
      <c r="D786" s="25">
        <v>112</v>
      </c>
      <c r="E786" s="22" t="s">
        <v>265</v>
      </c>
      <c r="F786" s="6" t="s">
        <v>0</v>
      </c>
      <c r="G786" s="107">
        <v>41913</v>
      </c>
      <c r="H786" s="108">
        <v>41883</v>
      </c>
      <c r="I786" s="24">
        <v>4000</v>
      </c>
      <c r="J786" s="28" t="s">
        <v>1946</v>
      </c>
      <c r="K786" s="28">
        <v>40</v>
      </c>
      <c r="L786" s="128">
        <v>20900</v>
      </c>
      <c r="M786" s="9">
        <f>+L786*0.07</f>
        <v>1463.0000000000002</v>
      </c>
      <c r="N786" s="9">
        <f>+L786/2</f>
        <v>10450</v>
      </c>
      <c r="O786" s="9">
        <f>+N786-M786-K786</f>
        <v>8947</v>
      </c>
      <c r="P786" s="9">
        <f>+M786+K786</f>
        <v>1503.0000000000002</v>
      </c>
      <c r="Q786" s="139">
        <f>+O786/N786</f>
        <v>0.8561722488038277</v>
      </c>
      <c r="R786" s="395" t="e">
        <f>VLOOKUP(C786,'[1]ORIGINAL (2)'!$A:$C,3,FALSE)</f>
        <v>#N/A</v>
      </c>
      <c r="S786" s="24" t="e">
        <f>VLOOKUP(C786,#REF!,6,FALSE)</f>
        <v>#REF!</v>
      </c>
      <c r="T786" s="24" t="e">
        <f>VLOOKUP(C786,#REF!,7,FALSE)</f>
        <v>#REF!</v>
      </c>
      <c r="U786" s="24" t="e">
        <f>VLOOKUP(C786,#REF!,12,FALSE)</f>
        <v>#REF!</v>
      </c>
      <c r="V786" s="24" t="e">
        <f>VLOOKUP(C786,#REF!,13,FALSE)</f>
        <v>#REF!</v>
      </c>
    </row>
    <row r="787" spans="1:22" x14ac:dyDescent="0.25">
      <c r="A787" s="6" t="s">
        <v>1604</v>
      </c>
      <c r="B787" s="8">
        <v>9789500207935</v>
      </c>
      <c r="C787" s="8">
        <v>586578</v>
      </c>
      <c r="D787" s="25">
        <v>112</v>
      </c>
      <c r="E787" s="22" t="s">
        <v>267</v>
      </c>
      <c r="F787" s="6" t="s">
        <v>3</v>
      </c>
      <c r="G787" s="107">
        <v>41974</v>
      </c>
      <c r="H787" s="108">
        <v>41944</v>
      </c>
      <c r="I787" s="24">
        <v>4170</v>
      </c>
      <c r="J787" s="28" t="s">
        <v>1946</v>
      </c>
      <c r="K787" s="28">
        <v>42.87</v>
      </c>
      <c r="L787" s="128">
        <v>20900</v>
      </c>
      <c r="M787" s="9">
        <f>+L787*0.08</f>
        <v>1672</v>
      </c>
      <c r="N787" s="9">
        <f>+L787/2</f>
        <v>10450</v>
      </c>
      <c r="O787" s="9">
        <f>+N787-M787-K787</f>
        <v>8735.1299999999992</v>
      </c>
      <c r="P787" s="9">
        <f>+M787+K787</f>
        <v>1714.87</v>
      </c>
      <c r="Q787" s="139">
        <f>+O787/N787</f>
        <v>0.83589760765550236</v>
      </c>
      <c r="R787" s="395" t="e">
        <f>VLOOKUP(C787,'[1]ORIGINAL (2)'!$A:$C,3,FALSE)</f>
        <v>#N/A</v>
      </c>
      <c r="S787" s="24" t="e">
        <f>VLOOKUP(C787,#REF!,6,FALSE)</f>
        <v>#REF!</v>
      </c>
      <c r="T787" s="24" t="e">
        <f>VLOOKUP(C787,#REF!,7,FALSE)</f>
        <v>#REF!</v>
      </c>
      <c r="U787" s="24" t="e">
        <f>VLOOKUP(C787,#REF!,12,FALSE)</f>
        <v>#REF!</v>
      </c>
      <c r="V787" s="24" t="e">
        <f>VLOOKUP(C787,#REF!,13,FALSE)</f>
        <v>#REF!</v>
      </c>
    </row>
    <row r="788" spans="1:22" x14ac:dyDescent="0.25">
      <c r="A788" s="6" t="s">
        <v>1605</v>
      </c>
      <c r="B788" s="8">
        <v>9789500207942</v>
      </c>
      <c r="C788" s="21">
        <v>593819</v>
      </c>
      <c r="D788" s="25">
        <v>112</v>
      </c>
      <c r="E788" s="22" t="s">
        <v>1606</v>
      </c>
      <c r="F788" s="6" t="s">
        <v>266</v>
      </c>
      <c r="G788" s="107">
        <v>42186</v>
      </c>
      <c r="H788" s="108">
        <v>42156</v>
      </c>
      <c r="I788" s="24">
        <v>3108</v>
      </c>
      <c r="J788" s="28" t="s">
        <v>1946</v>
      </c>
      <c r="K788" s="28">
        <v>59.74</v>
      </c>
      <c r="L788" s="128">
        <v>20900</v>
      </c>
      <c r="M788" s="9">
        <f>+L788*0.07</f>
        <v>1463.0000000000002</v>
      </c>
      <c r="N788" s="9">
        <f>+L788/2</f>
        <v>10450</v>
      </c>
      <c r="O788" s="9">
        <f>+N788-M788-K788</f>
        <v>8927.26</v>
      </c>
      <c r="P788" s="9">
        <f>+M788+K788</f>
        <v>1522.7400000000002</v>
      </c>
      <c r="Q788" s="139">
        <f>+O788/N788</f>
        <v>0.85428325358851676</v>
      </c>
      <c r="R788" s="395">
        <f>VLOOKUP(C788,'[1]ORIGINAL (2)'!$A:$C,3,FALSE)</f>
        <v>4</v>
      </c>
      <c r="S788" s="24" t="e">
        <f>VLOOKUP(C788,#REF!,6,FALSE)</f>
        <v>#REF!</v>
      </c>
      <c r="T788" s="24" t="e">
        <f>VLOOKUP(C788,#REF!,7,FALSE)</f>
        <v>#REF!</v>
      </c>
      <c r="U788" s="24" t="e">
        <f>VLOOKUP(C788,#REF!,12,FALSE)</f>
        <v>#REF!</v>
      </c>
      <c r="V788" s="24" t="e">
        <f>VLOOKUP(C788,#REF!,13,FALSE)</f>
        <v>#REF!</v>
      </c>
    </row>
    <row r="789" spans="1:22" x14ac:dyDescent="0.25">
      <c r="A789" s="1"/>
      <c r="B789" s="3"/>
      <c r="C789" s="3"/>
      <c r="D789" s="2"/>
      <c r="E789" s="274"/>
      <c r="F789" s="275"/>
      <c r="G789" s="2"/>
      <c r="H789" s="132"/>
      <c r="I789" s="132"/>
      <c r="J789" s="134"/>
      <c r="K789" s="132"/>
      <c r="L789" s="134"/>
      <c r="M789" s="132"/>
      <c r="N789" s="132"/>
      <c r="O789" s="132"/>
      <c r="P789" s="132"/>
      <c r="Q789" s="147"/>
      <c r="R789" s="395" t="e">
        <f>VLOOKUP(C789,'[1]ORIGINAL (2)'!$A:$C,3,FALSE)</f>
        <v>#N/A</v>
      </c>
      <c r="S789" s="100"/>
      <c r="T789" s="100"/>
      <c r="U789" s="100"/>
      <c r="V789" s="100"/>
    </row>
    <row r="790" spans="1:22" x14ac:dyDescent="0.25">
      <c r="A790" s="6" t="s">
        <v>1607</v>
      </c>
      <c r="B790" s="8">
        <v>9789500299022</v>
      </c>
      <c r="C790" s="6">
        <v>622595</v>
      </c>
      <c r="D790" s="7">
        <v>120</v>
      </c>
      <c r="E790" s="7" t="s">
        <v>290</v>
      </c>
      <c r="F790" s="7" t="s">
        <v>291</v>
      </c>
      <c r="G790" s="107">
        <v>42705</v>
      </c>
      <c r="H790" s="108">
        <v>42614</v>
      </c>
      <c r="I790" s="24">
        <v>3090</v>
      </c>
      <c r="J790" s="28" t="s">
        <v>1946</v>
      </c>
      <c r="K790" s="28">
        <v>78.44</v>
      </c>
      <c r="L790" s="128">
        <v>17600</v>
      </c>
      <c r="M790" s="112"/>
      <c r="N790" s="9">
        <f>+L790/2</f>
        <v>8800</v>
      </c>
      <c r="O790" s="9">
        <f>+N790-M790-K790</f>
        <v>8721.56</v>
      </c>
      <c r="P790" s="9">
        <f>+M790+K790</f>
        <v>78.44</v>
      </c>
      <c r="Q790" s="139">
        <f>+O790/N790</f>
        <v>0.9910863636363636</v>
      </c>
      <c r="R790" s="395" t="e">
        <f>VLOOKUP(C790,'[1]ORIGINAL (2)'!$A:$C,3,FALSE)</f>
        <v>#N/A</v>
      </c>
      <c r="S790" s="24" t="e">
        <f>VLOOKUP(C790,#REF!,6,FALSE)</f>
        <v>#REF!</v>
      </c>
      <c r="T790" s="24" t="e">
        <f>VLOOKUP(C790,#REF!,7,FALSE)</f>
        <v>#REF!</v>
      </c>
      <c r="U790" s="24" t="e">
        <f>VLOOKUP(C790,#REF!,12,FALSE)</f>
        <v>#REF!</v>
      </c>
      <c r="V790" s="24" t="e">
        <f>VLOOKUP(C790,#REF!,13,FALSE)</f>
        <v>#REF!</v>
      </c>
    </row>
    <row r="791" spans="1:22" x14ac:dyDescent="0.25">
      <c r="A791" s="68"/>
      <c r="B791" s="333"/>
      <c r="C791" s="333"/>
      <c r="D791" s="346"/>
      <c r="E791" s="68"/>
      <c r="F791" s="68"/>
      <c r="G791" s="68"/>
      <c r="H791" s="68"/>
      <c r="I791" s="68"/>
      <c r="J791" s="134"/>
      <c r="K791" s="132"/>
      <c r="L791" s="134"/>
      <c r="M791" s="132"/>
      <c r="N791" s="132"/>
      <c r="O791" s="132"/>
      <c r="P791" s="132"/>
      <c r="Q791" s="147"/>
      <c r="R791" s="395" t="e">
        <f>VLOOKUP(C791,'[1]ORIGINAL (2)'!$A:$C,3,FALSE)</f>
        <v>#N/A</v>
      </c>
      <c r="S791" s="100"/>
      <c r="T791" s="100"/>
      <c r="U791" s="100"/>
      <c r="V791" s="100"/>
    </row>
    <row r="792" spans="1:22" ht="15.75" x14ac:dyDescent="0.3">
      <c r="A792" s="276" t="s">
        <v>670</v>
      </c>
      <c r="B792" s="133"/>
      <c r="C792" s="133"/>
      <c r="D792" s="154"/>
      <c r="E792" s="197"/>
      <c r="F792" s="132"/>
      <c r="G792" s="132"/>
      <c r="H792" s="132"/>
      <c r="I792" s="132"/>
      <c r="J792" s="134"/>
      <c r="K792" s="132"/>
      <c r="L792" s="134"/>
      <c r="M792" s="132"/>
      <c r="N792" s="132"/>
      <c r="O792" s="132"/>
      <c r="P792" s="132"/>
      <c r="Q792" s="147"/>
      <c r="R792" s="395" t="e">
        <f>VLOOKUP(C792,'[1]ORIGINAL (2)'!$A:$C,3,FALSE)</f>
        <v>#N/A</v>
      </c>
      <c r="S792" s="100"/>
      <c r="T792" s="100"/>
      <c r="U792" s="100"/>
      <c r="V792" s="100"/>
    </row>
    <row r="793" spans="1:22" x14ac:dyDescent="0.25">
      <c r="A793" s="6" t="s">
        <v>1997</v>
      </c>
      <c r="B793" s="279">
        <v>9789500216029</v>
      </c>
      <c r="C793" s="6">
        <v>727017</v>
      </c>
      <c r="D793" s="41">
        <v>192</v>
      </c>
      <c r="E793" s="8" t="s">
        <v>1998</v>
      </c>
      <c r="F793" s="6" t="s">
        <v>1999</v>
      </c>
      <c r="G793" s="107">
        <v>45717</v>
      </c>
      <c r="H793" s="108">
        <v>45901</v>
      </c>
      <c r="I793" s="264">
        <v>3006</v>
      </c>
      <c r="J793" s="7" t="s">
        <v>1762</v>
      </c>
      <c r="K793" s="292">
        <v>3320.93</v>
      </c>
      <c r="L793" s="9">
        <v>27500</v>
      </c>
      <c r="M793" s="112">
        <f>+L793*0.1</f>
        <v>2750</v>
      </c>
      <c r="N793" s="9">
        <f>+L793/2</f>
        <v>13750</v>
      </c>
      <c r="O793" s="9">
        <f>+N793-M793-K793</f>
        <v>7679.07</v>
      </c>
      <c r="P793" s="9">
        <f>+M793+K793</f>
        <v>6070.93</v>
      </c>
      <c r="Q793" s="139">
        <f>+O793/N793</f>
        <v>0.55847781818181819</v>
      </c>
      <c r="R793" s="395">
        <f>VLOOKUP(C793,'[1]ORIGINAL (2)'!$A:$C,3,FALSE)</f>
        <v>543</v>
      </c>
      <c r="S793" s="24" t="e">
        <f>VLOOKUP(C793,#REF!,6,FALSE)</f>
        <v>#REF!</v>
      </c>
      <c r="T793" s="24" t="e">
        <f>VLOOKUP(C793,#REF!,7,FALSE)</f>
        <v>#REF!</v>
      </c>
      <c r="U793" s="24" t="e">
        <f>VLOOKUP(C793,#REF!,12,FALSE)</f>
        <v>#REF!</v>
      </c>
      <c r="V793" s="24" t="e">
        <f>VLOOKUP(C793,#REF!,13,FALSE)</f>
        <v>#REF!</v>
      </c>
    </row>
    <row r="794" spans="1:22" x14ac:dyDescent="0.25">
      <c r="A794" s="68"/>
      <c r="B794" s="333"/>
      <c r="C794" s="333"/>
      <c r="D794" s="346"/>
      <c r="E794" s="68"/>
      <c r="F794" s="68"/>
      <c r="G794" s="68"/>
      <c r="H794" s="68"/>
      <c r="I794" s="68"/>
      <c r="J794" s="134"/>
      <c r="K794" s="132"/>
      <c r="L794" s="134"/>
      <c r="M794" s="132"/>
      <c r="N794" s="132"/>
      <c r="O794" s="132"/>
      <c r="P794" s="132"/>
      <c r="Q794" s="147"/>
      <c r="R794" s="395" t="e">
        <f>VLOOKUP(C794,'[1]ORIGINAL (2)'!$A:$C,3,FALSE)</f>
        <v>#N/A</v>
      </c>
      <c r="S794" s="100"/>
      <c r="T794" s="100"/>
      <c r="U794" s="100"/>
      <c r="V794" s="100"/>
    </row>
    <row r="795" spans="1:22" x14ac:dyDescent="0.25">
      <c r="A795" s="160" t="s">
        <v>1493</v>
      </c>
      <c r="B795" s="161"/>
      <c r="C795" s="375"/>
      <c r="D795" s="376"/>
      <c r="E795" s="162"/>
      <c r="F795" s="162"/>
      <c r="G795" s="162"/>
      <c r="H795" s="132"/>
      <c r="I795" s="132"/>
      <c r="J795" s="134"/>
      <c r="K795" s="132"/>
      <c r="L795" s="134"/>
      <c r="M795" s="132"/>
      <c r="N795" s="132"/>
      <c r="O795" s="132"/>
      <c r="P795" s="132"/>
      <c r="Q795" s="147"/>
      <c r="R795" s="395" t="e">
        <f>VLOOKUP(C795,'[1]ORIGINAL (2)'!$A:$C,3,FALSE)</f>
        <v>#N/A</v>
      </c>
      <c r="S795" s="100"/>
      <c r="T795" s="100"/>
      <c r="U795" s="100"/>
      <c r="V795" s="100"/>
    </row>
    <row r="796" spans="1:22" x14ac:dyDescent="0.25">
      <c r="A796" s="7" t="s">
        <v>1609</v>
      </c>
      <c r="B796" s="13">
        <v>9789500210126</v>
      </c>
      <c r="C796" s="13">
        <v>671083</v>
      </c>
      <c r="D796" s="25">
        <v>18</v>
      </c>
      <c r="E796" s="7" t="s">
        <v>476</v>
      </c>
      <c r="F796" s="7" t="s">
        <v>1610</v>
      </c>
      <c r="G796" s="107">
        <v>43800</v>
      </c>
      <c r="H796" s="107">
        <v>43800</v>
      </c>
      <c r="I796" s="7">
        <v>2100</v>
      </c>
      <c r="J796" s="28" t="s">
        <v>1946</v>
      </c>
      <c r="K796" s="9">
        <v>225.16</v>
      </c>
      <c r="L796" s="128">
        <v>24400</v>
      </c>
      <c r="M796" s="112"/>
      <c r="N796" s="9">
        <f>+L796/2</f>
        <v>12200</v>
      </c>
      <c r="O796" s="9">
        <f>+N796-M796-K796</f>
        <v>11974.84</v>
      </c>
      <c r="P796" s="9">
        <f>+M796+K796</f>
        <v>225.16</v>
      </c>
      <c r="Q796" s="139">
        <f>+O796/N796</f>
        <v>0.98154426229508196</v>
      </c>
      <c r="R796" s="395" t="e">
        <f>VLOOKUP(C796,'[1]ORIGINAL (2)'!$A:$C,3,FALSE)</f>
        <v>#N/A</v>
      </c>
      <c r="S796" s="24" t="e">
        <f>VLOOKUP(C796,#REF!,6,FALSE)</f>
        <v>#REF!</v>
      </c>
      <c r="T796" s="24" t="e">
        <f>VLOOKUP(C796,#REF!,7,FALSE)</f>
        <v>#REF!</v>
      </c>
      <c r="U796" s="24" t="e">
        <f>VLOOKUP(C796,#REF!,12,FALSE)</f>
        <v>#REF!</v>
      </c>
      <c r="V796" s="24" t="e">
        <f>VLOOKUP(C796,#REF!,13,FALSE)</f>
        <v>#REF!</v>
      </c>
    </row>
    <row r="797" spans="1:22" x14ac:dyDescent="0.25">
      <c r="A797" s="6" t="s">
        <v>1611</v>
      </c>
      <c r="B797" s="8">
        <v>9789500299398</v>
      </c>
      <c r="C797" s="6">
        <v>627254</v>
      </c>
      <c r="D797" s="7">
        <v>14</v>
      </c>
      <c r="E797" s="7" t="s">
        <v>311</v>
      </c>
      <c r="F797" s="11" t="s">
        <v>1612</v>
      </c>
      <c r="G797" s="107">
        <v>42826</v>
      </c>
      <c r="H797" s="108">
        <v>42767</v>
      </c>
      <c r="I797" s="24">
        <v>4000</v>
      </c>
      <c r="J797" s="28" t="s">
        <v>1946</v>
      </c>
      <c r="K797" s="28">
        <v>83.37</v>
      </c>
      <c r="L797" s="128">
        <v>24400</v>
      </c>
      <c r="M797" s="112"/>
      <c r="N797" s="9">
        <f>+L797/2</f>
        <v>12200</v>
      </c>
      <c r="O797" s="9">
        <f>+N797-M797-K797</f>
        <v>12116.63</v>
      </c>
      <c r="P797" s="9">
        <f>+M797+K797</f>
        <v>83.37</v>
      </c>
      <c r="Q797" s="139">
        <f>+O797/N797</f>
        <v>0.99316639344262292</v>
      </c>
      <c r="R797" s="395" t="e">
        <f>VLOOKUP(C797,'[1]ORIGINAL (2)'!$A:$C,3,FALSE)</f>
        <v>#N/A</v>
      </c>
      <c r="S797" s="24" t="e">
        <f>VLOOKUP(C797,#REF!,6,FALSE)</f>
        <v>#REF!</v>
      </c>
      <c r="T797" s="24" t="e">
        <f>VLOOKUP(C797,#REF!,7,FALSE)</f>
        <v>#REF!</v>
      </c>
      <c r="U797" s="24" t="e">
        <f>VLOOKUP(C797,#REF!,12,FALSE)</f>
        <v>#REF!</v>
      </c>
      <c r="V797" s="24" t="e">
        <f>VLOOKUP(C797,#REF!,13,FALSE)</f>
        <v>#REF!</v>
      </c>
    </row>
    <row r="798" spans="1:22" x14ac:dyDescent="0.25">
      <c r="A798" s="68"/>
      <c r="B798" s="333"/>
      <c r="C798" s="333"/>
      <c r="D798" s="346"/>
      <c r="E798" s="68"/>
      <c r="F798" s="68"/>
      <c r="G798" s="68"/>
      <c r="H798" s="68"/>
      <c r="I798" s="68"/>
      <c r="J798" s="134"/>
      <c r="K798" s="132"/>
      <c r="L798" s="134"/>
      <c r="M798" s="132"/>
      <c r="N798" s="132"/>
      <c r="O798" s="132"/>
      <c r="P798" s="132"/>
      <c r="Q798" s="147"/>
      <c r="R798" s="395" t="e">
        <f>VLOOKUP(C798,'[1]ORIGINAL (2)'!$A:$C,3,FALSE)</f>
        <v>#N/A</v>
      </c>
      <c r="S798" s="100"/>
      <c r="T798" s="100"/>
      <c r="U798" s="100"/>
      <c r="V798" s="100"/>
    </row>
    <row r="799" spans="1:22" x14ac:dyDescent="0.25">
      <c r="A799" s="160" t="s">
        <v>1495</v>
      </c>
      <c r="B799" s="168"/>
      <c r="C799" s="168"/>
      <c r="D799" s="206"/>
      <c r="E799" s="174"/>
      <c r="F799" s="162"/>
      <c r="G799" s="162"/>
      <c r="H799" s="132"/>
      <c r="I799" s="132"/>
      <c r="J799" s="134"/>
      <c r="K799" s="132"/>
      <c r="L799" s="134"/>
      <c r="M799" s="132"/>
      <c r="N799" s="132"/>
      <c r="O799" s="132"/>
      <c r="P799" s="132"/>
      <c r="Q799" s="147"/>
      <c r="R799" s="395" t="e">
        <f>VLOOKUP(C799,'[1]ORIGINAL (2)'!$A:$C,3,FALSE)</f>
        <v>#N/A</v>
      </c>
      <c r="S799" s="100"/>
      <c r="T799" s="100"/>
      <c r="U799" s="100"/>
      <c r="V799" s="100"/>
    </row>
    <row r="800" spans="1:22" x14ac:dyDescent="0.25">
      <c r="A800" s="6" t="s">
        <v>2319</v>
      </c>
      <c r="B800" s="153">
        <v>9789500217613</v>
      </c>
      <c r="C800" s="6">
        <v>744138</v>
      </c>
      <c r="D800" s="41">
        <v>12</v>
      </c>
      <c r="E800" s="6" t="s">
        <v>2320</v>
      </c>
      <c r="F800" s="6" t="s">
        <v>2321</v>
      </c>
      <c r="G800" s="107">
        <v>46143</v>
      </c>
      <c r="H800" s="108">
        <v>46113</v>
      </c>
      <c r="I800" s="351">
        <v>4000</v>
      </c>
      <c r="J800" s="7" t="s">
        <v>2329</v>
      </c>
      <c r="K800" s="350">
        <v>6309.55</v>
      </c>
      <c r="L800" s="352">
        <v>24900</v>
      </c>
      <c r="M800" s="112"/>
      <c r="N800" s="9">
        <f t="shared" ref="N800:N814" si="124">+L800/2</f>
        <v>12450</v>
      </c>
      <c r="O800" s="9">
        <f t="shared" ref="O800:O814" si="125">+N800-M800-K800</f>
        <v>6140.45</v>
      </c>
      <c r="P800" s="9">
        <f t="shared" ref="P800:P814" si="126">+M800+K800</f>
        <v>6309.55</v>
      </c>
      <c r="Q800" s="139">
        <f t="shared" ref="Q800:Q814" si="127">+O800/N800</f>
        <v>0.49320883534136545</v>
      </c>
      <c r="R800" s="395">
        <f>VLOOKUP(C800,'[1]ORIGINAL (2)'!$A:$C,3,FALSE)</f>
        <v>2210</v>
      </c>
      <c r="S800" s="24" t="e">
        <f>VLOOKUP(C800,#REF!,6,FALSE)</f>
        <v>#REF!</v>
      </c>
      <c r="T800" s="24" t="e">
        <f>VLOOKUP(C800,#REF!,7,FALSE)</f>
        <v>#REF!</v>
      </c>
      <c r="U800" s="24" t="e">
        <f>VLOOKUP(C800,#REF!,12,FALSE)</f>
        <v>#REF!</v>
      </c>
      <c r="V800" s="24" t="e">
        <f>VLOOKUP(C800,#REF!,13,FALSE)</f>
        <v>#REF!</v>
      </c>
    </row>
    <row r="801" spans="1:22" x14ac:dyDescent="0.25">
      <c r="A801" s="6" t="s">
        <v>2113</v>
      </c>
      <c r="B801" s="153">
        <v>9789500216678</v>
      </c>
      <c r="C801" s="6">
        <v>734152</v>
      </c>
      <c r="D801" s="41">
        <v>216</v>
      </c>
      <c r="E801" s="6" t="s">
        <v>2127</v>
      </c>
      <c r="F801" s="6" t="s">
        <v>2128</v>
      </c>
      <c r="G801" s="107">
        <v>45901</v>
      </c>
      <c r="H801" s="108">
        <v>46023</v>
      </c>
      <c r="I801" s="7">
        <v>2995</v>
      </c>
      <c r="J801" s="28" t="s">
        <v>1333</v>
      </c>
      <c r="K801" s="148">
        <v>4372.67</v>
      </c>
      <c r="L801" s="9">
        <v>26900</v>
      </c>
      <c r="M801" s="112"/>
      <c r="N801" s="9">
        <f t="shared" si="124"/>
        <v>13450</v>
      </c>
      <c r="O801" s="9">
        <f t="shared" si="125"/>
        <v>9077.33</v>
      </c>
      <c r="P801" s="9">
        <f t="shared" si="126"/>
        <v>4372.67</v>
      </c>
      <c r="Q801" s="139">
        <f t="shared" si="127"/>
        <v>0.67489442379182152</v>
      </c>
      <c r="R801" s="395">
        <f>VLOOKUP(C801,'[1]ORIGINAL (2)'!$A:$C,3,FALSE)</f>
        <v>1493</v>
      </c>
      <c r="S801" s="24" t="e">
        <f>VLOOKUP(C801,#REF!,6,FALSE)</f>
        <v>#REF!</v>
      </c>
      <c r="T801" s="24" t="e">
        <f>VLOOKUP(C801,#REF!,7,FALSE)</f>
        <v>#REF!</v>
      </c>
      <c r="U801" s="24" t="e">
        <f>VLOOKUP(C801,#REF!,12,FALSE)</f>
        <v>#REF!</v>
      </c>
      <c r="V801" s="24" t="e">
        <f>VLOOKUP(C801,#REF!,13,FALSE)</f>
        <v>#REF!</v>
      </c>
    </row>
    <row r="802" spans="1:22" x14ac:dyDescent="0.25">
      <c r="A802" s="6" t="s">
        <v>1613</v>
      </c>
      <c r="B802" s="8">
        <v>9789500213592</v>
      </c>
      <c r="C802" s="6">
        <v>704436</v>
      </c>
      <c r="D802" s="41">
        <v>144</v>
      </c>
      <c r="E802" s="7" t="s">
        <v>772</v>
      </c>
      <c r="F802" s="7" t="s">
        <v>773</v>
      </c>
      <c r="G802" s="107">
        <v>45017</v>
      </c>
      <c r="H802" s="108">
        <v>45019</v>
      </c>
      <c r="I802" s="7">
        <v>4068</v>
      </c>
      <c r="J802" s="28" t="s">
        <v>1946</v>
      </c>
      <c r="K802" s="117">
        <v>822.79</v>
      </c>
      <c r="L802" s="9">
        <v>24000</v>
      </c>
      <c r="M802" s="112"/>
      <c r="N802" s="9">
        <f t="shared" si="124"/>
        <v>12000</v>
      </c>
      <c r="O802" s="9">
        <f t="shared" si="125"/>
        <v>11177.21</v>
      </c>
      <c r="P802" s="9">
        <f t="shared" si="126"/>
        <v>822.79</v>
      </c>
      <c r="Q802" s="139">
        <f t="shared" si="127"/>
        <v>0.93143416666666656</v>
      </c>
      <c r="R802" s="395">
        <f>VLOOKUP(C802,'[1]ORIGINAL (2)'!$A:$C,3,FALSE)</f>
        <v>55</v>
      </c>
      <c r="S802" s="24" t="e">
        <f>VLOOKUP(C802,#REF!,6,FALSE)</f>
        <v>#REF!</v>
      </c>
      <c r="T802" s="24" t="e">
        <f>VLOOKUP(C802,#REF!,7,FALSE)</f>
        <v>#REF!</v>
      </c>
      <c r="U802" s="24" t="e">
        <f>VLOOKUP(C802,#REF!,12,FALSE)</f>
        <v>#REF!</v>
      </c>
      <c r="V802" s="24" t="e">
        <f>VLOOKUP(C802,#REF!,13,FALSE)</f>
        <v>#REF!</v>
      </c>
    </row>
    <row r="803" spans="1:22" x14ac:dyDescent="0.25">
      <c r="A803" s="6" t="s">
        <v>1614</v>
      </c>
      <c r="B803" s="8">
        <v>9789500212854</v>
      </c>
      <c r="C803" s="6">
        <v>696626</v>
      </c>
      <c r="D803" s="41">
        <v>136</v>
      </c>
      <c r="E803" s="7" t="s">
        <v>707</v>
      </c>
      <c r="F803" s="7" t="s">
        <v>832</v>
      </c>
      <c r="G803" s="107">
        <v>44774</v>
      </c>
      <c r="H803" s="108">
        <v>44743</v>
      </c>
      <c r="I803" s="7">
        <v>5026</v>
      </c>
      <c r="J803" s="28" t="s">
        <v>1946</v>
      </c>
      <c r="K803" s="117">
        <v>357.81</v>
      </c>
      <c r="L803" s="9">
        <v>24000</v>
      </c>
      <c r="M803" s="112"/>
      <c r="N803" s="9">
        <f t="shared" si="124"/>
        <v>12000</v>
      </c>
      <c r="O803" s="9">
        <f t="shared" si="125"/>
        <v>11642.19</v>
      </c>
      <c r="P803" s="9">
        <f t="shared" si="126"/>
        <v>357.81</v>
      </c>
      <c r="Q803" s="139">
        <f t="shared" si="127"/>
        <v>0.97018250000000006</v>
      </c>
      <c r="R803" s="395">
        <f>VLOOKUP(C803,'[1]ORIGINAL (2)'!$A:$C,3,FALSE)</f>
        <v>61</v>
      </c>
      <c r="S803" s="24" t="e">
        <f>VLOOKUP(C803,#REF!,6,FALSE)</f>
        <v>#REF!</v>
      </c>
      <c r="T803" s="24" t="e">
        <f>VLOOKUP(C803,#REF!,7,FALSE)</f>
        <v>#REF!</v>
      </c>
      <c r="U803" s="24" t="e">
        <f>VLOOKUP(C803,#REF!,12,FALSE)</f>
        <v>#REF!</v>
      </c>
      <c r="V803" s="24" t="e">
        <f>VLOOKUP(C803,#REF!,13,FALSE)</f>
        <v>#REF!</v>
      </c>
    </row>
    <row r="804" spans="1:22" x14ac:dyDescent="0.25">
      <c r="A804" s="7" t="s">
        <v>1881</v>
      </c>
      <c r="B804" s="8">
        <v>9789500215237</v>
      </c>
      <c r="C804" s="8">
        <v>717945</v>
      </c>
      <c r="D804" s="25">
        <v>64</v>
      </c>
      <c r="E804" s="7" t="s">
        <v>1869</v>
      </c>
      <c r="F804" s="25" t="s">
        <v>1864</v>
      </c>
      <c r="G804" s="107">
        <v>45474</v>
      </c>
      <c r="H804" s="108">
        <v>45962</v>
      </c>
      <c r="I804" s="264">
        <v>3104</v>
      </c>
      <c r="J804" s="28" t="s">
        <v>2136</v>
      </c>
      <c r="K804" s="148">
        <v>1844.95</v>
      </c>
      <c r="L804" s="9">
        <v>19900</v>
      </c>
      <c r="M804" s="112">
        <f t="shared" ref="M804:M811" si="128">+L804*0.1</f>
        <v>1990</v>
      </c>
      <c r="N804" s="9">
        <f t="shared" si="124"/>
        <v>9950</v>
      </c>
      <c r="O804" s="9">
        <f t="shared" si="125"/>
        <v>6115.05</v>
      </c>
      <c r="P804" s="9">
        <f t="shared" si="126"/>
        <v>3834.95</v>
      </c>
      <c r="Q804" s="139">
        <f t="shared" si="127"/>
        <v>0.61457788944723624</v>
      </c>
      <c r="R804" s="395">
        <f>VLOOKUP(C804,'[1]ORIGINAL (2)'!$A:$C,3,FALSE)</f>
        <v>304</v>
      </c>
      <c r="S804" s="24" t="e">
        <f>VLOOKUP(C804,#REF!,6,FALSE)</f>
        <v>#REF!</v>
      </c>
      <c r="T804" s="24" t="e">
        <f>VLOOKUP(C804,#REF!,7,FALSE)</f>
        <v>#REF!</v>
      </c>
      <c r="U804" s="24" t="e">
        <f>VLOOKUP(C804,#REF!,12,FALSE)</f>
        <v>#REF!</v>
      </c>
      <c r="V804" s="24" t="e">
        <f>VLOOKUP(C804,#REF!,13,FALSE)</f>
        <v>#REF!</v>
      </c>
    </row>
    <row r="805" spans="1:22" x14ac:dyDescent="0.25">
      <c r="A805" s="6" t="s">
        <v>2029</v>
      </c>
      <c r="B805" s="279">
        <v>9789500216142</v>
      </c>
      <c r="C805" s="8">
        <v>728159</v>
      </c>
      <c r="D805" s="41">
        <v>160</v>
      </c>
      <c r="E805" s="8" t="s">
        <v>2030</v>
      </c>
      <c r="F805" s="6" t="s">
        <v>2031</v>
      </c>
      <c r="G805" s="107">
        <v>45748</v>
      </c>
      <c r="H805" s="108">
        <v>45717</v>
      </c>
      <c r="I805" s="264">
        <v>4115</v>
      </c>
      <c r="J805" s="28" t="s">
        <v>2136</v>
      </c>
      <c r="K805" s="292">
        <v>2891.94</v>
      </c>
      <c r="L805" s="9">
        <v>34900</v>
      </c>
      <c r="M805" s="9">
        <f t="shared" si="128"/>
        <v>3490</v>
      </c>
      <c r="N805" s="9">
        <f t="shared" si="124"/>
        <v>17450</v>
      </c>
      <c r="O805" s="9">
        <f t="shared" si="125"/>
        <v>11068.06</v>
      </c>
      <c r="P805" s="9">
        <f t="shared" si="126"/>
        <v>6381.9400000000005</v>
      </c>
      <c r="Q805" s="109">
        <f t="shared" si="127"/>
        <v>0.63427277936962745</v>
      </c>
      <c r="R805" s="395">
        <f>VLOOKUP(C805,'[1]ORIGINAL (2)'!$A:$C,3,FALSE)</f>
        <v>361</v>
      </c>
      <c r="S805" s="24" t="e">
        <f>VLOOKUP(C805,#REF!,6,FALSE)</f>
        <v>#REF!</v>
      </c>
      <c r="T805" s="24" t="e">
        <f>VLOOKUP(C805,#REF!,7,FALSE)</f>
        <v>#REF!</v>
      </c>
      <c r="U805" s="24" t="e">
        <f>VLOOKUP(C805,#REF!,12,FALSE)</f>
        <v>#REF!</v>
      </c>
      <c r="V805" s="24" t="e">
        <f>VLOOKUP(C805,#REF!,13,FALSE)</f>
        <v>#REF!</v>
      </c>
    </row>
    <row r="806" spans="1:22" x14ac:dyDescent="0.25">
      <c r="A806" s="6" t="s">
        <v>1615</v>
      </c>
      <c r="B806" s="8">
        <v>9789500213806</v>
      </c>
      <c r="C806" s="8">
        <v>706238</v>
      </c>
      <c r="D806" s="41">
        <v>144</v>
      </c>
      <c r="E806" s="7" t="s">
        <v>491</v>
      </c>
      <c r="F806" s="6" t="s">
        <v>780</v>
      </c>
      <c r="G806" s="107">
        <v>45078</v>
      </c>
      <c r="H806" s="108">
        <v>45474</v>
      </c>
      <c r="I806" s="267">
        <v>2095</v>
      </c>
      <c r="J806" s="28" t="s">
        <v>2136</v>
      </c>
      <c r="K806" s="148">
        <v>3399.76</v>
      </c>
      <c r="L806" s="9">
        <v>34900</v>
      </c>
      <c r="M806" s="112">
        <f t="shared" si="128"/>
        <v>3490</v>
      </c>
      <c r="N806" s="9">
        <f t="shared" si="124"/>
        <v>17450</v>
      </c>
      <c r="O806" s="9">
        <f t="shared" si="125"/>
        <v>10560.24</v>
      </c>
      <c r="P806" s="9">
        <f t="shared" si="126"/>
        <v>6889.76</v>
      </c>
      <c r="Q806" s="139">
        <f t="shared" si="127"/>
        <v>0.60517134670487105</v>
      </c>
      <c r="R806" s="395">
        <f>VLOOKUP(C806,'[1]ORIGINAL (2)'!$A:$C,3,FALSE)</f>
        <v>318</v>
      </c>
      <c r="S806" s="24" t="e">
        <f>VLOOKUP(C806,#REF!,6,FALSE)</f>
        <v>#REF!</v>
      </c>
      <c r="T806" s="24" t="e">
        <f>VLOOKUP(C806,#REF!,7,FALSE)</f>
        <v>#REF!</v>
      </c>
      <c r="U806" s="24" t="e">
        <f>VLOOKUP(C806,#REF!,12,FALSE)</f>
        <v>#REF!</v>
      </c>
      <c r="V806" s="24" t="e">
        <f>VLOOKUP(C806,#REF!,13,FALSE)</f>
        <v>#REF!</v>
      </c>
    </row>
    <row r="807" spans="1:22" x14ac:dyDescent="0.25">
      <c r="A807" s="7" t="s">
        <v>1477</v>
      </c>
      <c r="B807" s="8">
        <v>9789500213165</v>
      </c>
      <c r="C807" s="8">
        <v>699698</v>
      </c>
      <c r="D807" s="25">
        <v>160</v>
      </c>
      <c r="E807" s="9" t="s">
        <v>491</v>
      </c>
      <c r="F807" s="7" t="s">
        <v>735</v>
      </c>
      <c r="G807" s="107">
        <v>44866</v>
      </c>
      <c r="H807" s="108">
        <v>44835</v>
      </c>
      <c r="I807" s="7">
        <v>4140</v>
      </c>
      <c r="J807" s="28" t="s">
        <v>2136</v>
      </c>
      <c r="K807" s="9">
        <v>767.8</v>
      </c>
      <c r="L807" s="9">
        <v>34900</v>
      </c>
      <c r="M807" s="112">
        <f t="shared" si="128"/>
        <v>3490</v>
      </c>
      <c r="N807" s="9">
        <f t="shared" si="124"/>
        <v>17450</v>
      </c>
      <c r="O807" s="9">
        <f t="shared" si="125"/>
        <v>13192.2</v>
      </c>
      <c r="P807" s="9">
        <f t="shared" si="126"/>
        <v>4257.8</v>
      </c>
      <c r="Q807" s="139">
        <f t="shared" si="127"/>
        <v>0.75600000000000001</v>
      </c>
      <c r="R807" s="395">
        <f>VLOOKUP(C807,'[1]ORIGINAL (2)'!$A:$C,3,FALSE)</f>
        <v>145</v>
      </c>
      <c r="S807" s="24" t="e">
        <f>VLOOKUP(C807,#REF!,6,FALSE)</f>
        <v>#REF!</v>
      </c>
      <c r="T807" s="24" t="e">
        <f>VLOOKUP(C807,#REF!,7,FALSE)</f>
        <v>#REF!</v>
      </c>
      <c r="U807" s="24" t="e">
        <f>VLOOKUP(C807,#REF!,12,FALSE)</f>
        <v>#REF!</v>
      </c>
      <c r="V807" s="24" t="e">
        <f>VLOOKUP(C807,#REF!,13,FALSE)</f>
        <v>#REF!</v>
      </c>
    </row>
    <row r="808" spans="1:22" x14ac:dyDescent="0.25">
      <c r="A808" s="6" t="s">
        <v>2250</v>
      </c>
      <c r="B808" s="153">
        <v>9789500217392</v>
      </c>
      <c r="C808" s="6">
        <v>741701</v>
      </c>
      <c r="D808" s="41">
        <v>160</v>
      </c>
      <c r="E808" s="6" t="s">
        <v>491</v>
      </c>
      <c r="F808" s="6" t="s">
        <v>2251</v>
      </c>
      <c r="G808" s="107">
        <v>46082</v>
      </c>
      <c r="H808" s="108">
        <v>46054</v>
      </c>
      <c r="I808" s="7">
        <v>4140</v>
      </c>
      <c r="J808" s="8" t="s">
        <v>2258</v>
      </c>
      <c r="K808" s="148">
        <v>4237.5200000000004</v>
      </c>
      <c r="L808" s="9">
        <v>34900</v>
      </c>
      <c r="M808" s="112">
        <f t="shared" si="128"/>
        <v>3490</v>
      </c>
      <c r="N808" s="9">
        <f t="shared" si="124"/>
        <v>17450</v>
      </c>
      <c r="O808" s="9">
        <f t="shared" si="125"/>
        <v>9722.48</v>
      </c>
      <c r="P808" s="9">
        <f t="shared" si="126"/>
        <v>7727.52</v>
      </c>
      <c r="Q808" s="139">
        <f t="shared" si="127"/>
        <v>0.55716217765042975</v>
      </c>
      <c r="R808" s="395">
        <f>VLOOKUP(C808,'[1]ORIGINAL (2)'!$A:$C,3,FALSE)</f>
        <v>658</v>
      </c>
      <c r="S808" s="24" t="e">
        <f>VLOOKUP(C808,#REF!,6,FALSE)</f>
        <v>#REF!</v>
      </c>
      <c r="T808" s="24" t="e">
        <f>VLOOKUP(C808,#REF!,7,FALSE)</f>
        <v>#REF!</v>
      </c>
      <c r="U808" s="24" t="e">
        <f>VLOOKUP(C808,#REF!,12,FALSE)</f>
        <v>#REF!</v>
      </c>
      <c r="V808" s="24" t="e">
        <f>VLOOKUP(C808,#REF!,13,FALSE)</f>
        <v>#REF!</v>
      </c>
    </row>
    <row r="809" spans="1:22" x14ac:dyDescent="0.25">
      <c r="A809" s="7" t="s">
        <v>1616</v>
      </c>
      <c r="B809" s="8">
        <v>9789500212670</v>
      </c>
      <c r="C809" s="8">
        <v>693799</v>
      </c>
      <c r="D809" s="25">
        <v>136</v>
      </c>
      <c r="E809" s="9" t="s">
        <v>491</v>
      </c>
      <c r="F809" s="7" t="s">
        <v>690</v>
      </c>
      <c r="G809" s="107">
        <v>44682</v>
      </c>
      <c r="H809" s="108">
        <v>44652</v>
      </c>
      <c r="I809" s="7">
        <v>9915</v>
      </c>
      <c r="J809" s="28" t="s">
        <v>2136</v>
      </c>
      <c r="K809" s="9">
        <v>239.8</v>
      </c>
      <c r="L809" s="9">
        <v>34900</v>
      </c>
      <c r="M809" s="112">
        <f t="shared" si="128"/>
        <v>3490</v>
      </c>
      <c r="N809" s="9">
        <f t="shared" si="124"/>
        <v>17450</v>
      </c>
      <c r="O809" s="9">
        <f t="shared" si="125"/>
        <v>13720.2</v>
      </c>
      <c r="P809" s="9">
        <f t="shared" si="126"/>
        <v>3729.8</v>
      </c>
      <c r="Q809" s="139">
        <f t="shared" si="127"/>
        <v>0.78625787965616045</v>
      </c>
      <c r="R809" s="395">
        <f>VLOOKUP(C809,'[1]ORIGINAL (2)'!$A:$C,3,FALSE)</f>
        <v>288</v>
      </c>
      <c r="S809" s="24" t="e">
        <f>VLOOKUP(C809,#REF!,6,FALSE)</f>
        <v>#REF!</v>
      </c>
      <c r="T809" s="24" t="e">
        <f>VLOOKUP(C809,#REF!,7,FALSE)</f>
        <v>#REF!</v>
      </c>
      <c r="U809" s="24" t="e">
        <f>VLOOKUP(C809,#REF!,12,FALSE)</f>
        <v>#REF!</v>
      </c>
      <c r="V809" s="24" t="e">
        <f>VLOOKUP(C809,#REF!,13,FALSE)</f>
        <v>#REF!</v>
      </c>
    </row>
    <row r="810" spans="1:22" x14ac:dyDescent="0.25">
      <c r="A810" s="7" t="s">
        <v>1617</v>
      </c>
      <c r="B810" s="8">
        <v>9789500209472</v>
      </c>
      <c r="C810" s="8">
        <v>686345</v>
      </c>
      <c r="D810" s="25">
        <v>136</v>
      </c>
      <c r="E810" s="6" t="s">
        <v>491</v>
      </c>
      <c r="F810" s="7" t="s">
        <v>575</v>
      </c>
      <c r="G810" s="107">
        <v>44440</v>
      </c>
      <c r="H810" s="108">
        <v>45474</v>
      </c>
      <c r="I810" s="267">
        <v>2115</v>
      </c>
      <c r="J810" s="28" t="s">
        <v>2136</v>
      </c>
      <c r="K810" s="9">
        <v>3024.15</v>
      </c>
      <c r="L810" s="9">
        <v>34900</v>
      </c>
      <c r="M810" s="112">
        <f t="shared" si="128"/>
        <v>3490</v>
      </c>
      <c r="N810" s="9">
        <f t="shared" si="124"/>
        <v>17450</v>
      </c>
      <c r="O810" s="9">
        <f t="shared" si="125"/>
        <v>10935.85</v>
      </c>
      <c r="P810" s="9">
        <f t="shared" si="126"/>
        <v>6514.15</v>
      </c>
      <c r="Q810" s="139">
        <f t="shared" si="127"/>
        <v>0.62669627507163328</v>
      </c>
      <c r="R810" s="395">
        <f>VLOOKUP(C810,'[1]ORIGINAL (2)'!$A:$C,3,FALSE)</f>
        <v>369</v>
      </c>
      <c r="S810" s="24" t="e">
        <f>VLOOKUP(C810,#REF!,6,FALSE)</f>
        <v>#REF!</v>
      </c>
      <c r="T810" s="24" t="e">
        <f>VLOOKUP(C810,#REF!,7,FALSE)</f>
        <v>#REF!</v>
      </c>
      <c r="U810" s="24" t="e">
        <f>VLOOKUP(C810,#REF!,12,FALSE)</f>
        <v>#REF!</v>
      </c>
      <c r="V810" s="24" t="e">
        <f>VLOOKUP(C810,#REF!,13,FALSE)</f>
        <v>#REF!</v>
      </c>
    </row>
    <row r="811" spans="1:22" x14ac:dyDescent="0.25">
      <c r="A811" s="6" t="s">
        <v>1618</v>
      </c>
      <c r="B811" s="8">
        <v>9789500210874</v>
      </c>
      <c r="C811" s="8">
        <v>676701</v>
      </c>
      <c r="D811" s="25">
        <v>176</v>
      </c>
      <c r="E811" s="7" t="s">
        <v>491</v>
      </c>
      <c r="F811" s="7" t="s">
        <v>492</v>
      </c>
      <c r="G811" s="107">
        <v>44044</v>
      </c>
      <c r="H811" s="108">
        <v>46082</v>
      </c>
      <c r="I811" s="7">
        <v>2145</v>
      </c>
      <c r="J811" s="28" t="s">
        <v>2136</v>
      </c>
      <c r="K811" s="9">
        <v>5621.42</v>
      </c>
      <c r="L811" s="9">
        <v>34900</v>
      </c>
      <c r="M811" s="112">
        <f t="shared" si="128"/>
        <v>3490</v>
      </c>
      <c r="N811" s="9">
        <f t="shared" si="124"/>
        <v>17450</v>
      </c>
      <c r="O811" s="9">
        <f t="shared" si="125"/>
        <v>8338.58</v>
      </c>
      <c r="P811" s="9">
        <f t="shared" si="126"/>
        <v>9111.42</v>
      </c>
      <c r="Q811" s="139">
        <f t="shared" si="127"/>
        <v>0.47785558739255013</v>
      </c>
      <c r="R811" s="395">
        <f>VLOOKUP(C811,'[1]ORIGINAL (2)'!$A:$C,3,FALSE)</f>
        <v>549</v>
      </c>
      <c r="S811" s="24" t="e">
        <f>VLOOKUP(C811,#REF!,6,FALSE)</f>
        <v>#REF!</v>
      </c>
      <c r="T811" s="24" t="e">
        <f>VLOOKUP(C811,#REF!,7,FALSE)</f>
        <v>#REF!</v>
      </c>
      <c r="U811" s="24" t="e">
        <f>VLOOKUP(C811,#REF!,12,FALSE)</f>
        <v>#REF!</v>
      </c>
      <c r="V811" s="24" t="e">
        <f>VLOOKUP(C811,#REF!,13,FALSE)</f>
        <v>#REF!</v>
      </c>
    </row>
    <row r="812" spans="1:22" x14ac:dyDescent="0.25">
      <c r="A812" s="7" t="s">
        <v>1621</v>
      </c>
      <c r="B812" s="8">
        <v>9789500210089</v>
      </c>
      <c r="C812" s="11">
        <v>667000</v>
      </c>
      <c r="D812" s="25">
        <v>176</v>
      </c>
      <c r="E812" s="22" t="s">
        <v>454</v>
      </c>
      <c r="F812" s="7" t="s">
        <v>605</v>
      </c>
      <c r="G812" s="107">
        <v>43678</v>
      </c>
      <c r="H812" s="108">
        <v>44562</v>
      </c>
      <c r="I812" s="7">
        <v>5075</v>
      </c>
      <c r="J812" s="28" t="s">
        <v>2136</v>
      </c>
      <c r="K812" s="117">
        <v>300.01</v>
      </c>
      <c r="L812" s="9">
        <v>30900</v>
      </c>
      <c r="M812" s="112">
        <f>+L812*0.07</f>
        <v>2163</v>
      </c>
      <c r="N812" s="9">
        <f t="shared" si="124"/>
        <v>15450</v>
      </c>
      <c r="O812" s="9">
        <f t="shared" si="125"/>
        <v>12986.99</v>
      </c>
      <c r="P812" s="9">
        <f t="shared" si="126"/>
        <v>2463.0100000000002</v>
      </c>
      <c r="Q812" s="139">
        <f t="shared" si="127"/>
        <v>0.84058187702265375</v>
      </c>
      <c r="R812" s="395">
        <f>VLOOKUP(C812,'[1]ORIGINAL (2)'!$A:$C,3,FALSE)</f>
        <v>72</v>
      </c>
      <c r="S812" s="24" t="e">
        <f>VLOOKUP(C812,#REF!,6,FALSE)</f>
        <v>#REF!</v>
      </c>
      <c r="T812" s="24" t="e">
        <f>VLOOKUP(C812,#REF!,7,FALSE)</f>
        <v>#REF!</v>
      </c>
      <c r="U812" s="24" t="e">
        <f>VLOOKUP(C812,#REF!,12,FALSE)</f>
        <v>#REF!</v>
      </c>
      <c r="V812" s="24" t="e">
        <f>VLOOKUP(C812,#REF!,13,FALSE)</f>
        <v>#REF!</v>
      </c>
    </row>
    <row r="813" spans="1:22" x14ac:dyDescent="0.25">
      <c r="A813" s="6" t="s">
        <v>1619</v>
      </c>
      <c r="B813" s="8">
        <v>9789500208857</v>
      </c>
      <c r="C813" s="8">
        <v>613397</v>
      </c>
      <c r="D813" s="7">
        <v>96</v>
      </c>
      <c r="E813" s="31" t="s">
        <v>308</v>
      </c>
      <c r="F813" s="6" t="s">
        <v>1620</v>
      </c>
      <c r="G813" s="107">
        <v>42491</v>
      </c>
      <c r="H813" s="108">
        <v>42461</v>
      </c>
      <c r="I813" s="24">
        <v>3010</v>
      </c>
      <c r="J813" s="28" t="s">
        <v>1946</v>
      </c>
      <c r="K813" s="28">
        <v>47.84</v>
      </c>
      <c r="L813" s="128">
        <v>13200</v>
      </c>
      <c r="M813" s="112">
        <f>+L813*0.07</f>
        <v>924.00000000000011</v>
      </c>
      <c r="N813" s="9">
        <f t="shared" si="124"/>
        <v>6600</v>
      </c>
      <c r="O813" s="9">
        <f t="shared" si="125"/>
        <v>5628.16</v>
      </c>
      <c r="P813" s="9">
        <f t="shared" si="126"/>
        <v>971.84000000000015</v>
      </c>
      <c r="Q813" s="139">
        <f t="shared" si="127"/>
        <v>0.85275151515151515</v>
      </c>
      <c r="R813" s="395" t="e">
        <f>VLOOKUP(C813,'[1]ORIGINAL (2)'!$A:$C,3,FALSE)</f>
        <v>#N/A</v>
      </c>
      <c r="S813" s="24" t="e">
        <f>VLOOKUP(C813,#REF!,6,FALSE)</f>
        <v>#REF!</v>
      </c>
      <c r="T813" s="24" t="e">
        <f>VLOOKUP(C813,#REF!,7,FALSE)</f>
        <v>#REF!</v>
      </c>
      <c r="U813" s="24" t="e">
        <f>VLOOKUP(C813,#REF!,12,FALSE)</f>
        <v>#REF!</v>
      </c>
      <c r="V813" s="24" t="e">
        <f>VLOOKUP(C813,#REF!,13,FALSE)</f>
        <v>#REF!</v>
      </c>
    </row>
    <row r="814" spans="1:22" x14ac:dyDescent="0.25">
      <c r="A814" s="7" t="s">
        <v>1622</v>
      </c>
      <c r="B814" s="8">
        <v>9789500205955</v>
      </c>
      <c r="C814" s="8">
        <v>542516</v>
      </c>
      <c r="D814" s="7">
        <v>96</v>
      </c>
      <c r="E814" s="7" t="s">
        <v>309</v>
      </c>
      <c r="F814" s="7" t="s">
        <v>310</v>
      </c>
      <c r="G814" s="107">
        <v>41214</v>
      </c>
      <c r="H814" s="108">
        <v>42186</v>
      </c>
      <c r="I814" s="24">
        <v>2000</v>
      </c>
      <c r="J814" s="28" t="s">
        <v>1946</v>
      </c>
      <c r="K814" s="28">
        <v>30.05</v>
      </c>
      <c r="L814" s="128">
        <v>13200</v>
      </c>
      <c r="M814" s="112">
        <f>+L814*0.07</f>
        <v>924.00000000000011</v>
      </c>
      <c r="N814" s="9">
        <f t="shared" si="124"/>
        <v>6600</v>
      </c>
      <c r="O814" s="9">
        <f t="shared" si="125"/>
        <v>5645.95</v>
      </c>
      <c r="P814" s="9">
        <f t="shared" si="126"/>
        <v>954.05000000000007</v>
      </c>
      <c r="Q814" s="139">
        <f t="shared" si="127"/>
        <v>0.85544696969696965</v>
      </c>
      <c r="R814" s="395" t="e">
        <f>VLOOKUP(C814,'[1]ORIGINAL (2)'!$A:$C,3,FALSE)</f>
        <v>#N/A</v>
      </c>
      <c r="S814" s="24" t="e">
        <f>VLOOKUP(C814,#REF!,6,FALSE)</f>
        <v>#REF!</v>
      </c>
      <c r="T814" s="24" t="e">
        <f>VLOOKUP(C814,#REF!,7,FALSE)</f>
        <v>#REF!</v>
      </c>
      <c r="U814" s="24" t="e">
        <f>VLOOKUP(C814,#REF!,12,FALSE)</f>
        <v>#REF!</v>
      </c>
      <c r="V814" s="24" t="e">
        <f>VLOOKUP(C814,#REF!,13,FALSE)</f>
        <v>#REF!</v>
      </c>
    </row>
    <row r="815" spans="1:22" x14ac:dyDescent="0.25">
      <c r="A815" s="68"/>
      <c r="B815" s="333"/>
      <c r="C815" s="333"/>
      <c r="D815" s="346"/>
      <c r="E815" s="68"/>
      <c r="F815" s="68"/>
      <c r="G815" s="68"/>
      <c r="H815" s="68"/>
      <c r="I815" s="68"/>
      <c r="J815" s="68"/>
      <c r="K815" s="132"/>
      <c r="L815" s="134"/>
      <c r="M815" s="132"/>
      <c r="N815" s="132"/>
      <c r="O815" s="132"/>
      <c r="P815" s="132"/>
      <c r="Q815" s="147"/>
      <c r="R815" s="395" t="e">
        <f>VLOOKUP(C815,'[1]ORIGINAL (2)'!$A:$C,3,FALSE)</f>
        <v>#N/A</v>
      </c>
      <c r="S815" s="100"/>
      <c r="T815" s="100"/>
      <c r="U815" s="100"/>
      <c r="V815" s="100"/>
    </row>
    <row r="816" spans="1:22" x14ac:dyDescent="0.25">
      <c r="A816" s="160" t="s">
        <v>1623</v>
      </c>
      <c r="B816" s="168"/>
      <c r="C816" s="168"/>
      <c r="D816" s="206"/>
      <c r="E816" s="174"/>
      <c r="F816" s="162"/>
      <c r="G816" s="162"/>
      <c r="H816" s="132"/>
      <c r="I816" s="132"/>
      <c r="J816" s="132"/>
      <c r="K816" s="132"/>
      <c r="L816" s="134"/>
      <c r="M816" s="132"/>
      <c r="N816" s="132"/>
      <c r="O816" s="132"/>
      <c r="P816" s="132"/>
      <c r="Q816" s="147"/>
      <c r="R816" s="395" t="e">
        <f>VLOOKUP(C816,'[1]ORIGINAL (2)'!$A:$C,3,FALSE)</f>
        <v>#N/A</v>
      </c>
      <c r="S816" s="100"/>
      <c r="T816" s="100"/>
      <c r="U816" s="100"/>
      <c r="V816" s="100"/>
    </row>
    <row r="817" spans="1:22" x14ac:dyDescent="0.25">
      <c r="A817" s="6" t="s">
        <v>2458</v>
      </c>
      <c r="B817" s="153">
        <v>9789500217682</v>
      </c>
      <c r="C817" s="8">
        <v>751243</v>
      </c>
      <c r="D817" s="41">
        <v>10</v>
      </c>
      <c r="E817" s="6" t="s">
        <v>2405</v>
      </c>
      <c r="F817" s="6" t="s">
        <v>840</v>
      </c>
      <c r="G817" s="107">
        <v>46296</v>
      </c>
      <c r="H817" s="108">
        <v>46266</v>
      </c>
      <c r="I817" s="267">
        <v>4000</v>
      </c>
      <c r="J817" s="6" t="s">
        <v>2160</v>
      </c>
      <c r="K817" s="148">
        <v>6603.3</v>
      </c>
      <c r="L817" s="352">
        <v>27900</v>
      </c>
      <c r="M817" s="9"/>
      <c r="N817" s="9">
        <f t="shared" ref="N817:N827" si="129">+L817/2</f>
        <v>13950</v>
      </c>
      <c r="O817" s="9">
        <f t="shared" ref="O817:O827" si="130">+N817-M817-K817</f>
        <v>7346.7</v>
      </c>
      <c r="P817" s="9">
        <f t="shared" ref="P817:P827" si="131">+M817+K817</f>
        <v>6603.3</v>
      </c>
      <c r="Q817" s="109">
        <f t="shared" ref="Q817:Q827" si="132">+O817/N817</f>
        <v>0.52664516129032257</v>
      </c>
      <c r="R817" s="395">
        <f>VLOOKUP(C817,'[1]ORIGINAL (2)'!$A:$C,3,FALSE)</f>
        <v>172</v>
      </c>
      <c r="S817" s="24" t="e">
        <f>VLOOKUP(C817,#REF!,6,FALSE)</f>
        <v>#REF!</v>
      </c>
      <c r="T817" s="24" t="e">
        <f>VLOOKUP(C817,#REF!,7,FALSE)</f>
        <v>#REF!</v>
      </c>
      <c r="U817" s="24" t="e">
        <f>VLOOKUP(C817,#REF!,12,FALSE)</f>
        <v>#REF!</v>
      </c>
      <c r="V817" s="24" t="e">
        <f>VLOOKUP(C817,#REF!,13,FALSE)</f>
        <v>#REF!</v>
      </c>
    </row>
    <row r="818" spans="1:22" x14ac:dyDescent="0.25">
      <c r="A818" s="6" t="s">
        <v>2212</v>
      </c>
      <c r="B818" s="8">
        <v>9789500216456</v>
      </c>
      <c r="C818" s="6">
        <v>737882</v>
      </c>
      <c r="D818" s="239">
        <v>80</v>
      </c>
      <c r="E818" s="8" t="s">
        <v>2213</v>
      </c>
      <c r="F818" s="6" t="s">
        <v>2214</v>
      </c>
      <c r="G818" s="107">
        <v>46023</v>
      </c>
      <c r="H818" s="108">
        <v>45962</v>
      </c>
      <c r="I818" s="264">
        <v>3000</v>
      </c>
      <c r="J818" s="6" t="s">
        <v>2219</v>
      </c>
      <c r="K818" s="292">
        <v>5014.93</v>
      </c>
      <c r="L818" s="9">
        <v>27900</v>
      </c>
      <c r="M818" s="9"/>
      <c r="N818" s="9">
        <f t="shared" si="129"/>
        <v>13950</v>
      </c>
      <c r="O818" s="9">
        <f t="shared" si="130"/>
        <v>8935.07</v>
      </c>
      <c r="P818" s="9">
        <f t="shared" si="131"/>
        <v>5014.93</v>
      </c>
      <c r="Q818" s="109">
        <f t="shared" si="132"/>
        <v>0.64050681003584231</v>
      </c>
      <c r="R818" s="395">
        <f>VLOOKUP(C818,'[1]ORIGINAL (2)'!$A:$C,3,FALSE)</f>
        <v>221</v>
      </c>
      <c r="S818" s="24" t="e">
        <f>VLOOKUP(C818,#REF!,6,FALSE)</f>
        <v>#REF!</v>
      </c>
      <c r="T818" s="24" t="e">
        <f>VLOOKUP(C818,#REF!,7,FALSE)</f>
        <v>#REF!</v>
      </c>
      <c r="U818" s="24" t="e">
        <f>VLOOKUP(C818,#REF!,12,FALSE)</f>
        <v>#REF!</v>
      </c>
      <c r="V818" s="24" t="e">
        <f>VLOOKUP(C818,#REF!,13,FALSE)</f>
        <v>#REF!</v>
      </c>
    </row>
    <row r="819" spans="1:22" x14ac:dyDescent="0.25">
      <c r="A819" s="6" t="s">
        <v>2113</v>
      </c>
      <c r="B819" s="153">
        <v>9789500216685</v>
      </c>
      <c r="C819" s="6">
        <v>734151</v>
      </c>
      <c r="D819" s="41">
        <v>128</v>
      </c>
      <c r="E819" s="6" t="s">
        <v>2125</v>
      </c>
      <c r="F819" s="6" t="s">
        <v>2126</v>
      </c>
      <c r="G819" s="107">
        <v>45901</v>
      </c>
      <c r="H819" s="108">
        <v>46054</v>
      </c>
      <c r="I819" s="7">
        <v>4035</v>
      </c>
      <c r="J819" s="28" t="s">
        <v>2258</v>
      </c>
      <c r="K819" s="148">
        <v>2780.79</v>
      </c>
      <c r="L819" s="9">
        <v>22900</v>
      </c>
      <c r="M819" s="9"/>
      <c r="N819" s="9">
        <f t="shared" si="129"/>
        <v>11450</v>
      </c>
      <c r="O819" s="9">
        <f t="shared" si="130"/>
        <v>8669.2099999999991</v>
      </c>
      <c r="P819" s="9">
        <f t="shared" si="131"/>
        <v>2780.79</v>
      </c>
      <c r="Q819" s="109">
        <f t="shared" si="132"/>
        <v>0.75713624454148465</v>
      </c>
      <c r="R819" s="395">
        <f>VLOOKUP(C819,'[1]ORIGINAL (2)'!$A:$C,3,FALSE)</f>
        <v>1651</v>
      </c>
      <c r="S819" s="24" t="e">
        <f>VLOOKUP(C819,#REF!,6,FALSE)</f>
        <v>#REF!</v>
      </c>
      <c r="T819" s="24" t="e">
        <f>VLOOKUP(C819,#REF!,7,FALSE)</f>
        <v>#REF!</v>
      </c>
      <c r="U819" s="24" t="e">
        <f>VLOOKUP(C819,#REF!,12,FALSE)</f>
        <v>#REF!</v>
      </c>
      <c r="V819" s="24" t="e">
        <f>VLOOKUP(C819,#REF!,13,FALSE)</f>
        <v>#REF!</v>
      </c>
    </row>
    <row r="820" spans="1:22" x14ac:dyDescent="0.25">
      <c r="A820" s="6" t="s">
        <v>2083</v>
      </c>
      <c r="B820" s="279">
        <v>9789500216036</v>
      </c>
      <c r="C820" s="3">
        <v>731835</v>
      </c>
      <c r="D820" s="41">
        <v>64</v>
      </c>
      <c r="E820" s="7" t="s">
        <v>2084</v>
      </c>
      <c r="F820" s="6" t="s">
        <v>2085</v>
      </c>
      <c r="G820" s="107">
        <v>45839</v>
      </c>
      <c r="H820" s="108">
        <v>45809</v>
      </c>
      <c r="I820" s="7">
        <v>3006</v>
      </c>
      <c r="J820" s="28" t="s">
        <v>2258</v>
      </c>
      <c r="K820" s="292">
        <v>2321.54</v>
      </c>
      <c r="L820" s="9">
        <v>25900</v>
      </c>
      <c r="M820" s="9"/>
      <c r="N820" s="9">
        <f t="shared" si="129"/>
        <v>12950</v>
      </c>
      <c r="O820" s="9">
        <f t="shared" si="130"/>
        <v>10628.46</v>
      </c>
      <c r="P820" s="9">
        <f t="shared" si="131"/>
        <v>2321.54</v>
      </c>
      <c r="Q820" s="109">
        <f t="shared" si="132"/>
        <v>0.8207305019305019</v>
      </c>
      <c r="R820" s="395">
        <f>VLOOKUP(C820,'[1]ORIGINAL (2)'!$A:$C,3,FALSE)</f>
        <v>748</v>
      </c>
      <c r="S820" s="24" t="e">
        <f>VLOOKUP(C820,#REF!,6,FALSE)</f>
        <v>#REF!</v>
      </c>
      <c r="T820" s="24" t="e">
        <f>VLOOKUP(C820,#REF!,7,FALSE)</f>
        <v>#REF!</v>
      </c>
      <c r="U820" s="24" t="e">
        <f>VLOOKUP(C820,#REF!,12,FALSE)</f>
        <v>#REF!</v>
      </c>
      <c r="V820" s="24" t="e">
        <f>VLOOKUP(C820,#REF!,13,FALSE)</f>
        <v>#REF!</v>
      </c>
    </row>
    <row r="821" spans="1:22" x14ac:dyDescent="0.25">
      <c r="A821" s="6" t="s">
        <v>1983</v>
      </c>
      <c r="B821" s="8">
        <v>9789500215329</v>
      </c>
      <c r="C821" s="6">
        <v>725693</v>
      </c>
      <c r="D821" s="41">
        <v>80</v>
      </c>
      <c r="E821" s="288" t="s">
        <v>1984</v>
      </c>
      <c r="F821" s="6" t="s">
        <v>1985</v>
      </c>
      <c r="G821" s="107">
        <v>45689</v>
      </c>
      <c r="H821" s="108">
        <v>45658</v>
      </c>
      <c r="I821" s="264">
        <v>3000</v>
      </c>
      <c r="J821" s="6" t="s">
        <v>2136</v>
      </c>
      <c r="K821" s="292">
        <v>2691.23</v>
      </c>
      <c r="L821" s="9">
        <v>27500</v>
      </c>
      <c r="M821" s="9"/>
      <c r="N821" s="9">
        <f t="shared" si="129"/>
        <v>13750</v>
      </c>
      <c r="O821" s="9">
        <f t="shared" si="130"/>
        <v>11058.77</v>
      </c>
      <c r="P821" s="9">
        <f t="shared" si="131"/>
        <v>2691.23</v>
      </c>
      <c r="Q821" s="109">
        <f t="shared" si="132"/>
        <v>0.80427418181818189</v>
      </c>
      <c r="R821" s="395">
        <f>VLOOKUP(C821,'[1]ORIGINAL (2)'!$A:$C,3,FALSE)</f>
        <v>214</v>
      </c>
      <c r="S821" s="24" t="e">
        <f>VLOOKUP(C821,#REF!,6,FALSE)</f>
        <v>#REF!</v>
      </c>
      <c r="T821" s="24" t="e">
        <f>VLOOKUP(C821,#REF!,7,FALSE)</f>
        <v>#REF!</v>
      </c>
      <c r="U821" s="24" t="e">
        <f>VLOOKUP(C821,#REF!,12,FALSE)</f>
        <v>#REF!</v>
      </c>
      <c r="V821" s="24" t="e">
        <f>VLOOKUP(C821,#REF!,13,FALSE)</f>
        <v>#REF!</v>
      </c>
    </row>
    <row r="822" spans="1:22" x14ac:dyDescent="0.25">
      <c r="A822" s="6" t="s">
        <v>1986</v>
      </c>
      <c r="B822" s="8">
        <v>9789500215312</v>
      </c>
      <c r="C822" s="6">
        <v>725694</v>
      </c>
      <c r="D822" s="41">
        <v>80</v>
      </c>
      <c r="E822" s="288" t="s">
        <v>1984</v>
      </c>
      <c r="F822" s="6" t="s">
        <v>1987</v>
      </c>
      <c r="G822" s="107">
        <v>45689</v>
      </c>
      <c r="H822" s="108">
        <v>45658</v>
      </c>
      <c r="I822" s="264">
        <v>3000</v>
      </c>
      <c r="J822" s="6" t="s">
        <v>2136</v>
      </c>
      <c r="K822" s="292">
        <v>2724.56</v>
      </c>
      <c r="L822" s="9">
        <v>27500</v>
      </c>
      <c r="M822" s="9"/>
      <c r="N822" s="9">
        <f t="shared" si="129"/>
        <v>13750</v>
      </c>
      <c r="O822" s="9">
        <f t="shared" si="130"/>
        <v>11025.44</v>
      </c>
      <c r="P822" s="9">
        <f t="shared" si="131"/>
        <v>2724.56</v>
      </c>
      <c r="Q822" s="109">
        <f t="shared" si="132"/>
        <v>0.80185018181818191</v>
      </c>
      <c r="R822" s="395">
        <f>VLOOKUP(C822,'[1]ORIGINAL (2)'!$A:$C,3,FALSE)</f>
        <v>226</v>
      </c>
      <c r="S822" s="24" t="e">
        <f>VLOOKUP(C822,#REF!,6,FALSE)</f>
        <v>#REF!</v>
      </c>
      <c r="T822" s="24" t="e">
        <f>VLOOKUP(C822,#REF!,7,FALSE)</f>
        <v>#REF!</v>
      </c>
      <c r="U822" s="24" t="e">
        <f>VLOOKUP(C822,#REF!,12,FALSE)</f>
        <v>#REF!</v>
      </c>
      <c r="V822" s="24" t="e">
        <f>VLOOKUP(C822,#REF!,13,FALSE)</f>
        <v>#REF!</v>
      </c>
    </row>
    <row r="823" spans="1:22" x14ac:dyDescent="0.25">
      <c r="A823" s="7" t="s">
        <v>1624</v>
      </c>
      <c r="B823" s="8">
        <v>9789500209755</v>
      </c>
      <c r="C823" s="6">
        <v>660730</v>
      </c>
      <c r="D823" s="7">
        <v>180</v>
      </c>
      <c r="E823" s="22" t="s">
        <v>434</v>
      </c>
      <c r="F823" s="15" t="s">
        <v>435</v>
      </c>
      <c r="G823" s="107">
        <v>43556</v>
      </c>
      <c r="H823" s="108">
        <v>43525</v>
      </c>
      <c r="I823" s="7">
        <v>4008</v>
      </c>
      <c r="J823" s="28" t="s">
        <v>1946</v>
      </c>
      <c r="K823" s="9">
        <v>217.96</v>
      </c>
      <c r="L823" s="128">
        <v>26900</v>
      </c>
      <c r="M823" s="9"/>
      <c r="N823" s="9">
        <f t="shared" si="129"/>
        <v>13450</v>
      </c>
      <c r="O823" s="9">
        <f t="shared" si="130"/>
        <v>13232.04</v>
      </c>
      <c r="P823" s="9">
        <f t="shared" si="131"/>
        <v>217.96</v>
      </c>
      <c r="Q823" s="139">
        <f t="shared" si="132"/>
        <v>0.98379479553903348</v>
      </c>
      <c r="R823" s="395">
        <f>VLOOKUP(C823,'[1]ORIGINAL (2)'!$A:$C,3,FALSE)</f>
        <v>1</v>
      </c>
      <c r="S823" s="24" t="e">
        <f>VLOOKUP(C823,#REF!,6,FALSE)</f>
        <v>#REF!</v>
      </c>
      <c r="T823" s="24" t="e">
        <f>VLOOKUP(C823,#REF!,7,FALSE)</f>
        <v>#REF!</v>
      </c>
      <c r="U823" s="24" t="e">
        <f>VLOOKUP(C823,#REF!,12,FALSE)</f>
        <v>#REF!</v>
      </c>
      <c r="V823" s="24" t="e">
        <f>VLOOKUP(C823,#REF!,13,FALSE)</f>
        <v>#REF!</v>
      </c>
    </row>
    <row r="824" spans="1:22" x14ac:dyDescent="0.25">
      <c r="A824" s="6" t="s">
        <v>1625</v>
      </c>
      <c r="B824" s="8">
        <v>9789500209212</v>
      </c>
      <c r="C824" s="6">
        <v>648599</v>
      </c>
      <c r="D824" s="7">
        <v>80</v>
      </c>
      <c r="E824" s="7" t="s">
        <v>385</v>
      </c>
      <c r="F824" s="7" t="s">
        <v>1626</v>
      </c>
      <c r="G824" s="107">
        <v>43252</v>
      </c>
      <c r="H824" s="108">
        <v>43221</v>
      </c>
      <c r="I824" s="24">
        <v>3096</v>
      </c>
      <c r="J824" s="28" t="s">
        <v>1946</v>
      </c>
      <c r="K824" s="28">
        <v>85.36</v>
      </c>
      <c r="L824" s="128">
        <v>22000</v>
      </c>
      <c r="M824" s="9"/>
      <c r="N824" s="9">
        <f t="shared" si="129"/>
        <v>11000</v>
      </c>
      <c r="O824" s="9">
        <f t="shared" si="130"/>
        <v>10914.64</v>
      </c>
      <c r="P824" s="9">
        <f t="shared" si="131"/>
        <v>85.36</v>
      </c>
      <c r="Q824" s="139">
        <f t="shared" si="132"/>
        <v>0.9922399999999999</v>
      </c>
      <c r="R824" s="395">
        <f>VLOOKUP(C824,'[1]ORIGINAL (2)'!$A:$C,3,FALSE)</f>
        <v>1</v>
      </c>
      <c r="S824" s="24" t="e">
        <f>VLOOKUP(C824,#REF!,6,FALSE)</f>
        <v>#REF!</v>
      </c>
      <c r="T824" s="24" t="e">
        <f>VLOOKUP(C824,#REF!,7,FALSE)</f>
        <v>#REF!</v>
      </c>
      <c r="U824" s="24" t="e">
        <f>VLOOKUP(C824,#REF!,12,FALSE)</f>
        <v>#REF!</v>
      </c>
      <c r="V824" s="24" t="e">
        <f>VLOOKUP(C824,#REF!,13,FALSE)</f>
        <v>#REF!</v>
      </c>
    </row>
    <row r="825" spans="1:22" x14ac:dyDescent="0.25">
      <c r="A825" s="7" t="s">
        <v>1627</v>
      </c>
      <c r="B825" s="208">
        <v>9789500209090</v>
      </c>
      <c r="C825" s="6">
        <v>645295</v>
      </c>
      <c r="D825" s="7">
        <v>128</v>
      </c>
      <c r="E825" s="7" t="s">
        <v>355</v>
      </c>
      <c r="F825" s="15" t="s">
        <v>356</v>
      </c>
      <c r="G825" s="107">
        <v>43221</v>
      </c>
      <c r="H825" s="108">
        <v>43132</v>
      </c>
      <c r="I825" s="24">
        <v>3120</v>
      </c>
      <c r="J825" s="28" t="s">
        <v>1946</v>
      </c>
      <c r="K825" s="28">
        <v>103.89</v>
      </c>
      <c r="L825" s="128">
        <v>26400</v>
      </c>
      <c r="M825" s="9"/>
      <c r="N825" s="9">
        <f t="shared" si="129"/>
        <v>13200</v>
      </c>
      <c r="O825" s="9">
        <f t="shared" si="130"/>
        <v>13096.11</v>
      </c>
      <c r="P825" s="9">
        <f t="shared" si="131"/>
        <v>103.89</v>
      </c>
      <c r="Q825" s="139">
        <f t="shared" si="132"/>
        <v>0.99212954545454546</v>
      </c>
      <c r="R825" s="395" t="e">
        <f>VLOOKUP(C825,'[1]ORIGINAL (2)'!$A:$C,3,FALSE)</f>
        <v>#N/A</v>
      </c>
      <c r="S825" s="24" t="e">
        <f>VLOOKUP(C825,#REF!,6,FALSE)</f>
        <v>#REF!</v>
      </c>
      <c r="T825" s="24" t="e">
        <f>VLOOKUP(C825,#REF!,7,FALSE)</f>
        <v>#REF!</v>
      </c>
      <c r="U825" s="24" t="e">
        <f>VLOOKUP(C825,#REF!,12,FALSE)</f>
        <v>#REF!</v>
      </c>
      <c r="V825" s="24" t="e">
        <f>VLOOKUP(C825,#REF!,13,FALSE)</f>
        <v>#REF!</v>
      </c>
    </row>
    <row r="826" spans="1:22" x14ac:dyDescent="0.25">
      <c r="A826" s="6" t="s">
        <v>1628</v>
      </c>
      <c r="B826" s="207">
        <v>9789500299596</v>
      </c>
      <c r="C826" s="6">
        <v>633018</v>
      </c>
      <c r="D826" s="7">
        <v>128</v>
      </c>
      <c r="E826" s="7" t="s">
        <v>237</v>
      </c>
      <c r="F826" s="11" t="s">
        <v>1</v>
      </c>
      <c r="G826" s="107">
        <v>42948</v>
      </c>
      <c r="H826" s="108">
        <v>42917</v>
      </c>
      <c r="I826" s="24">
        <v>4016</v>
      </c>
      <c r="J826" s="28" t="s">
        <v>1946</v>
      </c>
      <c r="K826" s="28">
        <v>80.97</v>
      </c>
      <c r="L826" s="128">
        <v>21200</v>
      </c>
      <c r="M826" s="25"/>
      <c r="N826" s="9">
        <f t="shared" si="129"/>
        <v>10600</v>
      </c>
      <c r="O826" s="9">
        <f t="shared" si="130"/>
        <v>10519.03</v>
      </c>
      <c r="P826" s="9">
        <f t="shared" si="131"/>
        <v>80.97</v>
      </c>
      <c r="Q826" s="139">
        <f t="shared" si="132"/>
        <v>0.99236132075471706</v>
      </c>
      <c r="R826" s="395">
        <f>VLOOKUP(C826,'[1]ORIGINAL (2)'!$A:$C,3,FALSE)</f>
        <v>2</v>
      </c>
      <c r="S826" s="24" t="e">
        <f>VLOOKUP(C826,#REF!,6,FALSE)</f>
        <v>#REF!</v>
      </c>
      <c r="T826" s="24" t="e">
        <f>VLOOKUP(C826,#REF!,7,FALSE)</f>
        <v>#REF!</v>
      </c>
      <c r="U826" s="24" t="e">
        <f>VLOOKUP(C826,#REF!,12,FALSE)</f>
        <v>#REF!</v>
      </c>
      <c r="V826" s="24" t="e">
        <f>VLOOKUP(C826,#REF!,13,FALSE)</f>
        <v>#REF!</v>
      </c>
    </row>
    <row r="827" spans="1:22" x14ac:dyDescent="0.25">
      <c r="A827" s="11" t="s">
        <v>1629</v>
      </c>
      <c r="B827" s="13">
        <v>9789500209519</v>
      </c>
      <c r="C827" s="6">
        <v>656127</v>
      </c>
      <c r="D827" s="7">
        <v>304</v>
      </c>
      <c r="E827" s="6" t="s">
        <v>424</v>
      </c>
      <c r="F827" s="11" t="s">
        <v>598</v>
      </c>
      <c r="G827" s="107">
        <v>43435</v>
      </c>
      <c r="H827" s="108">
        <v>43374</v>
      </c>
      <c r="I827" s="24">
        <v>3150</v>
      </c>
      <c r="J827" s="28" t="s">
        <v>1946</v>
      </c>
      <c r="K827" s="28">
        <v>340.57</v>
      </c>
      <c r="L827" s="128">
        <v>35000</v>
      </c>
      <c r="M827" s="9"/>
      <c r="N827" s="9">
        <f t="shared" si="129"/>
        <v>17500</v>
      </c>
      <c r="O827" s="9">
        <f t="shared" si="130"/>
        <v>17159.43</v>
      </c>
      <c r="P827" s="9">
        <f t="shared" si="131"/>
        <v>340.57</v>
      </c>
      <c r="Q827" s="139">
        <f t="shared" si="132"/>
        <v>0.98053885714285716</v>
      </c>
      <c r="R827" s="395" t="e">
        <f>VLOOKUP(C827,'[1]ORIGINAL (2)'!$A:$C,3,FALSE)</f>
        <v>#N/A</v>
      </c>
      <c r="S827" s="24" t="e">
        <f>VLOOKUP(C827,#REF!,6,FALSE)</f>
        <v>#REF!</v>
      </c>
      <c r="T827" s="24" t="e">
        <f>VLOOKUP(C827,#REF!,7,FALSE)</f>
        <v>#REF!</v>
      </c>
      <c r="U827" s="24" t="e">
        <f>VLOOKUP(C827,#REF!,12,FALSE)</f>
        <v>#REF!</v>
      </c>
      <c r="V827" s="24" t="e">
        <f>VLOOKUP(C827,#REF!,13,FALSE)</f>
        <v>#REF!</v>
      </c>
    </row>
    <row r="828" spans="1:22" x14ac:dyDescent="0.25">
      <c r="A828" s="1"/>
      <c r="B828" s="3"/>
      <c r="C828" s="3"/>
      <c r="D828" s="2"/>
      <c r="E828" s="274"/>
      <c r="F828" s="132"/>
      <c r="G828" s="2"/>
      <c r="H828" s="132"/>
      <c r="I828" s="132"/>
      <c r="J828" s="132"/>
      <c r="K828" s="132"/>
      <c r="L828" s="134"/>
      <c r="M828" s="132"/>
      <c r="N828" s="132"/>
      <c r="O828" s="132"/>
      <c r="P828" s="132"/>
      <c r="Q828" s="147"/>
      <c r="R828" s="395" t="e">
        <f>VLOOKUP(C828,'[1]ORIGINAL (2)'!$A:$C,3,FALSE)</f>
        <v>#N/A</v>
      </c>
      <c r="S828" s="100"/>
      <c r="T828" s="100"/>
      <c r="U828" s="100"/>
      <c r="V828" s="100"/>
    </row>
    <row r="829" spans="1:22" x14ac:dyDescent="0.25">
      <c r="A829" s="202" t="s">
        <v>1630</v>
      </c>
      <c r="B829" s="203"/>
      <c r="C829" s="203"/>
      <c r="D829" s="204"/>
      <c r="E829" s="205"/>
      <c r="F829" s="162"/>
      <c r="G829" s="162"/>
      <c r="H829" s="132"/>
      <c r="I829" s="132"/>
      <c r="J829" s="132"/>
      <c r="K829" s="132"/>
      <c r="L829" s="134"/>
      <c r="M829" s="132"/>
      <c r="N829" s="132"/>
      <c r="O829" s="132"/>
      <c r="P829" s="132"/>
      <c r="Q829" s="147"/>
      <c r="R829" s="395" t="e">
        <f>VLOOKUP(C829,'[1]ORIGINAL (2)'!$A:$C,3,FALSE)</f>
        <v>#N/A</v>
      </c>
      <c r="S829" s="100"/>
      <c r="T829" s="100"/>
      <c r="U829" s="100"/>
      <c r="V829" s="100"/>
    </row>
    <row r="830" spans="1:22" x14ac:dyDescent="0.25">
      <c r="A830" s="7" t="s">
        <v>1050</v>
      </c>
      <c r="B830" s="210">
        <v>9789500299961</v>
      </c>
      <c r="C830" s="6">
        <v>643878</v>
      </c>
      <c r="D830" s="7">
        <v>80</v>
      </c>
      <c r="E830" s="7" t="s">
        <v>349</v>
      </c>
      <c r="F830" s="15" t="s">
        <v>1631</v>
      </c>
      <c r="G830" s="107">
        <v>43160</v>
      </c>
      <c r="H830" s="108">
        <v>43070</v>
      </c>
      <c r="I830" s="24">
        <v>3150</v>
      </c>
      <c r="J830" s="28" t="s">
        <v>1946</v>
      </c>
      <c r="K830" s="28">
        <v>65.540000000000006</v>
      </c>
      <c r="L830" s="28">
        <v>19600</v>
      </c>
      <c r="M830" s="112"/>
      <c r="N830" s="9">
        <f>+L830/2</f>
        <v>9800</v>
      </c>
      <c r="O830" s="9">
        <f>+N830-M830-K830</f>
        <v>9734.4599999999991</v>
      </c>
      <c r="P830" s="9">
        <f>+M830+K830</f>
        <v>65.540000000000006</v>
      </c>
      <c r="Q830" s="139">
        <f>+O830/N830</f>
        <v>0.99331224489795911</v>
      </c>
      <c r="R830" s="395" t="e">
        <f>VLOOKUP(C830,'[1]ORIGINAL (2)'!$A:$C,3,FALSE)</f>
        <v>#N/A</v>
      </c>
      <c r="S830" s="24" t="e">
        <f>VLOOKUP(C830,#REF!,6,FALSE)</f>
        <v>#REF!</v>
      </c>
      <c r="T830" s="24" t="e">
        <f>VLOOKUP(C830,#REF!,7,FALSE)</f>
        <v>#REF!</v>
      </c>
      <c r="U830" s="24" t="e">
        <f>VLOOKUP(C830,#REF!,12,FALSE)</f>
        <v>#REF!</v>
      </c>
      <c r="V830" s="24" t="e">
        <f>VLOOKUP(C830,#REF!,13,FALSE)</f>
        <v>#REF!</v>
      </c>
    </row>
    <row r="831" spans="1:22" x14ac:dyDescent="0.25">
      <c r="A831" s="68"/>
      <c r="B831" s="333"/>
      <c r="C831" s="333"/>
      <c r="D831" s="346"/>
      <c r="E831" s="68"/>
      <c r="F831" s="68"/>
      <c r="G831" s="68"/>
      <c r="H831" s="68"/>
      <c r="I831" s="68"/>
      <c r="J831" s="68"/>
      <c r="K831" s="132"/>
      <c r="L831" s="134"/>
      <c r="M831" s="132"/>
      <c r="N831" s="132"/>
      <c r="O831" s="132"/>
      <c r="P831" s="132"/>
      <c r="Q831" s="147"/>
      <c r="R831" s="395" t="e">
        <f>VLOOKUP(C831,'[1]ORIGINAL (2)'!$A:$C,3,FALSE)</f>
        <v>#N/A</v>
      </c>
      <c r="S831" s="100"/>
      <c r="T831" s="100"/>
      <c r="U831" s="100"/>
      <c r="V831" s="100"/>
    </row>
    <row r="832" spans="1:22" x14ac:dyDescent="0.25">
      <c r="A832" s="202" t="s">
        <v>1632</v>
      </c>
      <c r="B832" s="203"/>
      <c r="C832" s="203"/>
      <c r="D832" s="204"/>
      <c r="E832" s="205"/>
      <c r="F832" s="162"/>
      <c r="G832" s="162"/>
      <c r="H832" s="132"/>
      <c r="I832" s="132"/>
      <c r="J832" s="132"/>
      <c r="K832" s="132"/>
      <c r="L832" s="134"/>
      <c r="M832" s="132"/>
      <c r="N832" s="132"/>
      <c r="O832" s="132"/>
      <c r="P832" s="132"/>
      <c r="Q832" s="147"/>
      <c r="R832" s="395" t="e">
        <f>VLOOKUP(C832,'[1]ORIGINAL (2)'!$A:$C,3,FALSE)</f>
        <v>#N/A</v>
      </c>
      <c r="S832" s="100"/>
      <c r="T832" s="100"/>
      <c r="U832" s="100"/>
      <c r="V832" s="100"/>
    </row>
    <row r="833" spans="1:22" x14ac:dyDescent="0.25">
      <c r="A833" s="6" t="s">
        <v>1633</v>
      </c>
      <c r="B833" s="8">
        <v>9789500209380</v>
      </c>
      <c r="C833" s="6">
        <v>653547</v>
      </c>
      <c r="D833" s="7">
        <v>12</v>
      </c>
      <c r="E833" s="9" t="s">
        <v>401</v>
      </c>
      <c r="F833" s="19" t="s">
        <v>1634</v>
      </c>
      <c r="G833" s="107">
        <v>43344</v>
      </c>
      <c r="H833" s="108">
        <v>45261</v>
      </c>
      <c r="I833" s="24">
        <v>4000</v>
      </c>
      <c r="J833" s="28" t="s">
        <v>2136</v>
      </c>
      <c r="K833" s="148">
        <v>1052.98</v>
      </c>
      <c r="L833" s="128">
        <v>28900</v>
      </c>
      <c r="M833" s="112"/>
      <c r="N833" s="9">
        <f>+L833/2</f>
        <v>14450</v>
      </c>
      <c r="O833" s="9">
        <f>+N833-M833-K833</f>
        <v>13397.02</v>
      </c>
      <c r="P833" s="9">
        <f>+M833+K833</f>
        <v>1052.98</v>
      </c>
      <c r="Q833" s="139">
        <f>+O833/N833</f>
        <v>0.92712941176470587</v>
      </c>
      <c r="R833" s="395">
        <f>VLOOKUP(C833,'[1]ORIGINAL (2)'!$A:$C,3,FALSE)</f>
        <v>59</v>
      </c>
      <c r="S833" s="24" t="e">
        <f>VLOOKUP(C833,#REF!,6,FALSE)</f>
        <v>#REF!</v>
      </c>
      <c r="T833" s="24" t="e">
        <f>VLOOKUP(C833,#REF!,7,FALSE)</f>
        <v>#REF!</v>
      </c>
      <c r="U833" s="24" t="e">
        <f>VLOOKUP(C833,#REF!,12,FALSE)</f>
        <v>#REF!</v>
      </c>
      <c r="V833" s="24" t="e">
        <f>VLOOKUP(C833,#REF!,13,FALSE)</f>
        <v>#REF!</v>
      </c>
    </row>
    <row r="834" spans="1:22" x14ac:dyDescent="0.25">
      <c r="A834" s="7" t="s">
        <v>1635</v>
      </c>
      <c r="B834" s="8">
        <v>9789500209540</v>
      </c>
      <c r="C834" s="6">
        <v>653546</v>
      </c>
      <c r="D834" s="7">
        <v>12</v>
      </c>
      <c r="E834" s="9" t="s">
        <v>401</v>
      </c>
      <c r="F834" s="19" t="s">
        <v>1636</v>
      </c>
      <c r="G834" s="107">
        <v>43344</v>
      </c>
      <c r="H834" s="108">
        <v>43313</v>
      </c>
      <c r="I834" s="24">
        <v>4000</v>
      </c>
      <c r="J834" s="28" t="s">
        <v>2136</v>
      </c>
      <c r="K834" s="148">
        <v>1052.98</v>
      </c>
      <c r="L834" s="128">
        <v>28900</v>
      </c>
      <c r="M834" s="112"/>
      <c r="N834" s="9">
        <f>+L834/2</f>
        <v>14450</v>
      </c>
      <c r="O834" s="9">
        <f>+N834-M834-K834</f>
        <v>13397.02</v>
      </c>
      <c r="P834" s="9">
        <f>+M834+K834</f>
        <v>1052.98</v>
      </c>
      <c r="Q834" s="139">
        <f>+O834/N834</f>
        <v>0.92712941176470587</v>
      </c>
      <c r="R834" s="395">
        <f>VLOOKUP(C834,'[1]ORIGINAL (2)'!$A:$C,3,FALSE)</f>
        <v>327</v>
      </c>
      <c r="S834" s="24" t="e">
        <f>VLOOKUP(C834,#REF!,6,FALSE)</f>
        <v>#REF!</v>
      </c>
      <c r="T834" s="24" t="e">
        <f>VLOOKUP(C834,#REF!,7,FALSE)</f>
        <v>#REF!</v>
      </c>
      <c r="U834" s="24" t="e">
        <f>VLOOKUP(C834,#REF!,12,FALSE)</f>
        <v>#REF!</v>
      </c>
      <c r="V834" s="24" t="e">
        <f>VLOOKUP(C834,#REF!,13,FALSE)</f>
        <v>#REF!</v>
      </c>
    </row>
    <row r="835" spans="1:22" x14ac:dyDescent="0.25">
      <c r="A835" s="6" t="s">
        <v>1637</v>
      </c>
      <c r="B835" s="8">
        <v>9789500299299</v>
      </c>
      <c r="C835" s="211">
        <v>625422</v>
      </c>
      <c r="D835" s="25">
        <v>12</v>
      </c>
      <c r="E835" s="7" t="s">
        <v>297</v>
      </c>
      <c r="F835" s="19" t="s">
        <v>1638</v>
      </c>
      <c r="G835" s="107">
        <v>42795</v>
      </c>
      <c r="H835" s="108">
        <v>43831</v>
      </c>
      <c r="I835" s="24">
        <v>4000</v>
      </c>
      <c r="J835" s="28" t="s">
        <v>2136</v>
      </c>
      <c r="K835" s="148">
        <v>1052.98</v>
      </c>
      <c r="L835" s="128">
        <v>28900</v>
      </c>
      <c r="M835" s="112"/>
      <c r="N835" s="9">
        <f>+L835/2</f>
        <v>14450</v>
      </c>
      <c r="O835" s="9">
        <f>+N835-M835-K835</f>
        <v>13397.02</v>
      </c>
      <c r="P835" s="9">
        <f>+M835+K835</f>
        <v>1052.98</v>
      </c>
      <c r="Q835" s="139">
        <f>+O835/N835</f>
        <v>0.92712941176470587</v>
      </c>
      <c r="R835" s="395">
        <f>VLOOKUP(C835,'[1]ORIGINAL (2)'!$A:$C,3,FALSE)</f>
        <v>322</v>
      </c>
      <c r="S835" s="24" t="e">
        <f>VLOOKUP(C835,#REF!,6,FALSE)</f>
        <v>#REF!</v>
      </c>
      <c r="T835" s="24" t="e">
        <f>VLOOKUP(C835,#REF!,7,FALSE)</f>
        <v>#REF!</v>
      </c>
      <c r="U835" s="24" t="e">
        <f>VLOOKUP(C835,#REF!,12,FALSE)</f>
        <v>#REF!</v>
      </c>
      <c r="V835" s="24" t="e">
        <f>VLOOKUP(C835,#REF!,13,FALSE)</f>
        <v>#REF!</v>
      </c>
    </row>
    <row r="836" spans="1:22" x14ac:dyDescent="0.25">
      <c r="A836" s="6" t="s">
        <v>1639</v>
      </c>
      <c r="B836" s="8">
        <v>9789500299305</v>
      </c>
      <c r="C836" s="6">
        <v>625423</v>
      </c>
      <c r="D836" s="25">
        <v>12</v>
      </c>
      <c r="E836" s="7" t="s">
        <v>297</v>
      </c>
      <c r="F836" s="7" t="s">
        <v>1640</v>
      </c>
      <c r="G836" s="107">
        <v>42795</v>
      </c>
      <c r="H836" s="108">
        <v>43831</v>
      </c>
      <c r="I836" s="24">
        <v>4000</v>
      </c>
      <c r="J836" s="28" t="s">
        <v>2136</v>
      </c>
      <c r="K836" s="148">
        <v>1052.98</v>
      </c>
      <c r="L836" s="128">
        <v>28900</v>
      </c>
      <c r="M836" s="112"/>
      <c r="N836" s="9">
        <f>+L836/2</f>
        <v>14450</v>
      </c>
      <c r="O836" s="9">
        <f>+N836-M836-K836</f>
        <v>13397.02</v>
      </c>
      <c r="P836" s="9">
        <f>+M836+K836</f>
        <v>1052.98</v>
      </c>
      <c r="Q836" s="139">
        <f>+O836/N836</f>
        <v>0.92712941176470587</v>
      </c>
      <c r="R836" s="395">
        <f>VLOOKUP(C836,'[1]ORIGINAL (2)'!$A:$C,3,FALSE)</f>
        <v>258</v>
      </c>
      <c r="S836" s="24" t="e">
        <f>VLOOKUP(C836,#REF!,6,FALSE)</f>
        <v>#REF!</v>
      </c>
      <c r="T836" s="24" t="e">
        <f>VLOOKUP(C836,#REF!,7,FALSE)</f>
        <v>#REF!</v>
      </c>
      <c r="U836" s="24" t="e">
        <f>VLOOKUP(C836,#REF!,12,FALSE)</f>
        <v>#REF!</v>
      </c>
      <c r="V836" s="24" t="e">
        <f>VLOOKUP(C836,#REF!,13,FALSE)</f>
        <v>#REF!</v>
      </c>
    </row>
    <row r="837" spans="1:22" x14ac:dyDescent="0.25">
      <c r="A837" s="1"/>
      <c r="B837" s="3"/>
      <c r="C837" s="3"/>
      <c r="D837" s="2"/>
      <c r="E837" s="274"/>
      <c r="F837" s="275"/>
      <c r="G837" s="2"/>
      <c r="H837" s="132"/>
      <c r="I837" s="132"/>
      <c r="J837" s="132"/>
      <c r="K837" s="132"/>
      <c r="L837" s="134"/>
      <c r="M837" s="132"/>
      <c r="N837" s="132"/>
      <c r="O837" s="132"/>
      <c r="P837" s="132"/>
      <c r="Q837" s="147"/>
      <c r="R837" s="395" t="e">
        <f>VLOOKUP(C837,'[1]ORIGINAL (2)'!$A:$C,3,FALSE)</f>
        <v>#N/A</v>
      </c>
      <c r="S837" s="100"/>
      <c r="T837" s="100"/>
      <c r="U837" s="100"/>
      <c r="V837" s="100"/>
    </row>
    <row r="838" spans="1:22" x14ac:dyDescent="0.25">
      <c r="A838" s="202" t="s">
        <v>1641</v>
      </c>
      <c r="B838" s="203"/>
      <c r="C838" s="203"/>
      <c r="D838" s="204"/>
      <c r="E838" s="205"/>
      <c r="F838" s="162"/>
      <c r="G838" s="162"/>
      <c r="H838" s="132"/>
      <c r="I838" s="132"/>
      <c r="J838" s="132"/>
      <c r="K838" s="132"/>
      <c r="L838" s="134"/>
      <c r="M838" s="132"/>
      <c r="N838" s="132"/>
      <c r="O838" s="132"/>
      <c r="P838" s="132"/>
      <c r="Q838" s="147"/>
      <c r="R838" s="395" t="e">
        <f>VLOOKUP(C838,'[1]ORIGINAL (2)'!$A:$C,3,FALSE)</f>
        <v>#N/A</v>
      </c>
      <c r="S838" s="100"/>
      <c r="T838" s="100"/>
      <c r="U838" s="100"/>
      <c r="V838" s="100"/>
    </row>
    <row r="839" spans="1:22" x14ac:dyDescent="0.25">
      <c r="A839" s="11" t="s">
        <v>1642</v>
      </c>
      <c r="B839" s="13">
        <v>9789500209700</v>
      </c>
      <c r="C839" s="6">
        <v>656691</v>
      </c>
      <c r="D839" s="7">
        <v>24</v>
      </c>
      <c r="E839" s="6" t="s">
        <v>417</v>
      </c>
      <c r="F839" s="11" t="s">
        <v>418</v>
      </c>
      <c r="G839" s="107">
        <v>43405</v>
      </c>
      <c r="H839" s="108">
        <v>43405</v>
      </c>
      <c r="I839" s="24">
        <v>3136</v>
      </c>
      <c r="J839" s="28" t="s">
        <v>1946</v>
      </c>
      <c r="K839" s="28">
        <v>213.15</v>
      </c>
      <c r="L839" s="128">
        <v>38000</v>
      </c>
      <c r="M839" s="112"/>
      <c r="N839" s="9">
        <f>+L839/2</f>
        <v>19000</v>
      </c>
      <c r="O839" s="9">
        <f>+N839-M839-K839</f>
        <v>18786.849999999999</v>
      </c>
      <c r="P839" s="9">
        <f>+M839+K839</f>
        <v>213.15</v>
      </c>
      <c r="Q839" s="139">
        <f>+O839/N839</f>
        <v>0.98878157894736829</v>
      </c>
      <c r="R839" s="395" t="e">
        <f>VLOOKUP(C839,'[1]ORIGINAL (2)'!$A:$C,3,FALSE)</f>
        <v>#N/A</v>
      </c>
      <c r="S839" s="24" t="e">
        <f>VLOOKUP(C839,#REF!,6,FALSE)</f>
        <v>#REF!</v>
      </c>
      <c r="T839" s="24" t="e">
        <f>VLOOKUP(C839,#REF!,7,FALSE)</f>
        <v>#REF!</v>
      </c>
      <c r="U839" s="24" t="e">
        <f>VLOOKUP(C839,#REF!,12,FALSE)</f>
        <v>#REF!</v>
      </c>
      <c r="V839" s="24" t="e">
        <f>VLOOKUP(C839,#REF!,13,FALSE)</f>
        <v>#REF!</v>
      </c>
    </row>
    <row r="840" spans="1:22" x14ac:dyDescent="0.25">
      <c r="A840" s="6" t="s">
        <v>1643</v>
      </c>
      <c r="B840" s="8">
        <v>9789500299435</v>
      </c>
      <c r="C840" s="6">
        <v>625981</v>
      </c>
      <c r="D840" s="7">
        <v>24</v>
      </c>
      <c r="E840" s="7" t="s">
        <v>298</v>
      </c>
      <c r="F840" s="7" t="s">
        <v>1644</v>
      </c>
      <c r="G840" s="107">
        <v>42826</v>
      </c>
      <c r="H840" s="108">
        <v>45597</v>
      </c>
      <c r="I840" s="24">
        <v>3024</v>
      </c>
      <c r="J840" s="6" t="s">
        <v>2136</v>
      </c>
      <c r="K840" s="9">
        <v>6857.89</v>
      </c>
      <c r="L840" s="128">
        <v>44500</v>
      </c>
      <c r="M840" s="112"/>
      <c r="N840" s="9">
        <f>+L840/2</f>
        <v>22250</v>
      </c>
      <c r="O840" s="9">
        <f>+N840-M840-K840</f>
        <v>15392.11</v>
      </c>
      <c r="P840" s="9">
        <f>+M840+K840</f>
        <v>6857.89</v>
      </c>
      <c r="Q840" s="139">
        <f>+O840/N840</f>
        <v>0.69178022471910117</v>
      </c>
      <c r="R840" s="395">
        <f>VLOOKUP(C840,'[1]ORIGINAL (2)'!$A:$C,3,FALSE)</f>
        <v>396</v>
      </c>
      <c r="S840" s="24" t="e">
        <f>VLOOKUP(C840,#REF!,6,FALSE)</f>
        <v>#REF!</v>
      </c>
      <c r="T840" s="24" t="e">
        <f>VLOOKUP(C840,#REF!,7,FALSE)</f>
        <v>#REF!</v>
      </c>
      <c r="U840" s="24" t="e">
        <f>VLOOKUP(C840,#REF!,12,FALSE)</f>
        <v>#REF!</v>
      </c>
      <c r="V840" s="24" t="e">
        <f>VLOOKUP(C840,#REF!,13,FALSE)</f>
        <v>#REF!</v>
      </c>
    </row>
    <row r="841" spans="1:22" x14ac:dyDescent="0.25">
      <c r="A841" s="1"/>
      <c r="B841" s="3"/>
      <c r="C841" s="3"/>
      <c r="D841" s="2"/>
      <c r="E841" s="274"/>
      <c r="F841" s="275"/>
      <c r="G841" s="2"/>
      <c r="H841" s="132"/>
      <c r="I841" s="132"/>
      <c r="J841" s="132"/>
      <c r="K841" s="132"/>
      <c r="L841" s="134"/>
      <c r="M841" s="132"/>
      <c r="N841" s="132"/>
      <c r="O841" s="132"/>
      <c r="P841" s="132"/>
      <c r="Q841" s="147"/>
      <c r="R841" s="395" t="e">
        <f>VLOOKUP(C841,'[1]ORIGINAL (2)'!$A:$C,3,FALSE)</f>
        <v>#N/A</v>
      </c>
      <c r="S841" s="100"/>
      <c r="T841" s="100"/>
      <c r="U841" s="100"/>
      <c r="V841" s="100"/>
    </row>
    <row r="842" spans="1:22" x14ac:dyDescent="0.25">
      <c r="A842" s="202" t="s">
        <v>1645</v>
      </c>
      <c r="B842" s="203"/>
      <c r="C842" s="203"/>
      <c r="D842" s="204"/>
      <c r="E842" s="205"/>
      <c r="F842" s="162"/>
      <c r="G842" s="162"/>
      <c r="H842" s="132"/>
      <c r="I842" s="132"/>
      <c r="J842" s="132"/>
      <c r="K842" s="132"/>
      <c r="L842" s="134"/>
      <c r="M842" s="132"/>
      <c r="N842" s="132"/>
      <c r="O842" s="132"/>
      <c r="P842" s="132"/>
      <c r="Q842" s="147"/>
      <c r="R842" s="395" t="e">
        <f>VLOOKUP(C842,'[1]ORIGINAL (2)'!$A:$C,3,FALSE)</f>
        <v>#N/A</v>
      </c>
      <c r="S842" s="100"/>
      <c r="T842" s="100"/>
      <c r="U842" s="100"/>
      <c r="V842" s="100"/>
    </row>
    <row r="843" spans="1:22" x14ac:dyDescent="0.25">
      <c r="A843" s="6" t="s">
        <v>1646</v>
      </c>
      <c r="B843" s="8">
        <v>9789500299374</v>
      </c>
      <c r="C843" s="6">
        <v>628251</v>
      </c>
      <c r="D843" s="7">
        <v>16</v>
      </c>
      <c r="E843" s="7" t="s">
        <v>312</v>
      </c>
      <c r="F843" s="11" t="s">
        <v>313</v>
      </c>
      <c r="G843" s="107">
        <v>42856</v>
      </c>
      <c r="H843" s="108">
        <v>42795</v>
      </c>
      <c r="I843" s="24">
        <v>4200</v>
      </c>
      <c r="J843" s="28" t="s">
        <v>1946</v>
      </c>
      <c r="K843" s="28">
        <v>77.540000000000006</v>
      </c>
      <c r="L843" s="28">
        <v>17600</v>
      </c>
      <c r="M843" s="112"/>
      <c r="N843" s="9">
        <f>+L843/2</f>
        <v>8800</v>
      </c>
      <c r="O843" s="9">
        <f>+N843-M843-K843</f>
        <v>8722.4599999999991</v>
      </c>
      <c r="P843" s="9">
        <f>+M843+K843</f>
        <v>77.540000000000006</v>
      </c>
      <c r="Q843" s="139">
        <f>+O843/N843</f>
        <v>0.9911886363636363</v>
      </c>
      <c r="R843" s="395" t="e">
        <f>VLOOKUP(C843,'[1]ORIGINAL (2)'!$A:$C,3,FALSE)</f>
        <v>#N/A</v>
      </c>
      <c r="S843" s="24" t="e">
        <f>VLOOKUP(C843,#REF!,6,FALSE)</f>
        <v>#REF!</v>
      </c>
      <c r="T843" s="24" t="e">
        <f>VLOOKUP(C843,#REF!,7,FALSE)</f>
        <v>#REF!</v>
      </c>
      <c r="U843" s="24" t="e">
        <f>VLOOKUP(C843,#REF!,12,FALSE)</f>
        <v>#REF!</v>
      </c>
      <c r="V843" s="24" t="e">
        <f>VLOOKUP(C843,#REF!,13,FALSE)</f>
        <v>#REF!</v>
      </c>
    </row>
    <row r="844" spans="1:22" x14ac:dyDescent="0.25">
      <c r="A844" s="6" t="s">
        <v>1647</v>
      </c>
      <c r="B844" s="8">
        <v>9789500299381</v>
      </c>
      <c r="C844" s="6">
        <v>628252</v>
      </c>
      <c r="D844" s="7">
        <v>16</v>
      </c>
      <c r="E844" s="7" t="s">
        <v>312</v>
      </c>
      <c r="F844" s="11" t="s">
        <v>314</v>
      </c>
      <c r="G844" s="107">
        <v>42856</v>
      </c>
      <c r="H844" s="108">
        <v>42795</v>
      </c>
      <c r="I844" s="24">
        <v>4200</v>
      </c>
      <c r="J844" s="28" t="s">
        <v>1946</v>
      </c>
      <c r="K844" s="28">
        <v>77.540000000000006</v>
      </c>
      <c r="L844" s="28">
        <v>17600</v>
      </c>
      <c r="M844" s="112"/>
      <c r="N844" s="9">
        <f>+L844/2</f>
        <v>8800</v>
      </c>
      <c r="O844" s="9">
        <f>+N844-M844-K844</f>
        <v>8722.4599999999991</v>
      </c>
      <c r="P844" s="9">
        <f>+M844+K844</f>
        <v>77.540000000000006</v>
      </c>
      <c r="Q844" s="139">
        <f>+O844/N844</f>
        <v>0.9911886363636363</v>
      </c>
      <c r="R844" s="395">
        <f>VLOOKUP(C844,'[1]ORIGINAL (2)'!$A:$C,3,FALSE)</f>
        <v>1</v>
      </c>
      <c r="S844" s="24" t="e">
        <f>VLOOKUP(C844,#REF!,6,FALSE)</f>
        <v>#REF!</v>
      </c>
      <c r="T844" s="24" t="e">
        <f>VLOOKUP(C844,#REF!,7,FALSE)</f>
        <v>#REF!</v>
      </c>
      <c r="U844" s="24" t="e">
        <f>VLOOKUP(C844,#REF!,12,FALSE)</f>
        <v>#REF!</v>
      </c>
      <c r="V844" s="24" t="e">
        <f>VLOOKUP(C844,#REF!,13,FALSE)</f>
        <v>#REF!</v>
      </c>
    </row>
    <row r="845" spans="1:22" x14ac:dyDescent="0.25">
      <c r="A845" s="68"/>
      <c r="B845" s="333"/>
      <c r="C845" s="333"/>
      <c r="D845" s="346"/>
      <c r="E845" s="68"/>
      <c r="F845" s="68"/>
      <c r="G845" s="68"/>
      <c r="H845" s="68"/>
      <c r="I845" s="68"/>
      <c r="J845" s="68"/>
      <c r="K845" s="132"/>
      <c r="L845" s="134"/>
      <c r="M845" s="132"/>
      <c r="N845" s="132"/>
      <c r="O845" s="132"/>
      <c r="P845" s="132"/>
      <c r="Q845" s="147"/>
      <c r="R845" s="395" t="e">
        <f>VLOOKUP(C845,'[1]ORIGINAL (2)'!$A:$C,3,FALSE)</f>
        <v>#N/A</v>
      </c>
      <c r="S845" s="100"/>
      <c r="T845" s="100"/>
      <c r="U845" s="100"/>
      <c r="V845" s="100"/>
    </row>
    <row r="846" spans="1:22" ht="15.75" x14ac:dyDescent="0.3">
      <c r="A846" s="276" t="s">
        <v>671</v>
      </c>
      <c r="B846" s="133"/>
      <c r="C846" s="133"/>
      <c r="D846" s="154"/>
      <c r="E846" s="197"/>
      <c r="F846" s="132"/>
      <c r="G846" s="132"/>
      <c r="H846" s="132"/>
      <c r="I846" s="132"/>
      <c r="J846" s="132"/>
      <c r="K846" s="132"/>
      <c r="L846" s="134"/>
      <c r="M846" s="132"/>
      <c r="N846" s="132"/>
      <c r="O846" s="132"/>
      <c r="P846" s="132"/>
      <c r="Q846" s="147"/>
      <c r="R846" s="395" t="e">
        <f>VLOOKUP(C846,'[1]ORIGINAL (2)'!$A:$C,3,FALSE)</f>
        <v>#N/A</v>
      </c>
      <c r="S846" s="100"/>
      <c r="T846" s="100"/>
      <c r="U846" s="100"/>
      <c r="V846" s="100"/>
    </row>
    <row r="847" spans="1:22" x14ac:dyDescent="0.25">
      <c r="A847" s="6" t="s">
        <v>2404</v>
      </c>
      <c r="B847" s="153">
        <v>9789500217309</v>
      </c>
      <c r="C847" s="8">
        <v>748590</v>
      </c>
      <c r="D847" s="41">
        <v>10</v>
      </c>
      <c r="E847" s="6" t="s">
        <v>2405</v>
      </c>
      <c r="F847" s="6" t="s">
        <v>2406</v>
      </c>
      <c r="G847" s="107">
        <v>46235</v>
      </c>
      <c r="H847" s="108">
        <v>46204</v>
      </c>
      <c r="I847" s="267">
        <v>4000</v>
      </c>
      <c r="J847" s="7" t="s">
        <v>1894</v>
      </c>
      <c r="K847" s="148">
        <v>5163.38</v>
      </c>
      <c r="L847" s="9">
        <v>23900</v>
      </c>
      <c r="M847" s="112"/>
      <c r="N847" s="9">
        <f t="shared" ref="N847:N861" si="133">+L847/2</f>
        <v>11950</v>
      </c>
      <c r="O847" s="9">
        <f t="shared" ref="O847:O861" si="134">+N847-M847-K847</f>
        <v>6786.62</v>
      </c>
      <c r="P847" s="9">
        <f t="shared" ref="P847:P861" si="135">+M847+K847</f>
        <v>5163.38</v>
      </c>
      <c r="Q847" s="139">
        <f t="shared" ref="Q847:Q861" si="136">+O847/N847</f>
        <v>0.56791799163179912</v>
      </c>
      <c r="R847" s="395">
        <f>VLOOKUP(C847,'[1]ORIGINAL (2)'!$A:$C,3,FALSE)</f>
        <v>376</v>
      </c>
      <c r="S847" s="24" t="e">
        <f>VLOOKUP(C847,#REF!,6,FALSE)</f>
        <v>#REF!</v>
      </c>
      <c r="T847" s="24" t="e">
        <f>VLOOKUP(C847,#REF!,7,FALSE)</f>
        <v>#REF!</v>
      </c>
      <c r="U847" s="24" t="e">
        <f>VLOOKUP(C847,#REF!,12,FALSE)</f>
        <v>#REF!</v>
      </c>
      <c r="V847" s="24" t="e">
        <f>VLOOKUP(C847,#REF!,13,FALSE)</f>
        <v>#REF!</v>
      </c>
    </row>
    <row r="848" spans="1:22" x14ac:dyDescent="0.25">
      <c r="A848" s="6" t="s">
        <v>2186</v>
      </c>
      <c r="B848" s="153">
        <v>9789500216357</v>
      </c>
      <c r="C848" s="6">
        <v>737041</v>
      </c>
      <c r="D848" s="41">
        <v>10</v>
      </c>
      <c r="E848" s="6" t="s">
        <v>2158</v>
      </c>
      <c r="F848" s="6" t="s">
        <v>2187</v>
      </c>
      <c r="G848" s="107">
        <v>46023</v>
      </c>
      <c r="H848" s="108">
        <v>45931</v>
      </c>
      <c r="I848" s="7">
        <v>3000</v>
      </c>
      <c r="J848" s="6" t="s">
        <v>1333</v>
      </c>
      <c r="K848" s="148">
        <v>3320.26</v>
      </c>
      <c r="L848" s="9">
        <v>18900</v>
      </c>
      <c r="M848" s="112"/>
      <c r="N848" s="9">
        <f t="shared" si="133"/>
        <v>9450</v>
      </c>
      <c r="O848" s="9">
        <f t="shared" si="134"/>
        <v>6129.74</v>
      </c>
      <c r="P848" s="9">
        <f t="shared" si="135"/>
        <v>3320.26</v>
      </c>
      <c r="Q848" s="139">
        <f t="shared" si="136"/>
        <v>0.64864973544973548</v>
      </c>
      <c r="R848" s="395">
        <f>VLOOKUP(C848,'[1]ORIGINAL (2)'!$A:$C,3,FALSE)</f>
        <v>1012</v>
      </c>
      <c r="S848" s="24" t="e">
        <f>VLOOKUP(C848,#REF!,6,FALSE)</f>
        <v>#REF!</v>
      </c>
      <c r="T848" s="24" t="e">
        <f>VLOOKUP(C848,#REF!,7,FALSE)</f>
        <v>#REF!</v>
      </c>
      <c r="U848" s="24" t="e">
        <f>VLOOKUP(C848,#REF!,12,FALSE)</f>
        <v>#REF!</v>
      </c>
      <c r="V848" s="24" t="e">
        <f>VLOOKUP(C848,#REF!,13,FALSE)</f>
        <v>#REF!</v>
      </c>
    </row>
    <row r="849" spans="1:22" x14ac:dyDescent="0.25">
      <c r="A849" s="6" t="s">
        <v>2107</v>
      </c>
      <c r="B849" s="279">
        <v>9789500215886</v>
      </c>
      <c r="C849" s="6">
        <v>732485</v>
      </c>
      <c r="D849" s="41">
        <v>10</v>
      </c>
      <c r="E849" s="6" t="s">
        <v>2108</v>
      </c>
      <c r="F849" s="6" t="s">
        <v>2109</v>
      </c>
      <c r="G849" s="107">
        <v>45870</v>
      </c>
      <c r="H849" s="108">
        <v>46054</v>
      </c>
      <c r="I849" s="239">
        <v>4000</v>
      </c>
      <c r="J849" s="116" t="s">
        <v>1762</v>
      </c>
      <c r="K849" s="148">
        <v>4446.3</v>
      </c>
      <c r="L849" s="295">
        <v>23900</v>
      </c>
      <c r="M849" s="112"/>
      <c r="N849" s="9">
        <f t="shared" si="133"/>
        <v>11950</v>
      </c>
      <c r="O849" s="9">
        <f t="shared" si="134"/>
        <v>7503.7</v>
      </c>
      <c r="P849" s="9">
        <f t="shared" si="135"/>
        <v>4446.3</v>
      </c>
      <c r="Q849" s="139">
        <f t="shared" si="136"/>
        <v>0.62792468619246855</v>
      </c>
      <c r="R849" s="395">
        <f>VLOOKUP(C849,'[1]ORIGINAL (2)'!$A:$C,3,FALSE)</f>
        <v>797</v>
      </c>
      <c r="S849" s="24" t="e">
        <f>VLOOKUP(C849,#REF!,6,FALSE)</f>
        <v>#REF!</v>
      </c>
      <c r="T849" s="24" t="e">
        <f>VLOOKUP(C849,#REF!,7,FALSE)</f>
        <v>#REF!</v>
      </c>
      <c r="U849" s="24" t="e">
        <f>VLOOKUP(C849,#REF!,12,FALSE)</f>
        <v>#REF!</v>
      </c>
      <c r="V849" s="24" t="e">
        <f>VLOOKUP(C849,#REF!,13,FALSE)</f>
        <v>#REF!</v>
      </c>
    </row>
    <row r="850" spans="1:22" x14ac:dyDescent="0.25">
      <c r="A850" s="6" t="s">
        <v>2110</v>
      </c>
      <c r="B850" s="279">
        <v>9789500215893</v>
      </c>
      <c r="C850" s="6">
        <v>732486</v>
      </c>
      <c r="D850" s="41">
        <v>10</v>
      </c>
      <c r="E850" s="6" t="s">
        <v>2108</v>
      </c>
      <c r="F850" s="6" t="s">
        <v>2111</v>
      </c>
      <c r="G850" s="107">
        <v>45870</v>
      </c>
      <c r="H850" s="108">
        <v>46054</v>
      </c>
      <c r="I850" s="239">
        <v>4000</v>
      </c>
      <c r="J850" s="116" t="s">
        <v>1762</v>
      </c>
      <c r="K850" s="148">
        <v>4446.3</v>
      </c>
      <c r="L850" s="9">
        <v>23900</v>
      </c>
      <c r="M850" s="112"/>
      <c r="N850" s="9">
        <f t="shared" si="133"/>
        <v>11950</v>
      </c>
      <c r="O850" s="9">
        <f t="shared" si="134"/>
        <v>7503.7</v>
      </c>
      <c r="P850" s="9">
        <f t="shared" si="135"/>
        <v>4446.3</v>
      </c>
      <c r="Q850" s="139">
        <f t="shared" si="136"/>
        <v>0.62792468619246855</v>
      </c>
      <c r="R850" s="395">
        <f>VLOOKUP(C850,'[1]ORIGINAL (2)'!$A:$C,3,FALSE)</f>
        <v>1783</v>
      </c>
      <c r="S850" s="24" t="e">
        <f>VLOOKUP(C850,#REF!,6,FALSE)</f>
        <v>#REF!</v>
      </c>
      <c r="T850" s="24" t="e">
        <f>VLOOKUP(C850,#REF!,7,FALSE)</f>
        <v>#REF!</v>
      </c>
      <c r="U850" s="24" t="e">
        <f>VLOOKUP(C850,#REF!,12,FALSE)</f>
        <v>#REF!</v>
      </c>
      <c r="V850" s="24" t="e">
        <f>VLOOKUP(C850,#REF!,13,FALSE)</f>
        <v>#REF!</v>
      </c>
    </row>
    <row r="851" spans="1:22" x14ac:dyDescent="0.25">
      <c r="A851" s="213" t="s">
        <v>1649</v>
      </c>
      <c r="B851" s="8">
        <v>9789500212359</v>
      </c>
      <c r="C851" s="8">
        <v>690838</v>
      </c>
      <c r="D851" s="25">
        <v>18</v>
      </c>
      <c r="E851" s="7" t="s">
        <v>472</v>
      </c>
      <c r="F851" s="7" t="s">
        <v>651</v>
      </c>
      <c r="G851" s="107">
        <v>44593</v>
      </c>
      <c r="H851" s="107">
        <v>44562</v>
      </c>
      <c r="I851" s="7">
        <v>3450</v>
      </c>
      <c r="J851" s="28" t="s">
        <v>2136</v>
      </c>
      <c r="K851" s="9">
        <v>548.4</v>
      </c>
      <c r="L851" s="9">
        <v>19500</v>
      </c>
      <c r="M851" s="112"/>
      <c r="N851" s="9">
        <f t="shared" si="133"/>
        <v>9750</v>
      </c>
      <c r="O851" s="9">
        <f t="shared" si="134"/>
        <v>9201.6</v>
      </c>
      <c r="P851" s="9">
        <f t="shared" si="135"/>
        <v>548.4</v>
      </c>
      <c r="Q851" s="139">
        <f t="shared" si="136"/>
        <v>0.94375384615384617</v>
      </c>
      <c r="R851" s="395">
        <f>VLOOKUP(C851,'[1]ORIGINAL (2)'!$A:$C,3,FALSE)</f>
        <v>17</v>
      </c>
      <c r="S851" s="24" t="e">
        <f>VLOOKUP(C851,#REF!,6,FALSE)</f>
        <v>#REF!</v>
      </c>
      <c r="T851" s="24" t="e">
        <f>VLOOKUP(C851,#REF!,7,FALSE)</f>
        <v>#REF!</v>
      </c>
      <c r="U851" s="24" t="e">
        <f>VLOOKUP(C851,#REF!,12,FALSE)</f>
        <v>#REF!</v>
      </c>
      <c r="V851" s="24" t="e">
        <f>VLOOKUP(C851,#REF!,13,FALSE)</f>
        <v>#REF!</v>
      </c>
    </row>
    <row r="852" spans="1:22" x14ac:dyDescent="0.25">
      <c r="A852" s="213" t="s">
        <v>1650</v>
      </c>
      <c r="B852" s="8">
        <v>9789500212342</v>
      </c>
      <c r="C852" s="8">
        <v>690837</v>
      </c>
      <c r="D852" s="25">
        <v>18</v>
      </c>
      <c r="E852" s="7" t="s">
        <v>472</v>
      </c>
      <c r="F852" s="7" t="s">
        <v>652</v>
      </c>
      <c r="G852" s="107">
        <v>44593</v>
      </c>
      <c r="H852" s="107">
        <v>44562</v>
      </c>
      <c r="I852" s="7">
        <v>3400</v>
      </c>
      <c r="J852" s="28" t="s">
        <v>2136</v>
      </c>
      <c r="K852" s="9">
        <v>548.83000000000004</v>
      </c>
      <c r="L852" s="9">
        <v>19500</v>
      </c>
      <c r="M852" s="112"/>
      <c r="N852" s="9">
        <f t="shared" si="133"/>
        <v>9750</v>
      </c>
      <c r="O852" s="9">
        <f t="shared" si="134"/>
        <v>9201.17</v>
      </c>
      <c r="P852" s="9">
        <f t="shared" si="135"/>
        <v>548.83000000000004</v>
      </c>
      <c r="Q852" s="139">
        <f t="shared" si="136"/>
        <v>0.94370974358974358</v>
      </c>
      <c r="R852" s="395">
        <f>VLOOKUP(C852,'[1]ORIGINAL (2)'!$A:$C,3,FALSE)</f>
        <v>22</v>
      </c>
      <c r="S852" s="24" t="e">
        <f>VLOOKUP(C852,#REF!,6,FALSE)</f>
        <v>#REF!</v>
      </c>
      <c r="T852" s="24" t="e">
        <f>VLOOKUP(C852,#REF!,7,FALSE)</f>
        <v>#REF!</v>
      </c>
      <c r="U852" s="24" t="e">
        <f>VLOOKUP(C852,#REF!,12,FALSE)</f>
        <v>#REF!</v>
      </c>
      <c r="V852" s="24" t="e">
        <f>VLOOKUP(C852,#REF!,13,FALSE)</f>
        <v>#REF!</v>
      </c>
    </row>
    <row r="853" spans="1:22" x14ac:dyDescent="0.25">
      <c r="A853" s="7" t="s">
        <v>1651</v>
      </c>
      <c r="B853" s="8">
        <v>9789500212069</v>
      </c>
      <c r="C853" s="8">
        <v>688423</v>
      </c>
      <c r="D853" s="25">
        <v>18</v>
      </c>
      <c r="E853" s="7" t="s">
        <v>472</v>
      </c>
      <c r="F853" s="7" t="s">
        <v>590</v>
      </c>
      <c r="G853" s="107">
        <v>44501</v>
      </c>
      <c r="H853" s="108">
        <v>44470</v>
      </c>
      <c r="I853" s="7">
        <v>5200</v>
      </c>
      <c r="J853" s="28" t="s">
        <v>2136</v>
      </c>
      <c r="K853" s="9">
        <v>422.08</v>
      </c>
      <c r="L853" s="9">
        <v>19500</v>
      </c>
      <c r="M853" s="112"/>
      <c r="N853" s="9">
        <f t="shared" si="133"/>
        <v>9750</v>
      </c>
      <c r="O853" s="9">
        <f t="shared" si="134"/>
        <v>9327.92</v>
      </c>
      <c r="P853" s="9">
        <f t="shared" si="135"/>
        <v>422.08</v>
      </c>
      <c r="Q853" s="139">
        <f t="shared" si="136"/>
        <v>0.95670974358974359</v>
      </c>
      <c r="R853" s="395">
        <f>VLOOKUP(C853,'[1]ORIGINAL (2)'!$A:$C,3,FALSE)</f>
        <v>79</v>
      </c>
      <c r="S853" s="24" t="e">
        <f>VLOOKUP(C853,#REF!,6,FALSE)</f>
        <v>#REF!</v>
      </c>
      <c r="T853" s="24" t="e">
        <f>VLOOKUP(C853,#REF!,7,FALSE)</f>
        <v>#REF!</v>
      </c>
      <c r="U853" s="24" t="e">
        <f>VLOOKUP(C853,#REF!,12,FALSE)</f>
        <v>#REF!</v>
      </c>
      <c r="V853" s="24" t="e">
        <f>VLOOKUP(C853,#REF!,13,FALSE)</f>
        <v>#REF!</v>
      </c>
    </row>
    <row r="854" spans="1:22" x14ac:dyDescent="0.25">
      <c r="A854" s="7" t="s">
        <v>1652</v>
      </c>
      <c r="B854" s="8">
        <v>9789500212076</v>
      </c>
      <c r="C854" s="8">
        <v>688424</v>
      </c>
      <c r="D854" s="25">
        <v>18</v>
      </c>
      <c r="E854" s="7" t="s">
        <v>472</v>
      </c>
      <c r="F854" s="7" t="s">
        <v>591</v>
      </c>
      <c r="G854" s="107">
        <v>44501</v>
      </c>
      <c r="H854" s="108">
        <v>44470</v>
      </c>
      <c r="I854" s="7">
        <v>5300</v>
      </c>
      <c r="J854" s="28" t="s">
        <v>2136</v>
      </c>
      <c r="K854" s="9">
        <v>421.75</v>
      </c>
      <c r="L854" s="9">
        <v>19500</v>
      </c>
      <c r="M854" s="112"/>
      <c r="N854" s="9">
        <f t="shared" si="133"/>
        <v>9750</v>
      </c>
      <c r="O854" s="9">
        <f t="shared" si="134"/>
        <v>9328.25</v>
      </c>
      <c r="P854" s="9">
        <f t="shared" si="135"/>
        <v>421.75</v>
      </c>
      <c r="Q854" s="139">
        <f t="shared" si="136"/>
        <v>0.95674358974358975</v>
      </c>
      <c r="R854" s="395">
        <f>VLOOKUP(C854,'[1]ORIGINAL (2)'!$A:$C,3,FALSE)</f>
        <v>27</v>
      </c>
      <c r="S854" s="24" t="e">
        <f>VLOOKUP(C854,#REF!,6,FALSE)</f>
        <v>#REF!</v>
      </c>
      <c r="T854" s="24" t="e">
        <f>VLOOKUP(C854,#REF!,7,FALSE)</f>
        <v>#REF!</v>
      </c>
      <c r="U854" s="24" t="e">
        <f>VLOOKUP(C854,#REF!,12,FALSE)</f>
        <v>#REF!</v>
      </c>
      <c r="V854" s="24" t="e">
        <f>VLOOKUP(C854,#REF!,13,FALSE)</f>
        <v>#REF!</v>
      </c>
    </row>
    <row r="855" spans="1:22" x14ac:dyDescent="0.25">
      <c r="A855" s="7" t="s">
        <v>1653</v>
      </c>
      <c r="B855" s="8">
        <v>9789500211895</v>
      </c>
      <c r="C855" s="8">
        <v>685399</v>
      </c>
      <c r="D855" s="25">
        <v>18</v>
      </c>
      <c r="E855" s="7" t="s">
        <v>472</v>
      </c>
      <c r="F855" s="7" t="s">
        <v>1654</v>
      </c>
      <c r="G855" s="107">
        <v>44409</v>
      </c>
      <c r="H855" s="107">
        <v>44378</v>
      </c>
      <c r="I855" s="7">
        <v>6000</v>
      </c>
      <c r="J855" s="28" t="s">
        <v>2136</v>
      </c>
      <c r="K855" s="9">
        <v>360.16</v>
      </c>
      <c r="L855" s="9">
        <v>19500</v>
      </c>
      <c r="M855" s="112"/>
      <c r="N855" s="9">
        <f t="shared" si="133"/>
        <v>9750</v>
      </c>
      <c r="O855" s="9">
        <f t="shared" si="134"/>
        <v>9389.84</v>
      </c>
      <c r="P855" s="9">
        <f t="shared" si="135"/>
        <v>360.16</v>
      </c>
      <c r="Q855" s="139">
        <f t="shared" si="136"/>
        <v>0.96306051282051286</v>
      </c>
      <c r="R855" s="395">
        <f>VLOOKUP(C855,'[1]ORIGINAL (2)'!$A:$C,3,FALSE)</f>
        <v>39</v>
      </c>
      <c r="S855" s="24" t="e">
        <f>VLOOKUP(C855,#REF!,6,FALSE)</f>
        <v>#REF!</v>
      </c>
      <c r="T855" s="24" t="e">
        <f>VLOOKUP(C855,#REF!,7,FALSE)</f>
        <v>#REF!</v>
      </c>
      <c r="U855" s="24" t="e">
        <f>VLOOKUP(C855,#REF!,12,FALSE)</f>
        <v>#REF!</v>
      </c>
      <c r="V855" s="24" t="e">
        <f>VLOOKUP(C855,#REF!,13,FALSE)</f>
        <v>#REF!</v>
      </c>
    </row>
    <row r="856" spans="1:22" x14ac:dyDescent="0.25">
      <c r="A856" s="7" t="s">
        <v>1655</v>
      </c>
      <c r="B856" s="8">
        <v>9789500211901</v>
      </c>
      <c r="C856" s="8">
        <v>685400</v>
      </c>
      <c r="D856" s="25">
        <v>18</v>
      </c>
      <c r="E856" s="7" t="s">
        <v>472</v>
      </c>
      <c r="F856" s="7" t="s">
        <v>561</v>
      </c>
      <c r="G856" s="107">
        <v>44409</v>
      </c>
      <c r="H856" s="107">
        <v>44378</v>
      </c>
      <c r="I856" s="7">
        <v>6000</v>
      </c>
      <c r="J856" s="28" t="s">
        <v>2136</v>
      </c>
      <c r="K856" s="9">
        <v>360.16</v>
      </c>
      <c r="L856" s="9">
        <v>19500</v>
      </c>
      <c r="M856" s="112"/>
      <c r="N856" s="9">
        <f t="shared" si="133"/>
        <v>9750</v>
      </c>
      <c r="O856" s="9">
        <f t="shared" si="134"/>
        <v>9389.84</v>
      </c>
      <c r="P856" s="9">
        <f t="shared" si="135"/>
        <v>360.16</v>
      </c>
      <c r="Q856" s="139">
        <f t="shared" si="136"/>
        <v>0.96306051282051286</v>
      </c>
      <c r="R856" s="395">
        <f>VLOOKUP(C856,'[1]ORIGINAL (2)'!$A:$C,3,FALSE)</f>
        <v>25</v>
      </c>
      <c r="S856" s="24" t="e">
        <f>VLOOKUP(C856,#REF!,6,FALSE)</f>
        <v>#REF!</v>
      </c>
      <c r="T856" s="24" t="e">
        <f>VLOOKUP(C856,#REF!,7,FALSE)</f>
        <v>#REF!</v>
      </c>
      <c r="U856" s="24" t="e">
        <f>VLOOKUP(C856,#REF!,12,FALSE)</f>
        <v>#REF!</v>
      </c>
      <c r="V856" s="24" t="e">
        <f>VLOOKUP(C856,#REF!,13,FALSE)</f>
        <v>#REF!</v>
      </c>
    </row>
    <row r="857" spans="1:22" x14ac:dyDescent="0.25">
      <c r="A857" s="7" t="s">
        <v>1656</v>
      </c>
      <c r="B857" s="8">
        <v>9789500211857</v>
      </c>
      <c r="C857" s="8">
        <v>684675</v>
      </c>
      <c r="D857" s="25">
        <v>18</v>
      </c>
      <c r="E857" s="7" t="s">
        <v>554</v>
      </c>
      <c r="F857" s="7" t="s">
        <v>6</v>
      </c>
      <c r="G857" s="107">
        <v>44378</v>
      </c>
      <c r="H857" s="108">
        <v>45536</v>
      </c>
      <c r="I857" s="7">
        <v>3024</v>
      </c>
      <c r="J857" s="28" t="s">
        <v>2136</v>
      </c>
      <c r="K857" s="9">
        <v>809.91</v>
      </c>
      <c r="L857" s="128">
        <v>16900</v>
      </c>
      <c r="M857" s="112">
        <f>+L857*0.08</f>
        <v>1352</v>
      </c>
      <c r="N857" s="9">
        <f t="shared" si="133"/>
        <v>8450</v>
      </c>
      <c r="O857" s="9">
        <f t="shared" si="134"/>
        <v>6288.09</v>
      </c>
      <c r="P857" s="9">
        <f t="shared" si="135"/>
        <v>2161.91</v>
      </c>
      <c r="Q857" s="139">
        <f t="shared" si="136"/>
        <v>0.74415266272189351</v>
      </c>
      <c r="R857" s="395">
        <f>VLOOKUP(C857,'[1]ORIGINAL (2)'!$A:$C,3,FALSE)</f>
        <v>558</v>
      </c>
      <c r="S857" s="24" t="e">
        <f>VLOOKUP(C857,#REF!,6,FALSE)</f>
        <v>#REF!</v>
      </c>
      <c r="T857" s="24" t="e">
        <f>VLOOKUP(C857,#REF!,7,FALSE)</f>
        <v>#REF!</v>
      </c>
      <c r="U857" s="24" t="e">
        <f>VLOOKUP(C857,#REF!,12,FALSE)</f>
        <v>#REF!</v>
      </c>
      <c r="V857" s="24" t="e">
        <f>VLOOKUP(C857,#REF!,13,FALSE)</f>
        <v>#REF!</v>
      </c>
    </row>
    <row r="858" spans="1:22" x14ac:dyDescent="0.25">
      <c r="A858" s="7" t="s">
        <v>1657</v>
      </c>
      <c r="B858" s="8">
        <v>9789500211963</v>
      </c>
      <c r="C858" s="8">
        <v>686376</v>
      </c>
      <c r="D858" s="25">
        <v>18</v>
      </c>
      <c r="E858" s="7" t="s">
        <v>554</v>
      </c>
      <c r="F858" s="7" t="s">
        <v>578</v>
      </c>
      <c r="G858" s="107">
        <v>44440</v>
      </c>
      <c r="H858" s="108">
        <v>45536</v>
      </c>
      <c r="I858" s="7">
        <v>3024</v>
      </c>
      <c r="J858" s="28" t="s">
        <v>2136</v>
      </c>
      <c r="K858" s="9">
        <v>809.91</v>
      </c>
      <c r="L858" s="128">
        <v>16900</v>
      </c>
      <c r="M858" s="112">
        <f>+L858*0.08</f>
        <v>1352</v>
      </c>
      <c r="N858" s="9">
        <f t="shared" si="133"/>
        <v>8450</v>
      </c>
      <c r="O858" s="9">
        <f t="shared" si="134"/>
        <v>6288.09</v>
      </c>
      <c r="P858" s="9">
        <f t="shared" si="135"/>
        <v>2161.91</v>
      </c>
      <c r="Q858" s="139">
        <f t="shared" si="136"/>
        <v>0.74415266272189351</v>
      </c>
      <c r="R858" s="395">
        <f>VLOOKUP(C858,'[1]ORIGINAL (2)'!$A:$C,3,FALSE)</f>
        <v>281</v>
      </c>
      <c r="S858" s="24" t="e">
        <f>VLOOKUP(C858,#REF!,6,FALSE)</f>
        <v>#REF!</v>
      </c>
      <c r="T858" s="24" t="e">
        <f>VLOOKUP(C858,#REF!,7,FALSE)</f>
        <v>#REF!</v>
      </c>
      <c r="U858" s="24" t="e">
        <f>VLOOKUP(C858,#REF!,12,FALSE)</f>
        <v>#REF!</v>
      </c>
      <c r="V858" s="24" t="e">
        <f>VLOOKUP(C858,#REF!,13,FALSE)</f>
        <v>#REF!</v>
      </c>
    </row>
    <row r="859" spans="1:22" x14ac:dyDescent="0.25">
      <c r="A859" s="6" t="s">
        <v>1918</v>
      </c>
      <c r="B859" s="8">
        <v>9789500215176</v>
      </c>
      <c r="C859" s="8">
        <v>720931</v>
      </c>
      <c r="D859" s="25">
        <v>18</v>
      </c>
      <c r="E859" s="7" t="s">
        <v>1919</v>
      </c>
      <c r="F859" s="7" t="s">
        <v>1920</v>
      </c>
      <c r="G859" s="107">
        <v>45566</v>
      </c>
      <c r="H859" s="108">
        <v>45536</v>
      </c>
      <c r="I859" s="267">
        <v>3024</v>
      </c>
      <c r="J859" s="128" t="s">
        <v>2136</v>
      </c>
      <c r="K859" s="9">
        <v>870.1</v>
      </c>
      <c r="L859" s="128">
        <v>16900</v>
      </c>
      <c r="M859" s="112"/>
      <c r="N859" s="9">
        <f t="shared" si="133"/>
        <v>8450</v>
      </c>
      <c r="O859" s="9">
        <f t="shared" si="134"/>
        <v>7579.9</v>
      </c>
      <c r="P859" s="9">
        <f t="shared" si="135"/>
        <v>870.1</v>
      </c>
      <c r="Q859" s="139">
        <f t="shared" si="136"/>
        <v>0.89702958579881653</v>
      </c>
      <c r="R859" s="395">
        <f>VLOOKUP(C859,'[1]ORIGINAL (2)'!$A:$C,3,FALSE)</f>
        <v>248</v>
      </c>
      <c r="S859" s="24" t="e">
        <f>VLOOKUP(C859,#REF!,6,FALSE)</f>
        <v>#REF!</v>
      </c>
      <c r="T859" s="24" t="e">
        <f>VLOOKUP(C859,#REF!,7,FALSE)</f>
        <v>#REF!</v>
      </c>
      <c r="U859" s="24" t="e">
        <f>VLOOKUP(C859,#REF!,12,FALSE)</f>
        <v>#REF!</v>
      </c>
      <c r="V859" s="24" t="e">
        <f>VLOOKUP(C859,#REF!,13,FALSE)</f>
        <v>#REF!</v>
      </c>
    </row>
    <row r="860" spans="1:22" x14ac:dyDescent="0.25">
      <c r="A860" s="6" t="s">
        <v>1921</v>
      </c>
      <c r="B860" s="8">
        <v>9789500215183</v>
      </c>
      <c r="C860" s="8">
        <v>720932</v>
      </c>
      <c r="D860" s="25">
        <v>18</v>
      </c>
      <c r="E860" s="7" t="s">
        <v>1919</v>
      </c>
      <c r="F860" s="7" t="s">
        <v>4</v>
      </c>
      <c r="G860" s="107">
        <v>45566</v>
      </c>
      <c r="H860" s="108">
        <v>45536</v>
      </c>
      <c r="I860" s="267">
        <v>3024</v>
      </c>
      <c r="J860" s="128" t="s">
        <v>2136</v>
      </c>
      <c r="K860" s="9">
        <v>870.1</v>
      </c>
      <c r="L860" s="128">
        <v>16900</v>
      </c>
      <c r="M860" s="112"/>
      <c r="N860" s="9">
        <f t="shared" si="133"/>
        <v>8450</v>
      </c>
      <c r="O860" s="9">
        <f t="shared" si="134"/>
        <v>7579.9</v>
      </c>
      <c r="P860" s="9">
        <f t="shared" si="135"/>
        <v>870.1</v>
      </c>
      <c r="Q860" s="139">
        <f t="shared" si="136"/>
        <v>0.89702958579881653</v>
      </c>
      <c r="R860" s="395">
        <f>VLOOKUP(C860,'[1]ORIGINAL (2)'!$A:$C,3,FALSE)</f>
        <v>294</v>
      </c>
      <c r="S860" s="24" t="e">
        <f>VLOOKUP(C860,#REF!,6,FALSE)</f>
        <v>#REF!</v>
      </c>
      <c r="T860" s="24" t="e">
        <f>VLOOKUP(C860,#REF!,7,FALSE)</f>
        <v>#REF!</v>
      </c>
      <c r="U860" s="24" t="e">
        <f>VLOOKUP(C860,#REF!,12,FALSE)</f>
        <v>#REF!</v>
      </c>
      <c r="V860" s="24" t="e">
        <f>VLOOKUP(C860,#REF!,13,FALSE)</f>
        <v>#REF!</v>
      </c>
    </row>
    <row r="861" spans="1:22" x14ac:dyDescent="0.25">
      <c r="A861" s="213" t="s">
        <v>1648</v>
      </c>
      <c r="B861" s="8">
        <v>9789500210652</v>
      </c>
      <c r="C861" s="8">
        <v>689983</v>
      </c>
      <c r="D861" s="25">
        <v>8</v>
      </c>
      <c r="E861" s="7" t="s">
        <v>642</v>
      </c>
      <c r="F861" s="7" t="s">
        <v>643</v>
      </c>
      <c r="G861" s="107">
        <v>44562</v>
      </c>
      <c r="H861" s="108">
        <v>44470</v>
      </c>
      <c r="I861" s="7">
        <v>3000</v>
      </c>
      <c r="J861" s="28" t="s">
        <v>1946</v>
      </c>
      <c r="K861" s="9">
        <v>430.21</v>
      </c>
      <c r="L861" s="9">
        <v>17500</v>
      </c>
      <c r="M861" s="112"/>
      <c r="N861" s="9">
        <f t="shared" si="133"/>
        <v>8750</v>
      </c>
      <c r="O861" s="9">
        <f t="shared" si="134"/>
        <v>8319.7900000000009</v>
      </c>
      <c r="P861" s="9">
        <f t="shared" si="135"/>
        <v>430.21</v>
      </c>
      <c r="Q861" s="139">
        <f t="shared" si="136"/>
        <v>0.95083314285714293</v>
      </c>
      <c r="R861" s="395" t="e">
        <f>VLOOKUP(C861,'[1]ORIGINAL (2)'!$A:$C,3,FALSE)</f>
        <v>#N/A</v>
      </c>
      <c r="S861" s="24" t="e">
        <f>VLOOKUP(C861,#REF!,6,FALSE)</f>
        <v>#REF!</v>
      </c>
      <c r="T861" s="24" t="e">
        <f>VLOOKUP(C861,#REF!,7,FALSE)</f>
        <v>#REF!</v>
      </c>
      <c r="U861" s="24" t="e">
        <f>VLOOKUP(C861,#REF!,12,FALSE)</f>
        <v>#REF!</v>
      </c>
      <c r="V861" s="24" t="e">
        <f>VLOOKUP(C861,#REF!,13,FALSE)</f>
        <v>#REF!</v>
      </c>
    </row>
    <row r="862" spans="1:22" x14ac:dyDescent="0.25">
      <c r="A862" s="1"/>
      <c r="B862" s="3"/>
      <c r="C862" s="3"/>
      <c r="D862" s="2"/>
      <c r="E862" s="3"/>
      <c r="F862" s="26"/>
      <c r="G862" s="3"/>
      <c r="H862" s="26"/>
      <c r="I862" s="3"/>
      <c r="J862" s="26"/>
      <c r="K862" s="132"/>
      <c r="L862" s="18"/>
      <c r="M862" s="132"/>
      <c r="N862" s="132"/>
      <c r="O862" s="132"/>
      <c r="P862" s="132"/>
      <c r="Q862" s="147"/>
      <c r="R862" s="395" t="e">
        <f>VLOOKUP(C862,'[1]ORIGINAL (2)'!$A:$C,3,FALSE)</f>
        <v>#N/A</v>
      </c>
      <c r="S862" s="100"/>
      <c r="T862" s="100"/>
      <c r="U862" s="100"/>
      <c r="V862" s="100"/>
    </row>
    <row r="863" spans="1:22" x14ac:dyDescent="0.25">
      <c r="A863" s="202" t="s">
        <v>2383</v>
      </c>
      <c r="B863" s="203"/>
      <c r="C863" s="203"/>
      <c r="D863" s="204"/>
      <c r="E863" s="205"/>
      <c r="F863" s="162"/>
      <c r="G863" s="162"/>
      <c r="H863" s="132"/>
      <c r="I863" s="132"/>
      <c r="J863" s="132"/>
      <c r="K863" s="132"/>
      <c r="L863" s="132"/>
      <c r="M863" s="132"/>
      <c r="N863" s="132"/>
      <c r="O863" s="132"/>
      <c r="P863" s="132"/>
      <c r="Q863" s="147"/>
      <c r="R863" s="395" t="e">
        <f>VLOOKUP(C863,'[1]ORIGINAL (2)'!$A:$C,3,FALSE)</f>
        <v>#N/A</v>
      </c>
      <c r="S863" s="100"/>
      <c r="T863" s="100"/>
      <c r="U863" s="100"/>
      <c r="V863" s="100"/>
    </row>
    <row r="864" spans="1:22" x14ac:dyDescent="0.25">
      <c r="A864" s="6" t="s">
        <v>2372</v>
      </c>
      <c r="B864" s="362">
        <v>9789500217064</v>
      </c>
      <c r="C864" s="363">
        <v>747642</v>
      </c>
      <c r="D864" s="239">
        <v>48</v>
      </c>
      <c r="E864" s="8" t="s">
        <v>2373</v>
      </c>
      <c r="F864" s="364" t="s">
        <v>2374</v>
      </c>
      <c r="G864" s="107">
        <v>46204</v>
      </c>
      <c r="H864" s="108">
        <v>46174</v>
      </c>
      <c r="I864" s="116">
        <v>4008</v>
      </c>
      <c r="J864" s="315" t="s">
        <v>1867</v>
      </c>
      <c r="K864" s="292">
        <v>3926.04</v>
      </c>
      <c r="L864" s="9">
        <v>20500</v>
      </c>
      <c r="M864" s="112"/>
      <c r="N864" s="9">
        <f>+L864/2</f>
        <v>10250</v>
      </c>
      <c r="O864" s="9">
        <f>+N864-M864-K864</f>
        <v>6323.96</v>
      </c>
      <c r="P864" s="9">
        <f>+M864+K864</f>
        <v>3926.04</v>
      </c>
      <c r="Q864" s="139">
        <f>+O864/N864</f>
        <v>0.61697170731707318</v>
      </c>
      <c r="R864" s="395">
        <f>VLOOKUP(C864,'[1]ORIGINAL (2)'!$A:$C,3,FALSE)</f>
        <v>929</v>
      </c>
      <c r="S864" s="24" t="e">
        <f>VLOOKUP(C864,#REF!,6,FALSE)</f>
        <v>#REF!</v>
      </c>
      <c r="T864" s="24" t="e">
        <f>VLOOKUP(C864,#REF!,7,FALSE)</f>
        <v>#REF!</v>
      </c>
      <c r="U864" s="24" t="e">
        <f>VLOOKUP(C864,#REF!,12,FALSE)</f>
        <v>#REF!</v>
      </c>
      <c r="V864" s="24" t="e">
        <f>VLOOKUP(C864,#REF!,13,FALSE)</f>
        <v>#REF!</v>
      </c>
    </row>
    <row r="865" spans="1:22" x14ac:dyDescent="0.25">
      <c r="A865" s="202" t="s">
        <v>2384</v>
      </c>
      <c r="B865" s="203"/>
      <c r="C865" s="203"/>
      <c r="D865" s="204"/>
      <c r="E865" s="205"/>
      <c r="F865" s="162"/>
      <c r="G865" s="162"/>
      <c r="H865" s="132"/>
      <c r="I865" s="132"/>
      <c r="J865" s="132"/>
      <c r="K865" s="132"/>
      <c r="L865" s="132"/>
      <c r="M865" s="132"/>
      <c r="N865" s="132"/>
      <c r="O865" s="132"/>
      <c r="P865" s="132"/>
      <c r="Q865" s="147"/>
      <c r="R865" s="395" t="e">
        <f>VLOOKUP(C865,'[1]ORIGINAL (2)'!$A:$C,3,FALSE)</f>
        <v>#N/A</v>
      </c>
      <c r="S865" s="100"/>
      <c r="T865" s="100"/>
      <c r="U865" s="100"/>
      <c r="V865" s="100"/>
    </row>
    <row r="866" spans="1:22" x14ac:dyDescent="0.25">
      <c r="A866" s="6" t="s">
        <v>2267</v>
      </c>
      <c r="B866" s="339">
        <v>9789500216944</v>
      </c>
      <c r="C866" s="340">
        <v>742443</v>
      </c>
      <c r="D866" s="239">
        <v>12</v>
      </c>
      <c r="E866" s="8" t="s">
        <v>2268</v>
      </c>
      <c r="F866" s="340" t="s">
        <v>2269</v>
      </c>
      <c r="G866" s="107">
        <v>46113</v>
      </c>
      <c r="H866" s="108">
        <v>46054</v>
      </c>
      <c r="I866" s="264">
        <v>4060</v>
      </c>
      <c r="J866" s="28" t="s">
        <v>1333</v>
      </c>
      <c r="K866" s="7">
        <v>3961.92</v>
      </c>
      <c r="L866" s="9">
        <v>22900</v>
      </c>
      <c r="M866" s="112"/>
      <c r="N866" s="9">
        <f>+L866/2</f>
        <v>11450</v>
      </c>
      <c r="O866" s="9">
        <f>+N866-M866-K866</f>
        <v>7488.08</v>
      </c>
      <c r="P866" s="9">
        <f>+M866+K866</f>
        <v>3961.92</v>
      </c>
      <c r="Q866" s="139">
        <f>+O866/N866</f>
        <v>0.65398078602620091</v>
      </c>
      <c r="R866" s="395">
        <f>VLOOKUP(C866,'[1]ORIGINAL (2)'!$A:$C,3,FALSE)</f>
        <v>387</v>
      </c>
      <c r="S866" s="24" t="e">
        <f>VLOOKUP(C866,#REF!,6,FALSE)</f>
        <v>#REF!</v>
      </c>
      <c r="T866" s="24" t="e">
        <f>VLOOKUP(C866,#REF!,7,FALSE)</f>
        <v>#REF!</v>
      </c>
      <c r="U866" s="24" t="e">
        <f>VLOOKUP(C866,#REF!,12,FALSE)</f>
        <v>#REF!</v>
      </c>
      <c r="V866" s="24" t="e">
        <f>VLOOKUP(C866,#REF!,13,FALSE)</f>
        <v>#REF!</v>
      </c>
    </row>
    <row r="867" spans="1:22" x14ac:dyDescent="0.25">
      <c r="A867" s="6" t="s">
        <v>2270</v>
      </c>
      <c r="B867" s="339">
        <v>9789500216951</v>
      </c>
      <c r="C867" s="340">
        <v>742444</v>
      </c>
      <c r="D867" s="239">
        <v>12</v>
      </c>
      <c r="E867" s="8" t="s">
        <v>2268</v>
      </c>
      <c r="F867" s="340" t="s">
        <v>2271</v>
      </c>
      <c r="G867" s="107">
        <v>46113</v>
      </c>
      <c r="H867" s="108">
        <v>46054</v>
      </c>
      <c r="I867" s="264">
        <v>4120</v>
      </c>
      <c r="J867" s="28" t="s">
        <v>1333</v>
      </c>
      <c r="K867" s="7">
        <v>3961.38</v>
      </c>
      <c r="L867" s="9">
        <v>22900</v>
      </c>
      <c r="M867" s="112"/>
      <c r="N867" s="9">
        <f>+L867/2</f>
        <v>11450</v>
      </c>
      <c r="O867" s="9">
        <f>+N867-M867-K867</f>
        <v>7488.62</v>
      </c>
      <c r="P867" s="9">
        <f>+M867+K867</f>
        <v>3961.38</v>
      </c>
      <c r="Q867" s="139">
        <f>+O867/N867</f>
        <v>0.65402794759825322</v>
      </c>
      <c r="R867" s="395">
        <f>VLOOKUP(C867,'[1]ORIGINAL (2)'!$A:$C,3,FALSE)</f>
        <v>707</v>
      </c>
      <c r="S867" s="24" t="e">
        <f>VLOOKUP(C867,#REF!,6,FALSE)</f>
        <v>#REF!</v>
      </c>
      <c r="T867" s="24" t="e">
        <f>VLOOKUP(C867,#REF!,7,FALSE)</f>
        <v>#REF!</v>
      </c>
      <c r="U867" s="24" t="e">
        <f>VLOOKUP(C867,#REF!,12,FALSE)</f>
        <v>#REF!</v>
      </c>
      <c r="V867" s="24" t="e">
        <f>VLOOKUP(C867,#REF!,13,FALSE)</f>
        <v>#REF!</v>
      </c>
    </row>
    <row r="868" spans="1:22" x14ac:dyDescent="0.25">
      <c r="A868" s="1"/>
      <c r="B868" s="3"/>
      <c r="C868" s="3"/>
      <c r="D868" s="2"/>
      <c r="E868" s="3"/>
      <c r="F868" s="26"/>
      <c r="G868" s="3"/>
      <c r="H868" s="26"/>
      <c r="I868" s="3"/>
      <c r="J868" s="26"/>
      <c r="K868" s="132"/>
      <c r="L868" s="18"/>
      <c r="M868" s="132"/>
      <c r="N868" s="132"/>
      <c r="O868" s="132"/>
      <c r="P868" s="132"/>
      <c r="Q868" s="147"/>
      <c r="R868" s="395" t="e">
        <f>VLOOKUP(C868,'[1]ORIGINAL (2)'!$A:$C,3,FALSE)</f>
        <v>#N/A</v>
      </c>
      <c r="S868" s="100"/>
      <c r="T868" s="100"/>
      <c r="U868" s="100"/>
      <c r="V868" s="100"/>
    </row>
    <row r="869" spans="1:22" x14ac:dyDescent="0.25">
      <c r="A869" s="202" t="s">
        <v>2415</v>
      </c>
      <c r="B869" s="203"/>
      <c r="C869" s="203"/>
      <c r="D869" s="204"/>
      <c r="E869" s="205"/>
      <c r="F869" s="162"/>
      <c r="G869" s="162"/>
      <c r="H869" s="132"/>
      <c r="I869" s="132"/>
      <c r="J869" s="132"/>
      <c r="K869" s="132"/>
      <c r="L869" s="132"/>
      <c r="M869" s="132"/>
      <c r="N869" s="132"/>
      <c r="O869" s="132"/>
      <c r="P869" s="132"/>
      <c r="Q869" s="147"/>
      <c r="R869" s="395" t="e">
        <f>VLOOKUP(C869,'[1]ORIGINAL (2)'!$A:$C,3,FALSE)</f>
        <v>#N/A</v>
      </c>
      <c r="S869" s="100"/>
      <c r="T869" s="100"/>
      <c r="U869" s="100"/>
      <c r="V869" s="100"/>
    </row>
    <row r="870" spans="1:22" x14ac:dyDescent="0.25">
      <c r="A870" s="6" t="s">
        <v>2407</v>
      </c>
      <c r="B870" s="153">
        <v>9789500217484</v>
      </c>
      <c r="C870" s="8">
        <v>749098</v>
      </c>
      <c r="D870" s="41">
        <v>10</v>
      </c>
      <c r="E870" s="6" t="s">
        <v>2408</v>
      </c>
      <c r="F870" s="6" t="s">
        <v>2409</v>
      </c>
      <c r="G870" s="107">
        <v>46266</v>
      </c>
      <c r="H870" s="107">
        <v>46235</v>
      </c>
      <c r="I870" s="267">
        <v>4000</v>
      </c>
      <c r="J870" s="6" t="s">
        <v>2136</v>
      </c>
      <c r="K870" s="148">
        <v>3249.94</v>
      </c>
      <c r="L870" s="352">
        <v>24900</v>
      </c>
      <c r="M870" s="352"/>
      <c r="N870" s="9">
        <f>+L870/2</f>
        <v>12450</v>
      </c>
      <c r="O870" s="9">
        <f>+N870-M870-K870</f>
        <v>9200.06</v>
      </c>
      <c r="P870" s="9">
        <f>+M870+K870</f>
        <v>3249.94</v>
      </c>
      <c r="Q870" s="139">
        <f>+O870/N870</f>
        <v>0.73896064257028105</v>
      </c>
      <c r="R870" s="395">
        <f>VLOOKUP(C870,'[1]ORIGINAL (2)'!$A:$C,3,FALSE)</f>
        <v>240</v>
      </c>
      <c r="S870" s="24" t="e">
        <f>VLOOKUP(C870,#REF!,6,FALSE)</f>
        <v>#REF!</v>
      </c>
      <c r="T870" s="24" t="e">
        <f>VLOOKUP(C870,#REF!,7,FALSE)</f>
        <v>#REF!</v>
      </c>
      <c r="U870" s="24" t="e">
        <f>VLOOKUP(C870,#REF!,12,FALSE)</f>
        <v>#REF!</v>
      </c>
      <c r="V870" s="24" t="e">
        <f>VLOOKUP(C870,#REF!,13,FALSE)</f>
        <v>#REF!</v>
      </c>
    </row>
    <row r="871" spans="1:22" x14ac:dyDescent="0.25">
      <c r="A871" s="6" t="s">
        <v>2410</v>
      </c>
      <c r="B871" s="153">
        <v>9789500217491</v>
      </c>
      <c r="C871" s="366">
        <v>749099</v>
      </c>
      <c r="D871" s="41">
        <v>10</v>
      </c>
      <c r="E871" s="6" t="s">
        <v>2408</v>
      </c>
      <c r="F871" s="6" t="s">
        <v>2411</v>
      </c>
      <c r="G871" s="107">
        <v>46266</v>
      </c>
      <c r="H871" s="107">
        <v>46235</v>
      </c>
      <c r="I871" s="267">
        <v>4000</v>
      </c>
      <c r="J871" s="6" t="s">
        <v>2136</v>
      </c>
      <c r="K871" s="148">
        <v>3249.94</v>
      </c>
      <c r="L871" s="352">
        <v>24900</v>
      </c>
      <c r="M871" s="352"/>
      <c r="N871" s="9">
        <f>+L871/2</f>
        <v>12450</v>
      </c>
      <c r="O871" s="9">
        <f>+N871-M871-K871</f>
        <v>9200.06</v>
      </c>
      <c r="P871" s="9">
        <f>+M871+K871</f>
        <v>3249.94</v>
      </c>
      <c r="Q871" s="139">
        <f>+O871/N871</f>
        <v>0.73896064257028105</v>
      </c>
      <c r="R871" s="395">
        <f>VLOOKUP(C871,'[1]ORIGINAL (2)'!$A:$C,3,FALSE)</f>
        <v>327</v>
      </c>
      <c r="S871" s="24" t="e">
        <f>VLOOKUP(C871,#REF!,6,FALSE)</f>
        <v>#REF!</v>
      </c>
      <c r="T871" s="24" t="e">
        <f>VLOOKUP(C871,#REF!,7,FALSE)</f>
        <v>#REF!</v>
      </c>
      <c r="U871" s="24" t="e">
        <f>VLOOKUP(C871,#REF!,12,FALSE)</f>
        <v>#REF!</v>
      </c>
      <c r="V871" s="24" t="e">
        <f>VLOOKUP(C871,#REF!,13,FALSE)</f>
        <v>#REF!</v>
      </c>
    </row>
    <row r="872" spans="1:22" x14ac:dyDescent="0.25">
      <c r="A872" s="6" t="s">
        <v>2412</v>
      </c>
      <c r="B872" s="153">
        <v>9789500217477</v>
      </c>
      <c r="C872" s="366">
        <v>749100</v>
      </c>
      <c r="D872" s="41">
        <v>10</v>
      </c>
      <c r="E872" s="6" t="s">
        <v>2408</v>
      </c>
      <c r="F872" s="7" t="s">
        <v>2413</v>
      </c>
      <c r="G872" s="107">
        <v>46266</v>
      </c>
      <c r="H872" s="107">
        <v>46235</v>
      </c>
      <c r="I872" s="267">
        <v>4000</v>
      </c>
      <c r="J872" s="6" t="s">
        <v>2136</v>
      </c>
      <c r="K872" s="148">
        <v>3249.94</v>
      </c>
      <c r="L872" s="352">
        <v>24900</v>
      </c>
      <c r="M872" s="352"/>
      <c r="N872" s="9">
        <f>+L872/2</f>
        <v>12450</v>
      </c>
      <c r="O872" s="9">
        <f>+N872-M872-K872</f>
        <v>9200.06</v>
      </c>
      <c r="P872" s="9">
        <f>+M872+K872</f>
        <v>3249.94</v>
      </c>
      <c r="Q872" s="139">
        <f>+O872/N872</f>
        <v>0.73896064257028105</v>
      </c>
      <c r="R872" s="395">
        <f>VLOOKUP(C872,'[1]ORIGINAL (2)'!$A:$C,3,FALSE)</f>
        <v>112</v>
      </c>
      <c r="S872" s="24" t="e">
        <f>VLOOKUP(C872,#REF!,6,FALSE)</f>
        <v>#REF!</v>
      </c>
      <c r="T872" s="24" t="e">
        <f>VLOOKUP(C872,#REF!,7,FALSE)</f>
        <v>#REF!</v>
      </c>
      <c r="U872" s="24" t="e">
        <f>VLOOKUP(C872,#REF!,12,FALSE)</f>
        <v>#REF!</v>
      </c>
      <c r="V872" s="24" t="e">
        <f>VLOOKUP(C872,#REF!,13,FALSE)</f>
        <v>#REF!</v>
      </c>
    </row>
    <row r="873" spans="1:22" x14ac:dyDescent="0.25">
      <c r="A873" s="6" t="s">
        <v>2375</v>
      </c>
      <c r="B873" s="362">
        <v>9789500217057</v>
      </c>
      <c r="C873" s="363">
        <v>747643</v>
      </c>
      <c r="D873" s="239">
        <v>10</v>
      </c>
      <c r="E873" s="8" t="s">
        <v>2373</v>
      </c>
      <c r="F873" s="7" t="s">
        <v>2376</v>
      </c>
      <c r="G873" s="107">
        <v>46204</v>
      </c>
      <c r="H873" s="108">
        <v>46174</v>
      </c>
      <c r="I873" s="116">
        <v>4000</v>
      </c>
      <c r="J873" s="315" t="s">
        <v>1867</v>
      </c>
      <c r="K873" s="292">
        <v>2609.87</v>
      </c>
      <c r="L873" s="9">
        <v>12500</v>
      </c>
      <c r="M873" s="112"/>
      <c r="N873" s="9">
        <f>+L873/2</f>
        <v>6250</v>
      </c>
      <c r="O873" s="9">
        <f>+N873-M873-K873</f>
        <v>3640.13</v>
      </c>
      <c r="P873" s="9">
        <f>+M873+K873</f>
        <v>2609.87</v>
      </c>
      <c r="Q873" s="139">
        <f>+O873/N873</f>
        <v>0.58242080000000007</v>
      </c>
      <c r="R873" s="395">
        <f>VLOOKUP(C873,'[1]ORIGINAL (2)'!$A:$C,3,FALSE)</f>
        <v>1983</v>
      </c>
      <c r="S873" s="24" t="e">
        <f>VLOOKUP(C873,#REF!,6,FALSE)</f>
        <v>#REF!</v>
      </c>
      <c r="T873" s="24" t="e">
        <f>VLOOKUP(C873,#REF!,7,FALSE)</f>
        <v>#REF!</v>
      </c>
      <c r="U873" s="24" t="e">
        <f>VLOOKUP(C873,#REF!,12,FALSE)</f>
        <v>#REF!</v>
      </c>
      <c r="V873" s="24" t="e">
        <f>VLOOKUP(C873,#REF!,13,FALSE)</f>
        <v>#REF!</v>
      </c>
    </row>
    <row r="874" spans="1:22" x14ac:dyDescent="0.25">
      <c r="A874" s="6" t="s">
        <v>2377</v>
      </c>
      <c r="B874" s="153">
        <v>9789500217040</v>
      </c>
      <c r="C874" s="363">
        <v>747645</v>
      </c>
      <c r="D874" s="41">
        <v>10</v>
      </c>
      <c r="E874" s="8" t="s">
        <v>2373</v>
      </c>
      <c r="F874" s="364" t="s">
        <v>2378</v>
      </c>
      <c r="G874" s="107">
        <v>46204</v>
      </c>
      <c r="H874" s="108">
        <v>46174</v>
      </c>
      <c r="I874" s="116">
        <v>4000</v>
      </c>
      <c r="J874" s="315" t="s">
        <v>1867</v>
      </c>
      <c r="K874" s="292">
        <v>2609.87</v>
      </c>
      <c r="L874" s="295">
        <v>12500</v>
      </c>
      <c r="M874" s="112"/>
      <c r="N874" s="9">
        <f>+L874/2</f>
        <v>6250</v>
      </c>
      <c r="O874" s="9">
        <f>+N874-M874-K874</f>
        <v>3640.13</v>
      </c>
      <c r="P874" s="9">
        <f>+M874+K874</f>
        <v>2609.87</v>
      </c>
      <c r="Q874" s="139">
        <f>+O874/N874</f>
        <v>0.58242080000000007</v>
      </c>
      <c r="R874" s="395">
        <f>VLOOKUP(C874,'[1]ORIGINAL (2)'!$A:$C,3,FALSE)</f>
        <v>1223</v>
      </c>
      <c r="S874" s="24" t="e">
        <f>VLOOKUP(C874,#REF!,6,FALSE)</f>
        <v>#REF!</v>
      </c>
      <c r="T874" s="24" t="e">
        <f>VLOOKUP(C874,#REF!,7,FALSE)</f>
        <v>#REF!</v>
      </c>
      <c r="U874" s="24" t="e">
        <f>VLOOKUP(C874,#REF!,12,FALSE)</f>
        <v>#REF!</v>
      </c>
      <c r="V874" s="24" t="e">
        <f>VLOOKUP(C874,#REF!,13,FALSE)</f>
        <v>#REF!</v>
      </c>
    </row>
    <row r="875" spans="1:22" x14ac:dyDescent="0.25">
      <c r="A875" s="1"/>
      <c r="B875" s="3"/>
      <c r="C875" s="3"/>
      <c r="D875" s="2"/>
      <c r="E875" s="3"/>
      <c r="F875" s="26"/>
      <c r="G875" s="3"/>
      <c r="H875" s="26"/>
      <c r="I875" s="3"/>
      <c r="J875" s="26"/>
      <c r="K875" s="132"/>
      <c r="L875" s="18"/>
      <c r="M875" s="132"/>
      <c r="N875" s="132"/>
      <c r="O875" s="132"/>
      <c r="P875" s="132"/>
      <c r="Q875" s="147"/>
      <c r="R875" s="395" t="e">
        <f>VLOOKUP(C875,'[1]ORIGINAL (2)'!$A:$C,3,FALSE)</f>
        <v>#N/A</v>
      </c>
      <c r="S875" s="100"/>
      <c r="T875" s="100"/>
      <c r="U875" s="100"/>
      <c r="V875" s="100"/>
    </row>
    <row r="876" spans="1:22" x14ac:dyDescent="0.25">
      <c r="A876" s="202" t="s">
        <v>2277</v>
      </c>
      <c r="B876" s="203"/>
      <c r="C876" s="203"/>
      <c r="D876" s="204"/>
      <c r="E876" s="205"/>
      <c r="F876" s="162"/>
      <c r="G876" s="162"/>
      <c r="H876" s="132"/>
      <c r="I876" s="132"/>
      <c r="J876" s="132"/>
      <c r="K876" s="132"/>
      <c r="L876" s="132"/>
      <c r="M876" s="132"/>
      <c r="N876" s="132"/>
      <c r="O876" s="132"/>
      <c r="P876" s="132"/>
      <c r="Q876" s="147"/>
      <c r="R876" s="395" t="e">
        <f>VLOOKUP(C876,'[1]ORIGINAL (2)'!$A:$C,3,FALSE)</f>
        <v>#N/A</v>
      </c>
      <c r="S876" s="100"/>
      <c r="T876" s="100"/>
      <c r="U876" s="100"/>
      <c r="V876" s="100"/>
    </row>
    <row r="877" spans="1:22" x14ac:dyDescent="0.25">
      <c r="A877" s="6" t="s">
        <v>2272</v>
      </c>
      <c r="B877" s="339">
        <v>9789500216777</v>
      </c>
      <c r="C877" s="340">
        <v>742445</v>
      </c>
      <c r="D877" s="239">
        <v>12</v>
      </c>
      <c r="E877" s="8" t="s">
        <v>2273</v>
      </c>
      <c r="F877" s="340" t="s">
        <v>2274</v>
      </c>
      <c r="G877" s="107">
        <v>46143</v>
      </c>
      <c r="H877" s="108">
        <v>46054</v>
      </c>
      <c r="I877" s="264">
        <v>4104</v>
      </c>
      <c r="J877" s="28" t="s">
        <v>2329</v>
      </c>
      <c r="K877" s="292">
        <v>4406.24</v>
      </c>
      <c r="L877" s="9">
        <v>23900</v>
      </c>
      <c r="M877" s="112"/>
      <c r="N877" s="9">
        <f>+L877/2</f>
        <v>11950</v>
      </c>
      <c r="O877" s="9">
        <f>+N877-M877-K877</f>
        <v>7543.76</v>
      </c>
      <c r="P877" s="9">
        <f>+M877+K877</f>
        <v>4406.24</v>
      </c>
      <c r="Q877" s="139">
        <f>+O877/N877</f>
        <v>0.63127698744769878</v>
      </c>
      <c r="R877" s="395">
        <f>VLOOKUP(C877,'[1]ORIGINAL (2)'!$A:$C,3,FALSE)</f>
        <v>931</v>
      </c>
      <c r="S877" s="24" t="e">
        <f>VLOOKUP(C877,#REF!,6,FALSE)</f>
        <v>#REF!</v>
      </c>
      <c r="T877" s="24" t="e">
        <f>VLOOKUP(C877,#REF!,7,FALSE)</f>
        <v>#REF!</v>
      </c>
      <c r="U877" s="24" t="e">
        <f>VLOOKUP(C877,#REF!,12,FALSE)</f>
        <v>#REF!</v>
      </c>
      <c r="V877" s="24" t="e">
        <f>VLOOKUP(C877,#REF!,13,FALSE)</f>
        <v>#REF!</v>
      </c>
    </row>
    <row r="878" spans="1:22" x14ac:dyDescent="0.25">
      <c r="A878" s="6" t="s">
        <v>2275</v>
      </c>
      <c r="B878" s="339">
        <v>9789500216760</v>
      </c>
      <c r="C878" s="340">
        <v>742446</v>
      </c>
      <c r="D878" s="239">
        <v>12</v>
      </c>
      <c r="E878" s="8" t="s">
        <v>2273</v>
      </c>
      <c r="F878" s="340" t="s">
        <v>2276</v>
      </c>
      <c r="G878" s="107">
        <v>46143</v>
      </c>
      <c r="H878" s="108">
        <v>46054</v>
      </c>
      <c r="I878" s="264">
        <v>4104</v>
      </c>
      <c r="J878" s="28" t="s">
        <v>2329</v>
      </c>
      <c r="K878" s="292">
        <v>4406.24</v>
      </c>
      <c r="L878" s="9">
        <v>23900</v>
      </c>
      <c r="M878" s="112"/>
      <c r="N878" s="9">
        <f>+L878/2</f>
        <v>11950</v>
      </c>
      <c r="O878" s="9">
        <f>+N878-M878-K878</f>
        <v>7543.76</v>
      </c>
      <c r="P878" s="9">
        <f>+M878+K878</f>
        <v>4406.24</v>
      </c>
      <c r="Q878" s="139">
        <f>+O878/N878</f>
        <v>0.63127698744769878</v>
      </c>
      <c r="R878" s="395">
        <f>VLOOKUP(C878,'[1]ORIGINAL (2)'!$A:$C,3,FALSE)</f>
        <v>759</v>
      </c>
      <c r="S878" s="24" t="e">
        <f>VLOOKUP(C878,#REF!,6,FALSE)</f>
        <v>#REF!</v>
      </c>
      <c r="T878" s="24" t="e">
        <f>VLOOKUP(C878,#REF!,7,FALSE)</f>
        <v>#REF!</v>
      </c>
      <c r="U878" s="24" t="e">
        <f>VLOOKUP(C878,#REF!,12,FALSE)</f>
        <v>#REF!</v>
      </c>
      <c r="V878" s="24" t="e">
        <f>VLOOKUP(C878,#REF!,13,FALSE)</f>
        <v>#REF!</v>
      </c>
    </row>
    <row r="879" spans="1:22" x14ac:dyDescent="0.25">
      <c r="A879" s="1"/>
      <c r="B879" s="3"/>
      <c r="C879" s="3"/>
      <c r="D879" s="2"/>
      <c r="E879" s="3"/>
      <c r="F879" s="26"/>
      <c r="G879" s="3"/>
      <c r="H879" s="26"/>
      <c r="I879" s="3"/>
      <c r="J879" s="26"/>
      <c r="K879" s="132"/>
      <c r="L879" s="18"/>
      <c r="M879" s="132"/>
      <c r="N879" s="132"/>
      <c r="O879" s="132"/>
      <c r="P879" s="132"/>
      <c r="Q879" s="147"/>
      <c r="R879" s="395" t="e">
        <f>VLOOKUP(C879,'[1]ORIGINAL (2)'!$A:$C,3,FALSE)</f>
        <v>#N/A</v>
      </c>
      <c r="S879" s="100"/>
      <c r="T879" s="100"/>
      <c r="U879" s="100"/>
      <c r="V879" s="100"/>
    </row>
    <row r="880" spans="1:22" x14ac:dyDescent="0.25">
      <c r="A880" s="202" t="s">
        <v>2260</v>
      </c>
      <c r="B880" s="203"/>
      <c r="C880" s="203"/>
      <c r="D880" s="204"/>
      <c r="E880" s="205"/>
      <c r="F880" s="162"/>
      <c r="G880" s="162"/>
      <c r="H880" s="132"/>
      <c r="I880" s="132"/>
      <c r="J880" s="132"/>
      <c r="K880" s="132"/>
      <c r="L880" s="132"/>
      <c r="M880" s="132"/>
      <c r="N880" s="132"/>
      <c r="O880" s="132"/>
      <c r="P880" s="132"/>
      <c r="Q880" s="147"/>
      <c r="R880" s="395" t="e">
        <f>VLOOKUP(C880,'[1]ORIGINAL (2)'!$A:$C,3,FALSE)</f>
        <v>#N/A</v>
      </c>
      <c r="S880" s="100"/>
      <c r="T880" s="100"/>
      <c r="U880" s="100"/>
      <c r="V880" s="100"/>
    </row>
    <row r="881" spans="1:22" x14ac:dyDescent="0.25">
      <c r="A881" s="6" t="s">
        <v>2261</v>
      </c>
      <c r="B881" s="339">
        <v>9789500216814</v>
      </c>
      <c r="C881" s="340">
        <v>741979</v>
      </c>
      <c r="D881" s="239">
        <v>8</v>
      </c>
      <c r="E881" s="8" t="s">
        <v>2262</v>
      </c>
      <c r="F881" s="340" t="s">
        <v>2263</v>
      </c>
      <c r="G881" s="107">
        <v>46082</v>
      </c>
      <c r="H881" s="108">
        <v>46054</v>
      </c>
      <c r="I881" s="24">
        <v>4000</v>
      </c>
      <c r="J881" s="28" t="s">
        <v>2258</v>
      </c>
      <c r="K881" s="148">
        <v>3800.16</v>
      </c>
      <c r="L881" s="9">
        <v>20900</v>
      </c>
      <c r="M881" s="112"/>
      <c r="N881" s="9">
        <f>+L881/2</f>
        <v>10450</v>
      </c>
      <c r="O881" s="9">
        <f>+N881-M881-K881</f>
        <v>6649.84</v>
      </c>
      <c r="P881" s="9">
        <f>+M881+K881</f>
        <v>3800.16</v>
      </c>
      <c r="Q881" s="139">
        <f>+O881/N881</f>
        <v>0.63634832535885166</v>
      </c>
      <c r="R881" s="395">
        <f>VLOOKUP(C881,'[1]ORIGINAL (2)'!$A:$C,3,FALSE)</f>
        <v>1582</v>
      </c>
      <c r="S881" s="24" t="e">
        <f>VLOOKUP(C881,#REF!,6,FALSE)</f>
        <v>#REF!</v>
      </c>
      <c r="T881" s="24" t="e">
        <f>VLOOKUP(C881,#REF!,7,FALSE)</f>
        <v>#REF!</v>
      </c>
      <c r="U881" s="24" t="e">
        <f>VLOOKUP(C881,#REF!,12,FALSE)</f>
        <v>#REF!</v>
      </c>
      <c r="V881" s="24" t="e">
        <f>VLOOKUP(C881,#REF!,13,FALSE)</f>
        <v>#REF!</v>
      </c>
    </row>
    <row r="882" spans="1:22" x14ac:dyDescent="0.25">
      <c r="A882" s="6" t="s">
        <v>2264</v>
      </c>
      <c r="B882" s="339">
        <v>9789500216807</v>
      </c>
      <c r="C882" s="340">
        <v>741981</v>
      </c>
      <c r="D882" s="239">
        <v>8</v>
      </c>
      <c r="E882" s="8" t="s">
        <v>2262</v>
      </c>
      <c r="F882" s="340" t="s">
        <v>2265</v>
      </c>
      <c r="G882" s="107">
        <v>46082</v>
      </c>
      <c r="H882" s="108">
        <v>46054</v>
      </c>
      <c r="I882" s="24">
        <v>4000</v>
      </c>
      <c r="J882" s="28" t="s">
        <v>2258</v>
      </c>
      <c r="K882" s="148">
        <v>3800.16</v>
      </c>
      <c r="L882" s="9">
        <v>20900</v>
      </c>
      <c r="M882" s="112"/>
      <c r="N882" s="9">
        <f>+L882/2</f>
        <v>10450</v>
      </c>
      <c r="O882" s="9">
        <f>+N882-M882-K882</f>
        <v>6649.84</v>
      </c>
      <c r="P882" s="9">
        <f>+M882+K882</f>
        <v>3800.16</v>
      </c>
      <c r="Q882" s="139">
        <f>+O882/N882</f>
        <v>0.63634832535885166</v>
      </c>
      <c r="R882" s="395">
        <f>VLOOKUP(C882,'[1]ORIGINAL (2)'!$A:$C,3,FALSE)</f>
        <v>1206</v>
      </c>
      <c r="S882" s="24" t="e">
        <f>VLOOKUP(C882,#REF!,6,FALSE)</f>
        <v>#REF!</v>
      </c>
      <c r="T882" s="24" t="e">
        <f>VLOOKUP(C882,#REF!,7,FALSE)</f>
        <v>#REF!</v>
      </c>
      <c r="U882" s="24" t="e">
        <f>VLOOKUP(C882,#REF!,12,FALSE)</f>
        <v>#REF!</v>
      </c>
      <c r="V882" s="24" t="e">
        <f>VLOOKUP(C882,#REF!,13,FALSE)</f>
        <v>#REF!</v>
      </c>
    </row>
    <row r="883" spans="1:22" x14ac:dyDescent="0.25">
      <c r="A883" s="1"/>
      <c r="B883" s="3"/>
      <c r="C883" s="3"/>
      <c r="D883" s="2"/>
      <c r="E883" s="3"/>
      <c r="F883" s="26"/>
      <c r="G883" s="3"/>
      <c r="H883" s="26"/>
      <c r="I883" s="3"/>
      <c r="J883" s="26"/>
      <c r="K883" s="132"/>
      <c r="L883" s="18"/>
      <c r="M883" s="132"/>
      <c r="N883" s="132"/>
      <c r="O883" s="132"/>
      <c r="P883" s="132"/>
      <c r="Q883" s="147"/>
      <c r="R883" s="395" t="e">
        <f>VLOOKUP(C883,'[1]ORIGINAL (2)'!$A:$C,3,FALSE)</f>
        <v>#N/A</v>
      </c>
      <c r="S883" s="100"/>
      <c r="T883" s="100"/>
      <c r="U883" s="100"/>
      <c r="V883" s="100"/>
    </row>
    <row r="884" spans="1:22" x14ac:dyDescent="0.25">
      <c r="A884" s="202" t="s">
        <v>2138</v>
      </c>
      <c r="B884" s="203"/>
      <c r="C884" s="203"/>
      <c r="D884" s="204"/>
      <c r="E884" s="205"/>
      <c r="F884" s="162"/>
      <c r="G884" s="162"/>
      <c r="H884" s="132"/>
      <c r="I884" s="132"/>
      <c r="J884" s="132"/>
      <c r="K884" s="132"/>
      <c r="L884" s="132"/>
      <c r="M884" s="132"/>
      <c r="N884" s="132"/>
      <c r="O884" s="132"/>
      <c r="P884" s="132"/>
      <c r="Q884" s="147"/>
      <c r="R884" s="395" t="e">
        <f>VLOOKUP(C884,'[1]ORIGINAL (2)'!$A:$C,3,FALSE)</f>
        <v>#N/A</v>
      </c>
      <c r="S884" s="100"/>
      <c r="T884" s="100"/>
      <c r="U884" s="100"/>
      <c r="V884" s="100"/>
    </row>
    <row r="885" spans="1:22" x14ac:dyDescent="0.25">
      <c r="A885" s="6" t="s">
        <v>2131</v>
      </c>
      <c r="B885" s="8">
        <v>9789500216258</v>
      </c>
      <c r="C885" s="6">
        <v>734398</v>
      </c>
      <c r="D885" s="7">
        <v>12</v>
      </c>
      <c r="E885" s="8" t="s">
        <v>2132</v>
      </c>
      <c r="F885" s="7" t="s">
        <v>2133</v>
      </c>
      <c r="G885" s="107">
        <v>45901</v>
      </c>
      <c r="H885" s="108">
        <v>45870</v>
      </c>
      <c r="I885" s="24">
        <v>2988</v>
      </c>
      <c r="J885" s="28" t="s">
        <v>2136</v>
      </c>
      <c r="K885" s="28">
        <v>5296.58</v>
      </c>
      <c r="L885" s="28">
        <v>20900</v>
      </c>
      <c r="M885" s="112"/>
      <c r="N885" s="9">
        <f>+L885/2</f>
        <v>10450</v>
      </c>
      <c r="O885" s="9">
        <f>+N885-M885-K885</f>
        <v>5153.42</v>
      </c>
      <c r="P885" s="9">
        <f>+M885+K885</f>
        <v>5296.58</v>
      </c>
      <c r="Q885" s="139">
        <f>+O885/N885</f>
        <v>0.49315023923444978</v>
      </c>
      <c r="R885" s="395">
        <f>VLOOKUP(C885,'[1]ORIGINAL (2)'!$A:$C,3,FALSE)</f>
        <v>680</v>
      </c>
      <c r="S885" s="24" t="e">
        <f>VLOOKUP(C885,#REF!,6,FALSE)</f>
        <v>#REF!</v>
      </c>
      <c r="T885" s="24" t="e">
        <f>VLOOKUP(C885,#REF!,7,FALSE)</f>
        <v>#REF!</v>
      </c>
      <c r="U885" s="24" t="e">
        <f>VLOOKUP(C885,#REF!,12,FALSE)</f>
        <v>#REF!</v>
      </c>
      <c r="V885" s="24" t="e">
        <f>VLOOKUP(C885,#REF!,13,FALSE)</f>
        <v>#REF!</v>
      </c>
    </row>
    <row r="886" spans="1:22" x14ac:dyDescent="0.25">
      <c r="A886" s="7" t="s">
        <v>2134</v>
      </c>
      <c r="B886" s="8">
        <v>9789500216241</v>
      </c>
      <c r="C886" s="6">
        <v>734399</v>
      </c>
      <c r="D886" s="25">
        <v>12</v>
      </c>
      <c r="E886" s="8" t="s">
        <v>2132</v>
      </c>
      <c r="F886" s="7" t="s">
        <v>2135</v>
      </c>
      <c r="G886" s="107">
        <v>45901</v>
      </c>
      <c r="H886" s="108">
        <v>45870</v>
      </c>
      <c r="I886" s="24">
        <v>2988</v>
      </c>
      <c r="J886" s="28" t="s">
        <v>2136</v>
      </c>
      <c r="K886" s="28">
        <v>5296.58</v>
      </c>
      <c r="L886" s="28">
        <v>20900</v>
      </c>
      <c r="M886" s="112"/>
      <c r="N886" s="9">
        <f>+L886/2</f>
        <v>10450</v>
      </c>
      <c r="O886" s="9">
        <f>+N886-M886-K886</f>
        <v>5153.42</v>
      </c>
      <c r="P886" s="9">
        <f>+M886+K886</f>
        <v>5296.58</v>
      </c>
      <c r="Q886" s="139">
        <f>+O886/N886</f>
        <v>0.49315023923444978</v>
      </c>
      <c r="R886" s="395">
        <f>VLOOKUP(C886,'[1]ORIGINAL (2)'!$A:$C,3,FALSE)</f>
        <v>594</v>
      </c>
      <c r="S886" s="24" t="e">
        <f>VLOOKUP(C886,#REF!,6,FALSE)</f>
        <v>#REF!</v>
      </c>
      <c r="T886" s="24" t="e">
        <f>VLOOKUP(C886,#REF!,7,FALSE)</f>
        <v>#REF!</v>
      </c>
      <c r="U886" s="24" t="e">
        <f>VLOOKUP(C886,#REF!,12,FALSE)</f>
        <v>#REF!</v>
      </c>
      <c r="V886" s="24" t="e">
        <f>VLOOKUP(C886,#REF!,13,FALSE)</f>
        <v>#REF!</v>
      </c>
    </row>
    <row r="887" spans="1:22" x14ac:dyDescent="0.25">
      <c r="A887" s="1"/>
      <c r="B887" s="3"/>
      <c r="C887" s="3"/>
      <c r="D887" s="2"/>
      <c r="E887" s="274"/>
      <c r="F887" s="275"/>
      <c r="G887" s="2"/>
      <c r="H887" s="132"/>
      <c r="I887" s="132"/>
      <c r="J887" s="132"/>
      <c r="K887" s="132"/>
      <c r="L887" s="18"/>
      <c r="M887" s="132"/>
      <c r="N887" s="132"/>
      <c r="O887" s="132"/>
      <c r="P887" s="132"/>
      <c r="Q887" s="147"/>
      <c r="R887" s="395" t="e">
        <f>VLOOKUP(C887,'[1]ORIGINAL (2)'!$A:$C,3,FALSE)</f>
        <v>#N/A</v>
      </c>
      <c r="S887" s="100"/>
      <c r="T887" s="100"/>
      <c r="U887" s="100"/>
      <c r="V887" s="100"/>
    </row>
    <row r="888" spans="1:22" x14ac:dyDescent="0.25">
      <c r="A888" s="160" t="s">
        <v>1658</v>
      </c>
      <c r="B888" s="214"/>
      <c r="C888" s="215"/>
      <c r="D888" s="152"/>
      <c r="E888" s="174"/>
      <c r="F888" s="162"/>
      <c r="G888" s="162"/>
      <c r="H888" s="132"/>
      <c r="I888" s="132"/>
      <c r="J888" s="132"/>
      <c r="K888" s="132"/>
      <c r="L888" s="18"/>
      <c r="M888" s="132"/>
      <c r="N888" s="132"/>
      <c r="O888" s="132"/>
      <c r="P888" s="132"/>
      <c r="Q888" s="147"/>
      <c r="R888" s="395" t="e">
        <f>VLOOKUP(C888,'[1]ORIGINAL (2)'!$A:$C,3,FALSE)</f>
        <v>#N/A</v>
      </c>
      <c r="S888" s="100"/>
      <c r="T888" s="100"/>
      <c r="U888" s="100"/>
      <c r="V888" s="100"/>
    </row>
    <row r="889" spans="1:22" x14ac:dyDescent="0.25">
      <c r="A889" s="6" t="s">
        <v>2465</v>
      </c>
      <c r="B889" s="153">
        <v>9789500217798</v>
      </c>
      <c r="C889" s="8">
        <v>751242</v>
      </c>
      <c r="D889" s="41">
        <v>64</v>
      </c>
      <c r="E889" s="6" t="s">
        <v>1984</v>
      </c>
      <c r="F889" s="7" t="s">
        <v>2466</v>
      </c>
      <c r="G889" s="107">
        <v>46296</v>
      </c>
      <c r="H889" s="108">
        <v>46266</v>
      </c>
      <c r="I889" s="267">
        <v>4000</v>
      </c>
      <c r="J889" s="6" t="s">
        <v>2160</v>
      </c>
      <c r="K889" s="148">
        <v>3067.98</v>
      </c>
      <c r="L889" s="352">
        <v>24900</v>
      </c>
      <c r="M889" s="112"/>
      <c r="N889" s="9">
        <f t="shared" ref="N889:N897" si="137">+L889/2</f>
        <v>12450</v>
      </c>
      <c r="O889" s="9">
        <f t="shared" ref="O889:O897" si="138">+N889-M889-K889</f>
        <v>9382.02</v>
      </c>
      <c r="P889" s="9">
        <f t="shared" ref="P889:P897" si="139">+M889+K889</f>
        <v>3067.98</v>
      </c>
      <c r="Q889" s="139">
        <f t="shared" ref="Q889:Q897" si="140">+O889/N889</f>
        <v>0.75357590361445792</v>
      </c>
      <c r="R889" s="395">
        <f>VLOOKUP(C889,'[1]ORIGINAL (2)'!$A:$C,3,FALSE)</f>
        <v>68</v>
      </c>
      <c r="S889" s="24" t="e">
        <f>VLOOKUP(C889,#REF!,6,FALSE)</f>
        <v>#REF!</v>
      </c>
      <c r="T889" s="24" t="e">
        <f>VLOOKUP(C889,#REF!,7,FALSE)</f>
        <v>#REF!</v>
      </c>
      <c r="U889" s="24" t="e">
        <f>VLOOKUP(C889,#REF!,12,FALSE)</f>
        <v>#REF!</v>
      </c>
      <c r="V889" s="24" t="e">
        <f>VLOOKUP(C889,#REF!,13,FALSE)</f>
        <v>#REF!</v>
      </c>
    </row>
    <row r="890" spans="1:22" x14ac:dyDescent="0.25">
      <c r="A890" s="6" t="s">
        <v>2239</v>
      </c>
      <c r="B890" s="8">
        <v>9789500216555</v>
      </c>
      <c r="C890" s="6">
        <v>740761</v>
      </c>
      <c r="D890" s="41">
        <v>64</v>
      </c>
      <c r="E890" s="6" t="s">
        <v>1984</v>
      </c>
      <c r="F890" s="6" t="s">
        <v>2240</v>
      </c>
      <c r="G890" s="107">
        <v>46054</v>
      </c>
      <c r="H890" s="107">
        <v>46023</v>
      </c>
      <c r="I890" s="264">
        <v>4005</v>
      </c>
      <c r="J890" s="6" t="s">
        <v>1333</v>
      </c>
      <c r="K890" s="292">
        <v>3668.62</v>
      </c>
      <c r="L890" s="9">
        <v>23900</v>
      </c>
      <c r="M890" s="112"/>
      <c r="N890" s="9">
        <f t="shared" si="137"/>
        <v>11950</v>
      </c>
      <c r="O890" s="9">
        <f t="shared" si="138"/>
        <v>8281.380000000001</v>
      </c>
      <c r="P890" s="9">
        <f t="shared" si="139"/>
        <v>3668.62</v>
      </c>
      <c r="Q890" s="139">
        <f t="shared" si="140"/>
        <v>0.69300251046025119</v>
      </c>
      <c r="R890" s="395">
        <f>VLOOKUP(C890,'[1]ORIGINAL (2)'!$A:$C,3,FALSE)</f>
        <v>571</v>
      </c>
      <c r="S890" s="24" t="e">
        <f>VLOOKUP(C890,#REF!,6,FALSE)</f>
        <v>#REF!</v>
      </c>
      <c r="T890" s="24" t="e">
        <f>VLOOKUP(C890,#REF!,7,FALSE)</f>
        <v>#REF!</v>
      </c>
      <c r="U890" s="24" t="e">
        <f>VLOOKUP(C890,#REF!,12,FALSE)</f>
        <v>#REF!</v>
      </c>
      <c r="V890" s="24" t="e">
        <f>VLOOKUP(C890,#REF!,13,FALSE)</f>
        <v>#REF!</v>
      </c>
    </row>
    <row r="891" spans="1:22" x14ac:dyDescent="0.25">
      <c r="A891" s="6" t="s">
        <v>2197</v>
      </c>
      <c r="B891" s="8">
        <v>9789500216449</v>
      </c>
      <c r="C891" s="6">
        <v>737808</v>
      </c>
      <c r="D891" s="239">
        <v>64</v>
      </c>
      <c r="E891" s="8" t="s">
        <v>1984</v>
      </c>
      <c r="F891" s="6" t="s">
        <v>2198</v>
      </c>
      <c r="G891" s="107">
        <v>46023</v>
      </c>
      <c r="H891" s="107">
        <v>45931</v>
      </c>
      <c r="I891" s="264">
        <v>4000</v>
      </c>
      <c r="J891" s="6" t="s">
        <v>1333</v>
      </c>
      <c r="K891" s="292">
        <v>3443.82</v>
      </c>
      <c r="L891" s="9">
        <v>24900</v>
      </c>
      <c r="M891" s="112"/>
      <c r="N891" s="9">
        <f t="shared" si="137"/>
        <v>12450</v>
      </c>
      <c r="O891" s="9">
        <f t="shared" si="138"/>
        <v>9006.18</v>
      </c>
      <c r="P891" s="9">
        <f t="shared" si="139"/>
        <v>3443.82</v>
      </c>
      <c r="Q891" s="139">
        <f t="shared" si="140"/>
        <v>0.72338795180722892</v>
      </c>
      <c r="R891" s="395">
        <f>VLOOKUP(C891,'[1]ORIGINAL (2)'!$A:$C,3,FALSE)</f>
        <v>1656</v>
      </c>
      <c r="S891" s="24" t="e">
        <f>VLOOKUP(C891,#REF!,6,FALSE)</f>
        <v>#REF!</v>
      </c>
      <c r="T891" s="24" t="e">
        <f>VLOOKUP(C891,#REF!,7,FALSE)</f>
        <v>#REF!</v>
      </c>
      <c r="U891" s="24" t="e">
        <f>VLOOKUP(C891,#REF!,12,FALSE)</f>
        <v>#REF!</v>
      </c>
      <c r="V891" s="24" t="e">
        <f>VLOOKUP(C891,#REF!,13,FALSE)</f>
        <v>#REF!</v>
      </c>
    </row>
    <row r="892" spans="1:22" x14ac:dyDescent="0.25">
      <c r="A892" s="6" t="s">
        <v>2000</v>
      </c>
      <c r="B892" s="279">
        <v>9789500215350</v>
      </c>
      <c r="C892" s="6">
        <v>726373</v>
      </c>
      <c r="D892" s="41">
        <v>60</v>
      </c>
      <c r="E892" s="8" t="s">
        <v>1984</v>
      </c>
      <c r="F892" s="6" t="s">
        <v>2001</v>
      </c>
      <c r="G892" s="107">
        <v>45717</v>
      </c>
      <c r="H892" s="107">
        <v>45931</v>
      </c>
      <c r="I892" s="7">
        <v>4000</v>
      </c>
      <c r="J892" s="6" t="s">
        <v>1333</v>
      </c>
      <c r="K892" s="9">
        <v>3413.83</v>
      </c>
      <c r="L892" s="9">
        <v>24900</v>
      </c>
      <c r="M892" s="112"/>
      <c r="N892" s="9">
        <f t="shared" si="137"/>
        <v>12450</v>
      </c>
      <c r="O892" s="9">
        <f t="shared" si="138"/>
        <v>9036.17</v>
      </c>
      <c r="P892" s="9">
        <f t="shared" si="139"/>
        <v>3413.83</v>
      </c>
      <c r="Q892" s="139">
        <f t="shared" si="140"/>
        <v>0.72579678714859441</v>
      </c>
      <c r="R892" s="395">
        <f>VLOOKUP(C892,'[1]ORIGINAL (2)'!$A:$C,3,FALSE)</f>
        <v>2500</v>
      </c>
      <c r="S892" s="24" t="e">
        <f>VLOOKUP(C892,#REF!,6,FALSE)</f>
        <v>#REF!</v>
      </c>
      <c r="T892" s="24" t="e">
        <f>VLOOKUP(C892,#REF!,7,FALSE)</f>
        <v>#REF!</v>
      </c>
      <c r="U892" s="24" t="e">
        <f>VLOOKUP(C892,#REF!,12,FALSE)</f>
        <v>#REF!</v>
      </c>
      <c r="V892" s="24" t="e">
        <f>VLOOKUP(C892,#REF!,13,FALSE)</f>
        <v>#REF!</v>
      </c>
    </row>
    <row r="893" spans="1:22" x14ac:dyDescent="0.25">
      <c r="A893" s="6" t="s">
        <v>2002</v>
      </c>
      <c r="B893" s="8">
        <v>9789500215367</v>
      </c>
      <c r="C893" s="6">
        <v>726374</v>
      </c>
      <c r="D893" s="239">
        <v>64</v>
      </c>
      <c r="E893" s="8" t="s">
        <v>1984</v>
      </c>
      <c r="F893" s="6" t="s">
        <v>2003</v>
      </c>
      <c r="G893" s="107">
        <v>45717</v>
      </c>
      <c r="H893" s="108">
        <v>45931</v>
      </c>
      <c r="I893" s="7">
        <v>4000</v>
      </c>
      <c r="J893" s="6" t="s">
        <v>1333</v>
      </c>
      <c r="K893" s="9">
        <v>3413.83</v>
      </c>
      <c r="L893" s="9">
        <v>24900</v>
      </c>
      <c r="M893" s="112"/>
      <c r="N893" s="9">
        <f t="shared" si="137"/>
        <v>12450</v>
      </c>
      <c r="O893" s="9">
        <f t="shared" si="138"/>
        <v>9036.17</v>
      </c>
      <c r="P893" s="9">
        <f t="shared" si="139"/>
        <v>3413.83</v>
      </c>
      <c r="Q893" s="139">
        <f t="shared" si="140"/>
        <v>0.72579678714859441</v>
      </c>
      <c r="R893" s="395">
        <f>VLOOKUP(C893,'[1]ORIGINAL (2)'!$A:$C,3,FALSE)</f>
        <v>2492</v>
      </c>
      <c r="S893" s="24" t="e">
        <f>VLOOKUP(C893,#REF!,6,FALSE)</f>
        <v>#REF!</v>
      </c>
      <c r="T893" s="24" t="e">
        <f>VLOOKUP(C893,#REF!,7,FALSE)</f>
        <v>#REF!</v>
      </c>
      <c r="U893" s="24" t="e">
        <f>VLOOKUP(C893,#REF!,12,FALSE)</f>
        <v>#REF!</v>
      </c>
      <c r="V893" s="24" t="e">
        <f>VLOOKUP(C893,#REF!,13,FALSE)</f>
        <v>#REF!</v>
      </c>
    </row>
    <row r="894" spans="1:22" x14ac:dyDescent="0.25">
      <c r="A894" s="7" t="s">
        <v>1098</v>
      </c>
      <c r="B894" s="8">
        <v>9789500211017</v>
      </c>
      <c r="C894" s="8">
        <v>677841</v>
      </c>
      <c r="D894" s="25">
        <v>64</v>
      </c>
      <c r="E894" s="7" t="s">
        <v>466</v>
      </c>
      <c r="F894" s="7" t="s">
        <v>833</v>
      </c>
      <c r="G894" s="107">
        <v>44105</v>
      </c>
      <c r="H894" s="107">
        <v>44075</v>
      </c>
      <c r="I894" s="7">
        <v>3000</v>
      </c>
      <c r="J894" s="28" t="s">
        <v>2136</v>
      </c>
      <c r="K894" s="9">
        <v>92.71</v>
      </c>
      <c r="L894" s="112">
        <v>15500</v>
      </c>
      <c r="M894" s="112"/>
      <c r="N894" s="9">
        <f t="shared" si="137"/>
        <v>7750</v>
      </c>
      <c r="O894" s="9">
        <f t="shared" si="138"/>
        <v>7657.29</v>
      </c>
      <c r="P894" s="9">
        <f t="shared" si="139"/>
        <v>92.71</v>
      </c>
      <c r="Q894" s="139">
        <f t="shared" si="140"/>
        <v>0.98803741935483869</v>
      </c>
      <c r="R894" s="395">
        <f>VLOOKUP(C894,'[1]ORIGINAL (2)'!$A:$C,3,FALSE)</f>
        <v>83</v>
      </c>
      <c r="S894" s="24" t="e">
        <f>VLOOKUP(C894,#REF!,6,FALSE)</f>
        <v>#REF!</v>
      </c>
      <c r="T894" s="24" t="e">
        <f>VLOOKUP(C894,#REF!,7,FALSE)</f>
        <v>#REF!</v>
      </c>
      <c r="U894" s="24" t="e">
        <f>VLOOKUP(C894,#REF!,12,FALSE)</f>
        <v>#REF!</v>
      </c>
      <c r="V894" s="24" t="e">
        <f>VLOOKUP(C894,#REF!,13,FALSE)</f>
        <v>#REF!</v>
      </c>
    </row>
    <row r="895" spans="1:22" x14ac:dyDescent="0.25">
      <c r="A895" s="7" t="s">
        <v>1659</v>
      </c>
      <c r="B895" s="8">
        <v>9789500210508</v>
      </c>
      <c r="C895" s="8">
        <v>674459</v>
      </c>
      <c r="D895" s="25">
        <v>56</v>
      </c>
      <c r="E895" s="7" t="s">
        <v>466</v>
      </c>
      <c r="F895" s="7" t="s">
        <v>834</v>
      </c>
      <c r="G895" s="107">
        <v>43891</v>
      </c>
      <c r="H895" s="108">
        <v>43891</v>
      </c>
      <c r="I895" s="7">
        <v>3080</v>
      </c>
      <c r="J895" s="28" t="s">
        <v>2136</v>
      </c>
      <c r="K895" s="9">
        <v>75</v>
      </c>
      <c r="L895" s="112">
        <v>15500</v>
      </c>
      <c r="M895" s="112"/>
      <c r="N895" s="9">
        <f t="shared" si="137"/>
        <v>7750</v>
      </c>
      <c r="O895" s="9">
        <f t="shared" si="138"/>
        <v>7675</v>
      </c>
      <c r="P895" s="9">
        <f t="shared" si="139"/>
        <v>75</v>
      </c>
      <c r="Q895" s="139">
        <f t="shared" si="140"/>
        <v>0.99032258064516132</v>
      </c>
      <c r="R895" s="395">
        <f>VLOOKUP(C895,'[1]ORIGINAL (2)'!$A:$C,3,FALSE)</f>
        <v>108</v>
      </c>
      <c r="S895" s="24" t="e">
        <f>VLOOKUP(C895,#REF!,6,FALSE)</f>
        <v>#REF!</v>
      </c>
      <c r="T895" s="24" t="e">
        <f>VLOOKUP(C895,#REF!,7,FALSE)</f>
        <v>#REF!</v>
      </c>
      <c r="U895" s="24" t="e">
        <f>VLOOKUP(C895,#REF!,12,FALSE)</f>
        <v>#REF!</v>
      </c>
      <c r="V895" s="24" t="e">
        <f>VLOOKUP(C895,#REF!,13,FALSE)</f>
        <v>#REF!</v>
      </c>
    </row>
    <row r="896" spans="1:22" x14ac:dyDescent="0.25">
      <c r="A896" s="7" t="s">
        <v>1660</v>
      </c>
      <c r="B896" s="8">
        <v>9789500210225</v>
      </c>
      <c r="C896" s="14">
        <v>670529</v>
      </c>
      <c r="D896" s="25">
        <v>56</v>
      </c>
      <c r="E896" s="7" t="s">
        <v>466</v>
      </c>
      <c r="F896" s="7" t="s">
        <v>467</v>
      </c>
      <c r="G896" s="107">
        <v>43770</v>
      </c>
      <c r="H896" s="108">
        <v>44835</v>
      </c>
      <c r="I896" s="7">
        <v>3040</v>
      </c>
      <c r="J896" s="28" t="s">
        <v>2136</v>
      </c>
      <c r="K896" s="117">
        <v>429.39</v>
      </c>
      <c r="L896" s="112">
        <v>15500</v>
      </c>
      <c r="M896" s="112"/>
      <c r="N896" s="9">
        <f t="shared" si="137"/>
        <v>7750</v>
      </c>
      <c r="O896" s="9">
        <f t="shared" si="138"/>
        <v>7320.61</v>
      </c>
      <c r="P896" s="9">
        <f t="shared" si="139"/>
        <v>429.39</v>
      </c>
      <c r="Q896" s="139">
        <f t="shared" si="140"/>
        <v>0.94459483870967742</v>
      </c>
      <c r="R896" s="395">
        <f>VLOOKUP(C896,'[1]ORIGINAL (2)'!$A:$C,3,FALSE)</f>
        <v>308</v>
      </c>
      <c r="S896" s="24" t="e">
        <f>VLOOKUP(C896,#REF!,6,FALSE)</f>
        <v>#REF!</v>
      </c>
      <c r="T896" s="24" t="e">
        <f>VLOOKUP(C896,#REF!,7,FALSE)</f>
        <v>#REF!</v>
      </c>
      <c r="U896" s="24" t="e">
        <f>VLOOKUP(C896,#REF!,12,FALSE)</f>
        <v>#REF!</v>
      </c>
      <c r="V896" s="24" t="e">
        <f>VLOOKUP(C896,#REF!,13,FALSE)</f>
        <v>#REF!</v>
      </c>
    </row>
    <row r="897" spans="1:22" x14ac:dyDescent="0.25">
      <c r="A897" s="7" t="s">
        <v>1661</v>
      </c>
      <c r="B897" s="8">
        <v>9789500212045</v>
      </c>
      <c r="C897" s="8">
        <v>686377</v>
      </c>
      <c r="D897" s="25">
        <v>96</v>
      </c>
      <c r="E897" s="7" t="s">
        <v>576</v>
      </c>
      <c r="F897" s="7" t="s">
        <v>577</v>
      </c>
      <c r="G897" s="107">
        <v>44440</v>
      </c>
      <c r="H897" s="108">
        <v>44409</v>
      </c>
      <c r="I897" s="7">
        <v>4090</v>
      </c>
      <c r="J897" s="28" t="s">
        <v>2136</v>
      </c>
      <c r="K897" s="9">
        <v>157.28</v>
      </c>
      <c r="L897" s="9">
        <v>17500</v>
      </c>
      <c r="M897" s="112">
        <f>+L897*0.1</f>
        <v>1750</v>
      </c>
      <c r="N897" s="9">
        <f t="shared" si="137"/>
        <v>8750</v>
      </c>
      <c r="O897" s="9">
        <f t="shared" si="138"/>
        <v>6842.72</v>
      </c>
      <c r="P897" s="9">
        <f t="shared" si="139"/>
        <v>1907.28</v>
      </c>
      <c r="Q897" s="139">
        <f t="shared" si="140"/>
        <v>0.78202514285714286</v>
      </c>
      <c r="R897" s="395">
        <f>VLOOKUP(C897,'[1]ORIGINAL (2)'!$A:$C,3,FALSE)</f>
        <v>98</v>
      </c>
      <c r="S897" s="24" t="e">
        <f>VLOOKUP(C897,#REF!,6,FALSE)</f>
        <v>#REF!</v>
      </c>
      <c r="T897" s="24" t="e">
        <f>VLOOKUP(C897,#REF!,7,FALSE)</f>
        <v>#REF!</v>
      </c>
      <c r="U897" s="24" t="e">
        <f>VLOOKUP(C897,#REF!,12,FALSE)</f>
        <v>#REF!</v>
      </c>
      <c r="V897" s="24" t="e">
        <f>VLOOKUP(C897,#REF!,13,FALSE)</f>
        <v>#REF!</v>
      </c>
    </row>
    <row r="898" spans="1:22" x14ac:dyDescent="0.25">
      <c r="A898" s="1"/>
      <c r="B898" s="3"/>
      <c r="C898" s="3"/>
      <c r="D898" s="2"/>
      <c r="E898" s="3"/>
      <c r="F898" s="26"/>
      <c r="G898" s="3"/>
      <c r="H898" s="26"/>
      <c r="I898" s="3"/>
      <c r="J898" s="26"/>
      <c r="K898" s="132"/>
      <c r="L898" s="134"/>
      <c r="M898" s="132"/>
      <c r="N898" s="132"/>
      <c r="O898" s="132"/>
      <c r="P898" s="132"/>
      <c r="Q898" s="147"/>
      <c r="R898" s="395" t="e">
        <f>VLOOKUP(C898,'[1]ORIGINAL (2)'!$A:$C,3,FALSE)</f>
        <v>#N/A</v>
      </c>
      <c r="S898" s="100"/>
      <c r="T898" s="100"/>
      <c r="U898" s="100"/>
      <c r="V898" s="100"/>
    </row>
    <row r="899" spans="1:22" x14ac:dyDescent="0.25">
      <c r="A899" s="202" t="s">
        <v>2241</v>
      </c>
      <c r="B899" s="203"/>
      <c r="C899" s="203"/>
      <c r="D899" s="204"/>
      <c r="E899" s="205"/>
      <c r="F899" s="162"/>
      <c r="G899" s="162"/>
      <c r="H899" s="132"/>
      <c r="I899" s="132"/>
      <c r="J899" s="132"/>
      <c r="K899" s="132"/>
      <c r="L899" s="134"/>
      <c r="M899" s="132"/>
      <c r="N899" s="132"/>
      <c r="O899" s="132"/>
      <c r="P899" s="132"/>
      <c r="Q899" s="147"/>
      <c r="R899" s="395" t="e">
        <f>VLOOKUP(C899,'[1]ORIGINAL (2)'!$A:$C,3,FALSE)</f>
        <v>#N/A</v>
      </c>
      <c r="S899" s="100"/>
      <c r="T899" s="100"/>
      <c r="U899" s="100"/>
      <c r="V899" s="100"/>
    </row>
    <row r="900" spans="1:22" x14ac:dyDescent="0.25">
      <c r="A900" s="6" t="s">
        <v>2234</v>
      </c>
      <c r="B900" s="8">
        <v>9789500216517</v>
      </c>
      <c r="C900" s="6">
        <v>740173</v>
      </c>
      <c r="D900" s="239">
        <v>12</v>
      </c>
      <c r="E900" s="8" t="s">
        <v>2235</v>
      </c>
      <c r="F900" s="6" t="s">
        <v>2236</v>
      </c>
      <c r="G900" s="107">
        <v>46054</v>
      </c>
      <c r="H900" s="108">
        <v>45992</v>
      </c>
      <c r="I900" s="7">
        <v>4200</v>
      </c>
      <c r="J900" s="28" t="s">
        <v>1333</v>
      </c>
      <c r="K900" s="148">
        <v>3744.98</v>
      </c>
      <c r="L900" s="9">
        <v>17900</v>
      </c>
      <c r="M900" s="9"/>
      <c r="N900" s="9">
        <f>+L900/2</f>
        <v>8950</v>
      </c>
      <c r="O900" s="9">
        <f>+N900-M900-K900</f>
        <v>5205.0200000000004</v>
      </c>
      <c r="P900" s="9">
        <f>+M900+K900</f>
        <v>3744.98</v>
      </c>
      <c r="Q900" s="139">
        <f>+O900/N900</f>
        <v>0.58156648044692738</v>
      </c>
      <c r="R900" s="395">
        <f>VLOOKUP(C900,'[1]ORIGINAL (2)'!$A:$C,3,FALSE)</f>
        <v>1159</v>
      </c>
      <c r="S900" s="24" t="e">
        <f>VLOOKUP(C900,#REF!,6,FALSE)</f>
        <v>#REF!</v>
      </c>
      <c r="T900" s="24" t="e">
        <f>VLOOKUP(C900,#REF!,7,FALSE)</f>
        <v>#REF!</v>
      </c>
      <c r="U900" s="24" t="e">
        <f>VLOOKUP(C900,#REF!,12,FALSE)</f>
        <v>#REF!</v>
      </c>
      <c r="V900" s="24" t="e">
        <f>VLOOKUP(C900,#REF!,13,FALSE)</f>
        <v>#REF!</v>
      </c>
    </row>
    <row r="901" spans="1:22" x14ac:dyDescent="0.25">
      <c r="A901" s="6" t="s">
        <v>2237</v>
      </c>
      <c r="B901" s="8">
        <v>9789500216524</v>
      </c>
      <c r="C901" s="6">
        <v>740175</v>
      </c>
      <c r="D901" s="239">
        <v>12</v>
      </c>
      <c r="E901" s="8" t="s">
        <v>2235</v>
      </c>
      <c r="F901" s="6" t="s">
        <v>2238</v>
      </c>
      <c r="G901" s="107">
        <v>46054</v>
      </c>
      <c r="H901" s="108">
        <v>45992</v>
      </c>
      <c r="I901" s="7">
        <v>4200</v>
      </c>
      <c r="J901" s="28" t="s">
        <v>1333</v>
      </c>
      <c r="K901" s="148">
        <v>3744.98</v>
      </c>
      <c r="L901" s="9">
        <v>17900</v>
      </c>
      <c r="M901" s="9"/>
      <c r="N901" s="9">
        <f>+L901/2</f>
        <v>8950</v>
      </c>
      <c r="O901" s="9">
        <f>+N901-M901-K901</f>
        <v>5205.0200000000004</v>
      </c>
      <c r="P901" s="9">
        <f>+M901+K901</f>
        <v>3744.98</v>
      </c>
      <c r="Q901" s="139">
        <f>+O901/N901</f>
        <v>0.58156648044692738</v>
      </c>
      <c r="R901" s="395">
        <f>VLOOKUP(C901,'[1]ORIGINAL (2)'!$A:$C,3,FALSE)</f>
        <v>1148</v>
      </c>
      <c r="S901" s="24" t="e">
        <f>VLOOKUP(C901,#REF!,6,FALSE)</f>
        <v>#REF!</v>
      </c>
      <c r="T901" s="24" t="e">
        <f>VLOOKUP(C901,#REF!,7,FALSE)</f>
        <v>#REF!</v>
      </c>
      <c r="U901" s="24" t="e">
        <f>VLOOKUP(C901,#REF!,12,FALSE)</f>
        <v>#REF!</v>
      </c>
      <c r="V901" s="24" t="e">
        <f>VLOOKUP(C901,#REF!,13,FALSE)</f>
        <v>#REF!</v>
      </c>
    </row>
    <row r="902" spans="1:22" x14ac:dyDescent="0.25">
      <c r="A902" s="1"/>
      <c r="B902" s="3"/>
      <c r="C902" s="3"/>
      <c r="D902" s="2"/>
      <c r="E902" s="274"/>
      <c r="F902" s="275"/>
      <c r="G902" s="2"/>
      <c r="H902" s="132"/>
      <c r="I902" s="132"/>
      <c r="J902" s="132"/>
      <c r="K902" s="132"/>
      <c r="L902" s="134"/>
      <c r="M902" s="132"/>
      <c r="N902" s="132"/>
      <c r="O902" s="132"/>
      <c r="P902" s="132"/>
      <c r="Q902" s="147"/>
      <c r="R902" s="395" t="e">
        <f>VLOOKUP(C902,'[1]ORIGINAL (2)'!$A:$C,3,FALSE)</f>
        <v>#N/A</v>
      </c>
      <c r="S902" s="100"/>
      <c r="T902" s="100"/>
      <c r="U902" s="100"/>
      <c r="V902" s="100"/>
    </row>
    <row r="903" spans="1:22" x14ac:dyDescent="0.25">
      <c r="A903" s="202" t="s">
        <v>2438</v>
      </c>
      <c r="B903" s="203"/>
      <c r="C903" s="203"/>
      <c r="D903" s="204"/>
      <c r="E903" s="205"/>
      <c r="F903" s="162"/>
      <c r="G903" s="162"/>
      <c r="H903" s="132"/>
      <c r="I903" s="132"/>
      <c r="J903" s="132"/>
      <c r="K903" s="132"/>
      <c r="L903" s="134"/>
      <c r="M903" s="132"/>
      <c r="N903" s="132"/>
      <c r="O903" s="132"/>
      <c r="P903" s="132"/>
      <c r="Q903" s="147"/>
      <c r="R903" s="395" t="e">
        <f>VLOOKUP(C903,'[1]ORIGINAL (2)'!$A:$C,3,FALSE)</f>
        <v>#N/A</v>
      </c>
      <c r="S903" s="100"/>
      <c r="T903" s="100"/>
      <c r="U903" s="100"/>
      <c r="V903" s="100"/>
    </row>
    <row r="904" spans="1:22" x14ac:dyDescent="0.25">
      <c r="A904" s="6" t="s">
        <v>2431</v>
      </c>
      <c r="B904" s="153">
        <v>9789500217545</v>
      </c>
      <c r="C904" s="366">
        <v>750395</v>
      </c>
      <c r="D904" s="41">
        <v>8</v>
      </c>
      <c r="E904" s="6" t="s">
        <v>2405</v>
      </c>
      <c r="F904" s="6" t="s">
        <v>2432</v>
      </c>
      <c r="G904" s="107">
        <v>46266</v>
      </c>
      <c r="H904" s="107">
        <v>46235</v>
      </c>
      <c r="I904" s="267">
        <v>4000</v>
      </c>
      <c r="J904" s="6" t="s">
        <v>2136</v>
      </c>
      <c r="K904" s="148">
        <v>5729.3139907499999</v>
      </c>
      <c r="L904" s="352">
        <v>24500</v>
      </c>
      <c r="M904" s="112"/>
      <c r="N904" s="9">
        <f>+L904/2</f>
        <v>12250</v>
      </c>
      <c r="O904" s="9">
        <f>+N904-M904-K904</f>
        <v>6520.6860092500001</v>
      </c>
      <c r="P904" s="9">
        <f>+M904+K904</f>
        <v>5729.3139907499999</v>
      </c>
      <c r="Q904" s="139">
        <f>+O904/N904</f>
        <v>0.53230089871428576</v>
      </c>
      <c r="R904" s="395">
        <f>VLOOKUP(C904,'[1]ORIGINAL (2)'!$A:$C,3,FALSE)</f>
        <v>192</v>
      </c>
      <c r="S904" s="24" t="e">
        <f>VLOOKUP(C904,#REF!,6,FALSE)</f>
        <v>#REF!</v>
      </c>
      <c r="T904" s="24" t="e">
        <f>VLOOKUP(C904,#REF!,7,FALSE)</f>
        <v>#REF!</v>
      </c>
      <c r="U904" s="24" t="e">
        <f>VLOOKUP(C904,#REF!,12,FALSE)</f>
        <v>#REF!</v>
      </c>
      <c r="V904" s="24" t="e">
        <f>VLOOKUP(C904,#REF!,13,FALSE)</f>
        <v>#REF!</v>
      </c>
    </row>
    <row r="905" spans="1:22" x14ac:dyDescent="0.25">
      <c r="A905" s="6" t="s">
        <v>2433</v>
      </c>
      <c r="B905" s="153">
        <v>9789500217552</v>
      </c>
      <c r="C905" s="366">
        <v>750397</v>
      </c>
      <c r="D905" s="41">
        <v>8</v>
      </c>
      <c r="E905" s="6" t="s">
        <v>2405</v>
      </c>
      <c r="F905" s="7" t="s">
        <v>2434</v>
      </c>
      <c r="G905" s="107">
        <v>46266</v>
      </c>
      <c r="H905" s="107">
        <v>46235</v>
      </c>
      <c r="I905" s="267">
        <v>4000</v>
      </c>
      <c r="J905" s="6" t="s">
        <v>2136</v>
      </c>
      <c r="K905" s="148">
        <v>5729.3139907499999</v>
      </c>
      <c r="L905" s="352">
        <v>24500</v>
      </c>
      <c r="M905" s="112"/>
      <c r="N905" s="9">
        <f>+L905/2</f>
        <v>12250</v>
      </c>
      <c r="O905" s="9">
        <f>+N905-M905-K905</f>
        <v>6520.6860092500001</v>
      </c>
      <c r="P905" s="9">
        <f>+M905+K905</f>
        <v>5729.3139907499999</v>
      </c>
      <c r="Q905" s="139">
        <f>+O905/N905</f>
        <v>0.53230089871428576</v>
      </c>
      <c r="R905" s="395">
        <f>VLOOKUP(C905,'[1]ORIGINAL (2)'!$A:$C,3,FALSE)</f>
        <v>163</v>
      </c>
      <c r="S905" s="24" t="e">
        <f>VLOOKUP(C905,#REF!,6,FALSE)</f>
        <v>#REF!</v>
      </c>
      <c r="T905" s="24" t="e">
        <f>VLOOKUP(C905,#REF!,7,FALSE)</f>
        <v>#REF!</v>
      </c>
      <c r="U905" s="24" t="e">
        <f>VLOOKUP(C905,#REF!,12,FALSE)</f>
        <v>#REF!</v>
      </c>
      <c r="V905" s="24" t="e">
        <f>VLOOKUP(C905,#REF!,13,FALSE)</f>
        <v>#REF!</v>
      </c>
    </row>
    <row r="906" spans="1:22" x14ac:dyDescent="0.25">
      <c r="A906" s="1"/>
      <c r="B906" s="3"/>
      <c r="C906" s="3"/>
      <c r="D906" s="2"/>
      <c r="E906" s="274"/>
      <c r="F906" s="275"/>
      <c r="G906" s="2"/>
      <c r="H906" s="132"/>
      <c r="I906" s="132"/>
      <c r="J906" s="132"/>
      <c r="K906" s="132"/>
      <c r="L906" s="134"/>
      <c r="M906" s="132"/>
      <c r="N906" s="132"/>
      <c r="O906" s="132"/>
      <c r="P906" s="132"/>
      <c r="Q906" s="147"/>
      <c r="R906" s="395" t="e">
        <f>VLOOKUP(C906,'[1]ORIGINAL (2)'!$A:$C,3,FALSE)</f>
        <v>#N/A</v>
      </c>
      <c r="S906" s="100"/>
      <c r="T906" s="100"/>
      <c r="U906" s="100"/>
      <c r="V906" s="100"/>
    </row>
    <row r="907" spans="1:22" x14ac:dyDescent="0.25">
      <c r="A907" s="202" t="s">
        <v>2469</v>
      </c>
      <c r="B907" s="203"/>
      <c r="C907" s="203"/>
      <c r="D907" s="204"/>
      <c r="E907" s="205"/>
      <c r="F907" s="162"/>
      <c r="G907" s="162"/>
      <c r="H907" s="132"/>
      <c r="I907" s="132"/>
      <c r="J907" s="132"/>
      <c r="K907" s="132"/>
      <c r="L907" s="134"/>
      <c r="M907" s="132"/>
      <c r="N907" s="132"/>
      <c r="O907" s="132"/>
      <c r="P907" s="132"/>
      <c r="Q907" s="147"/>
      <c r="R907" s="395" t="e">
        <f>VLOOKUP(C907,'[1]ORIGINAL (2)'!$A:$C,3,FALSE)</f>
        <v>#N/A</v>
      </c>
      <c r="S907" s="100"/>
      <c r="T907" s="100"/>
      <c r="U907" s="100"/>
      <c r="V907" s="100"/>
    </row>
    <row r="908" spans="1:22" x14ac:dyDescent="0.25">
      <c r="A908" s="6" t="s">
        <v>2459</v>
      </c>
      <c r="B908" s="153">
        <v>9789500217408</v>
      </c>
      <c r="C908" s="8">
        <v>751240</v>
      </c>
      <c r="D908" s="41">
        <v>12</v>
      </c>
      <c r="E908" s="6" t="s">
        <v>2460</v>
      </c>
      <c r="F908" s="6" t="s">
        <v>2461</v>
      </c>
      <c r="G908" s="107">
        <v>46296</v>
      </c>
      <c r="H908" s="108">
        <v>46266</v>
      </c>
      <c r="I908" s="267">
        <v>4000</v>
      </c>
      <c r="J908" s="6" t="s">
        <v>2160</v>
      </c>
      <c r="K908" s="148">
        <v>3649.52</v>
      </c>
      <c r="L908" s="352">
        <v>26500</v>
      </c>
      <c r="M908" s="9"/>
      <c r="N908" s="9">
        <f>+L908/2</f>
        <v>13250</v>
      </c>
      <c r="O908" s="9">
        <f>+N908-M908-K908</f>
        <v>9600.48</v>
      </c>
      <c r="P908" s="9">
        <f>+M908+K908</f>
        <v>3649.52</v>
      </c>
      <c r="Q908" s="139">
        <f>+O908/N908</f>
        <v>0.72456452830188678</v>
      </c>
      <c r="R908" s="395">
        <f>VLOOKUP(C908,'[1]ORIGINAL (2)'!$A:$C,3,FALSE)</f>
        <v>62</v>
      </c>
      <c r="S908" s="24" t="e">
        <f>VLOOKUP(C908,#REF!,6,FALSE)</f>
        <v>#REF!</v>
      </c>
      <c r="T908" s="24" t="e">
        <f>VLOOKUP(C908,#REF!,7,FALSE)</f>
        <v>#REF!</v>
      </c>
      <c r="U908" s="24" t="e">
        <f>VLOOKUP(C908,#REF!,12,FALSE)</f>
        <v>#REF!</v>
      </c>
      <c r="V908" s="24" t="e">
        <f>VLOOKUP(C908,#REF!,13,FALSE)</f>
        <v>#REF!</v>
      </c>
    </row>
    <row r="909" spans="1:22" x14ac:dyDescent="0.25">
      <c r="A909" s="6" t="s">
        <v>2462</v>
      </c>
      <c r="B909" s="153">
        <v>9789500217415</v>
      </c>
      <c r="C909" s="8">
        <v>751241</v>
      </c>
      <c r="D909" s="41">
        <v>12</v>
      </c>
      <c r="E909" s="6" t="s">
        <v>2463</v>
      </c>
      <c r="F909" s="7" t="s">
        <v>2464</v>
      </c>
      <c r="G909" s="107">
        <v>46296</v>
      </c>
      <c r="H909" s="108">
        <v>46266</v>
      </c>
      <c r="I909" s="267">
        <v>4000</v>
      </c>
      <c r="J909" s="6" t="s">
        <v>2160</v>
      </c>
      <c r="K909" s="148">
        <v>3649.52</v>
      </c>
      <c r="L909" s="352">
        <v>26500</v>
      </c>
      <c r="M909" s="9"/>
      <c r="N909" s="9">
        <f>+L909/2</f>
        <v>13250</v>
      </c>
      <c r="O909" s="9">
        <f>+N909-M909-K909</f>
        <v>9600.48</v>
      </c>
      <c r="P909" s="9">
        <f>+M909+K909</f>
        <v>3649.52</v>
      </c>
      <c r="Q909" s="139">
        <f>+O909/N909</f>
        <v>0.72456452830188678</v>
      </c>
      <c r="R909" s="395">
        <f>VLOOKUP(C909,'[1]ORIGINAL (2)'!$A:$C,3,FALSE)</f>
        <v>77</v>
      </c>
      <c r="S909" s="24" t="e">
        <f>VLOOKUP(C909,#REF!,6,FALSE)</f>
        <v>#REF!</v>
      </c>
      <c r="T909" s="24" t="e">
        <f>VLOOKUP(C909,#REF!,7,FALSE)</f>
        <v>#REF!</v>
      </c>
      <c r="U909" s="24" t="e">
        <f>VLOOKUP(C909,#REF!,12,FALSE)</f>
        <v>#REF!</v>
      </c>
      <c r="V909" s="24" t="e">
        <f>VLOOKUP(C909,#REF!,13,FALSE)</f>
        <v>#REF!</v>
      </c>
    </row>
    <row r="910" spans="1:22" x14ac:dyDescent="0.25">
      <c r="A910" s="1"/>
      <c r="B910" s="3"/>
      <c r="C910" s="3"/>
      <c r="D910" s="2"/>
      <c r="E910" s="274"/>
      <c r="F910" s="275"/>
      <c r="G910" s="2"/>
      <c r="H910" s="132"/>
      <c r="I910" s="132"/>
      <c r="J910" s="132"/>
      <c r="K910" s="132"/>
      <c r="L910" s="134"/>
      <c r="M910" s="132"/>
      <c r="N910" s="132"/>
      <c r="O910" s="132"/>
      <c r="P910" s="132"/>
      <c r="Q910" s="147"/>
      <c r="R910" s="395" t="e">
        <f>VLOOKUP(C910,'[1]ORIGINAL (2)'!$A:$C,3,FALSE)</f>
        <v>#N/A</v>
      </c>
      <c r="S910" s="100"/>
      <c r="T910" s="100"/>
      <c r="U910" s="100"/>
      <c r="V910" s="100"/>
    </row>
    <row r="911" spans="1:22" x14ac:dyDescent="0.25">
      <c r="A911" s="202" t="s">
        <v>1947</v>
      </c>
      <c r="B911" s="203"/>
      <c r="C911" s="203"/>
      <c r="D911" s="204"/>
      <c r="E911" s="205"/>
      <c r="F911" s="162"/>
      <c r="G911" s="162"/>
      <c r="H911" s="132"/>
      <c r="I911" s="132"/>
      <c r="J911" s="132"/>
      <c r="K911" s="132"/>
      <c r="L911" s="134"/>
      <c r="M911" s="132"/>
      <c r="N911" s="132"/>
      <c r="O911" s="132"/>
      <c r="P911" s="132"/>
      <c r="Q911" s="147"/>
      <c r="R911" s="395" t="e">
        <f>VLOOKUP(C911,'[1]ORIGINAL (2)'!$A:$C,3,FALSE)</f>
        <v>#N/A</v>
      </c>
      <c r="S911" s="100"/>
      <c r="T911" s="100"/>
      <c r="U911" s="100"/>
      <c r="V911" s="100"/>
    </row>
    <row r="912" spans="1:22" x14ac:dyDescent="0.25">
      <c r="A912" s="7" t="s">
        <v>1940</v>
      </c>
      <c r="B912" s="279">
        <v>9789500215299</v>
      </c>
      <c r="C912" s="8">
        <v>722620</v>
      </c>
      <c r="D912" s="25">
        <v>12</v>
      </c>
      <c r="E912" s="278" t="s">
        <v>328</v>
      </c>
      <c r="F912" s="278" t="s">
        <v>1941</v>
      </c>
      <c r="G912" s="107">
        <v>45597</v>
      </c>
      <c r="H912" s="108">
        <v>45566</v>
      </c>
      <c r="I912" s="264">
        <v>3000</v>
      </c>
      <c r="J912" s="28" t="s">
        <v>2136</v>
      </c>
      <c r="K912" s="289">
        <v>3502.5</v>
      </c>
      <c r="L912" s="9">
        <v>19900</v>
      </c>
      <c r="M912" s="9"/>
      <c r="N912" s="9">
        <f>+L912/2</f>
        <v>9950</v>
      </c>
      <c r="O912" s="9">
        <f>+N912-M912-K912</f>
        <v>6447.5</v>
      </c>
      <c r="P912" s="9">
        <f>+M912+K912</f>
        <v>3502.5</v>
      </c>
      <c r="Q912" s="139">
        <f>+O912/N912</f>
        <v>0.64798994974874369</v>
      </c>
      <c r="R912" s="395">
        <f>VLOOKUP(C912,'[1]ORIGINAL (2)'!$A:$C,3,FALSE)</f>
        <v>136</v>
      </c>
      <c r="S912" s="24" t="e">
        <f>VLOOKUP(C912,#REF!,6,FALSE)</f>
        <v>#REF!</v>
      </c>
      <c r="T912" s="24" t="e">
        <f>VLOOKUP(C912,#REF!,7,FALSE)</f>
        <v>#REF!</v>
      </c>
      <c r="U912" s="24" t="e">
        <f>VLOOKUP(C912,#REF!,12,FALSE)</f>
        <v>#REF!</v>
      </c>
      <c r="V912" s="24" t="e">
        <f>VLOOKUP(C912,#REF!,13,FALSE)</f>
        <v>#REF!</v>
      </c>
    </row>
    <row r="913" spans="1:22" x14ac:dyDescent="0.25">
      <c r="A913" s="7" t="s">
        <v>1942</v>
      </c>
      <c r="B913" s="277">
        <v>9789500215305</v>
      </c>
      <c r="C913" s="8">
        <v>722621</v>
      </c>
      <c r="D913" s="41">
        <v>12</v>
      </c>
      <c r="E913" s="7" t="s">
        <v>328</v>
      </c>
      <c r="F913" s="278" t="s">
        <v>1943</v>
      </c>
      <c r="G913" s="107">
        <v>45597</v>
      </c>
      <c r="H913" s="108">
        <v>45566</v>
      </c>
      <c r="I913" s="264">
        <v>3000</v>
      </c>
      <c r="J913" s="28" t="s">
        <v>2136</v>
      </c>
      <c r="K913" s="289">
        <v>3502.5</v>
      </c>
      <c r="L913" s="9">
        <v>19900</v>
      </c>
      <c r="M913" s="9"/>
      <c r="N913" s="9">
        <f>+L913/2</f>
        <v>9950</v>
      </c>
      <c r="O913" s="9">
        <f>+N913-M913-K913</f>
        <v>6447.5</v>
      </c>
      <c r="P913" s="9">
        <f>+M913+K913</f>
        <v>3502.5</v>
      </c>
      <c r="Q913" s="139">
        <f>+O913/N913</f>
        <v>0.64798994974874369</v>
      </c>
      <c r="R913" s="395">
        <f>VLOOKUP(C913,'[1]ORIGINAL (2)'!$A:$C,3,FALSE)</f>
        <v>325</v>
      </c>
      <c r="S913" s="24" t="e">
        <f>VLOOKUP(C913,#REF!,6,FALSE)</f>
        <v>#REF!</v>
      </c>
      <c r="T913" s="24" t="e">
        <f>VLOOKUP(C913,#REF!,7,FALSE)</f>
        <v>#REF!</v>
      </c>
      <c r="U913" s="24" t="e">
        <f>VLOOKUP(C913,#REF!,12,FALSE)</f>
        <v>#REF!</v>
      </c>
      <c r="V913" s="24" t="e">
        <f>VLOOKUP(C913,#REF!,13,FALSE)</f>
        <v>#REF!</v>
      </c>
    </row>
    <row r="914" spans="1:22" x14ac:dyDescent="0.25">
      <c r="A914" s="1"/>
      <c r="B914" s="3"/>
      <c r="C914" s="3"/>
      <c r="D914" s="2"/>
      <c r="E914" s="274"/>
      <c r="F914" s="275"/>
      <c r="G914" s="2"/>
      <c r="H914" s="132"/>
      <c r="I914" s="132"/>
      <c r="J914" s="132"/>
      <c r="K914" s="132"/>
      <c r="L914" s="134"/>
      <c r="M914" s="132"/>
      <c r="N914" s="132"/>
      <c r="O914" s="132"/>
      <c r="P914" s="132"/>
      <c r="Q914" s="147"/>
      <c r="R914" s="395" t="e">
        <f>VLOOKUP(C914,'[1]ORIGINAL (2)'!$A:$C,3,FALSE)</f>
        <v>#N/A</v>
      </c>
      <c r="S914" s="100"/>
      <c r="T914" s="100"/>
      <c r="U914" s="100"/>
      <c r="V914" s="100"/>
    </row>
    <row r="915" spans="1:22" x14ac:dyDescent="0.25">
      <c r="A915" s="202" t="s">
        <v>1662</v>
      </c>
      <c r="B915" s="203"/>
      <c r="C915" s="203"/>
      <c r="D915" s="204"/>
      <c r="E915" s="205"/>
      <c r="F915" s="162"/>
      <c r="G915" s="162"/>
      <c r="H915" s="132"/>
      <c r="I915" s="132"/>
      <c r="J915" s="132"/>
      <c r="K915" s="132"/>
      <c r="L915" s="134"/>
      <c r="M915" s="132"/>
      <c r="N915" s="132"/>
      <c r="O915" s="132"/>
      <c r="P915" s="132"/>
      <c r="Q915" s="147"/>
      <c r="R915" s="395" t="e">
        <f>VLOOKUP(C915,'[1]ORIGINAL (2)'!$A:$C,3,FALSE)</f>
        <v>#N/A</v>
      </c>
      <c r="S915" s="100"/>
      <c r="T915" s="100"/>
      <c r="U915" s="100"/>
      <c r="V915" s="100"/>
    </row>
    <row r="916" spans="1:22" x14ac:dyDescent="0.25">
      <c r="A916" s="7" t="s">
        <v>1663</v>
      </c>
      <c r="B916" s="8">
        <v>9789500209830</v>
      </c>
      <c r="C916" s="6">
        <v>660727</v>
      </c>
      <c r="D916" s="7">
        <v>8</v>
      </c>
      <c r="E916" s="22" t="s">
        <v>436</v>
      </c>
      <c r="F916" s="15" t="s">
        <v>437</v>
      </c>
      <c r="G916" s="107">
        <v>43556</v>
      </c>
      <c r="H916" s="108">
        <v>43525</v>
      </c>
      <c r="I916" s="7">
        <v>3104</v>
      </c>
      <c r="J916" s="28" t="s">
        <v>1946</v>
      </c>
      <c r="K916" s="9">
        <v>113.36</v>
      </c>
      <c r="L916" s="28">
        <v>12200</v>
      </c>
      <c r="M916" s="112"/>
      <c r="N916" s="9">
        <f>+L916/2</f>
        <v>6100</v>
      </c>
      <c r="O916" s="9">
        <f>+N916-M916-K916</f>
        <v>5986.64</v>
      </c>
      <c r="P916" s="9">
        <f>+M916+K916</f>
        <v>113.36</v>
      </c>
      <c r="Q916" s="139">
        <f>+O916/N916</f>
        <v>0.98141639344262299</v>
      </c>
      <c r="R916" s="395" t="e">
        <f>VLOOKUP(C916,'[1]ORIGINAL (2)'!$A:$C,3,FALSE)</f>
        <v>#N/A</v>
      </c>
      <c r="S916" s="24" t="e">
        <f>VLOOKUP(C916,#REF!,6,FALSE)</f>
        <v>#REF!</v>
      </c>
      <c r="T916" s="24" t="e">
        <f>VLOOKUP(C916,#REF!,7,FALSE)</f>
        <v>#REF!</v>
      </c>
      <c r="U916" s="24" t="e">
        <f>VLOOKUP(C916,#REF!,12,FALSE)</f>
        <v>#REF!</v>
      </c>
      <c r="V916" s="24" t="e">
        <f>VLOOKUP(C916,#REF!,13,FALSE)</f>
        <v>#REF!</v>
      </c>
    </row>
    <row r="917" spans="1:22" x14ac:dyDescent="0.25">
      <c r="A917" s="7" t="s">
        <v>1664</v>
      </c>
      <c r="B917" s="8">
        <v>9789500209847</v>
      </c>
      <c r="C917" s="6">
        <v>660728</v>
      </c>
      <c r="D917" s="7">
        <v>8</v>
      </c>
      <c r="E917" s="22" t="s">
        <v>436</v>
      </c>
      <c r="F917" s="15" t="s">
        <v>438</v>
      </c>
      <c r="G917" s="107">
        <v>43556</v>
      </c>
      <c r="H917" s="108">
        <v>43525</v>
      </c>
      <c r="I917" s="7">
        <v>3104</v>
      </c>
      <c r="J917" s="28" t="s">
        <v>1946</v>
      </c>
      <c r="K917" s="9">
        <v>113.36</v>
      </c>
      <c r="L917" s="28">
        <v>12200</v>
      </c>
      <c r="M917" s="112"/>
      <c r="N917" s="9">
        <f>+L917/2</f>
        <v>6100</v>
      </c>
      <c r="O917" s="9">
        <f>+N917-M917-K917</f>
        <v>5986.64</v>
      </c>
      <c r="P917" s="9">
        <f>+M917+K917</f>
        <v>113.36</v>
      </c>
      <c r="Q917" s="139">
        <f>+O917/N917</f>
        <v>0.98141639344262299</v>
      </c>
      <c r="R917" s="395" t="e">
        <f>VLOOKUP(C917,'[1]ORIGINAL (2)'!$A:$C,3,FALSE)</f>
        <v>#N/A</v>
      </c>
      <c r="S917" s="24" t="e">
        <f>VLOOKUP(C917,#REF!,6,FALSE)</f>
        <v>#REF!</v>
      </c>
      <c r="T917" s="24" t="e">
        <f>VLOOKUP(C917,#REF!,7,FALSE)</f>
        <v>#REF!</v>
      </c>
      <c r="U917" s="24" t="e">
        <f>VLOOKUP(C917,#REF!,12,FALSE)</f>
        <v>#REF!</v>
      </c>
      <c r="V917" s="24" t="e">
        <f>VLOOKUP(C917,#REF!,13,FALSE)</f>
        <v>#REF!</v>
      </c>
    </row>
    <row r="918" spans="1:22" x14ac:dyDescent="0.25">
      <c r="A918" s="1"/>
      <c r="B918" s="3"/>
      <c r="C918" s="3"/>
      <c r="D918" s="2"/>
      <c r="E918" s="274"/>
      <c r="F918" s="275"/>
      <c r="G918" s="2"/>
      <c r="H918" s="132"/>
      <c r="I918" s="132"/>
      <c r="J918" s="132"/>
      <c r="K918" s="132"/>
      <c r="L918" s="134"/>
      <c r="M918" s="132"/>
      <c r="N918" s="132"/>
      <c r="O918" s="132"/>
      <c r="P918" s="132"/>
      <c r="Q918" s="147"/>
      <c r="R918" s="395" t="e">
        <f>VLOOKUP(C918,'[1]ORIGINAL (2)'!$A:$C,3,FALSE)</f>
        <v>#N/A</v>
      </c>
      <c r="S918" s="100"/>
      <c r="T918" s="100"/>
      <c r="U918" s="100"/>
      <c r="V918" s="100"/>
    </row>
    <row r="919" spans="1:22" x14ac:dyDescent="0.25">
      <c r="A919" s="202" t="s">
        <v>1665</v>
      </c>
      <c r="B919" s="203"/>
      <c r="C919" s="203"/>
      <c r="D919" s="204"/>
      <c r="E919" s="205"/>
      <c r="F919" s="162"/>
      <c r="G919" s="162"/>
      <c r="H919" s="132"/>
      <c r="I919" s="132"/>
      <c r="J919" s="132"/>
      <c r="K919" s="132"/>
      <c r="L919" s="132"/>
      <c r="M919" s="132"/>
      <c r="N919" s="132"/>
      <c r="O919" s="132"/>
      <c r="P919" s="132"/>
      <c r="Q919" s="147"/>
      <c r="R919" s="395" t="e">
        <f>VLOOKUP(C919,'[1]ORIGINAL (2)'!$A:$C,3,FALSE)</f>
        <v>#N/A</v>
      </c>
      <c r="S919" s="100"/>
      <c r="T919" s="100"/>
      <c r="U919" s="100"/>
      <c r="V919" s="100"/>
    </row>
    <row r="920" spans="1:22" x14ac:dyDescent="0.25">
      <c r="A920" s="6" t="s">
        <v>1608</v>
      </c>
      <c r="B920" s="8">
        <v>9789500209410</v>
      </c>
      <c r="C920" s="6">
        <v>651429</v>
      </c>
      <c r="D920" s="7">
        <v>16</v>
      </c>
      <c r="E920" s="8" t="s">
        <v>389</v>
      </c>
      <c r="F920" s="7" t="s">
        <v>1666</v>
      </c>
      <c r="G920" s="107">
        <v>43313</v>
      </c>
      <c r="H920" s="108">
        <v>43282</v>
      </c>
      <c r="I920" s="24">
        <v>3072</v>
      </c>
      <c r="J920" s="28" t="s">
        <v>1946</v>
      </c>
      <c r="K920" s="28">
        <v>47.82</v>
      </c>
      <c r="L920" s="28">
        <v>6800</v>
      </c>
      <c r="M920" s="112"/>
      <c r="N920" s="9">
        <f>+L920/2</f>
        <v>3400</v>
      </c>
      <c r="O920" s="9">
        <f>+N920-M920-K920</f>
        <v>3352.18</v>
      </c>
      <c r="P920" s="9">
        <f>+M920+K920</f>
        <v>47.82</v>
      </c>
      <c r="Q920" s="139">
        <f>+O920/N920</f>
        <v>0.98593529411764702</v>
      </c>
      <c r="R920" s="395">
        <f>VLOOKUP(C920,'[1]ORIGINAL (2)'!$A:$C,3,FALSE)</f>
        <v>3</v>
      </c>
      <c r="S920" s="24" t="e">
        <f>VLOOKUP(C920,#REF!,6,FALSE)</f>
        <v>#REF!</v>
      </c>
      <c r="T920" s="24" t="e">
        <f>VLOOKUP(C920,#REF!,7,FALSE)</f>
        <v>#REF!</v>
      </c>
      <c r="U920" s="24" t="e">
        <f>VLOOKUP(C920,#REF!,12,FALSE)</f>
        <v>#REF!</v>
      </c>
      <c r="V920" s="24" t="e">
        <f>VLOOKUP(C920,#REF!,13,FALSE)</f>
        <v>#REF!</v>
      </c>
    </row>
    <row r="921" spans="1:22" x14ac:dyDescent="0.25">
      <c r="A921" s="7" t="s">
        <v>1667</v>
      </c>
      <c r="B921" s="8">
        <v>9789500209403</v>
      </c>
      <c r="C921" s="6">
        <v>651427</v>
      </c>
      <c r="D921" s="25">
        <v>16</v>
      </c>
      <c r="E921" s="8" t="s">
        <v>389</v>
      </c>
      <c r="F921" s="7" t="s">
        <v>1668</v>
      </c>
      <c r="G921" s="107">
        <v>43313</v>
      </c>
      <c r="H921" s="108">
        <v>43282</v>
      </c>
      <c r="I921" s="24">
        <v>3072</v>
      </c>
      <c r="J921" s="28" t="s">
        <v>1946</v>
      </c>
      <c r="K921" s="28">
        <v>47.82</v>
      </c>
      <c r="L921" s="28">
        <v>6800</v>
      </c>
      <c r="M921" s="112"/>
      <c r="N921" s="9">
        <f>+L921/2</f>
        <v>3400</v>
      </c>
      <c r="O921" s="9">
        <f>+N921-M921-K921</f>
        <v>3352.18</v>
      </c>
      <c r="P921" s="9">
        <f>+M921+K921</f>
        <v>47.82</v>
      </c>
      <c r="Q921" s="139">
        <f>+O921/N921</f>
        <v>0.98593529411764702</v>
      </c>
      <c r="R921" s="395">
        <f>VLOOKUP(C921,'[1]ORIGINAL (2)'!$A:$C,3,FALSE)</f>
        <v>1</v>
      </c>
      <c r="S921" s="24" t="e">
        <f>VLOOKUP(C921,#REF!,6,FALSE)</f>
        <v>#REF!</v>
      </c>
      <c r="T921" s="24" t="e">
        <f>VLOOKUP(C921,#REF!,7,FALSE)</f>
        <v>#REF!</v>
      </c>
      <c r="U921" s="24" t="e">
        <f>VLOOKUP(C921,#REF!,12,FALSE)</f>
        <v>#REF!</v>
      </c>
      <c r="V921" s="24" t="e">
        <f>VLOOKUP(C921,#REF!,13,FALSE)</f>
        <v>#REF!</v>
      </c>
    </row>
    <row r="922" spans="1:22" x14ac:dyDescent="0.25">
      <c r="A922" s="1"/>
      <c r="B922" s="3"/>
      <c r="C922" s="3"/>
      <c r="D922" s="2"/>
      <c r="E922" s="274"/>
      <c r="F922" s="275"/>
      <c r="G922" s="2"/>
      <c r="H922" s="132"/>
      <c r="I922" s="132"/>
      <c r="J922" s="132"/>
      <c r="K922" s="132"/>
      <c r="L922" s="18"/>
      <c r="M922" s="132"/>
      <c r="N922" s="132"/>
      <c r="O922" s="132"/>
      <c r="P922" s="132"/>
      <c r="Q922" s="147"/>
      <c r="R922" s="395" t="e">
        <f>VLOOKUP(C922,'[1]ORIGINAL (2)'!$A:$C,3,FALSE)</f>
        <v>#N/A</v>
      </c>
      <c r="S922" s="100"/>
      <c r="T922" s="100"/>
      <c r="U922" s="100"/>
      <c r="V922" s="100"/>
    </row>
    <row r="923" spans="1:22" x14ac:dyDescent="0.25">
      <c r="A923" s="202" t="s">
        <v>2330</v>
      </c>
      <c r="B923" s="203"/>
      <c r="C923" s="203"/>
      <c r="D923" s="204"/>
      <c r="E923" s="205"/>
      <c r="F923" s="162"/>
      <c r="G923" s="162"/>
      <c r="H923" s="132"/>
      <c r="I923" s="132"/>
      <c r="J923" s="132"/>
      <c r="K923" s="132"/>
      <c r="L923" s="18"/>
      <c r="M923" s="132"/>
      <c r="N923" s="132"/>
      <c r="O923" s="132"/>
      <c r="P923" s="132"/>
      <c r="Q923" s="147"/>
      <c r="R923" s="395" t="e">
        <f>VLOOKUP(C923,'[1]ORIGINAL (2)'!$A:$C,3,FALSE)</f>
        <v>#N/A</v>
      </c>
      <c r="S923" s="100"/>
      <c r="T923" s="100"/>
      <c r="U923" s="100"/>
      <c r="V923" s="100"/>
    </row>
    <row r="924" spans="1:22" x14ac:dyDescent="0.25">
      <c r="A924" s="6" t="s">
        <v>2322</v>
      </c>
      <c r="B924" s="153">
        <v>9789500217019</v>
      </c>
      <c r="C924" s="6">
        <v>744139</v>
      </c>
      <c r="D924" s="41">
        <v>8</v>
      </c>
      <c r="E924" s="7" t="s">
        <v>296</v>
      </c>
      <c r="F924" s="7" t="s">
        <v>2323</v>
      </c>
      <c r="G924" s="107">
        <v>46143</v>
      </c>
      <c r="H924" s="108">
        <v>46082</v>
      </c>
      <c r="I924" s="267">
        <v>4020</v>
      </c>
      <c r="J924" s="7" t="s">
        <v>2329</v>
      </c>
      <c r="K924" s="148">
        <v>3953.1</v>
      </c>
      <c r="L924" s="352">
        <v>19900</v>
      </c>
      <c r="M924" s="112"/>
      <c r="N924" s="9">
        <f>+L924/2</f>
        <v>9950</v>
      </c>
      <c r="O924" s="9">
        <f>+N924-M924-K924</f>
        <v>5996.9</v>
      </c>
      <c r="P924" s="9">
        <f>+M924+K924</f>
        <v>3953.1</v>
      </c>
      <c r="Q924" s="139">
        <f>+O924/N924</f>
        <v>0.60270351758793961</v>
      </c>
      <c r="R924" s="395">
        <f>VLOOKUP(C924,'[1]ORIGINAL (2)'!$A:$C,3,FALSE)</f>
        <v>399</v>
      </c>
      <c r="S924" s="24" t="e">
        <f>VLOOKUP(C924,#REF!,6,FALSE)</f>
        <v>#REF!</v>
      </c>
      <c r="T924" s="24" t="e">
        <f>VLOOKUP(C924,#REF!,7,FALSE)</f>
        <v>#REF!</v>
      </c>
      <c r="U924" s="24" t="e">
        <f>VLOOKUP(C924,#REF!,12,FALSE)</f>
        <v>#REF!</v>
      </c>
      <c r="V924" s="24" t="e">
        <f>VLOOKUP(C924,#REF!,13,FALSE)</f>
        <v>#REF!</v>
      </c>
    </row>
    <row r="925" spans="1:22" x14ac:dyDescent="0.25">
      <c r="A925" s="6" t="s">
        <v>2324</v>
      </c>
      <c r="B925" s="153">
        <v>9789500217002</v>
      </c>
      <c r="C925" s="6">
        <v>744140</v>
      </c>
      <c r="D925" s="41">
        <v>8</v>
      </c>
      <c r="E925" s="6" t="s">
        <v>296</v>
      </c>
      <c r="F925" s="7" t="s">
        <v>2325</v>
      </c>
      <c r="G925" s="107">
        <v>46143</v>
      </c>
      <c r="H925" s="108">
        <v>46082</v>
      </c>
      <c r="I925" s="7">
        <v>4080</v>
      </c>
      <c r="J925" s="7" t="s">
        <v>2329</v>
      </c>
      <c r="K925" s="148">
        <v>3953.1</v>
      </c>
      <c r="L925" s="352">
        <v>19900</v>
      </c>
      <c r="M925" s="112"/>
      <c r="N925" s="9">
        <f>+L925/2</f>
        <v>9950</v>
      </c>
      <c r="O925" s="9">
        <f>+N925-M925-K925</f>
        <v>5996.9</v>
      </c>
      <c r="P925" s="9">
        <f>+M925+K925</f>
        <v>3953.1</v>
      </c>
      <c r="Q925" s="139">
        <f>+O925/N925</f>
        <v>0.60270351758793961</v>
      </c>
      <c r="R925" s="395">
        <f>VLOOKUP(C925,'[1]ORIGINAL (2)'!$A:$C,3,FALSE)</f>
        <v>336</v>
      </c>
      <c r="S925" s="24" t="e">
        <f>VLOOKUP(C925,#REF!,6,FALSE)</f>
        <v>#REF!</v>
      </c>
      <c r="T925" s="24" t="e">
        <f>VLOOKUP(C925,#REF!,7,FALSE)</f>
        <v>#REF!</v>
      </c>
      <c r="U925" s="24" t="e">
        <f>VLOOKUP(C925,#REF!,12,FALSE)</f>
        <v>#REF!</v>
      </c>
      <c r="V925" s="24" t="e">
        <f>VLOOKUP(C925,#REF!,13,FALSE)</f>
        <v>#REF!</v>
      </c>
    </row>
    <row r="926" spans="1:22" x14ac:dyDescent="0.25">
      <c r="A926" s="1"/>
      <c r="B926" s="3"/>
      <c r="C926" s="3"/>
      <c r="D926" s="2"/>
      <c r="E926" s="274"/>
      <c r="F926" s="275"/>
      <c r="G926" s="2"/>
      <c r="H926" s="132"/>
      <c r="I926" s="132"/>
      <c r="J926" s="132"/>
      <c r="K926" s="132"/>
      <c r="L926" s="18"/>
      <c r="M926" s="132"/>
      <c r="N926" s="132"/>
      <c r="O926" s="132"/>
      <c r="P926" s="132"/>
      <c r="Q926" s="147"/>
      <c r="R926" s="395" t="e">
        <f>VLOOKUP(C926,'[1]ORIGINAL (2)'!$A:$C,3,FALSE)</f>
        <v>#N/A</v>
      </c>
      <c r="S926" s="100"/>
      <c r="T926" s="100"/>
      <c r="U926" s="100"/>
      <c r="V926" s="100"/>
    </row>
    <row r="927" spans="1:22" x14ac:dyDescent="0.25">
      <c r="A927" s="202" t="s">
        <v>1669</v>
      </c>
      <c r="B927" s="203"/>
      <c r="C927" s="203"/>
      <c r="D927" s="204"/>
      <c r="E927" s="205"/>
      <c r="F927" s="162"/>
      <c r="G927" s="162"/>
      <c r="H927" s="132"/>
      <c r="I927" s="132"/>
      <c r="J927" s="132"/>
      <c r="K927" s="132"/>
      <c r="L927" s="18"/>
      <c r="M927" s="132"/>
      <c r="N927" s="132"/>
      <c r="O927" s="132"/>
      <c r="P927" s="132"/>
      <c r="Q927" s="147"/>
      <c r="R927" s="395" t="e">
        <f>VLOOKUP(C927,'[1]ORIGINAL (2)'!$A:$C,3,FALSE)</f>
        <v>#N/A</v>
      </c>
      <c r="S927" s="100"/>
      <c r="T927" s="100"/>
      <c r="U927" s="100"/>
      <c r="V927" s="100"/>
    </row>
    <row r="928" spans="1:22" x14ac:dyDescent="0.25">
      <c r="A928" s="11" t="s">
        <v>1670</v>
      </c>
      <c r="B928" s="8">
        <v>9789500299664</v>
      </c>
      <c r="C928" s="6">
        <v>635043</v>
      </c>
      <c r="D928" s="7">
        <v>10</v>
      </c>
      <c r="E928" s="7" t="s">
        <v>274</v>
      </c>
      <c r="F928" s="11" t="s">
        <v>1671</v>
      </c>
      <c r="G928" s="107">
        <v>42979</v>
      </c>
      <c r="H928" s="108">
        <v>42948</v>
      </c>
      <c r="I928" s="24">
        <v>4000</v>
      </c>
      <c r="J928" s="28" t="s">
        <v>1946</v>
      </c>
      <c r="K928" s="28">
        <v>45.59</v>
      </c>
      <c r="L928" s="9">
        <v>9900</v>
      </c>
      <c r="M928" s="112"/>
      <c r="N928" s="9">
        <f>+L928/2</f>
        <v>4950</v>
      </c>
      <c r="O928" s="9">
        <f>+N928-M928-K928</f>
        <v>4904.41</v>
      </c>
      <c r="P928" s="9">
        <f>+M928+K928</f>
        <v>45.59</v>
      </c>
      <c r="Q928" s="139">
        <f>+O928/N928</f>
        <v>0.990789898989899</v>
      </c>
      <c r="R928" s="395" t="e">
        <f>VLOOKUP(C928,'[1]ORIGINAL (2)'!$A:$C,3,FALSE)</f>
        <v>#N/A</v>
      </c>
      <c r="S928" s="24" t="e">
        <f>VLOOKUP(C928,#REF!,6,FALSE)</f>
        <v>#REF!</v>
      </c>
      <c r="T928" s="24" t="e">
        <f>VLOOKUP(C928,#REF!,7,FALSE)</f>
        <v>#REF!</v>
      </c>
      <c r="U928" s="24" t="e">
        <f>VLOOKUP(C928,#REF!,12,FALSE)</f>
        <v>#REF!</v>
      </c>
      <c r="V928" s="24" t="e">
        <f>VLOOKUP(C928,#REF!,13,FALSE)</f>
        <v>#REF!</v>
      </c>
    </row>
    <row r="929" spans="1:22" x14ac:dyDescent="0.25">
      <c r="A929" s="11" t="s">
        <v>1672</v>
      </c>
      <c r="B929" s="8">
        <v>9789500299671</v>
      </c>
      <c r="C929" s="6">
        <v>635044</v>
      </c>
      <c r="D929" s="7">
        <v>10</v>
      </c>
      <c r="E929" s="7" t="s">
        <v>274</v>
      </c>
      <c r="F929" s="11" t="s">
        <v>1673</v>
      </c>
      <c r="G929" s="107">
        <v>42979</v>
      </c>
      <c r="H929" s="108">
        <v>42948</v>
      </c>
      <c r="I929" s="24">
        <v>4000</v>
      </c>
      <c r="J929" s="28" t="s">
        <v>1946</v>
      </c>
      <c r="K929" s="28">
        <v>45.59</v>
      </c>
      <c r="L929" s="9">
        <v>9900</v>
      </c>
      <c r="M929" s="112"/>
      <c r="N929" s="9">
        <f>+L929/2</f>
        <v>4950</v>
      </c>
      <c r="O929" s="9">
        <f>+N929-M929-K929</f>
        <v>4904.41</v>
      </c>
      <c r="P929" s="9">
        <f>+M929+K929</f>
        <v>45.59</v>
      </c>
      <c r="Q929" s="139">
        <f>+O929/N929</f>
        <v>0.990789898989899</v>
      </c>
      <c r="R929" s="395" t="e">
        <f>VLOOKUP(C929,'[1]ORIGINAL (2)'!$A:$C,3,FALSE)</f>
        <v>#N/A</v>
      </c>
      <c r="S929" s="24" t="e">
        <f>VLOOKUP(C929,#REF!,6,FALSE)</f>
        <v>#REF!</v>
      </c>
      <c r="T929" s="24" t="e">
        <f>VLOOKUP(C929,#REF!,7,FALSE)</f>
        <v>#REF!</v>
      </c>
      <c r="U929" s="24" t="e">
        <f>VLOOKUP(C929,#REF!,12,FALSE)</f>
        <v>#REF!</v>
      </c>
      <c r="V929" s="24" t="e">
        <f>VLOOKUP(C929,#REF!,13,FALSE)</f>
        <v>#REF!</v>
      </c>
    </row>
    <row r="930" spans="1:22" x14ac:dyDescent="0.25">
      <c r="A930" s="1"/>
      <c r="B930" s="3"/>
      <c r="C930" s="3"/>
      <c r="D930" s="2"/>
      <c r="E930" s="274"/>
      <c r="F930" s="275"/>
      <c r="G930" s="2"/>
      <c r="H930" s="132"/>
      <c r="I930" s="132"/>
      <c r="J930" s="132"/>
      <c r="K930" s="132"/>
      <c r="L930" s="18"/>
      <c r="M930" s="132"/>
      <c r="N930" s="132"/>
      <c r="O930" s="132"/>
      <c r="P930" s="132"/>
      <c r="Q930" s="147"/>
      <c r="R930" s="395" t="e">
        <f>VLOOKUP(C930,'[1]ORIGINAL (2)'!$A:$C,3,FALSE)</f>
        <v>#N/A</v>
      </c>
      <c r="S930" s="100"/>
      <c r="T930" s="100"/>
      <c r="U930" s="100"/>
      <c r="V930" s="100"/>
    </row>
    <row r="931" spans="1:22" x14ac:dyDescent="0.25">
      <c r="A931" s="202" t="s">
        <v>1674</v>
      </c>
      <c r="B931" s="203"/>
      <c r="C931" s="203"/>
      <c r="D931" s="204"/>
      <c r="E931" s="205"/>
      <c r="F931" s="162"/>
      <c r="G931" s="162"/>
      <c r="H931" s="132"/>
      <c r="I931" s="132"/>
      <c r="J931" s="132"/>
      <c r="K931" s="132"/>
      <c r="L931" s="18"/>
      <c r="M931" s="132"/>
      <c r="N931" s="132"/>
      <c r="O931" s="132"/>
      <c r="P931" s="132"/>
      <c r="Q931" s="147"/>
      <c r="R931" s="395" t="e">
        <f>VLOOKUP(C931,'[1]ORIGINAL (2)'!$A:$C,3,FALSE)</f>
        <v>#N/A</v>
      </c>
      <c r="S931" s="100"/>
      <c r="T931" s="100"/>
      <c r="U931" s="100"/>
      <c r="V931" s="100"/>
    </row>
    <row r="932" spans="1:22" x14ac:dyDescent="0.25">
      <c r="A932" s="6" t="s">
        <v>1675</v>
      </c>
      <c r="B932" s="8">
        <v>9789500299367</v>
      </c>
      <c r="C932" s="8">
        <v>622646</v>
      </c>
      <c r="D932" s="25">
        <v>32</v>
      </c>
      <c r="E932" s="7" t="s">
        <v>315</v>
      </c>
      <c r="F932" s="175" t="s">
        <v>1676</v>
      </c>
      <c r="G932" s="107">
        <v>42767</v>
      </c>
      <c r="H932" s="108">
        <v>42644</v>
      </c>
      <c r="I932" s="24">
        <v>5016</v>
      </c>
      <c r="J932" s="28" t="s">
        <v>1946</v>
      </c>
      <c r="K932" s="28">
        <v>33.340000000000003</v>
      </c>
      <c r="L932" s="128">
        <v>9900</v>
      </c>
      <c r="M932" s="112"/>
      <c r="N932" s="9">
        <f>+L932/2</f>
        <v>4950</v>
      </c>
      <c r="O932" s="9">
        <f>+N932-M932-K932</f>
        <v>4916.66</v>
      </c>
      <c r="P932" s="9">
        <f>+M932+K932</f>
        <v>33.340000000000003</v>
      </c>
      <c r="Q932" s="139">
        <f>+O932/N932</f>
        <v>0.99326464646464641</v>
      </c>
      <c r="R932" s="395" t="e">
        <f>VLOOKUP(C932,'[1]ORIGINAL (2)'!$A:$C,3,FALSE)</f>
        <v>#N/A</v>
      </c>
      <c r="S932" s="24" t="e">
        <f>VLOOKUP(C932,#REF!,6,FALSE)</f>
        <v>#REF!</v>
      </c>
      <c r="T932" s="24" t="e">
        <f>VLOOKUP(C932,#REF!,7,FALSE)</f>
        <v>#REF!</v>
      </c>
      <c r="U932" s="24" t="e">
        <f>VLOOKUP(C932,#REF!,12,FALSE)</f>
        <v>#REF!</v>
      </c>
      <c r="V932" s="24" t="e">
        <f>VLOOKUP(C932,#REF!,13,FALSE)</f>
        <v>#REF!</v>
      </c>
    </row>
    <row r="933" spans="1:22" x14ac:dyDescent="0.25">
      <c r="A933" s="1"/>
      <c r="B933" s="3"/>
      <c r="C933" s="3"/>
      <c r="D933" s="2"/>
      <c r="E933" s="274"/>
      <c r="F933" s="275"/>
      <c r="G933" s="2"/>
      <c r="H933" s="132"/>
      <c r="I933" s="132"/>
      <c r="J933" s="132"/>
      <c r="K933" s="132"/>
      <c r="L933" s="134"/>
      <c r="M933" s="132"/>
      <c r="N933" s="132"/>
      <c r="O933" s="132"/>
      <c r="P933" s="132"/>
      <c r="Q933" s="147"/>
      <c r="R933" s="395" t="e">
        <f>VLOOKUP(C933,'[1]ORIGINAL (2)'!$A:$C,3,FALSE)</f>
        <v>#N/A</v>
      </c>
      <c r="S933" s="100"/>
      <c r="T933" s="100"/>
      <c r="U933" s="100"/>
      <c r="V933" s="100"/>
    </row>
    <row r="934" spans="1:22" x14ac:dyDescent="0.25">
      <c r="A934" s="202" t="s">
        <v>1677</v>
      </c>
      <c r="B934" s="203"/>
      <c r="C934" s="203"/>
      <c r="D934" s="204"/>
      <c r="E934" s="205"/>
      <c r="F934" s="162"/>
      <c r="G934" s="162"/>
      <c r="H934" s="132"/>
      <c r="I934" s="132"/>
      <c r="J934" s="132"/>
      <c r="K934" s="132"/>
      <c r="L934" s="134"/>
      <c r="M934" s="132"/>
      <c r="N934" s="132"/>
      <c r="O934" s="132"/>
      <c r="P934" s="132"/>
      <c r="Q934" s="147"/>
      <c r="R934" s="395" t="e">
        <f>VLOOKUP(C934,'[1]ORIGINAL (2)'!$A:$C,3,FALSE)</f>
        <v>#N/A</v>
      </c>
      <c r="S934" s="100"/>
      <c r="T934" s="100"/>
      <c r="U934" s="100"/>
      <c r="V934" s="100"/>
    </row>
    <row r="935" spans="1:22" x14ac:dyDescent="0.25">
      <c r="A935" s="6" t="s">
        <v>1678</v>
      </c>
      <c r="B935" s="8">
        <v>9789500299336</v>
      </c>
      <c r="C935" s="8">
        <v>622627</v>
      </c>
      <c r="D935" s="25">
        <v>8</v>
      </c>
      <c r="E935" s="216" t="s">
        <v>316</v>
      </c>
      <c r="F935" s="175" t="s">
        <v>1679</v>
      </c>
      <c r="G935" s="107">
        <v>42795</v>
      </c>
      <c r="H935" s="108">
        <v>42667</v>
      </c>
      <c r="I935" s="24">
        <v>3024</v>
      </c>
      <c r="J935" s="28" t="s">
        <v>1946</v>
      </c>
      <c r="K935" s="28">
        <v>39.590000000000003</v>
      </c>
      <c r="L935" s="28">
        <v>9900</v>
      </c>
      <c r="M935" s="112"/>
      <c r="N935" s="9">
        <f>+L935/2</f>
        <v>4950</v>
      </c>
      <c r="O935" s="9">
        <f>+N935-M935-K935</f>
        <v>4910.41</v>
      </c>
      <c r="P935" s="9">
        <f>+M935+K935</f>
        <v>39.590000000000003</v>
      </c>
      <c r="Q935" s="139">
        <f>+O935/N935</f>
        <v>0.99200202020202022</v>
      </c>
      <c r="R935" s="395" t="e">
        <f>VLOOKUP(C935,'[1]ORIGINAL (2)'!$A:$C,3,FALSE)</f>
        <v>#N/A</v>
      </c>
      <c r="S935" s="24" t="e">
        <f>VLOOKUP(C935,#REF!,6,FALSE)</f>
        <v>#REF!</v>
      </c>
      <c r="T935" s="24" t="e">
        <f>VLOOKUP(C935,#REF!,7,FALSE)</f>
        <v>#REF!</v>
      </c>
      <c r="U935" s="24" t="e">
        <f>VLOOKUP(C935,#REF!,12,FALSE)</f>
        <v>#REF!</v>
      </c>
      <c r="V935" s="24" t="e">
        <f>VLOOKUP(C935,#REF!,13,FALSE)</f>
        <v>#REF!</v>
      </c>
    </row>
    <row r="936" spans="1:22" x14ac:dyDescent="0.25">
      <c r="A936" s="6" t="s">
        <v>1680</v>
      </c>
      <c r="B936" s="8">
        <v>9789500299343</v>
      </c>
      <c r="C936" s="8">
        <v>622626</v>
      </c>
      <c r="D936" s="25">
        <v>8</v>
      </c>
      <c r="E936" s="216" t="s">
        <v>316</v>
      </c>
      <c r="F936" s="175" t="s">
        <v>1681</v>
      </c>
      <c r="G936" s="107">
        <v>42795</v>
      </c>
      <c r="H936" s="108">
        <v>42667</v>
      </c>
      <c r="I936" s="24">
        <v>3024</v>
      </c>
      <c r="J936" s="28" t="s">
        <v>1946</v>
      </c>
      <c r="K936" s="28">
        <v>39.590000000000003</v>
      </c>
      <c r="L936" s="28">
        <v>9900</v>
      </c>
      <c r="M936" s="112"/>
      <c r="N936" s="9">
        <f>+L936/2</f>
        <v>4950</v>
      </c>
      <c r="O936" s="9">
        <f>+N936-M936-K936</f>
        <v>4910.41</v>
      </c>
      <c r="P936" s="9">
        <f>+M936+K936</f>
        <v>39.590000000000003</v>
      </c>
      <c r="Q936" s="139">
        <f>+O936/N936</f>
        <v>0.99200202020202022</v>
      </c>
      <c r="R936" s="395" t="e">
        <f>VLOOKUP(C936,'[1]ORIGINAL (2)'!$A:$C,3,FALSE)</f>
        <v>#N/A</v>
      </c>
      <c r="S936" s="24" t="e">
        <f>VLOOKUP(C936,#REF!,6,FALSE)</f>
        <v>#REF!</v>
      </c>
      <c r="T936" s="24" t="e">
        <f>VLOOKUP(C936,#REF!,7,FALSE)</f>
        <v>#REF!</v>
      </c>
      <c r="U936" s="24" t="e">
        <f>VLOOKUP(C936,#REF!,12,FALSE)</f>
        <v>#REF!</v>
      </c>
      <c r="V936" s="24" t="e">
        <f>VLOOKUP(C936,#REF!,13,FALSE)</f>
        <v>#REF!</v>
      </c>
    </row>
    <row r="937" spans="1:22" x14ac:dyDescent="0.25">
      <c r="A937" s="1"/>
      <c r="B937" s="3"/>
      <c r="C937" s="3"/>
      <c r="D937" s="2"/>
      <c r="E937" s="274"/>
      <c r="F937" s="275"/>
      <c r="G937" s="2"/>
      <c r="H937" s="132"/>
      <c r="I937" s="132"/>
      <c r="J937" s="132"/>
      <c r="K937" s="132"/>
      <c r="L937" s="134"/>
      <c r="M937" s="132"/>
      <c r="N937" s="132"/>
      <c r="O937" s="132"/>
      <c r="P937" s="132"/>
      <c r="Q937" s="147"/>
      <c r="R937" s="395" t="e">
        <f>VLOOKUP(C937,'[1]ORIGINAL (2)'!$A:$C,3,FALSE)</f>
        <v>#N/A</v>
      </c>
      <c r="S937" s="100"/>
      <c r="T937" s="100"/>
      <c r="U937" s="100"/>
      <c r="V937" s="100"/>
    </row>
    <row r="938" spans="1:22" x14ac:dyDescent="0.25">
      <c r="A938" s="202" t="s">
        <v>1682</v>
      </c>
      <c r="B938" s="203"/>
      <c r="C938" s="203"/>
      <c r="D938" s="204"/>
      <c r="E938" s="205"/>
      <c r="F938" s="162"/>
      <c r="G938" s="162"/>
      <c r="H938" s="132"/>
      <c r="I938" s="132"/>
      <c r="J938" s="132"/>
      <c r="K938" s="132"/>
      <c r="L938" s="134"/>
      <c r="M938" s="132"/>
      <c r="N938" s="132"/>
      <c r="O938" s="132"/>
      <c r="P938" s="132"/>
      <c r="Q938" s="147"/>
      <c r="R938" s="395" t="e">
        <f>VLOOKUP(C938,'[1]ORIGINAL (2)'!$A:$C,3,FALSE)</f>
        <v>#N/A</v>
      </c>
      <c r="S938" s="100"/>
      <c r="T938" s="100"/>
      <c r="U938" s="100"/>
      <c r="V938" s="100"/>
    </row>
    <row r="939" spans="1:22" x14ac:dyDescent="0.25">
      <c r="A939" s="6" t="s">
        <v>1544</v>
      </c>
      <c r="B939" s="8">
        <v>9789500299268</v>
      </c>
      <c r="C939" s="8">
        <v>622590</v>
      </c>
      <c r="D939" s="7">
        <v>12</v>
      </c>
      <c r="E939" s="7" t="s">
        <v>317</v>
      </c>
      <c r="F939" s="7" t="s">
        <v>1683</v>
      </c>
      <c r="G939" s="107">
        <v>42675</v>
      </c>
      <c r="H939" s="108">
        <v>42624</v>
      </c>
      <c r="I939" s="24">
        <v>3940</v>
      </c>
      <c r="J939" s="28" t="s">
        <v>1946</v>
      </c>
      <c r="K939" s="28">
        <v>61.44</v>
      </c>
      <c r="L939" s="28">
        <v>9900</v>
      </c>
      <c r="M939" s="112"/>
      <c r="N939" s="9">
        <f>+L939/2</f>
        <v>4950</v>
      </c>
      <c r="O939" s="9">
        <f>+N939-M939-K939</f>
        <v>4888.5600000000004</v>
      </c>
      <c r="P939" s="9">
        <f>+M939+K939</f>
        <v>61.44</v>
      </c>
      <c r="Q939" s="139">
        <f>+O939/N939</f>
        <v>0.9875878787878789</v>
      </c>
      <c r="R939" s="395" t="e">
        <f>VLOOKUP(C939,'[1]ORIGINAL (2)'!$A:$C,3,FALSE)</f>
        <v>#N/A</v>
      </c>
      <c r="S939" s="24" t="e">
        <f>VLOOKUP(C939,#REF!,6,FALSE)</f>
        <v>#REF!</v>
      </c>
      <c r="T939" s="24" t="e">
        <f>VLOOKUP(C939,#REF!,7,FALSE)</f>
        <v>#REF!</v>
      </c>
      <c r="U939" s="24" t="e">
        <f>VLOOKUP(C939,#REF!,12,FALSE)</f>
        <v>#REF!</v>
      </c>
      <c r="V939" s="24" t="e">
        <f>VLOOKUP(C939,#REF!,13,FALSE)</f>
        <v>#REF!</v>
      </c>
    </row>
    <row r="940" spans="1:22" x14ac:dyDescent="0.25">
      <c r="A940" s="6" t="s">
        <v>1684</v>
      </c>
      <c r="B940" s="8">
        <v>9789500299244</v>
      </c>
      <c r="C940" s="8">
        <v>622587</v>
      </c>
      <c r="D940" s="7">
        <v>12</v>
      </c>
      <c r="E940" s="7" t="s">
        <v>317</v>
      </c>
      <c r="F940" s="7" t="s">
        <v>616</v>
      </c>
      <c r="G940" s="107">
        <v>42675</v>
      </c>
      <c r="H940" s="108">
        <v>42624</v>
      </c>
      <c r="I940" s="24">
        <v>3760</v>
      </c>
      <c r="J940" s="28" t="s">
        <v>1946</v>
      </c>
      <c r="K940" s="28">
        <v>61.44</v>
      </c>
      <c r="L940" s="28">
        <v>9900</v>
      </c>
      <c r="M940" s="112"/>
      <c r="N940" s="9">
        <f>+L940/2</f>
        <v>4950</v>
      </c>
      <c r="O940" s="9">
        <f>+N940-M940-K940</f>
        <v>4888.5600000000004</v>
      </c>
      <c r="P940" s="9">
        <f>+M940+K940</f>
        <v>61.44</v>
      </c>
      <c r="Q940" s="139">
        <f>+O940/N940</f>
        <v>0.9875878787878789</v>
      </c>
      <c r="R940" s="395" t="e">
        <f>VLOOKUP(C940,'[1]ORIGINAL (2)'!$A:$C,3,FALSE)</f>
        <v>#N/A</v>
      </c>
      <c r="S940" s="24" t="e">
        <f>VLOOKUP(C940,#REF!,6,FALSE)</f>
        <v>#REF!</v>
      </c>
      <c r="T940" s="24" t="e">
        <f>VLOOKUP(C940,#REF!,7,FALSE)</f>
        <v>#REF!</v>
      </c>
      <c r="U940" s="24" t="e">
        <f>VLOOKUP(C940,#REF!,12,FALSE)</f>
        <v>#REF!</v>
      </c>
      <c r="V940" s="24" t="e">
        <f>VLOOKUP(C940,#REF!,13,FALSE)</f>
        <v>#REF!</v>
      </c>
    </row>
    <row r="941" spans="1:22" x14ac:dyDescent="0.25">
      <c r="A941" s="6" t="s">
        <v>1685</v>
      </c>
      <c r="B941" s="8">
        <v>9789500299251</v>
      </c>
      <c r="C941" s="8">
        <v>622586</v>
      </c>
      <c r="D941" s="7">
        <v>12</v>
      </c>
      <c r="E941" s="7" t="s">
        <v>317</v>
      </c>
      <c r="F941" s="7" t="s">
        <v>835</v>
      </c>
      <c r="G941" s="107">
        <v>42675</v>
      </c>
      <c r="H941" s="108">
        <v>42624</v>
      </c>
      <c r="I941" s="24">
        <v>4000</v>
      </c>
      <c r="J941" s="28" t="s">
        <v>1946</v>
      </c>
      <c r="K941" s="28">
        <v>61.44</v>
      </c>
      <c r="L941" s="28">
        <v>9900</v>
      </c>
      <c r="M941" s="112"/>
      <c r="N941" s="9">
        <f>+L941/2</f>
        <v>4950</v>
      </c>
      <c r="O941" s="9">
        <f>+N941-M941-K941</f>
        <v>4888.5600000000004</v>
      </c>
      <c r="P941" s="9">
        <f>+M941+K941</f>
        <v>61.44</v>
      </c>
      <c r="Q941" s="139">
        <f>+O941/N941</f>
        <v>0.9875878787878789</v>
      </c>
      <c r="R941" s="395" t="e">
        <f>VLOOKUP(C941,'[1]ORIGINAL (2)'!$A:$C,3,FALSE)</f>
        <v>#N/A</v>
      </c>
      <c r="S941" s="24" t="e">
        <f>VLOOKUP(C941,#REF!,6,FALSE)</f>
        <v>#REF!</v>
      </c>
      <c r="T941" s="24" t="e">
        <f>VLOOKUP(C941,#REF!,7,FALSE)</f>
        <v>#REF!</v>
      </c>
      <c r="U941" s="24" t="e">
        <f>VLOOKUP(C941,#REF!,12,FALSE)</f>
        <v>#REF!</v>
      </c>
      <c r="V941" s="24" t="e">
        <f>VLOOKUP(C941,#REF!,13,FALSE)</f>
        <v>#REF!</v>
      </c>
    </row>
    <row r="942" spans="1:22" x14ac:dyDescent="0.25">
      <c r="A942" s="2"/>
      <c r="B942" s="3"/>
      <c r="C942" s="3"/>
      <c r="D942" s="17"/>
      <c r="E942" s="2"/>
      <c r="F942" s="2"/>
      <c r="G942" s="2"/>
      <c r="H942" s="132"/>
      <c r="I942" s="132"/>
      <c r="J942" s="132"/>
      <c r="K942" s="132"/>
      <c r="L942" s="134"/>
      <c r="M942" s="132"/>
      <c r="N942" s="132"/>
      <c r="O942" s="132"/>
      <c r="P942" s="132"/>
      <c r="Q942" s="147"/>
      <c r="R942" s="395" t="e">
        <f>VLOOKUP(C942,'[1]ORIGINAL (2)'!$A:$C,3,FALSE)</f>
        <v>#N/A</v>
      </c>
      <c r="S942" s="100"/>
      <c r="T942" s="100"/>
      <c r="U942" s="100"/>
      <c r="V942" s="100"/>
    </row>
    <row r="943" spans="1:22" x14ac:dyDescent="0.25">
      <c r="A943" s="202" t="s">
        <v>1686</v>
      </c>
      <c r="B943" s="203"/>
      <c r="C943" s="203"/>
      <c r="D943" s="204"/>
      <c r="E943" s="205"/>
      <c r="F943" s="162"/>
      <c r="G943" s="162"/>
      <c r="H943" s="132"/>
      <c r="I943" s="132"/>
      <c r="J943" s="132"/>
      <c r="K943" s="132"/>
      <c r="L943" s="134"/>
      <c r="M943" s="132"/>
      <c r="N943" s="132"/>
      <c r="O943" s="132"/>
      <c r="P943" s="132"/>
      <c r="Q943" s="147"/>
      <c r="R943" s="395" t="e">
        <f>VLOOKUP(C943,'[1]ORIGINAL (2)'!$A:$C,3,FALSE)</f>
        <v>#N/A</v>
      </c>
      <c r="S943" s="100"/>
      <c r="T943" s="100"/>
      <c r="U943" s="100"/>
      <c r="V943" s="100"/>
    </row>
    <row r="944" spans="1:22" x14ac:dyDescent="0.25">
      <c r="A944" s="6" t="s">
        <v>1687</v>
      </c>
      <c r="B944" s="8">
        <v>9789500299183</v>
      </c>
      <c r="C944" s="6">
        <v>621799</v>
      </c>
      <c r="D944" s="7">
        <v>22</v>
      </c>
      <c r="E944" s="7" t="s">
        <v>318</v>
      </c>
      <c r="F944" s="7" t="s">
        <v>319</v>
      </c>
      <c r="G944" s="107">
        <v>42705</v>
      </c>
      <c r="H944" s="108">
        <v>42583</v>
      </c>
      <c r="I944" s="24">
        <v>3000</v>
      </c>
      <c r="J944" s="28" t="s">
        <v>1946</v>
      </c>
      <c r="K944" s="28">
        <v>38.33</v>
      </c>
      <c r="L944" s="28">
        <v>9900</v>
      </c>
      <c r="M944" s="112"/>
      <c r="N944" s="9">
        <f>+L944/2</f>
        <v>4950</v>
      </c>
      <c r="O944" s="9">
        <f>+N944-M944-K944</f>
        <v>4911.67</v>
      </c>
      <c r="P944" s="9">
        <f>+M944+K944</f>
        <v>38.33</v>
      </c>
      <c r="Q944" s="139">
        <f>+O944/N944</f>
        <v>0.99225656565656573</v>
      </c>
      <c r="R944" s="395" t="e">
        <f>VLOOKUP(C944,'[1]ORIGINAL (2)'!$A:$C,3,FALSE)</f>
        <v>#N/A</v>
      </c>
      <c r="S944" s="24" t="e">
        <f>VLOOKUP(C944,#REF!,6,FALSE)</f>
        <v>#REF!</v>
      </c>
      <c r="T944" s="24" t="e">
        <f>VLOOKUP(C944,#REF!,7,FALSE)</f>
        <v>#REF!</v>
      </c>
      <c r="U944" s="24" t="e">
        <f>VLOOKUP(C944,#REF!,12,FALSE)</f>
        <v>#REF!</v>
      </c>
      <c r="V944" s="24" t="e">
        <f>VLOOKUP(C944,#REF!,13,FALSE)</f>
        <v>#REF!</v>
      </c>
    </row>
    <row r="945" spans="1:22" x14ac:dyDescent="0.25">
      <c r="A945" s="6" t="s">
        <v>1688</v>
      </c>
      <c r="B945" s="8">
        <v>9789500299190</v>
      </c>
      <c r="C945" s="6">
        <v>621801</v>
      </c>
      <c r="D945" s="7">
        <v>22</v>
      </c>
      <c r="E945" s="7" t="s">
        <v>318</v>
      </c>
      <c r="F945" s="7" t="s">
        <v>1689</v>
      </c>
      <c r="G945" s="107">
        <v>42705</v>
      </c>
      <c r="H945" s="108">
        <v>42583</v>
      </c>
      <c r="I945" s="24">
        <v>3000</v>
      </c>
      <c r="J945" s="28" t="s">
        <v>1946</v>
      </c>
      <c r="K945" s="28">
        <v>38.33</v>
      </c>
      <c r="L945" s="28">
        <v>9900</v>
      </c>
      <c r="M945" s="112"/>
      <c r="N945" s="9">
        <f>+L945/2</f>
        <v>4950</v>
      </c>
      <c r="O945" s="9">
        <f>+N945-M945-K945</f>
        <v>4911.67</v>
      </c>
      <c r="P945" s="9">
        <f>+M945+K945</f>
        <v>38.33</v>
      </c>
      <c r="Q945" s="139">
        <f>+O945/N945</f>
        <v>0.99225656565656573</v>
      </c>
      <c r="R945" s="395">
        <f>VLOOKUP(C945,'[1]ORIGINAL (2)'!$A:$C,3,FALSE)</f>
        <v>1</v>
      </c>
      <c r="S945" s="24" t="e">
        <f>VLOOKUP(C945,#REF!,6,FALSE)</f>
        <v>#REF!</v>
      </c>
      <c r="T945" s="24" t="e">
        <f>VLOOKUP(C945,#REF!,7,FALSE)</f>
        <v>#REF!</v>
      </c>
      <c r="U945" s="24" t="e">
        <f>VLOOKUP(C945,#REF!,12,FALSE)</f>
        <v>#REF!</v>
      </c>
      <c r="V945" s="24" t="e">
        <f>VLOOKUP(C945,#REF!,13,FALSE)</f>
        <v>#REF!</v>
      </c>
    </row>
    <row r="946" spans="1:22" x14ac:dyDescent="0.25">
      <c r="A946" s="6" t="s">
        <v>1690</v>
      </c>
      <c r="B946" s="8">
        <v>9789500299213</v>
      </c>
      <c r="C946" s="6">
        <v>621802</v>
      </c>
      <c r="D946" s="7">
        <v>22</v>
      </c>
      <c r="E946" s="7" t="s">
        <v>318</v>
      </c>
      <c r="F946" s="7" t="s">
        <v>320</v>
      </c>
      <c r="G946" s="107">
        <v>42705</v>
      </c>
      <c r="H946" s="108">
        <v>42583</v>
      </c>
      <c r="I946" s="24">
        <v>3000</v>
      </c>
      <c r="J946" s="28" t="s">
        <v>1946</v>
      </c>
      <c r="K946" s="28">
        <v>38.33</v>
      </c>
      <c r="L946" s="28">
        <v>9900</v>
      </c>
      <c r="M946" s="112"/>
      <c r="N946" s="9">
        <f>+L946/2</f>
        <v>4950</v>
      </c>
      <c r="O946" s="9">
        <f>+N946-M946-K946</f>
        <v>4911.67</v>
      </c>
      <c r="P946" s="9">
        <f>+M946+K946</f>
        <v>38.33</v>
      </c>
      <c r="Q946" s="139">
        <f>+O946/N946</f>
        <v>0.99225656565656573</v>
      </c>
      <c r="R946" s="395" t="e">
        <f>VLOOKUP(C946,'[1]ORIGINAL (2)'!$A:$C,3,FALSE)</f>
        <v>#N/A</v>
      </c>
      <c r="S946" s="24" t="e">
        <f>VLOOKUP(C946,#REF!,6,FALSE)</f>
        <v>#REF!</v>
      </c>
      <c r="T946" s="24" t="e">
        <f>VLOOKUP(C946,#REF!,7,FALSE)</f>
        <v>#REF!</v>
      </c>
      <c r="U946" s="24" t="e">
        <f>VLOOKUP(C946,#REF!,12,FALSE)</f>
        <v>#REF!</v>
      </c>
      <c r="V946" s="24" t="e">
        <f>VLOOKUP(C946,#REF!,13,FALSE)</f>
        <v>#REF!</v>
      </c>
    </row>
    <row r="947" spans="1:22" x14ac:dyDescent="0.25">
      <c r="A947" s="1"/>
      <c r="B947" s="3"/>
      <c r="C947" s="3"/>
      <c r="D947" s="2"/>
      <c r="E947" s="274"/>
      <c r="F947" s="275"/>
      <c r="G947" s="2"/>
      <c r="H947" s="132"/>
      <c r="I947" s="132"/>
      <c r="J947" s="132"/>
      <c r="K947" s="132"/>
      <c r="L947" s="134"/>
      <c r="M947" s="132"/>
      <c r="N947" s="132"/>
      <c r="O947" s="132"/>
      <c r="P947" s="132"/>
      <c r="Q947" s="147"/>
      <c r="R947" s="395" t="e">
        <f>VLOOKUP(C947,'[1]ORIGINAL (2)'!$A:$C,3,FALSE)</f>
        <v>#N/A</v>
      </c>
      <c r="S947" s="100"/>
      <c r="T947" s="100"/>
      <c r="U947" s="100"/>
      <c r="V947" s="100"/>
    </row>
    <row r="948" spans="1:22" x14ac:dyDescent="0.25">
      <c r="A948" s="202" t="s">
        <v>1691</v>
      </c>
      <c r="B948" s="203"/>
      <c r="C948" s="203"/>
      <c r="D948" s="204"/>
      <c r="E948" s="205"/>
      <c r="F948" s="162"/>
      <c r="G948" s="162"/>
      <c r="H948" s="132"/>
      <c r="I948" s="132"/>
      <c r="J948" s="132"/>
      <c r="K948" s="132"/>
      <c r="L948" s="134"/>
      <c r="M948" s="132"/>
      <c r="N948" s="132"/>
      <c r="O948" s="132"/>
      <c r="P948" s="132"/>
      <c r="Q948" s="147"/>
      <c r="R948" s="395" t="e">
        <f>VLOOKUP(C948,'[1]ORIGINAL (2)'!$A:$C,3,FALSE)</f>
        <v>#N/A</v>
      </c>
      <c r="S948" s="100"/>
      <c r="T948" s="100"/>
      <c r="U948" s="100"/>
      <c r="V948" s="100"/>
    </row>
    <row r="949" spans="1:22" x14ac:dyDescent="0.25">
      <c r="A949" s="11" t="s">
        <v>1692</v>
      </c>
      <c r="B949" s="8">
        <v>9789500299718</v>
      </c>
      <c r="C949" s="6">
        <v>635040</v>
      </c>
      <c r="D949" s="7">
        <v>8</v>
      </c>
      <c r="E949" s="7" t="s">
        <v>296</v>
      </c>
      <c r="F949" s="11" t="s">
        <v>1693</v>
      </c>
      <c r="G949" s="107">
        <v>43009</v>
      </c>
      <c r="H949" s="108">
        <v>42979</v>
      </c>
      <c r="I949" s="24">
        <v>4080</v>
      </c>
      <c r="J949" s="28" t="s">
        <v>1946</v>
      </c>
      <c r="K949" s="28">
        <v>35.090000000000003</v>
      </c>
      <c r="L949" s="128">
        <v>9900</v>
      </c>
      <c r="M949" s="9"/>
      <c r="N949" s="9">
        <f>+L949/2</f>
        <v>4950</v>
      </c>
      <c r="O949" s="9">
        <f>+N949-M949-K949</f>
        <v>4914.91</v>
      </c>
      <c r="P949" s="9">
        <f>+M949+K949</f>
        <v>35.090000000000003</v>
      </c>
      <c r="Q949" s="139">
        <f>+O949/N949</f>
        <v>0.99291111111111108</v>
      </c>
      <c r="R949" s="395" t="e">
        <f>VLOOKUP(C949,'[1]ORIGINAL (2)'!$A:$C,3,FALSE)</f>
        <v>#N/A</v>
      </c>
      <c r="S949" s="24" t="e">
        <f>VLOOKUP(C949,#REF!,6,FALSE)</f>
        <v>#REF!</v>
      </c>
      <c r="T949" s="24" t="e">
        <f>VLOOKUP(C949,#REF!,7,FALSE)</f>
        <v>#REF!</v>
      </c>
      <c r="U949" s="24" t="e">
        <f>VLOOKUP(C949,#REF!,12,FALSE)</f>
        <v>#REF!</v>
      </c>
      <c r="V949" s="24" t="e">
        <f>VLOOKUP(C949,#REF!,13,FALSE)</f>
        <v>#REF!</v>
      </c>
    </row>
    <row r="950" spans="1:22" x14ac:dyDescent="0.25">
      <c r="A950" s="1"/>
      <c r="B950" s="3"/>
      <c r="C950" s="3"/>
      <c r="D950" s="2"/>
      <c r="E950" s="274"/>
      <c r="F950" s="275"/>
      <c r="G950" s="2"/>
      <c r="H950" s="132"/>
      <c r="I950" s="132"/>
      <c r="J950" s="132"/>
      <c r="K950" s="132"/>
      <c r="L950" s="134"/>
      <c r="M950" s="132"/>
      <c r="N950" s="132"/>
      <c r="O950" s="132"/>
      <c r="P950" s="132"/>
      <c r="Q950" s="147"/>
      <c r="R950" s="395" t="e">
        <f>VLOOKUP(C950,'[1]ORIGINAL (2)'!$A:$C,3,FALSE)</f>
        <v>#N/A</v>
      </c>
      <c r="S950" s="100"/>
      <c r="T950" s="100"/>
      <c r="U950" s="100"/>
      <c r="V950" s="100"/>
    </row>
    <row r="951" spans="1:22" x14ac:dyDescent="0.25">
      <c r="A951" s="202" t="s">
        <v>1694</v>
      </c>
      <c r="B951" s="203"/>
      <c r="C951" s="203"/>
      <c r="D951" s="204"/>
      <c r="E951" s="205"/>
      <c r="F951" s="162"/>
      <c r="G951" s="162"/>
      <c r="H951" s="132"/>
      <c r="I951" s="132"/>
      <c r="J951" s="132"/>
      <c r="K951" s="132"/>
      <c r="L951" s="134"/>
      <c r="M951" s="132"/>
      <c r="N951" s="132"/>
      <c r="O951" s="132"/>
      <c r="P951" s="132"/>
      <c r="Q951" s="147"/>
      <c r="R951" s="395" t="e">
        <f>VLOOKUP(C951,'[1]ORIGINAL (2)'!$A:$C,3,FALSE)</f>
        <v>#N/A</v>
      </c>
      <c r="S951" s="100"/>
      <c r="T951" s="100"/>
      <c r="U951" s="100"/>
      <c r="V951" s="100"/>
    </row>
    <row r="952" spans="1:22" x14ac:dyDescent="0.25">
      <c r="A952" s="6" t="s">
        <v>1695</v>
      </c>
      <c r="B952" s="8">
        <v>9789500299176</v>
      </c>
      <c r="C952" s="6">
        <v>621804</v>
      </c>
      <c r="D952" s="7">
        <v>22</v>
      </c>
      <c r="E952" s="7" t="s">
        <v>321</v>
      </c>
      <c r="F952" s="7" t="s">
        <v>322</v>
      </c>
      <c r="G952" s="107">
        <v>42705</v>
      </c>
      <c r="H952" s="108">
        <v>42583</v>
      </c>
      <c r="I952" s="24">
        <v>3000</v>
      </c>
      <c r="J952" s="28" t="s">
        <v>1946</v>
      </c>
      <c r="K952" s="28">
        <v>57.5</v>
      </c>
      <c r="L952" s="128">
        <v>14900</v>
      </c>
      <c r="M952" s="112"/>
      <c r="N952" s="9">
        <f>+L952/2</f>
        <v>7450</v>
      </c>
      <c r="O952" s="9">
        <f>+N952-M952-K952</f>
        <v>7392.5</v>
      </c>
      <c r="P952" s="9">
        <f>+M952+K952</f>
        <v>57.5</v>
      </c>
      <c r="Q952" s="139">
        <f>+O952/N952</f>
        <v>0.99228187919463084</v>
      </c>
      <c r="R952" s="395">
        <f>VLOOKUP(C952,'[1]ORIGINAL (2)'!$A:$C,3,FALSE)</f>
        <v>5</v>
      </c>
      <c r="S952" s="24" t="e">
        <f>VLOOKUP(C952,#REF!,6,FALSE)</f>
        <v>#REF!</v>
      </c>
      <c r="T952" s="24" t="e">
        <f>VLOOKUP(C952,#REF!,7,FALSE)</f>
        <v>#REF!</v>
      </c>
      <c r="U952" s="24" t="e">
        <f>VLOOKUP(C952,#REF!,12,FALSE)</f>
        <v>#REF!</v>
      </c>
      <c r="V952" s="24" t="e">
        <f>VLOOKUP(C952,#REF!,13,FALSE)</f>
        <v>#REF!</v>
      </c>
    </row>
    <row r="953" spans="1:22" x14ac:dyDescent="0.25">
      <c r="A953" s="6" t="s">
        <v>1696</v>
      </c>
      <c r="B953" s="8">
        <v>9789500299152</v>
      </c>
      <c r="C953" s="6">
        <v>621803</v>
      </c>
      <c r="D953" s="7">
        <v>22</v>
      </c>
      <c r="E953" s="7" t="s">
        <v>321</v>
      </c>
      <c r="F953" s="7" t="s">
        <v>323</v>
      </c>
      <c r="G953" s="107">
        <v>42705</v>
      </c>
      <c r="H953" s="108">
        <v>42583</v>
      </c>
      <c r="I953" s="24">
        <v>3000</v>
      </c>
      <c r="J953" s="28" t="s">
        <v>1946</v>
      </c>
      <c r="K953" s="28">
        <v>57.5</v>
      </c>
      <c r="L953" s="128">
        <v>14900</v>
      </c>
      <c r="M953" s="112"/>
      <c r="N953" s="9">
        <f>+L953/2</f>
        <v>7450</v>
      </c>
      <c r="O953" s="9">
        <f>+N953-M953-K953</f>
        <v>7392.5</v>
      </c>
      <c r="P953" s="9">
        <f>+M953+K953</f>
        <v>57.5</v>
      </c>
      <c r="Q953" s="139">
        <f>+O953/N953</f>
        <v>0.99228187919463084</v>
      </c>
      <c r="R953" s="395">
        <f>VLOOKUP(C953,'[1]ORIGINAL (2)'!$A:$C,3,FALSE)</f>
        <v>1</v>
      </c>
      <c r="S953" s="24" t="e">
        <f>VLOOKUP(C953,#REF!,6,FALSE)</f>
        <v>#REF!</v>
      </c>
      <c r="T953" s="24" t="e">
        <f>VLOOKUP(C953,#REF!,7,FALSE)</f>
        <v>#REF!</v>
      </c>
      <c r="U953" s="24" t="e">
        <f>VLOOKUP(C953,#REF!,12,FALSE)</f>
        <v>#REF!</v>
      </c>
      <c r="V953" s="24" t="e">
        <f>VLOOKUP(C953,#REF!,13,FALSE)</f>
        <v>#REF!</v>
      </c>
    </row>
    <row r="954" spans="1:22" x14ac:dyDescent="0.25">
      <c r="A954" s="6" t="s">
        <v>1697</v>
      </c>
      <c r="B954" s="8">
        <v>9789500299169</v>
      </c>
      <c r="C954" s="6">
        <v>621805</v>
      </c>
      <c r="D954" s="7">
        <v>22</v>
      </c>
      <c r="E954" s="7" t="s">
        <v>321</v>
      </c>
      <c r="F954" s="7" t="s">
        <v>1698</v>
      </c>
      <c r="G954" s="107">
        <v>42401</v>
      </c>
      <c r="H954" s="108">
        <v>42583</v>
      </c>
      <c r="I954" s="24">
        <v>3000</v>
      </c>
      <c r="J954" s="28" t="s">
        <v>1946</v>
      </c>
      <c r="K954" s="28">
        <v>57.5</v>
      </c>
      <c r="L954" s="128">
        <v>14900</v>
      </c>
      <c r="M954" s="112"/>
      <c r="N954" s="9">
        <f>+L954/2</f>
        <v>7450</v>
      </c>
      <c r="O954" s="9">
        <f>+N954-M954-K954</f>
        <v>7392.5</v>
      </c>
      <c r="P954" s="9">
        <f>+M954+K954</f>
        <v>57.5</v>
      </c>
      <c r="Q954" s="139">
        <f>+O954/N954</f>
        <v>0.99228187919463084</v>
      </c>
      <c r="R954" s="395" t="e">
        <f>VLOOKUP(C954,'[1]ORIGINAL (2)'!$A:$C,3,FALSE)</f>
        <v>#N/A</v>
      </c>
      <c r="S954" s="24" t="e">
        <f>VLOOKUP(C954,#REF!,6,FALSE)</f>
        <v>#REF!</v>
      </c>
      <c r="T954" s="24" t="e">
        <f>VLOOKUP(C954,#REF!,7,FALSE)</f>
        <v>#REF!</v>
      </c>
      <c r="U954" s="24" t="e">
        <f>VLOOKUP(C954,#REF!,12,FALSE)</f>
        <v>#REF!</v>
      </c>
      <c r="V954" s="24" t="e">
        <f>VLOOKUP(C954,#REF!,13,FALSE)</f>
        <v>#REF!</v>
      </c>
    </row>
    <row r="955" spans="1:22" x14ac:dyDescent="0.25">
      <c r="A955" s="1"/>
      <c r="B955" s="3"/>
      <c r="C955" s="3"/>
      <c r="D955" s="2"/>
      <c r="E955" s="274"/>
      <c r="F955" s="275"/>
      <c r="G955" s="2"/>
      <c r="H955" s="132"/>
      <c r="I955" s="132"/>
      <c r="J955" s="132"/>
      <c r="K955" s="132"/>
      <c r="L955" s="134"/>
      <c r="M955" s="132"/>
      <c r="N955" s="132"/>
      <c r="O955" s="132"/>
      <c r="P955" s="132"/>
      <c r="Q955" s="147"/>
      <c r="R955" s="395" t="e">
        <f>VLOOKUP(C955,'[1]ORIGINAL (2)'!$A:$C,3,FALSE)</f>
        <v>#N/A</v>
      </c>
      <c r="S955" s="100"/>
      <c r="T955" s="100"/>
      <c r="U955" s="100"/>
      <c r="V955" s="100"/>
    </row>
    <row r="956" spans="1:22" x14ac:dyDescent="0.25">
      <c r="A956" s="202" t="s">
        <v>1699</v>
      </c>
      <c r="B956" s="203"/>
      <c r="C956" s="203"/>
      <c r="D956" s="204"/>
      <c r="E956" s="205"/>
      <c r="F956" s="162"/>
      <c r="G956" s="162"/>
      <c r="H956" s="132"/>
      <c r="I956" s="132"/>
      <c r="J956" s="132"/>
      <c r="K956" s="132"/>
      <c r="L956" s="134"/>
      <c r="M956" s="132"/>
      <c r="N956" s="132"/>
      <c r="O956" s="132"/>
      <c r="P956" s="132"/>
      <c r="Q956" s="147"/>
      <c r="R956" s="395" t="e">
        <f>VLOOKUP(C956,'[1]ORIGINAL (2)'!$A:$C,3,FALSE)</f>
        <v>#N/A</v>
      </c>
      <c r="S956" s="100"/>
      <c r="T956" s="100"/>
      <c r="U956" s="100"/>
      <c r="V956" s="100"/>
    </row>
    <row r="957" spans="1:22" x14ac:dyDescent="0.25">
      <c r="A957" s="6" t="s">
        <v>1700</v>
      </c>
      <c r="B957" s="8">
        <v>9789500299466</v>
      </c>
      <c r="C957" s="6">
        <v>627255</v>
      </c>
      <c r="D957" s="7">
        <v>12</v>
      </c>
      <c r="E957" s="7" t="s">
        <v>324</v>
      </c>
      <c r="F957" s="11" t="s">
        <v>1701</v>
      </c>
      <c r="G957" s="107">
        <v>42887</v>
      </c>
      <c r="H957" s="108">
        <v>42767</v>
      </c>
      <c r="I957" s="24">
        <v>3000</v>
      </c>
      <c r="J957" s="28" t="s">
        <v>1946</v>
      </c>
      <c r="K957" s="28">
        <v>26.13</v>
      </c>
      <c r="L957" s="128">
        <v>8000</v>
      </c>
      <c r="M957" s="112"/>
      <c r="N957" s="9">
        <f>+L957/2</f>
        <v>4000</v>
      </c>
      <c r="O957" s="9">
        <f>+N957-M957-K957</f>
        <v>3973.87</v>
      </c>
      <c r="P957" s="9">
        <f>+M957+K957</f>
        <v>26.13</v>
      </c>
      <c r="Q957" s="139">
        <f>+O957/N957</f>
        <v>0.99346749999999995</v>
      </c>
      <c r="R957" s="395" t="e">
        <f>VLOOKUP(C957,'[1]ORIGINAL (2)'!$A:$C,3,FALSE)</f>
        <v>#N/A</v>
      </c>
      <c r="S957" s="24" t="e">
        <f>VLOOKUP(C957,#REF!,6,FALSE)</f>
        <v>#REF!</v>
      </c>
      <c r="T957" s="24" t="e">
        <f>VLOOKUP(C957,#REF!,7,FALSE)</f>
        <v>#REF!</v>
      </c>
      <c r="U957" s="24" t="e">
        <f>VLOOKUP(C957,#REF!,12,FALSE)</f>
        <v>#REF!</v>
      </c>
      <c r="V957" s="24" t="e">
        <f>VLOOKUP(C957,#REF!,13,FALSE)</f>
        <v>#REF!</v>
      </c>
    </row>
    <row r="958" spans="1:22" x14ac:dyDescent="0.25">
      <c r="A958" s="6" t="s">
        <v>1702</v>
      </c>
      <c r="B958" s="8">
        <v>9789500299473</v>
      </c>
      <c r="C958" s="6">
        <v>627256</v>
      </c>
      <c r="D958" s="7">
        <v>12</v>
      </c>
      <c r="E958" s="7" t="s">
        <v>324</v>
      </c>
      <c r="F958" s="11" t="s">
        <v>1703</v>
      </c>
      <c r="G958" s="107">
        <v>42887</v>
      </c>
      <c r="H958" s="108">
        <v>42767</v>
      </c>
      <c r="I958" s="24">
        <v>3000</v>
      </c>
      <c r="J958" s="28" t="s">
        <v>1946</v>
      </c>
      <c r="K958" s="28">
        <v>26.13</v>
      </c>
      <c r="L958" s="128">
        <v>8000</v>
      </c>
      <c r="M958" s="112"/>
      <c r="N958" s="9">
        <f>+L958/2</f>
        <v>4000</v>
      </c>
      <c r="O958" s="9">
        <f>+N958-M958-K958</f>
        <v>3973.87</v>
      </c>
      <c r="P958" s="9">
        <f>+M958+K958</f>
        <v>26.13</v>
      </c>
      <c r="Q958" s="139">
        <f>+O958/N958</f>
        <v>0.99346749999999995</v>
      </c>
      <c r="R958" s="395" t="e">
        <f>VLOOKUP(C958,'[1]ORIGINAL (2)'!$A:$C,3,FALSE)</f>
        <v>#N/A</v>
      </c>
      <c r="S958" s="24" t="e">
        <f>VLOOKUP(C958,#REF!,6,FALSE)</f>
        <v>#REF!</v>
      </c>
      <c r="T958" s="24" t="e">
        <f>VLOOKUP(C958,#REF!,7,FALSE)</f>
        <v>#REF!</v>
      </c>
      <c r="U958" s="24" t="e">
        <f>VLOOKUP(C958,#REF!,12,FALSE)</f>
        <v>#REF!</v>
      </c>
      <c r="V958" s="24" t="e">
        <f>VLOOKUP(C958,#REF!,13,FALSE)</f>
        <v>#REF!</v>
      </c>
    </row>
    <row r="959" spans="1:22" x14ac:dyDescent="0.25">
      <c r="A959" s="6" t="s">
        <v>1704</v>
      </c>
      <c r="B959" s="8">
        <v>9789500299480</v>
      </c>
      <c r="C959" s="6">
        <v>627257</v>
      </c>
      <c r="D959" s="7">
        <v>12</v>
      </c>
      <c r="E959" s="7" t="s">
        <v>324</v>
      </c>
      <c r="F959" s="11" t="s">
        <v>325</v>
      </c>
      <c r="G959" s="107">
        <v>42887</v>
      </c>
      <c r="H959" s="108">
        <v>42767</v>
      </c>
      <c r="I959" s="24">
        <v>3000</v>
      </c>
      <c r="J959" s="28" t="s">
        <v>1946</v>
      </c>
      <c r="K959" s="28">
        <v>26.13</v>
      </c>
      <c r="L959" s="128">
        <v>8000</v>
      </c>
      <c r="M959" s="112"/>
      <c r="N959" s="9">
        <f>+L959/2</f>
        <v>4000</v>
      </c>
      <c r="O959" s="9">
        <f>+N959-M959-K959</f>
        <v>3973.87</v>
      </c>
      <c r="P959" s="9">
        <f>+M959+K959</f>
        <v>26.13</v>
      </c>
      <c r="Q959" s="139">
        <f>+O959/N959</f>
        <v>0.99346749999999995</v>
      </c>
      <c r="R959" s="395" t="e">
        <f>VLOOKUP(C959,'[1]ORIGINAL (2)'!$A:$C,3,FALSE)</f>
        <v>#N/A</v>
      </c>
      <c r="S959" s="24" t="e">
        <f>VLOOKUP(C959,#REF!,6,FALSE)</f>
        <v>#REF!</v>
      </c>
      <c r="T959" s="24" t="e">
        <f>VLOOKUP(C959,#REF!,7,FALSE)</f>
        <v>#REF!</v>
      </c>
      <c r="U959" s="24" t="e">
        <f>VLOOKUP(C959,#REF!,12,FALSE)</f>
        <v>#REF!</v>
      </c>
      <c r="V959" s="24" t="e">
        <f>VLOOKUP(C959,#REF!,13,FALSE)</f>
        <v>#REF!</v>
      </c>
    </row>
    <row r="960" spans="1:22" x14ac:dyDescent="0.25">
      <c r="A960" s="6" t="s">
        <v>1705</v>
      </c>
      <c r="B960" s="8">
        <v>9789500299459</v>
      </c>
      <c r="C960" s="6">
        <v>627258</v>
      </c>
      <c r="D960" s="7">
        <v>12</v>
      </c>
      <c r="E960" s="7" t="s">
        <v>324</v>
      </c>
      <c r="F960" s="11" t="s">
        <v>326</v>
      </c>
      <c r="G960" s="107">
        <v>42887</v>
      </c>
      <c r="H960" s="108">
        <v>42767</v>
      </c>
      <c r="I960" s="24">
        <v>3000</v>
      </c>
      <c r="J960" s="28" t="s">
        <v>1946</v>
      </c>
      <c r="K960" s="28">
        <v>26.13</v>
      </c>
      <c r="L960" s="128">
        <v>8000</v>
      </c>
      <c r="M960" s="112"/>
      <c r="N960" s="9">
        <f>+L960/2</f>
        <v>4000</v>
      </c>
      <c r="O960" s="9">
        <f>+N960-M960-K960</f>
        <v>3973.87</v>
      </c>
      <c r="P960" s="9">
        <f>+M960+K960</f>
        <v>26.13</v>
      </c>
      <c r="Q960" s="139">
        <f>+O960/N960</f>
        <v>0.99346749999999995</v>
      </c>
      <c r="R960" s="395" t="e">
        <f>VLOOKUP(C960,'[1]ORIGINAL (2)'!$A:$C,3,FALSE)</f>
        <v>#N/A</v>
      </c>
      <c r="S960" s="24" t="e">
        <f>VLOOKUP(C960,#REF!,6,FALSE)</f>
        <v>#REF!</v>
      </c>
      <c r="T960" s="24" t="e">
        <f>VLOOKUP(C960,#REF!,7,FALSE)</f>
        <v>#REF!</v>
      </c>
      <c r="U960" s="24" t="e">
        <f>VLOOKUP(C960,#REF!,12,FALSE)</f>
        <v>#REF!</v>
      </c>
      <c r="V960" s="24" t="e">
        <f>VLOOKUP(C960,#REF!,13,FALSE)</f>
        <v>#REF!</v>
      </c>
    </row>
    <row r="961" spans="1:22" x14ac:dyDescent="0.25">
      <c r="A961" s="1"/>
      <c r="B961" s="3"/>
      <c r="C961" s="3"/>
      <c r="D961" s="2"/>
      <c r="E961" s="274"/>
      <c r="F961" s="275"/>
      <c r="G961" s="2"/>
      <c r="H961" s="132"/>
      <c r="I961" s="132"/>
      <c r="J961" s="132"/>
      <c r="K961" s="132"/>
      <c r="L961" s="134"/>
      <c r="M961" s="132"/>
      <c r="N961" s="132"/>
      <c r="O961" s="132"/>
      <c r="P961" s="132"/>
      <c r="Q961" s="147"/>
      <c r="R961" s="395" t="e">
        <f>VLOOKUP(C961,'[1]ORIGINAL (2)'!$A:$C,3,FALSE)</f>
        <v>#N/A</v>
      </c>
      <c r="S961" s="100"/>
      <c r="T961" s="100"/>
      <c r="U961" s="100"/>
      <c r="V961" s="100"/>
    </row>
    <row r="962" spans="1:22" x14ac:dyDescent="0.25">
      <c r="A962" s="202" t="s">
        <v>1706</v>
      </c>
      <c r="B962" s="203"/>
      <c r="C962" s="203"/>
      <c r="D962" s="204"/>
      <c r="E962" s="205"/>
      <c r="F962" s="162"/>
      <c r="G962" s="162"/>
      <c r="H962" s="132"/>
      <c r="I962" s="132"/>
      <c r="J962" s="132"/>
      <c r="K962" s="132"/>
      <c r="L962" s="134"/>
      <c r="M962" s="132"/>
      <c r="N962" s="132"/>
      <c r="O962" s="132"/>
      <c r="P962" s="132"/>
      <c r="Q962" s="147"/>
      <c r="R962" s="395" t="e">
        <f>VLOOKUP(C962,'[1]ORIGINAL (2)'!$A:$C,3,FALSE)</f>
        <v>#N/A</v>
      </c>
      <c r="S962" s="100"/>
      <c r="T962" s="100"/>
      <c r="U962" s="100"/>
      <c r="V962" s="100"/>
    </row>
    <row r="963" spans="1:22" x14ac:dyDescent="0.25">
      <c r="A963" s="7" t="s">
        <v>1707</v>
      </c>
      <c r="B963" s="208">
        <v>9789500209168</v>
      </c>
      <c r="C963" s="6">
        <v>645292</v>
      </c>
      <c r="D963" s="7">
        <v>10</v>
      </c>
      <c r="E963" s="7" t="s">
        <v>350</v>
      </c>
      <c r="F963" s="15" t="s">
        <v>351</v>
      </c>
      <c r="G963" s="107">
        <v>43160</v>
      </c>
      <c r="H963" s="108">
        <v>43101</v>
      </c>
      <c r="I963" s="24">
        <v>3024</v>
      </c>
      <c r="J963" s="28" t="s">
        <v>1946</v>
      </c>
      <c r="K963" s="28">
        <v>32.86</v>
      </c>
      <c r="L963" s="128">
        <v>8800</v>
      </c>
      <c r="M963" s="112"/>
      <c r="N963" s="9">
        <f>+L963/2</f>
        <v>4400</v>
      </c>
      <c r="O963" s="9">
        <f>+N963-M963-K963</f>
        <v>4367.1400000000003</v>
      </c>
      <c r="P963" s="9">
        <f>+M963+K963</f>
        <v>32.86</v>
      </c>
      <c r="Q963" s="139">
        <f>+O963/N963</f>
        <v>0.99253181818181824</v>
      </c>
      <c r="R963" s="395" t="e">
        <f>VLOOKUP(C963,'[1]ORIGINAL (2)'!$A:$C,3,FALSE)</f>
        <v>#N/A</v>
      </c>
      <c r="S963" s="24" t="e">
        <f>VLOOKUP(C963,#REF!,6,FALSE)</f>
        <v>#REF!</v>
      </c>
      <c r="T963" s="24" t="e">
        <f>VLOOKUP(C963,#REF!,7,FALSE)</f>
        <v>#REF!</v>
      </c>
      <c r="U963" s="24" t="e">
        <f>VLOOKUP(C963,#REF!,12,FALSE)</f>
        <v>#REF!</v>
      </c>
      <c r="V963" s="24" t="e">
        <f>VLOOKUP(C963,#REF!,13,FALSE)</f>
        <v>#REF!</v>
      </c>
    </row>
    <row r="964" spans="1:22" x14ac:dyDescent="0.25">
      <c r="A964" s="7" t="s">
        <v>1708</v>
      </c>
      <c r="B964" s="208">
        <v>9789500209182</v>
      </c>
      <c r="C964" s="6">
        <v>645290</v>
      </c>
      <c r="D964" s="7">
        <v>10</v>
      </c>
      <c r="E964" s="7" t="s">
        <v>350</v>
      </c>
      <c r="F964" s="15" t="s">
        <v>352</v>
      </c>
      <c r="G964" s="107">
        <v>43160</v>
      </c>
      <c r="H964" s="108">
        <v>43101</v>
      </c>
      <c r="I964" s="24">
        <v>3024</v>
      </c>
      <c r="J964" s="28" t="s">
        <v>1946</v>
      </c>
      <c r="K964" s="28">
        <v>32.86</v>
      </c>
      <c r="L964" s="128">
        <v>8800</v>
      </c>
      <c r="M964" s="112"/>
      <c r="N964" s="9">
        <f>+L964/2</f>
        <v>4400</v>
      </c>
      <c r="O964" s="9">
        <f>+N964-M964-K964</f>
        <v>4367.1400000000003</v>
      </c>
      <c r="P964" s="9">
        <f>+M964+K964</f>
        <v>32.86</v>
      </c>
      <c r="Q964" s="139">
        <f>+O964/N964</f>
        <v>0.99253181818181824</v>
      </c>
      <c r="R964" s="395" t="e">
        <f>VLOOKUP(C964,'[1]ORIGINAL (2)'!$A:$C,3,FALSE)</f>
        <v>#N/A</v>
      </c>
      <c r="S964" s="24" t="e">
        <f>VLOOKUP(C964,#REF!,6,FALSE)</f>
        <v>#REF!</v>
      </c>
      <c r="T964" s="24" t="e">
        <f>VLOOKUP(C964,#REF!,7,FALSE)</f>
        <v>#REF!</v>
      </c>
      <c r="U964" s="24" t="e">
        <f>VLOOKUP(C964,#REF!,12,FALSE)</f>
        <v>#REF!</v>
      </c>
      <c r="V964" s="24" t="e">
        <f>VLOOKUP(C964,#REF!,13,FALSE)</f>
        <v>#REF!</v>
      </c>
    </row>
    <row r="965" spans="1:22" x14ac:dyDescent="0.25">
      <c r="A965" s="7" t="s">
        <v>1709</v>
      </c>
      <c r="B965" s="208">
        <v>9789500209175</v>
      </c>
      <c r="C965" s="6">
        <v>645287</v>
      </c>
      <c r="D965" s="7">
        <v>10</v>
      </c>
      <c r="E965" s="7" t="s">
        <v>350</v>
      </c>
      <c r="F965" s="15" t="s">
        <v>353</v>
      </c>
      <c r="G965" s="107">
        <v>43160</v>
      </c>
      <c r="H965" s="108">
        <v>43101</v>
      </c>
      <c r="I965" s="24">
        <v>3024</v>
      </c>
      <c r="J965" s="28" t="s">
        <v>1946</v>
      </c>
      <c r="K965" s="28">
        <v>32.86</v>
      </c>
      <c r="L965" s="128">
        <v>8800</v>
      </c>
      <c r="M965" s="112"/>
      <c r="N965" s="9">
        <f>+L965/2</f>
        <v>4400</v>
      </c>
      <c r="O965" s="9">
        <f>+N965-M965-K965</f>
        <v>4367.1400000000003</v>
      </c>
      <c r="P965" s="9">
        <f>+M965+K965</f>
        <v>32.86</v>
      </c>
      <c r="Q965" s="139">
        <f>+O965/N965</f>
        <v>0.99253181818181824</v>
      </c>
      <c r="R965" s="395" t="e">
        <f>VLOOKUP(C965,'[1]ORIGINAL (2)'!$A:$C,3,FALSE)</f>
        <v>#N/A</v>
      </c>
      <c r="S965" s="24" t="e">
        <f>VLOOKUP(C965,#REF!,6,FALSE)</f>
        <v>#REF!</v>
      </c>
      <c r="T965" s="24" t="e">
        <f>VLOOKUP(C965,#REF!,7,FALSE)</f>
        <v>#REF!</v>
      </c>
      <c r="U965" s="24" t="e">
        <f>VLOOKUP(C965,#REF!,12,FALSE)</f>
        <v>#REF!</v>
      </c>
      <c r="V965" s="24" t="e">
        <f>VLOOKUP(C965,#REF!,13,FALSE)</f>
        <v>#REF!</v>
      </c>
    </row>
    <row r="966" spans="1:22" x14ac:dyDescent="0.25">
      <c r="A966" s="7" t="s">
        <v>1710</v>
      </c>
      <c r="B966" s="208">
        <v>9789500209151</v>
      </c>
      <c r="C966" s="6">
        <v>645293</v>
      </c>
      <c r="D966" s="7">
        <v>10</v>
      </c>
      <c r="E966" s="7" t="s">
        <v>350</v>
      </c>
      <c r="F966" s="15" t="s">
        <v>354</v>
      </c>
      <c r="G966" s="107">
        <v>43160</v>
      </c>
      <c r="H966" s="108">
        <v>43101</v>
      </c>
      <c r="I966" s="24">
        <v>3024</v>
      </c>
      <c r="J966" s="28" t="s">
        <v>1946</v>
      </c>
      <c r="K966" s="28">
        <v>32.86</v>
      </c>
      <c r="L966" s="128">
        <v>8800</v>
      </c>
      <c r="M966" s="112"/>
      <c r="N966" s="9">
        <f>+L966/2</f>
        <v>4400</v>
      </c>
      <c r="O966" s="9">
        <f>+N966-M966-K966</f>
        <v>4367.1400000000003</v>
      </c>
      <c r="P966" s="9">
        <f>+M966+K966</f>
        <v>32.86</v>
      </c>
      <c r="Q966" s="139">
        <f>+O966/N966</f>
        <v>0.99253181818181824</v>
      </c>
      <c r="R966" s="395" t="e">
        <f>VLOOKUP(C966,'[1]ORIGINAL (2)'!$A:$C,3,FALSE)</f>
        <v>#N/A</v>
      </c>
      <c r="S966" s="24" t="e">
        <f>VLOOKUP(C966,#REF!,6,FALSE)</f>
        <v>#REF!</v>
      </c>
      <c r="T966" s="24" t="e">
        <f>VLOOKUP(C966,#REF!,7,FALSE)</f>
        <v>#REF!</v>
      </c>
      <c r="U966" s="24" t="e">
        <f>VLOOKUP(C966,#REF!,12,FALSE)</f>
        <v>#REF!</v>
      </c>
      <c r="V966" s="24" t="e">
        <f>VLOOKUP(C966,#REF!,13,FALSE)</f>
        <v>#REF!</v>
      </c>
    </row>
    <row r="967" spans="1:22" x14ac:dyDescent="0.25">
      <c r="A967" s="1"/>
      <c r="B967" s="3"/>
      <c r="C967" s="3"/>
      <c r="D967" s="2"/>
      <c r="E967" s="274"/>
      <c r="F967" s="275"/>
      <c r="G967" s="2"/>
      <c r="H967" s="132"/>
      <c r="I967" s="132"/>
      <c r="J967" s="132"/>
      <c r="K967" s="132"/>
      <c r="L967" s="134"/>
      <c r="M967" s="132"/>
      <c r="N967" s="132"/>
      <c r="O967" s="132"/>
      <c r="P967" s="132"/>
      <c r="Q967" s="147"/>
      <c r="R967" s="395" t="e">
        <f>VLOOKUP(C967,'[1]ORIGINAL (2)'!$A:$C,3,FALSE)</f>
        <v>#N/A</v>
      </c>
      <c r="S967" s="100"/>
      <c r="T967" s="100"/>
      <c r="U967" s="100"/>
      <c r="V967" s="100"/>
    </row>
    <row r="968" spans="1:22" x14ac:dyDescent="0.25">
      <c r="A968" s="202" t="s">
        <v>1711</v>
      </c>
      <c r="B968" s="203"/>
      <c r="C968" s="203"/>
      <c r="D968" s="204"/>
      <c r="E968" s="205"/>
      <c r="F968" s="162"/>
      <c r="G968" s="162"/>
      <c r="H968" s="132"/>
      <c r="I968" s="132"/>
      <c r="J968" s="132"/>
      <c r="K968" s="132"/>
      <c r="L968" s="134"/>
      <c r="M968" s="132"/>
      <c r="N968" s="132"/>
      <c r="O968" s="132"/>
      <c r="P968" s="132"/>
      <c r="Q968" s="132"/>
      <c r="R968" s="395" t="e">
        <f>VLOOKUP(C968,'[1]ORIGINAL (2)'!$A:$C,3,FALSE)</f>
        <v>#N/A</v>
      </c>
      <c r="S968" s="100"/>
      <c r="T968" s="100"/>
      <c r="U968" s="100"/>
      <c r="V968" s="100"/>
    </row>
    <row r="969" spans="1:22" x14ac:dyDescent="0.25">
      <c r="A969" s="7" t="s">
        <v>1712</v>
      </c>
      <c r="B969" s="208">
        <v>9789500209137</v>
      </c>
      <c r="C969" s="6">
        <v>645286</v>
      </c>
      <c r="D969" s="7">
        <v>10</v>
      </c>
      <c r="E969" s="7" t="s">
        <v>350</v>
      </c>
      <c r="F969" s="15" t="s">
        <v>567</v>
      </c>
      <c r="G969" s="107">
        <v>43191</v>
      </c>
      <c r="H969" s="108">
        <v>46174</v>
      </c>
      <c r="I969" s="116">
        <v>3000</v>
      </c>
      <c r="J969" s="28" t="s">
        <v>1946</v>
      </c>
      <c r="K969" s="148">
        <v>2381.8200000000002</v>
      </c>
      <c r="L969" s="9">
        <v>13000</v>
      </c>
      <c r="M969" s="112"/>
      <c r="N969" s="9">
        <f>+L969/2</f>
        <v>6500</v>
      </c>
      <c r="O969" s="9">
        <f>+N969-M969-K969</f>
        <v>4118.18</v>
      </c>
      <c r="P969" s="9">
        <f>+M969+K969</f>
        <v>2381.8200000000002</v>
      </c>
      <c r="Q969" s="109">
        <f>+O969/N969</f>
        <v>0.63356615384615389</v>
      </c>
      <c r="R969" s="395">
        <f>VLOOKUP(C969,'[1]ORIGINAL (2)'!$A:$C,3,FALSE)</f>
        <v>236</v>
      </c>
      <c r="S969" s="24" t="e">
        <f>VLOOKUP(C969,#REF!,6,FALSE)</f>
        <v>#REF!</v>
      </c>
      <c r="T969" s="24" t="e">
        <f>VLOOKUP(C969,#REF!,7,FALSE)</f>
        <v>#REF!</v>
      </c>
      <c r="U969" s="24" t="e">
        <f>VLOOKUP(C969,#REF!,12,FALSE)</f>
        <v>#REF!</v>
      </c>
      <c r="V969" s="24" t="e">
        <f>VLOOKUP(C969,#REF!,13,FALSE)</f>
        <v>#REF!</v>
      </c>
    </row>
    <row r="970" spans="1:22" x14ac:dyDescent="0.25">
      <c r="A970" s="7" t="s">
        <v>1713</v>
      </c>
      <c r="B970" s="208">
        <v>9789500209113</v>
      </c>
      <c r="C970" s="6">
        <v>645291</v>
      </c>
      <c r="D970" s="7">
        <v>10</v>
      </c>
      <c r="E970" s="7" t="s">
        <v>350</v>
      </c>
      <c r="F970" s="15" t="s">
        <v>568</v>
      </c>
      <c r="G970" s="107">
        <v>43191</v>
      </c>
      <c r="H970" s="108">
        <v>46174</v>
      </c>
      <c r="I970" s="116">
        <v>3000</v>
      </c>
      <c r="J970" s="28" t="s">
        <v>1946</v>
      </c>
      <c r="K970" s="148">
        <v>2381.8200000000002</v>
      </c>
      <c r="L970" s="9">
        <v>13000</v>
      </c>
      <c r="M970" s="112"/>
      <c r="N970" s="9">
        <f>+L970/2</f>
        <v>6500</v>
      </c>
      <c r="O970" s="9">
        <f>+N970-M970-K970</f>
        <v>4118.18</v>
      </c>
      <c r="P970" s="9">
        <f>+M970+K970</f>
        <v>2381.8200000000002</v>
      </c>
      <c r="Q970" s="109">
        <f>+O970/N970</f>
        <v>0.63356615384615389</v>
      </c>
      <c r="R970" s="395">
        <f>VLOOKUP(C970,'[1]ORIGINAL (2)'!$A:$C,3,FALSE)</f>
        <v>296</v>
      </c>
      <c r="S970" s="24" t="e">
        <f>VLOOKUP(C970,#REF!,6,FALSE)</f>
        <v>#REF!</v>
      </c>
      <c r="T970" s="24" t="e">
        <f>VLOOKUP(C970,#REF!,7,FALSE)</f>
        <v>#REF!</v>
      </c>
      <c r="U970" s="24" t="e">
        <f>VLOOKUP(C970,#REF!,12,FALSE)</f>
        <v>#REF!</v>
      </c>
      <c r="V970" s="24" t="e">
        <f>VLOOKUP(C970,#REF!,13,FALSE)</f>
        <v>#REF!</v>
      </c>
    </row>
    <row r="971" spans="1:22" x14ac:dyDescent="0.25">
      <c r="A971" s="7" t="s">
        <v>1714</v>
      </c>
      <c r="B971" s="208">
        <v>9789500209120</v>
      </c>
      <c r="C971" s="6">
        <v>645289</v>
      </c>
      <c r="D971" s="7">
        <v>10</v>
      </c>
      <c r="E971" s="7" t="s">
        <v>350</v>
      </c>
      <c r="F971" s="15" t="s">
        <v>565</v>
      </c>
      <c r="G971" s="107">
        <v>43191</v>
      </c>
      <c r="H971" s="108">
        <v>46174</v>
      </c>
      <c r="I971" s="116">
        <v>3000</v>
      </c>
      <c r="J971" s="28" t="s">
        <v>1946</v>
      </c>
      <c r="K971" s="148">
        <v>2381.8200000000002</v>
      </c>
      <c r="L971" s="9">
        <v>13000</v>
      </c>
      <c r="M971" s="112"/>
      <c r="N971" s="9">
        <f>+L971/2</f>
        <v>6500</v>
      </c>
      <c r="O971" s="9">
        <f>+N971-M971-K971</f>
        <v>4118.18</v>
      </c>
      <c r="P971" s="9">
        <f>+M971+K971</f>
        <v>2381.8200000000002</v>
      </c>
      <c r="Q971" s="109">
        <f>+O971/N971</f>
        <v>0.63356615384615389</v>
      </c>
      <c r="R971" s="395">
        <f>VLOOKUP(C971,'[1]ORIGINAL (2)'!$A:$C,3,FALSE)</f>
        <v>386</v>
      </c>
      <c r="S971" s="24" t="e">
        <f>VLOOKUP(C971,#REF!,6,FALSE)</f>
        <v>#REF!</v>
      </c>
      <c r="T971" s="24" t="e">
        <f>VLOOKUP(C971,#REF!,7,FALSE)</f>
        <v>#REF!</v>
      </c>
      <c r="U971" s="24" t="e">
        <f>VLOOKUP(C971,#REF!,12,FALSE)</f>
        <v>#REF!</v>
      </c>
      <c r="V971" s="24" t="e">
        <f>VLOOKUP(C971,#REF!,13,FALSE)</f>
        <v>#REF!</v>
      </c>
    </row>
    <row r="972" spans="1:22" x14ac:dyDescent="0.25">
      <c r="A972" s="7" t="s">
        <v>1627</v>
      </c>
      <c r="B972" s="208">
        <v>9789500209144</v>
      </c>
      <c r="C972" s="6">
        <v>645284</v>
      </c>
      <c r="D972" s="7">
        <v>10</v>
      </c>
      <c r="E972" s="7" t="s">
        <v>350</v>
      </c>
      <c r="F972" s="15" t="s">
        <v>564</v>
      </c>
      <c r="G972" s="107">
        <v>43191</v>
      </c>
      <c r="H972" s="108">
        <v>46174</v>
      </c>
      <c r="I972" s="116">
        <v>3000</v>
      </c>
      <c r="J972" s="28" t="s">
        <v>1946</v>
      </c>
      <c r="K972" s="148">
        <v>2381.8200000000002</v>
      </c>
      <c r="L972" s="9">
        <v>13000</v>
      </c>
      <c r="M972" s="112"/>
      <c r="N972" s="9">
        <f>+L972/2</f>
        <v>6500</v>
      </c>
      <c r="O972" s="9">
        <f>+N972-M972-K972</f>
        <v>4118.18</v>
      </c>
      <c r="P972" s="9">
        <f>+M972+K972</f>
        <v>2381.8200000000002</v>
      </c>
      <c r="Q972" s="109">
        <f>+O972/N972</f>
        <v>0.63356615384615389</v>
      </c>
      <c r="R972" s="395">
        <f>VLOOKUP(C972,'[1]ORIGINAL (2)'!$A:$C,3,FALSE)</f>
        <v>206</v>
      </c>
      <c r="S972" s="24" t="e">
        <f>VLOOKUP(C972,#REF!,6,FALSE)</f>
        <v>#REF!</v>
      </c>
      <c r="T972" s="24" t="e">
        <f>VLOOKUP(C972,#REF!,7,FALSE)</f>
        <v>#REF!</v>
      </c>
      <c r="U972" s="24" t="e">
        <f>VLOOKUP(C972,#REF!,12,FALSE)</f>
        <v>#REF!</v>
      </c>
      <c r="V972" s="24" t="e">
        <f>VLOOKUP(C972,#REF!,13,FALSE)</f>
        <v>#REF!</v>
      </c>
    </row>
    <row r="973" spans="1:22" x14ac:dyDescent="0.25">
      <c r="A973" s="1"/>
      <c r="B973" s="3"/>
      <c r="C973" s="3"/>
      <c r="D973" s="2"/>
      <c r="E973" s="274"/>
      <c r="F973" s="275"/>
      <c r="G973" s="2"/>
      <c r="H973" s="132"/>
      <c r="I973" s="132"/>
      <c r="J973" s="132"/>
      <c r="K973" s="132"/>
      <c r="L973" s="18"/>
      <c r="M973" s="132"/>
      <c r="N973" s="132"/>
      <c r="O973" s="132"/>
      <c r="P973" s="132"/>
      <c r="Q973" s="132"/>
      <c r="R973" s="395" t="e">
        <f>VLOOKUP(C973,'[1]ORIGINAL (2)'!$A:$C,3,FALSE)</f>
        <v>#N/A</v>
      </c>
      <c r="S973" s="100"/>
      <c r="T973" s="100"/>
      <c r="U973" s="100"/>
      <c r="V973" s="100"/>
    </row>
    <row r="974" spans="1:22" x14ac:dyDescent="0.25">
      <c r="A974" s="202" t="s">
        <v>1715</v>
      </c>
      <c r="B974" s="203"/>
      <c r="C974" s="203"/>
      <c r="D974" s="204"/>
      <c r="E974" s="205"/>
      <c r="F974" s="162"/>
      <c r="G974" s="162"/>
      <c r="H974" s="132"/>
      <c r="I974" s="132"/>
      <c r="J974" s="132"/>
      <c r="K974" s="132"/>
      <c r="L974" s="18"/>
      <c r="M974" s="132"/>
      <c r="N974" s="132"/>
      <c r="O974" s="132"/>
      <c r="P974" s="132"/>
      <c r="Q974" s="132"/>
      <c r="R974" s="395" t="e">
        <f>VLOOKUP(C974,'[1]ORIGINAL (2)'!$A:$C,3,FALSE)</f>
        <v>#N/A</v>
      </c>
      <c r="S974" s="100"/>
      <c r="T974" s="100"/>
      <c r="U974" s="100"/>
      <c r="V974" s="100"/>
    </row>
    <row r="975" spans="1:22" x14ac:dyDescent="0.25">
      <c r="A975" s="6" t="s">
        <v>1625</v>
      </c>
      <c r="B975" s="8">
        <v>9789500209465</v>
      </c>
      <c r="C975" s="6">
        <v>651431</v>
      </c>
      <c r="D975" s="7">
        <v>10</v>
      </c>
      <c r="E975" s="8" t="s">
        <v>389</v>
      </c>
      <c r="F975" s="7" t="s">
        <v>390</v>
      </c>
      <c r="G975" s="107">
        <v>43282</v>
      </c>
      <c r="H975" s="108">
        <v>43252</v>
      </c>
      <c r="I975" s="24">
        <v>3090</v>
      </c>
      <c r="J975" s="28" t="s">
        <v>1946</v>
      </c>
      <c r="K975" s="28">
        <v>76.61</v>
      </c>
      <c r="L975" s="9">
        <v>13000</v>
      </c>
      <c r="M975" s="112"/>
      <c r="N975" s="9">
        <f>+L975/2</f>
        <v>6500</v>
      </c>
      <c r="O975" s="9">
        <f>+N975-M975-K975</f>
        <v>6423.39</v>
      </c>
      <c r="P975" s="9">
        <f>+M975+K975</f>
        <v>76.61</v>
      </c>
      <c r="Q975" s="109">
        <f>+O975/N975</f>
        <v>0.98821384615384622</v>
      </c>
      <c r="R975" s="395" t="e">
        <f>VLOOKUP(C975,'[1]ORIGINAL (2)'!$A:$C,3,FALSE)</f>
        <v>#N/A</v>
      </c>
      <c r="S975" s="24" t="e">
        <f>VLOOKUP(C975,#REF!,6,FALSE)</f>
        <v>#REF!</v>
      </c>
      <c r="T975" s="24" t="e">
        <f>VLOOKUP(C975,#REF!,7,FALSE)</f>
        <v>#REF!</v>
      </c>
      <c r="U975" s="24" t="e">
        <f>VLOOKUP(C975,#REF!,12,FALSE)</f>
        <v>#REF!</v>
      </c>
      <c r="V975" s="24" t="e">
        <f>VLOOKUP(C975,#REF!,13,FALSE)</f>
        <v>#REF!</v>
      </c>
    </row>
    <row r="976" spans="1:22" x14ac:dyDescent="0.25">
      <c r="A976" s="132"/>
      <c r="B976" s="133"/>
      <c r="C976" s="133"/>
      <c r="D976" s="154"/>
      <c r="E976" s="132"/>
      <c r="F976" s="132"/>
      <c r="G976" s="132"/>
      <c r="H976" s="132"/>
      <c r="I976" s="132"/>
      <c r="J976" s="132"/>
      <c r="K976" s="132"/>
      <c r="L976" s="134"/>
      <c r="M976" s="132"/>
      <c r="N976" s="132"/>
      <c r="O976" s="132"/>
      <c r="P976" s="132"/>
      <c r="Q976" s="132"/>
      <c r="R976" s="395" t="e">
        <f>VLOOKUP(C976,'[1]ORIGINAL (2)'!$A:$C,3,FALSE)</f>
        <v>#N/A</v>
      </c>
      <c r="S976" s="100"/>
      <c r="T976" s="100"/>
      <c r="U976" s="100"/>
      <c r="V976" s="100"/>
    </row>
    <row r="977" spans="1:22" ht="15.75" x14ac:dyDescent="0.3">
      <c r="A977" s="276" t="s">
        <v>629</v>
      </c>
      <c r="B977" s="133"/>
      <c r="C977" s="133"/>
      <c r="D977" s="154"/>
      <c r="E977" s="197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395" t="e">
        <f>VLOOKUP(C977,'[1]ORIGINAL (2)'!$A:$C,3,FALSE)</f>
        <v>#N/A</v>
      </c>
      <c r="S977" s="100"/>
      <c r="T977" s="100"/>
      <c r="U977" s="100"/>
      <c r="V977" s="100"/>
    </row>
    <row r="978" spans="1:22" x14ac:dyDescent="0.25">
      <c r="A978" s="160" t="s">
        <v>1716</v>
      </c>
      <c r="B978" s="168"/>
      <c r="C978" s="168"/>
      <c r="D978" s="173"/>
      <c r="E978" s="174"/>
      <c r="F978" s="16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395" t="e">
        <f>VLOOKUP(C978,'[1]ORIGINAL (2)'!$A:$C,3,FALSE)</f>
        <v>#N/A</v>
      </c>
      <c r="S978" s="100"/>
      <c r="T978" s="100"/>
      <c r="U978" s="100"/>
      <c r="V978" s="100"/>
    </row>
    <row r="979" spans="1:22" x14ac:dyDescent="0.25">
      <c r="A979" s="7" t="s">
        <v>1717</v>
      </c>
      <c r="B979" s="8">
        <v>9789500285469</v>
      </c>
      <c r="C979" s="8">
        <v>112019</v>
      </c>
      <c r="D979" s="25">
        <v>108</v>
      </c>
      <c r="E979" s="7" t="s">
        <v>327</v>
      </c>
      <c r="F979" s="116" t="s">
        <v>1718</v>
      </c>
      <c r="G979" s="107">
        <v>36708</v>
      </c>
      <c r="H979" s="108">
        <v>43009</v>
      </c>
      <c r="I979" s="24">
        <v>2108</v>
      </c>
      <c r="J979" s="28" t="s">
        <v>2136</v>
      </c>
      <c r="K979" s="28">
        <v>16.11</v>
      </c>
      <c r="L979" s="28">
        <v>12500</v>
      </c>
      <c r="M979" s="112">
        <f t="shared" ref="M979:M990" si="141">+L979*0.1</f>
        <v>1250</v>
      </c>
      <c r="N979" s="9">
        <f t="shared" ref="N979:N990" si="142">+L979/2</f>
        <v>6250</v>
      </c>
      <c r="O979" s="9">
        <f t="shared" ref="O979:O990" si="143">+N979-M979-K979</f>
        <v>4983.8900000000003</v>
      </c>
      <c r="P979" s="9">
        <f t="shared" ref="P979:P990" si="144">+M979+K979</f>
        <v>1266.1099999999999</v>
      </c>
      <c r="Q979" s="109">
        <f t="shared" ref="Q979:Q990" si="145">+O979/N979</f>
        <v>0.79742240000000009</v>
      </c>
      <c r="R979" s="395" t="e">
        <f>VLOOKUP(C979,'[1]ORIGINAL (2)'!$A:$C,3,FALSE)</f>
        <v>#N/A</v>
      </c>
      <c r="S979" s="24" t="e">
        <f>VLOOKUP(C979,#REF!,6,FALSE)</f>
        <v>#REF!</v>
      </c>
      <c r="T979" s="24" t="e">
        <f>VLOOKUP(C979,#REF!,7,FALSE)</f>
        <v>#REF!</v>
      </c>
      <c r="U979" s="24" t="e">
        <f>VLOOKUP(C979,#REF!,12,FALSE)</f>
        <v>#REF!</v>
      </c>
      <c r="V979" s="24" t="e">
        <f>VLOOKUP(C979,#REF!,13,FALSE)</f>
        <v>#REF!</v>
      </c>
    </row>
    <row r="980" spans="1:22" x14ac:dyDescent="0.25">
      <c r="A980" s="7" t="s">
        <v>1719</v>
      </c>
      <c r="B980" s="8">
        <v>9789500210690</v>
      </c>
      <c r="C980" s="8">
        <v>685398</v>
      </c>
      <c r="D980" s="25">
        <v>96</v>
      </c>
      <c r="E980" s="7" t="s">
        <v>471</v>
      </c>
      <c r="F980" s="116" t="s">
        <v>1720</v>
      </c>
      <c r="G980" s="107">
        <v>44409</v>
      </c>
      <c r="H980" s="107">
        <v>45231</v>
      </c>
      <c r="I980" s="7">
        <v>1054</v>
      </c>
      <c r="J980" s="28" t="s">
        <v>2136</v>
      </c>
      <c r="K980" s="9">
        <v>689.06</v>
      </c>
      <c r="L980" s="28">
        <v>14900</v>
      </c>
      <c r="M980" s="112">
        <f t="shared" si="141"/>
        <v>1490</v>
      </c>
      <c r="N980" s="9">
        <f t="shared" si="142"/>
        <v>7450</v>
      </c>
      <c r="O980" s="9">
        <f t="shared" si="143"/>
        <v>5270.9400000000005</v>
      </c>
      <c r="P980" s="9">
        <f t="shared" si="144"/>
        <v>2179.06</v>
      </c>
      <c r="Q980" s="109">
        <f t="shared" si="145"/>
        <v>0.70750872483221483</v>
      </c>
      <c r="R980" s="395">
        <f>VLOOKUP(C980,'[1]ORIGINAL (2)'!$A:$C,3,FALSE)</f>
        <v>50</v>
      </c>
      <c r="S980" s="24" t="e">
        <f>VLOOKUP(C980,#REF!,6,FALSE)</f>
        <v>#REF!</v>
      </c>
      <c r="T980" s="24" t="e">
        <f>VLOOKUP(C980,#REF!,7,FALSE)</f>
        <v>#REF!</v>
      </c>
      <c r="U980" s="24" t="e">
        <f>VLOOKUP(C980,#REF!,12,FALSE)</f>
        <v>#REF!</v>
      </c>
      <c r="V980" s="24" t="e">
        <f>VLOOKUP(C980,#REF!,13,FALSE)</f>
        <v>#REF!</v>
      </c>
    </row>
    <row r="981" spans="1:22" x14ac:dyDescent="0.25">
      <c r="A981" s="7" t="s">
        <v>1721</v>
      </c>
      <c r="B981" s="16">
        <v>9789500204446</v>
      </c>
      <c r="C981" s="8">
        <v>471750</v>
      </c>
      <c r="D981" s="25">
        <v>200</v>
      </c>
      <c r="E981" s="9" t="s">
        <v>327</v>
      </c>
      <c r="F981" s="116" t="s">
        <v>1722</v>
      </c>
      <c r="G981" s="107">
        <v>36708</v>
      </c>
      <c r="H981" s="108">
        <v>43525</v>
      </c>
      <c r="I981" s="24">
        <v>10060</v>
      </c>
      <c r="J981" s="28" t="s">
        <v>2136</v>
      </c>
      <c r="K981" s="150">
        <v>43.26</v>
      </c>
      <c r="L981" s="28">
        <v>12500</v>
      </c>
      <c r="M981" s="112">
        <f t="shared" si="141"/>
        <v>1250</v>
      </c>
      <c r="N981" s="9">
        <f t="shared" si="142"/>
        <v>6250</v>
      </c>
      <c r="O981" s="9">
        <f t="shared" si="143"/>
        <v>4956.74</v>
      </c>
      <c r="P981" s="9">
        <f t="shared" si="144"/>
        <v>1293.26</v>
      </c>
      <c r="Q981" s="109">
        <f t="shared" si="145"/>
        <v>0.79307839999999996</v>
      </c>
      <c r="R981" s="395" t="e">
        <f>VLOOKUP(C981,'[1]ORIGINAL (2)'!$A:$C,3,FALSE)</f>
        <v>#N/A</v>
      </c>
      <c r="S981" s="24" t="e">
        <f>VLOOKUP(C981,#REF!,6,FALSE)</f>
        <v>#REF!</v>
      </c>
      <c r="T981" s="24" t="e">
        <f>VLOOKUP(C981,#REF!,7,FALSE)</f>
        <v>#REF!</v>
      </c>
      <c r="U981" s="24" t="e">
        <f>VLOOKUP(C981,#REF!,12,FALSE)</f>
        <v>#REF!</v>
      </c>
      <c r="V981" s="24" t="e">
        <f>VLOOKUP(C981,#REF!,13,FALSE)</f>
        <v>#REF!</v>
      </c>
    </row>
    <row r="982" spans="1:22" x14ac:dyDescent="0.25">
      <c r="A982" s="7" t="s">
        <v>1723</v>
      </c>
      <c r="B982" s="8">
        <v>9789500210362</v>
      </c>
      <c r="C982" s="217">
        <v>672057</v>
      </c>
      <c r="D982" s="25">
        <v>256</v>
      </c>
      <c r="E982" s="9" t="s">
        <v>327</v>
      </c>
      <c r="F982" s="7" t="s">
        <v>1724</v>
      </c>
      <c r="G982" s="107">
        <v>43800</v>
      </c>
      <c r="H982" s="108">
        <v>45809</v>
      </c>
      <c r="I982" s="7">
        <v>10113</v>
      </c>
      <c r="J982" s="28" t="s">
        <v>2136</v>
      </c>
      <c r="K982" s="117">
        <v>1298.28</v>
      </c>
      <c r="L982" s="28">
        <v>23500</v>
      </c>
      <c r="M982" s="112">
        <f t="shared" si="141"/>
        <v>2350</v>
      </c>
      <c r="N982" s="9">
        <f t="shared" si="142"/>
        <v>11750</v>
      </c>
      <c r="O982" s="9">
        <f t="shared" si="143"/>
        <v>8101.72</v>
      </c>
      <c r="P982" s="9">
        <f t="shared" si="144"/>
        <v>3648.2799999999997</v>
      </c>
      <c r="Q982" s="109">
        <f t="shared" si="145"/>
        <v>0.68950808510638295</v>
      </c>
      <c r="R982" s="395">
        <f>VLOOKUP(C982,'[1]ORIGINAL (2)'!$A:$C,3,FALSE)</f>
        <v>1035</v>
      </c>
      <c r="S982" s="24" t="e">
        <f>VLOOKUP(C982,#REF!,6,FALSE)</f>
        <v>#REF!</v>
      </c>
      <c r="T982" s="24" t="e">
        <f>VLOOKUP(C982,#REF!,7,FALSE)</f>
        <v>#REF!</v>
      </c>
      <c r="U982" s="24" t="e">
        <f>VLOOKUP(C982,#REF!,12,FALSE)</f>
        <v>#REF!</v>
      </c>
      <c r="V982" s="24" t="e">
        <f>VLOOKUP(C982,#REF!,13,FALSE)</f>
        <v>#REF!</v>
      </c>
    </row>
    <row r="983" spans="1:22" x14ac:dyDescent="0.25">
      <c r="A983" s="7" t="s">
        <v>1523</v>
      </c>
      <c r="B983" s="8">
        <v>9789500210133</v>
      </c>
      <c r="C983" s="217">
        <v>668114</v>
      </c>
      <c r="D983" s="25">
        <v>240</v>
      </c>
      <c r="E983" s="9" t="s">
        <v>327</v>
      </c>
      <c r="F983" s="7" t="s">
        <v>1725</v>
      </c>
      <c r="G983" s="107">
        <v>43709</v>
      </c>
      <c r="H983" s="107">
        <v>46082</v>
      </c>
      <c r="I983" s="7">
        <v>3090</v>
      </c>
      <c r="J983" s="28" t="s">
        <v>2136</v>
      </c>
      <c r="K983" s="117">
        <v>2599.9</v>
      </c>
      <c r="L983" s="28">
        <v>31900</v>
      </c>
      <c r="M983" s="112">
        <f t="shared" si="141"/>
        <v>3190</v>
      </c>
      <c r="N983" s="9">
        <f t="shared" si="142"/>
        <v>15950</v>
      </c>
      <c r="O983" s="9">
        <f t="shared" si="143"/>
        <v>10160.1</v>
      </c>
      <c r="P983" s="9">
        <f t="shared" si="144"/>
        <v>5789.9</v>
      </c>
      <c r="Q983" s="109">
        <f t="shared" si="145"/>
        <v>0.63699686520376175</v>
      </c>
      <c r="R983" s="395">
        <f>VLOOKUP(C983,'[1]ORIGINAL (2)'!$A:$C,3,FALSE)</f>
        <v>686</v>
      </c>
      <c r="S983" s="24" t="e">
        <f>VLOOKUP(C983,#REF!,6,FALSE)</f>
        <v>#REF!</v>
      </c>
      <c r="T983" s="24" t="e">
        <f>VLOOKUP(C983,#REF!,7,FALSE)</f>
        <v>#REF!</v>
      </c>
      <c r="U983" s="24" t="e">
        <f>VLOOKUP(C983,#REF!,12,FALSE)</f>
        <v>#REF!</v>
      </c>
      <c r="V983" s="24" t="e">
        <f>VLOOKUP(C983,#REF!,13,FALSE)</f>
        <v>#REF!</v>
      </c>
    </row>
    <row r="984" spans="1:22" x14ac:dyDescent="0.25">
      <c r="A984" s="7" t="s">
        <v>1726</v>
      </c>
      <c r="B984" s="8">
        <v>9789500285322</v>
      </c>
      <c r="C984" s="8">
        <v>106922</v>
      </c>
      <c r="D984" s="25">
        <v>170</v>
      </c>
      <c r="E984" s="7" t="s">
        <v>327</v>
      </c>
      <c r="F984" s="116" t="s">
        <v>1727</v>
      </c>
      <c r="G984" s="107">
        <v>36708</v>
      </c>
      <c r="H984" s="108">
        <v>42705</v>
      </c>
      <c r="I984" s="24">
        <v>1519</v>
      </c>
      <c r="J984" s="28" t="s">
        <v>2136</v>
      </c>
      <c r="K984" s="28">
        <v>32.409999999999997</v>
      </c>
      <c r="L984" s="28">
        <v>14900</v>
      </c>
      <c r="M984" s="112">
        <f t="shared" si="141"/>
        <v>1490</v>
      </c>
      <c r="N984" s="9">
        <f t="shared" si="142"/>
        <v>7450</v>
      </c>
      <c r="O984" s="9">
        <f t="shared" si="143"/>
        <v>5927.59</v>
      </c>
      <c r="P984" s="9">
        <f t="shared" si="144"/>
        <v>1522.41</v>
      </c>
      <c r="Q984" s="109">
        <f t="shared" si="145"/>
        <v>0.79564966442953022</v>
      </c>
      <c r="R984" s="395" t="e">
        <f>VLOOKUP(C984,'[1]ORIGINAL (2)'!$A:$C,3,FALSE)</f>
        <v>#N/A</v>
      </c>
      <c r="S984" s="24" t="e">
        <f>VLOOKUP(C984,#REF!,6,FALSE)</f>
        <v>#REF!</v>
      </c>
      <c r="T984" s="24" t="e">
        <f>VLOOKUP(C984,#REF!,7,FALSE)</f>
        <v>#REF!</v>
      </c>
      <c r="U984" s="24" t="e">
        <f>VLOOKUP(C984,#REF!,12,FALSE)</f>
        <v>#REF!</v>
      </c>
      <c r="V984" s="24" t="e">
        <f>VLOOKUP(C984,#REF!,13,FALSE)</f>
        <v>#REF!</v>
      </c>
    </row>
    <row r="985" spans="1:22" x14ac:dyDescent="0.25">
      <c r="A985" s="7" t="s">
        <v>1728</v>
      </c>
      <c r="B985" s="8">
        <v>9789500210522</v>
      </c>
      <c r="C985" s="8">
        <v>674457</v>
      </c>
      <c r="D985" s="25">
        <v>312</v>
      </c>
      <c r="E985" s="7" t="s">
        <v>327</v>
      </c>
      <c r="F985" s="116" t="s">
        <v>1729</v>
      </c>
      <c r="G985" s="107">
        <v>43891</v>
      </c>
      <c r="H985" s="108">
        <v>43891</v>
      </c>
      <c r="I985" s="24">
        <v>2980</v>
      </c>
      <c r="J985" s="28" t="s">
        <v>2136</v>
      </c>
      <c r="K985" s="9">
        <v>75.63</v>
      </c>
      <c r="L985" s="28">
        <v>16900</v>
      </c>
      <c r="M985" s="112">
        <f t="shared" si="141"/>
        <v>1690</v>
      </c>
      <c r="N985" s="9">
        <f t="shared" si="142"/>
        <v>8450</v>
      </c>
      <c r="O985" s="9">
        <f t="shared" si="143"/>
        <v>6684.37</v>
      </c>
      <c r="P985" s="9">
        <f t="shared" si="144"/>
        <v>1765.63</v>
      </c>
      <c r="Q985" s="109">
        <f t="shared" si="145"/>
        <v>0.79104970414201181</v>
      </c>
      <c r="R985" s="395">
        <f>VLOOKUP(C985,'[1]ORIGINAL (2)'!$A:$C,3,FALSE)</f>
        <v>38</v>
      </c>
      <c r="S985" s="24" t="e">
        <f>VLOOKUP(C985,#REF!,6,FALSE)</f>
        <v>#REF!</v>
      </c>
      <c r="T985" s="24" t="e">
        <f>VLOOKUP(C985,#REF!,7,FALSE)</f>
        <v>#REF!</v>
      </c>
      <c r="U985" s="24" t="e">
        <f>VLOOKUP(C985,#REF!,12,FALSE)</f>
        <v>#REF!</v>
      </c>
      <c r="V985" s="24" t="e">
        <f>VLOOKUP(C985,#REF!,13,FALSE)</f>
        <v>#REF!</v>
      </c>
    </row>
    <row r="986" spans="1:22" x14ac:dyDescent="0.25">
      <c r="A986" s="7" t="s">
        <v>1730</v>
      </c>
      <c r="B986" s="8">
        <v>9789500285391</v>
      </c>
      <c r="C986" s="8">
        <v>111751</v>
      </c>
      <c r="D986" s="25">
        <v>206</v>
      </c>
      <c r="E986" s="7" t="s">
        <v>327</v>
      </c>
      <c r="F986" s="116" t="s">
        <v>2012</v>
      </c>
      <c r="G986" s="107">
        <v>36708</v>
      </c>
      <c r="H986" s="108">
        <v>43009</v>
      </c>
      <c r="I986" s="24">
        <v>3014</v>
      </c>
      <c r="J986" s="28" t="s">
        <v>2136</v>
      </c>
      <c r="K986" s="28">
        <v>25.13</v>
      </c>
      <c r="L986" s="28">
        <v>19900</v>
      </c>
      <c r="M986" s="112">
        <f t="shared" si="141"/>
        <v>1990</v>
      </c>
      <c r="N986" s="9">
        <f t="shared" si="142"/>
        <v>9950</v>
      </c>
      <c r="O986" s="9">
        <f t="shared" si="143"/>
        <v>7934.87</v>
      </c>
      <c r="P986" s="9">
        <f t="shared" si="144"/>
        <v>2015.13</v>
      </c>
      <c r="Q986" s="109">
        <f t="shared" si="145"/>
        <v>0.79747437185929648</v>
      </c>
      <c r="R986" s="395">
        <f>VLOOKUP(C986,'[1]ORIGINAL (2)'!$A:$C,3,FALSE)</f>
        <v>3</v>
      </c>
      <c r="S986" s="24" t="e">
        <f>VLOOKUP(C986,#REF!,6,FALSE)</f>
        <v>#REF!</v>
      </c>
      <c r="T986" s="24" t="e">
        <f>VLOOKUP(C986,#REF!,7,FALSE)</f>
        <v>#REF!</v>
      </c>
      <c r="U986" s="24" t="e">
        <f>VLOOKUP(C986,#REF!,12,FALSE)</f>
        <v>#REF!</v>
      </c>
      <c r="V986" s="24" t="e">
        <f>VLOOKUP(C986,#REF!,13,FALSE)</f>
        <v>#REF!</v>
      </c>
    </row>
    <row r="987" spans="1:22" x14ac:dyDescent="0.25">
      <c r="A987" s="7" t="s">
        <v>1731</v>
      </c>
      <c r="B987" s="8">
        <v>9789500210386</v>
      </c>
      <c r="C987" s="13">
        <v>672696</v>
      </c>
      <c r="D987" s="25">
        <v>400</v>
      </c>
      <c r="E987" s="7" t="s">
        <v>471</v>
      </c>
      <c r="F987" s="116" t="s">
        <v>1732</v>
      </c>
      <c r="G987" s="107">
        <v>43831</v>
      </c>
      <c r="H987" s="108">
        <v>44470</v>
      </c>
      <c r="I987" s="7">
        <v>5000</v>
      </c>
      <c r="J987" s="28" t="s">
        <v>2136</v>
      </c>
      <c r="K987" s="117">
        <v>114.03</v>
      </c>
      <c r="L987" s="28">
        <v>22900</v>
      </c>
      <c r="M987" s="112">
        <f t="shared" si="141"/>
        <v>2290</v>
      </c>
      <c r="N987" s="9">
        <f t="shared" si="142"/>
        <v>11450</v>
      </c>
      <c r="O987" s="9">
        <f t="shared" si="143"/>
        <v>9045.9699999999993</v>
      </c>
      <c r="P987" s="9">
        <f t="shared" si="144"/>
        <v>2404.0300000000002</v>
      </c>
      <c r="Q987" s="109">
        <f t="shared" si="145"/>
        <v>0.79004104803493447</v>
      </c>
      <c r="R987" s="395">
        <f>VLOOKUP(C987,'[1]ORIGINAL (2)'!$A:$C,3,FALSE)</f>
        <v>173</v>
      </c>
      <c r="S987" s="24" t="e">
        <f>VLOOKUP(C987,#REF!,6,FALSE)</f>
        <v>#REF!</v>
      </c>
      <c r="T987" s="24" t="e">
        <f>VLOOKUP(C987,#REF!,7,FALSE)</f>
        <v>#REF!</v>
      </c>
      <c r="U987" s="24" t="e">
        <f>VLOOKUP(C987,#REF!,12,FALSE)</f>
        <v>#REF!</v>
      </c>
      <c r="V987" s="24" t="e">
        <f>VLOOKUP(C987,#REF!,13,FALSE)</f>
        <v>#REF!</v>
      </c>
    </row>
    <row r="988" spans="1:22" x14ac:dyDescent="0.25">
      <c r="A988" s="7" t="s">
        <v>1733</v>
      </c>
      <c r="B988" s="8">
        <v>9789500210300</v>
      </c>
      <c r="C988" s="13">
        <v>671441</v>
      </c>
      <c r="D988" s="25">
        <v>384</v>
      </c>
      <c r="E988" s="7" t="s">
        <v>471</v>
      </c>
      <c r="F988" s="116" t="s">
        <v>1734</v>
      </c>
      <c r="G988" s="107">
        <v>43800</v>
      </c>
      <c r="H988" s="108">
        <v>44896</v>
      </c>
      <c r="I988" s="7">
        <v>3005</v>
      </c>
      <c r="J988" s="28" t="s">
        <v>2136</v>
      </c>
      <c r="K988" s="9">
        <v>788.06</v>
      </c>
      <c r="L988" s="28">
        <v>31900</v>
      </c>
      <c r="M988" s="112">
        <f t="shared" si="141"/>
        <v>3190</v>
      </c>
      <c r="N988" s="9">
        <f t="shared" si="142"/>
        <v>15950</v>
      </c>
      <c r="O988" s="9">
        <f t="shared" si="143"/>
        <v>11971.94</v>
      </c>
      <c r="P988" s="9">
        <f t="shared" si="144"/>
        <v>3978.06</v>
      </c>
      <c r="Q988" s="109">
        <f t="shared" si="145"/>
        <v>0.75059184952978064</v>
      </c>
      <c r="R988" s="395">
        <f>VLOOKUP(C988,'[1]ORIGINAL (2)'!$A:$C,3,FALSE)</f>
        <v>216</v>
      </c>
      <c r="S988" s="24" t="e">
        <f>VLOOKUP(C988,#REF!,6,FALSE)</f>
        <v>#REF!</v>
      </c>
      <c r="T988" s="24" t="e">
        <f>VLOOKUP(C988,#REF!,7,FALSE)</f>
        <v>#REF!</v>
      </c>
      <c r="U988" s="24" t="e">
        <f>VLOOKUP(C988,#REF!,12,FALSE)</f>
        <v>#REF!</v>
      </c>
      <c r="V988" s="24" t="e">
        <f>VLOOKUP(C988,#REF!,13,FALSE)</f>
        <v>#REF!</v>
      </c>
    </row>
    <row r="989" spans="1:22" x14ac:dyDescent="0.25">
      <c r="A989" s="7" t="s">
        <v>1735</v>
      </c>
      <c r="B989" s="8">
        <v>9789500285384</v>
      </c>
      <c r="C989" s="8">
        <v>112021</v>
      </c>
      <c r="D989" s="25">
        <v>168</v>
      </c>
      <c r="E989" s="7" t="s">
        <v>327</v>
      </c>
      <c r="F989" s="218" t="s">
        <v>1736</v>
      </c>
      <c r="G989" s="107">
        <v>36708</v>
      </c>
      <c r="H989" s="108">
        <v>42705</v>
      </c>
      <c r="I989" s="24">
        <v>3006</v>
      </c>
      <c r="J989" s="28" t="s">
        <v>1946</v>
      </c>
      <c r="K989" s="28">
        <v>18.14</v>
      </c>
      <c r="L989" s="28">
        <v>13200</v>
      </c>
      <c r="M989" s="112">
        <f t="shared" si="141"/>
        <v>1320</v>
      </c>
      <c r="N989" s="9">
        <f t="shared" si="142"/>
        <v>6600</v>
      </c>
      <c r="O989" s="9">
        <f t="shared" si="143"/>
        <v>5261.86</v>
      </c>
      <c r="P989" s="9">
        <f t="shared" si="144"/>
        <v>1338.14</v>
      </c>
      <c r="Q989" s="109">
        <f t="shared" si="145"/>
        <v>0.79725151515151516</v>
      </c>
      <c r="R989" s="395" t="e">
        <f>VLOOKUP(C989,'[1]ORIGINAL (2)'!$A:$C,3,FALSE)</f>
        <v>#N/A</v>
      </c>
      <c r="S989" s="24" t="e">
        <f>VLOOKUP(C989,#REF!,6,FALSE)</f>
        <v>#REF!</v>
      </c>
      <c r="T989" s="24" t="e">
        <f>VLOOKUP(C989,#REF!,7,FALSE)</f>
        <v>#REF!</v>
      </c>
      <c r="U989" s="24" t="e">
        <f>VLOOKUP(C989,#REF!,12,FALSE)</f>
        <v>#REF!</v>
      </c>
      <c r="V989" s="24" t="e">
        <f>VLOOKUP(C989,#REF!,13,FALSE)</f>
        <v>#REF!</v>
      </c>
    </row>
    <row r="990" spans="1:22" x14ac:dyDescent="0.25">
      <c r="A990" s="7" t="s">
        <v>1737</v>
      </c>
      <c r="B990" s="8">
        <v>9789500210539</v>
      </c>
      <c r="C990" s="8">
        <v>674456</v>
      </c>
      <c r="D990" s="25">
        <v>144</v>
      </c>
      <c r="E990" s="7" t="s">
        <v>327</v>
      </c>
      <c r="F990" s="116" t="s">
        <v>1738</v>
      </c>
      <c r="G990" s="107">
        <v>43891</v>
      </c>
      <c r="H990" s="108">
        <v>45231</v>
      </c>
      <c r="I990" s="24">
        <v>2024</v>
      </c>
      <c r="J990" s="28" t="s">
        <v>2136</v>
      </c>
      <c r="K990" s="9">
        <v>686.69</v>
      </c>
      <c r="L990" s="28">
        <v>16900</v>
      </c>
      <c r="M990" s="112">
        <f t="shared" si="141"/>
        <v>1690</v>
      </c>
      <c r="N990" s="9">
        <f t="shared" si="142"/>
        <v>8450</v>
      </c>
      <c r="O990" s="9">
        <f t="shared" si="143"/>
        <v>6073.3099999999995</v>
      </c>
      <c r="P990" s="9">
        <f t="shared" si="144"/>
        <v>2376.69</v>
      </c>
      <c r="Q990" s="109">
        <f t="shared" si="145"/>
        <v>0.71873491124260347</v>
      </c>
      <c r="R990" s="395">
        <f>VLOOKUP(C990,'[1]ORIGINAL (2)'!$A:$C,3,FALSE)</f>
        <v>73</v>
      </c>
      <c r="S990" s="24" t="e">
        <f>VLOOKUP(C990,#REF!,6,FALSE)</f>
        <v>#REF!</v>
      </c>
      <c r="T990" s="24" t="e">
        <f>VLOOKUP(C990,#REF!,7,FALSE)</f>
        <v>#REF!</v>
      </c>
      <c r="U990" s="24" t="e">
        <f>VLOOKUP(C990,#REF!,12,FALSE)</f>
        <v>#REF!</v>
      </c>
      <c r="V990" s="24" t="e">
        <f>VLOOKUP(C990,#REF!,13,FALSE)</f>
        <v>#REF!</v>
      </c>
    </row>
    <row r="991" spans="1:22" ht="15.75" thickBot="1" x14ac:dyDescent="0.3">
      <c r="A991" s="132"/>
      <c r="B991" s="133"/>
      <c r="C991" s="133"/>
      <c r="D991" s="132"/>
      <c r="E991" s="132"/>
      <c r="F991" s="132"/>
      <c r="G991" s="132"/>
      <c r="H991" s="132"/>
      <c r="I991" s="132"/>
      <c r="J991" s="132"/>
      <c r="K991" s="132"/>
      <c r="L991" s="134"/>
      <c r="M991" s="132"/>
      <c r="N991" s="132"/>
      <c r="O991" s="132"/>
      <c r="P991" s="132"/>
      <c r="Q991" s="132"/>
      <c r="R991" s="395" t="e">
        <f>VLOOKUP(C991,'[1]ORIGINAL (2)'!$A:$C,3,FALSE)</f>
        <v>#N/A</v>
      </c>
      <c r="S991" s="100"/>
      <c r="T991" s="100"/>
      <c r="U991" s="100"/>
      <c r="V991" s="100"/>
    </row>
    <row r="992" spans="1:22" x14ac:dyDescent="0.25">
      <c r="A992" s="132"/>
      <c r="B992" s="133"/>
      <c r="C992" s="133"/>
      <c r="D992" s="132"/>
      <c r="E992" s="155" t="s">
        <v>594</v>
      </c>
      <c r="F992" s="156"/>
      <c r="G992" s="132"/>
      <c r="H992" s="132"/>
      <c r="I992" s="132"/>
      <c r="J992" s="132"/>
      <c r="K992" s="132"/>
      <c r="L992" s="134"/>
      <c r="M992" s="132"/>
      <c r="N992" s="132"/>
      <c r="O992" s="132"/>
      <c r="P992" s="132"/>
      <c r="Q992" s="132"/>
      <c r="R992" s="395" t="e">
        <f>VLOOKUP(C992,'[1]ORIGINAL (2)'!$A:$C,3,FALSE)</f>
        <v>#N/A</v>
      </c>
      <c r="S992" s="100"/>
      <c r="T992" s="100"/>
      <c r="U992" s="100"/>
      <c r="V992" s="100"/>
    </row>
    <row r="993" spans="1:22" x14ac:dyDescent="0.25">
      <c r="A993" s="6" t="s">
        <v>2008</v>
      </c>
      <c r="B993" s="8">
        <v>9789500215770</v>
      </c>
      <c r="C993" s="6">
        <v>728160</v>
      </c>
      <c r="D993" s="41">
        <v>384</v>
      </c>
      <c r="E993" s="6" t="s">
        <v>329</v>
      </c>
      <c r="F993" s="6" t="s">
        <v>2009</v>
      </c>
      <c r="G993" s="107">
        <v>45717</v>
      </c>
      <c r="H993" s="107">
        <v>46235</v>
      </c>
      <c r="I993" s="293">
        <v>10152</v>
      </c>
      <c r="J993" s="6" t="s">
        <v>1762</v>
      </c>
      <c r="K993" s="148">
        <v>1352.89</v>
      </c>
      <c r="L993" s="295">
        <v>13900</v>
      </c>
      <c r="M993" s="9"/>
      <c r="N993" s="9">
        <f>+L993/2</f>
        <v>6950</v>
      </c>
      <c r="O993" s="9">
        <f>+N993-M993-K993</f>
        <v>5597.11</v>
      </c>
      <c r="P993" s="9">
        <f>+M993+K993</f>
        <v>1352.89</v>
      </c>
      <c r="Q993" s="109">
        <f>+O993/N993</f>
        <v>0.80533956834532372</v>
      </c>
      <c r="R993" s="395">
        <f>VLOOKUP(C993,'[1]ORIGINAL (2)'!$A:$C,3,FALSE)</f>
        <v>2769</v>
      </c>
      <c r="S993" s="24" t="e">
        <f>VLOOKUP(C993,#REF!,6,FALSE)</f>
        <v>#REF!</v>
      </c>
      <c r="T993" s="24" t="e">
        <f>VLOOKUP(C993,#REF!,7,FALSE)</f>
        <v>#REF!</v>
      </c>
      <c r="U993" s="24" t="e">
        <f>VLOOKUP(C993,#REF!,12,FALSE)</f>
        <v>#REF!</v>
      </c>
      <c r="V993" s="24" t="e">
        <f>VLOOKUP(C993,#REF!,13,FALSE)</f>
        <v>#REF!</v>
      </c>
    </row>
    <row r="994" spans="1:22" x14ac:dyDescent="0.25">
      <c r="A994" s="7" t="s">
        <v>894</v>
      </c>
      <c r="B994" s="8">
        <v>9789500210409</v>
      </c>
      <c r="C994" s="8">
        <v>673649</v>
      </c>
      <c r="D994" s="25">
        <v>368</v>
      </c>
      <c r="E994" s="8" t="s">
        <v>329</v>
      </c>
      <c r="F994" s="7" t="s">
        <v>602</v>
      </c>
      <c r="G994" s="118">
        <v>43862</v>
      </c>
      <c r="H994" s="108">
        <v>45292</v>
      </c>
      <c r="I994" s="7">
        <v>15130</v>
      </c>
      <c r="J994" s="7" t="s">
        <v>1894</v>
      </c>
      <c r="K994" s="117">
        <v>157.11000000000001</v>
      </c>
      <c r="L994" s="9">
        <v>8300</v>
      </c>
      <c r="M994" s="9"/>
      <c r="N994" s="9">
        <f>+L994/2</f>
        <v>4150</v>
      </c>
      <c r="O994" s="9">
        <f>+N994-M994-K994</f>
        <v>3992.89</v>
      </c>
      <c r="P994" s="9">
        <f>+M994+K994</f>
        <v>157.11000000000001</v>
      </c>
      <c r="Q994" s="109">
        <f>+O994/N994</f>
        <v>0.96214216867469882</v>
      </c>
      <c r="R994" s="395">
        <f>VLOOKUP(C994,'[1]ORIGINAL (2)'!$A:$C,3,FALSE)</f>
        <v>2</v>
      </c>
      <c r="S994" s="24" t="e">
        <f>VLOOKUP(C994,#REF!,6,FALSE)</f>
        <v>#REF!</v>
      </c>
      <c r="T994" s="24" t="e">
        <f>VLOOKUP(C994,#REF!,7,FALSE)</f>
        <v>#REF!</v>
      </c>
      <c r="U994" s="24" t="e">
        <f>VLOOKUP(C994,#REF!,12,FALSE)</f>
        <v>#REF!</v>
      </c>
      <c r="V994" s="24" t="e">
        <f>VLOOKUP(C994,#REF!,13,FALSE)</f>
        <v>#REF!</v>
      </c>
    </row>
    <row r="995" spans="1:22" x14ac:dyDescent="0.25">
      <c r="A995" s="7" t="s">
        <v>1739</v>
      </c>
      <c r="B995" s="8">
        <v>9789500253390</v>
      </c>
      <c r="C995" s="8">
        <v>392614</v>
      </c>
      <c r="D995" s="25">
        <v>642</v>
      </c>
      <c r="E995" s="7" t="s">
        <v>329</v>
      </c>
      <c r="F995" s="7" t="s">
        <v>2436</v>
      </c>
      <c r="G995" s="107">
        <v>38292</v>
      </c>
      <c r="H995" s="107">
        <v>46235</v>
      </c>
      <c r="I995" s="7">
        <v>3027</v>
      </c>
      <c r="J995" s="7" t="s">
        <v>1762</v>
      </c>
      <c r="K995" s="148">
        <v>2746.18</v>
      </c>
      <c r="L995" s="9">
        <v>13900</v>
      </c>
      <c r="M995" s="112"/>
      <c r="N995" s="9">
        <f>+L995/2</f>
        <v>6950</v>
      </c>
      <c r="O995" s="9">
        <f>+N995-M995-K995</f>
        <v>4203.82</v>
      </c>
      <c r="P995" s="9">
        <f>+M995+K995</f>
        <v>2746.18</v>
      </c>
      <c r="Q995" s="109">
        <f>+O995/N995</f>
        <v>0.60486618705035966</v>
      </c>
      <c r="R995" s="395">
        <f>VLOOKUP(C995,'[1]ORIGINAL (2)'!$A:$C,3,FALSE)</f>
        <v>916</v>
      </c>
      <c r="S995" s="24" t="e">
        <f>VLOOKUP(C995,#REF!,6,FALSE)</f>
        <v>#REF!</v>
      </c>
      <c r="T995" s="24" t="e">
        <f>VLOOKUP(C995,#REF!,7,FALSE)</f>
        <v>#REF!</v>
      </c>
      <c r="U995" s="24" t="e">
        <f>VLOOKUP(C995,#REF!,12,FALSE)</f>
        <v>#REF!</v>
      </c>
      <c r="V995" s="24" t="e">
        <f>VLOOKUP(C995,#REF!,13,FALSE)</f>
        <v>#REF!</v>
      </c>
    </row>
    <row r="996" spans="1:22" x14ac:dyDescent="0.25">
      <c r="A996" s="7" t="s">
        <v>1740</v>
      </c>
      <c r="B996" s="8">
        <v>9789500253383</v>
      </c>
      <c r="C996" s="8">
        <v>392615</v>
      </c>
      <c r="D996" s="25">
        <v>448</v>
      </c>
      <c r="E996" s="7" t="s">
        <v>329</v>
      </c>
      <c r="F996" s="7" t="s">
        <v>1741</v>
      </c>
      <c r="G996" s="107">
        <v>38292</v>
      </c>
      <c r="H996" s="108">
        <v>44866</v>
      </c>
      <c r="I996" s="7">
        <v>1876</v>
      </c>
      <c r="J996" s="7" t="s">
        <v>1333</v>
      </c>
      <c r="K996" s="117">
        <v>358.95</v>
      </c>
      <c r="L996" s="9">
        <v>9200</v>
      </c>
      <c r="M996" s="112"/>
      <c r="N996" s="9">
        <f>+L996/2</f>
        <v>4600</v>
      </c>
      <c r="O996" s="9">
        <f>+N996-M996-K996</f>
        <v>4241.05</v>
      </c>
      <c r="P996" s="9">
        <f>+M996+K996</f>
        <v>358.95</v>
      </c>
      <c r="Q996" s="109">
        <f>+O996/N996</f>
        <v>0.92196739130434791</v>
      </c>
      <c r="R996" s="395">
        <f>VLOOKUP(C996,'[1]ORIGINAL (2)'!$A:$C,3,FALSE)</f>
        <v>206</v>
      </c>
      <c r="S996" s="24" t="e">
        <f>VLOOKUP(C996,#REF!,6,FALSE)</f>
        <v>#REF!</v>
      </c>
      <c r="T996" s="24" t="e">
        <f>VLOOKUP(C996,#REF!,7,FALSE)</f>
        <v>#REF!</v>
      </c>
      <c r="U996" s="24" t="e">
        <f>VLOOKUP(C996,#REF!,12,FALSE)</f>
        <v>#REF!</v>
      </c>
      <c r="V996" s="24" t="e">
        <f>VLOOKUP(C996,#REF!,13,FALSE)</f>
        <v>#REF!</v>
      </c>
    </row>
    <row r="997" spans="1:22" ht="15.75" thickBot="1" x14ac:dyDescent="0.3"/>
    <row r="998" spans="1:22" x14ac:dyDescent="0.25">
      <c r="A998" s="132"/>
      <c r="B998" s="133"/>
      <c r="C998" s="133"/>
      <c r="D998" s="154"/>
      <c r="E998" s="155" t="s">
        <v>1106</v>
      </c>
      <c r="F998" s="156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47"/>
      <c r="R998" s="395" t="e">
        <f>VLOOKUP(C998,'[1]ORIGINAL (2)'!$A:$C,3,FALSE)</f>
        <v>#N/A</v>
      </c>
      <c r="S998" s="100"/>
      <c r="T998" s="100"/>
      <c r="U998" s="100"/>
      <c r="V998" s="100"/>
    </row>
    <row r="999" spans="1:22" x14ac:dyDescent="0.25">
      <c r="A999" s="6" t="s">
        <v>1108</v>
      </c>
      <c r="B999" s="8">
        <v>9789500213219</v>
      </c>
      <c r="C999" s="8">
        <v>700537</v>
      </c>
      <c r="D999" s="41">
        <v>368</v>
      </c>
      <c r="E999" s="7" t="s">
        <v>740</v>
      </c>
      <c r="F999" s="7" t="s">
        <v>741</v>
      </c>
      <c r="G999" s="107">
        <v>43862</v>
      </c>
      <c r="H999" s="108">
        <v>44470</v>
      </c>
      <c r="I999" s="7">
        <v>3054</v>
      </c>
      <c r="J999" s="28" t="s">
        <v>2136</v>
      </c>
      <c r="K999" s="9">
        <v>667.17</v>
      </c>
      <c r="L999" s="112">
        <v>12000</v>
      </c>
      <c r="M999" s="112">
        <f t="shared" ref="M999:M1000" si="146">+L999*0.08</f>
        <v>960</v>
      </c>
      <c r="N999" s="9">
        <f t="shared" ref="N999:N1000" si="147">+L999/2</f>
        <v>6000</v>
      </c>
      <c r="O999" s="9">
        <f t="shared" ref="O999:O1000" si="148">+N999-M999-K999</f>
        <v>4372.83</v>
      </c>
      <c r="P999" s="9">
        <f t="shared" ref="P999:P1000" si="149">+M999+K999</f>
        <v>1627.17</v>
      </c>
      <c r="Q999" s="139">
        <f t="shared" ref="Q999:Q1000" si="150">+O999/N999</f>
        <v>0.72880500000000004</v>
      </c>
      <c r="R999" s="395">
        <f>VLOOKUP(C999,'[1]ORIGINAL (2)'!$A:$C,3,FALSE)</f>
        <v>17</v>
      </c>
      <c r="S999" s="24" t="e">
        <f>VLOOKUP(C999,#REF!,6,FALSE)</f>
        <v>#REF!</v>
      </c>
      <c r="T999" s="24" t="e">
        <f>VLOOKUP(C999,#REF!,7,FALSE)</f>
        <v>#REF!</v>
      </c>
      <c r="U999" s="24" t="e">
        <f>VLOOKUP(C999,#REF!,12,FALSE)</f>
        <v>#REF!</v>
      </c>
      <c r="V999" s="24" t="e">
        <f>VLOOKUP(C999,#REF!,13,FALSE)</f>
        <v>#REF!</v>
      </c>
    </row>
    <row r="1000" spans="1:22" x14ac:dyDescent="0.25">
      <c r="A1000" s="7" t="s">
        <v>1110</v>
      </c>
      <c r="B1000" s="34">
        <v>9789500211802</v>
      </c>
      <c r="C1000" s="8">
        <v>683963</v>
      </c>
      <c r="D1000" s="25">
        <v>216</v>
      </c>
      <c r="E1000" s="30" t="s">
        <v>551</v>
      </c>
      <c r="F1000" s="116" t="s">
        <v>1111</v>
      </c>
      <c r="G1000" s="107">
        <v>44348</v>
      </c>
      <c r="H1000" s="108">
        <v>44317</v>
      </c>
      <c r="I1000" s="24">
        <v>3105</v>
      </c>
      <c r="J1000" s="28" t="s">
        <v>1946</v>
      </c>
      <c r="K1000" s="9">
        <v>163.38999999999999</v>
      </c>
      <c r="L1000" s="112">
        <v>12000</v>
      </c>
      <c r="M1000" s="9">
        <f t="shared" si="146"/>
        <v>960</v>
      </c>
      <c r="N1000" s="9">
        <f t="shared" si="147"/>
        <v>6000</v>
      </c>
      <c r="O1000" s="9">
        <f t="shared" si="148"/>
        <v>4876.6099999999997</v>
      </c>
      <c r="P1000" s="9">
        <f t="shared" si="149"/>
        <v>1123.3899999999999</v>
      </c>
      <c r="Q1000" s="139">
        <f t="shared" si="150"/>
        <v>0.81276833333333331</v>
      </c>
      <c r="R1000" s="395">
        <f>VLOOKUP(C1000,'[1]ORIGINAL (2)'!$A:$C,3,FALSE)</f>
        <v>52</v>
      </c>
      <c r="S1000" s="24" t="e">
        <f>VLOOKUP(C1000,#REF!,6,FALSE)</f>
        <v>#REF!</v>
      </c>
      <c r="T1000" s="24" t="e">
        <f>VLOOKUP(C1000,#REF!,7,FALSE)</f>
        <v>#REF!</v>
      </c>
      <c r="U1000" s="24" t="e">
        <f>VLOOKUP(C1000,#REF!,12,FALSE)</f>
        <v>#REF!</v>
      </c>
      <c r="V1000" s="24" t="e">
        <f>VLOOKUP(C1000,#REF!,13,FALSE)</f>
        <v>#REF!</v>
      </c>
    </row>
    <row r="1001" spans="1:22" x14ac:dyDescent="0.25">
      <c r="A1001" s="36" t="s">
        <v>1182</v>
      </c>
      <c r="B1001" s="37">
        <v>9789500214728</v>
      </c>
      <c r="C1001" s="37">
        <v>713083</v>
      </c>
      <c r="D1001" s="149">
        <v>176</v>
      </c>
      <c r="E1001" s="38" t="s">
        <v>876</v>
      </c>
      <c r="F1001" s="38" t="s">
        <v>874</v>
      </c>
      <c r="G1001" s="107">
        <v>45292</v>
      </c>
      <c r="H1001" s="108">
        <v>45261</v>
      </c>
      <c r="I1001" s="7">
        <v>3045</v>
      </c>
      <c r="J1001" s="8" t="s">
        <v>2258</v>
      </c>
      <c r="K1001" s="148">
        <v>975.98</v>
      </c>
      <c r="L1001" s="112">
        <v>12000</v>
      </c>
      <c r="M1001" s="112">
        <f>+L1001*0.08</f>
        <v>960</v>
      </c>
      <c r="N1001" s="9">
        <f t="shared" ref="N1001:N1004" si="151">+L1001/2</f>
        <v>6000</v>
      </c>
      <c r="O1001" s="9">
        <f t="shared" ref="O1001:O1004" si="152">+N1001-M1001-K1001</f>
        <v>4064.02</v>
      </c>
      <c r="P1001" s="9">
        <f t="shared" ref="P1001:P1004" si="153">+M1001+K1001</f>
        <v>1935.98</v>
      </c>
      <c r="Q1001" s="139">
        <f t="shared" ref="Q1001:Q1004" si="154">+O1001/N1001</f>
        <v>0.6773366666666667</v>
      </c>
      <c r="R1001" s="395">
        <f>VLOOKUP(C1001,'[1]ORIGINAL (2)'!$A:$C,3,FALSE)</f>
        <v>71</v>
      </c>
      <c r="S1001" s="24" t="e">
        <f>VLOOKUP(C1001,#REF!,6,FALSE)</f>
        <v>#REF!</v>
      </c>
      <c r="T1001" s="24" t="e">
        <f>VLOOKUP(C1001,#REF!,7,FALSE)</f>
        <v>#REF!</v>
      </c>
      <c r="U1001" s="24" t="e">
        <f>VLOOKUP(C1001,#REF!,12,FALSE)</f>
        <v>#REF!</v>
      </c>
      <c r="V1001" s="24" t="e">
        <f>VLOOKUP(C1001,#REF!,13,FALSE)</f>
        <v>#REF!</v>
      </c>
    </row>
    <row r="1002" spans="1:22" x14ac:dyDescent="0.25">
      <c r="A1002" s="6" t="s">
        <v>1186</v>
      </c>
      <c r="B1002" s="8">
        <v>9789500213479</v>
      </c>
      <c r="C1002" s="8">
        <v>707247</v>
      </c>
      <c r="D1002" s="41">
        <v>544</v>
      </c>
      <c r="E1002" s="7" t="s">
        <v>810</v>
      </c>
      <c r="F1002" s="7" t="s">
        <v>809</v>
      </c>
      <c r="G1002" s="107">
        <v>45108</v>
      </c>
      <c r="H1002" s="108">
        <v>45078</v>
      </c>
      <c r="I1002" s="7">
        <v>3078</v>
      </c>
      <c r="J1002" s="8" t="s">
        <v>2258</v>
      </c>
      <c r="K1002" s="9">
        <v>1061.46</v>
      </c>
      <c r="L1002" s="112">
        <v>12000</v>
      </c>
      <c r="M1002" s="9">
        <f>+L1002*0.08</f>
        <v>960</v>
      </c>
      <c r="N1002" s="9">
        <f t="shared" si="151"/>
        <v>6000</v>
      </c>
      <c r="O1002" s="9">
        <f t="shared" si="152"/>
        <v>3978.54</v>
      </c>
      <c r="P1002" s="9">
        <f t="shared" si="153"/>
        <v>2021.46</v>
      </c>
      <c r="Q1002" s="139">
        <f t="shared" si="154"/>
        <v>0.66308999999999996</v>
      </c>
      <c r="R1002" s="395">
        <f>VLOOKUP(C1002,'[1]ORIGINAL (2)'!$A:$C,3,FALSE)</f>
        <v>62</v>
      </c>
      <c r="S1002" s="24" t="e">
        <f>VLOOKUP(C1002,#REF!,6,FALSE)</f>
        <v>#REF!</v>
      </c>
      <c r="T1002" s="24" t="e">
        <f>VLOOKUP(C1002,#REF!,7,FALSE)</f>
        <v>#REF!</v>
      </c>
      <c r="U1002" s="24" t="e">
        <f>VLOOKUP(C1002,#REF!,12,FALSE)</f>
        <v>#REF!</v>
      </c>
      <c r="V1002" s="24" t="e">
        <f>VLOOKUP(C1002,#REF!,13,FALSE)</f>
        <v>#REF!</v>
      </c>
    </row>
    <row r="1003" spans="1:22" x14ac:dyDescent="0.25">
      <c r="A1003" s="6" t="s">
        <v>1191</v>
      </c>
      <c r="B1003" s="8">
        <v>9789500213301</v>
      </c>
      <c r="C1003" s="8">
        <v>702717</v>
      </c>
      <c r="D1003" s="41">
        <v>176</v>
      </c>
      <c r="E1003" s="7" t="s">
        <v>751</v>
      </c>
      <c r="F1003" s="7" t="s">
        <v>752</v>
      </c>
      <c r="G1003" s="107">
        <v>44927</v>
      </c>
      <c r="H1003" s="108">
        <v>45078</v>
      </c>
      <c r="I1003" s="7">
        <v>2043</v>
      </c>
      <c r="J1003" s="8" t="s">
        <v>2258</v>
      </c>
      <c r="K1003" s="9">
        <v>828.4</v>
      </c>
      <c r="L1003" s="112">
        <v>12000</v>
      </c>
      <c r="M1003" s="112">
        <f>+L1003*0.08</f>
        <v>960</v>
      </c>
      <c r="N1003" s="9">
        <f t="shared" si="151"/>
        <v>6000</v>
      </c>
      <c r="O1003" s="9">
        <f t="shared" si="152"/>
        <v>4211.6000000000004</v>
      </c>
      <c r="P1003" s="9">
        <f t="shared" si="153"/>
        <v>1788.4</v>
      </c>
      <c r="Q1003" s="139">
        <f t="shared" si="154"/>
        <v>0.70193333333333341</v>
      </c>
      <c r="R1003" s="395">
        <f>VLOOKUP(C1003,'[1]ORIGINAL (2)'!$A:$C,3,FALSE)</f>
        <v>202</v>
      </c>
      <c r="S1003" s="24" t="e">
        <f>VLOOKUP(C1003,#REF!,6,FALSE)</f>
        <v>#REF!</v>
      </c>
      <c r="T1003" s="24" t="e">
        <f>VLOOKUP(C1003,#REF!,7,FALSE)</f>
        <v>#REF!</v>
      </c>
      <c r="U1003" s="24" t="e">
        <f>VLOOKUP(C1003,#REF!,12,FALSE)</f>
        <v>#REF!</v>
      </c>
      <c r="V1003" s="24" t="e">
        <f>VLOOKUP(C1003,#REF!,13,FALSE)</f>
        <v>#REF!</v>
      </c>
    </row>
    <row r="1004" spans="1:22" x14ac:dyDescent="0.25">
      <c r="A1004" s="7" t="s">
        <v>1216</v>
      </c>
      <c r="B1004" s="8">
        <v>9789500210270</v>
      </c>
      <c r="C1004" s="14">
        <v>671437</v>
      </c>
      <c r="D1004" s="25">
        <v>192</v>
      </c>
      <c r="E1004" s="7" t="s">
        <v>468</v>
      </c>
      <c r="F1004" s="7" t="s">
        <v>469</v>
      </c>
      <c r="G1004" s="107">
        <v>43800</v>
      </c>
      <c r="H1004" s="108">
        <v>43770</v>
      </c>
      <c r="I1004" s="24">
        <v>3064</v>
      </c>
      <c r="J1004" s="8" t="s">
        <v>2258</v>
      </c>
      <c r="K1004" s="150">
        <v>82.93</v>
      </c>
      <c r="L1004" s="112">
        <v>12000</v>
      </c>
      <c r="M1004" s="9">
        <f>+L1004*0.08</f>
        <v>960</v>
      </c>
      <c r="N1004" s="9">
        <f t="shared" si="151"/>
        <v>6000</v>
      </c>
      <c r="O1004" s="9">
        <f t="shared" si="152"/>
        <v>4957.07</v>
      </c>
      <c r="P1004" s="9">
        <f t="shared" si="153"/>
        <v>1042.93</v>
      </c>
      <c r="Q1004" s="139">
        <f t="shared" si="154"/>
        <v>0.82617833333333324</v>
      </c>
      <c r="R1004" s="395">
        <f>VLOOKUP(C1004,'[1]ORIGINAL (2)'!$A:$C,3,FALSE)</f>
        <v>64</v>
      </c>
      <c r="S1004" s="24" t="e">
        <f>VLOOKUP(C1004,#REF!,6,FALSE)</f>
        <v>#REF!</v>
      </c>
      <c r="T1004" s="24" t="e">
        <f>VLOOKUP(C1004,#REF!,7,FALSE)</f>
        <v>#REF!</v>
      </c>
      <c r="U1004" s="24" t="e">
        <f>VLOOKUP(C1004,#REF!,12,FALSE)</f>
        <v>#REF!</v>
      </c>
      <c r="V1004" s="24" t="e">
        <f>VLOOKUP(C1004,#REF!,13,FALSE)</f>
        <v>#REF!</v>
      </c>
    </row>
    <row r="1005" spans="1:22" x14ac:dyDescent="0.25">
      <c r="A1005" s="2"/>
      <c r="B1005" s="3"/>
      <c r="C1005" s="3"/>
      <c r="D1005" s="2"/>
      <c r="E1005" s="2"/>
      <c r="F1005" s="2"/>
      <c r="G1005" s="2"/>
      <c r="H1005" s="132"/>
      <c r="I1005" s="132"/>
      <c r="J1005" s="134"/>
      <c r="K1005" s="132"/>
      <c r="L1005" s="112">
        <v>12000</v>
      </c>
      <c r="M1005" s="132"/>
      <c r="N1005" s="132"/>
      <c r="O1005" s="132"/>
      <c r="P1005" s="132"/>
      <c r="Q1005" s="147"/>
      <c r="R1005" s="395" t="e">
        <f>VLOOKUP(C1005,'[1]ORIGINAL (2)'!$A:$C,3,FALSE)</f>
        <v>#N/A</v>
      </c>
      <c r="S1005" s="100"/>
      <c r="T1005" s="100"/>
      <c r="U1005" s="100"/>
      <c r="V1005" s="100"/>
    </row>
    <row r="1006" spans="1:22" x14ac:dyDescent="0.25">
      <c r="A1006" s="6" t="s">
        <v>1784</v>
      </c>
      <c r="B1006" s="8">
        <v>9789500214926</v>
      </c>
      <c r="C1006" s="8">
        <v>714588</v>
      </c>
      <c r="D1006" s="41">
        <v>320</v>
      </c>
      <c r="E1006" s="7" t="s">
        <v>1785</v>
      </c>
      <c r="F1006" s="25" t="s">
        <v>1786</v>
      </c>
      <c r="G1006" s="107">
        <v>45383</v>
      </c>
      <c r="H1006" s="108">
        <v>45717</v>
      </c>
      <c r="I1006" s="293">
        <v>2088</v>
      </c>
      <c r="J1006" s="8" t="s">
        <v>2136</v>
      </c>
      <c r="K1006" s="148">
        <v>3465.81</v>
      </c>
      <c r="L1006" s="112">
        <v>12000</v>
      </c>
      <c r="M1006" s="112">
        <f>+L1006*0.08</f>
        <v>960</v>
      </c>
      <c r="N1006" s="9">
        <f t="shared" ref="N1006:N1007" si="155">+L1006/2</f>
        <v>6000</v>
      </c>
      <c r="O1006" s="9">
        <f t="shared" ref="O1006:O1009" si="156">+N1006-M1006-K1006</f>
        <v>1574.19</v>
      </c>
      <c r="P1006" s="9">
        <f t="shared" ref="P1006:P1009" si="157">+M1006+K1006</f>
        <v>4425.8099999999995</v>
      </c>
      <c r="Q1006" s="139">
        <f t="shared" ref="Q1006:Q1009" si="158">+O1006/N1006</f>
        <v>0.26236500000000001</v>
      </c>
      <c r="R1006" s="395">
        <f>VLOOKUP(C1006,'[1]ORIGINAL (2)'!$A:$C,3,FALSE)</f>
        <v>155</v>
      </c>
      <c r="S1006" s="24" t="e">
        <f>VLOOKUP(C1006,#REF!,6,FALSE)</f>
        <v>#REF!</v>
      </c>
      <c r="T1006" s="24" t="e">
        <f>VLOOKUP(C1006,#REF!,7,FALSE)</f>
        <v>#REF!</v>
      </c>
      <c r="U1006" s="24" t="e">
        <f>VLOOKUP(C1006,#REF!,12,FALSE)</f>
        <v>#REF!</v>
      </c>
      <c r="V1006" s="24" t="e">
        <f>VLOOKUP(C1006,#REF!,13,FALSE)</f>
        <v>#REF!</v>
      </c>
    </row>
    <row r="1007" spans="1:22" x14ac:dyDescent="0.25">
      <c r="A1007" s="7" t="s">
        <v>1787</v>
      </c>
      <c r="B1007" s="8">
        <v>9789500214988</v>
      </c>
      <c r="C1007" s="8">
        <v>714589</v>
      </c>
      <c r="D1007" s="25">
        <v>224</v>
      </c>
      <c r="E1007" s="7" t="s">
        <v>580</v>
      </c>
      <c r="F1007" s="25" t="s">
        <v>1788</v>
      </c>
      <c r="G1007" s="107">
        <v>45383</v>
      </c>
      <c r="H1007" s="108">
        <v>45474</v>
      </c>
      <c r="I1007" s="264">
        <v>2097</v>
      </c>
      <c r="J1007" s="28" t="s">
        <v>2136</v>
      </c>
      <c r="K1007" s="117">
        <v>1873.41</v>
      </c>
      <c r="L1007" s="112">
        <v>12000</v>
      </c>
      <c r="M1007" s="9">
        <f>+L1007*0.1</f>
        <v>1200</v>
      </c>
      <c r="N1007" s="9">
        <f t="shared" si="155"/>
        <v>6000</v>
      </c>
      <c r="O1007" s="9">
        <f t="shared" si="156"/>
        <v>2926.59</v>
      </c>
      <c r="P1007" s="9">
        <f t="shared" si="157"/>
        <v>3073.41</v>
      </c>
      <c r="Q1007" s="139">
        <f t="shared" si="158"/>
        <v>0.487765</v>
      </c>
      <c r="R1007" s="395">
        <f>VLOOKUP(C1007,'[1]ORIGINAL (2)'!$A:$C,3,FALSE)</f>
        <v>46</v>
      </c>
      <c r="S1007" s="24" t="e">
        <f>VLOOKUP(C1007,#REF!,6,FALSE)</f>
        <v>#REF!</v>
      </c>
      <c r="T1007" s="24" t="e">
        <f>VLOOKUP(C1007,#REF!,7,FALSE)</f>
        <v>#REF!</v>
      </c>
      <c r="U1007" s="24" t="e">
        <f>VLOOKUP(C1007,#REF!,12,FALSE)</f>
        <v>#REF!</v>
      </c>
      <c r="V1007" s="24" t="e">
        <f>VLOOKUP(C1007,#REF!,13,FALSE)</f>
        <v>#REF!</v>
      </c>
    </row>
    <row r="1008" spans="1:22" x14ac:dyDescent="0.25">
      <c r="A1008" s="7" t="s">
        <v>1300</v>
      </c>
      <c r="B1008" s="8">
        <v>9789500212151</v>
      </c>
      <c r="C1008" s="8">
        <v>687542</v>
      </c>
      <c r="D1008" s="7">
        <v>392</v>
      </c>
      <c r="E1008" s="30" t="s">
        <v>505</v>
      </c>
      <c r="F1008" s="7" t="s">
        <v>579</v>
      </c>
      <c r="G1008" s="107">
        <v>44470</v>
      </c>
      <c r="H1008" s="108">
        <v>44440</v>
      </c>
      <c r="I1008" s="7">
        <v>14910</v>
      </c>
      <c r="J1008" s="28" t="s">
        <v>1333</v>
      </c>
      <c r="K1008" s="117">
        <v>197.78</v>
      </c>
      <c r="L1008" s="112">
        <v>12000</v>
      </c>
      <c r="M1008" s="112">
        <f>+L1008*0.12</f>
        <v>1440</v>
      </c>
      <c r="N1008" s="9">
        <f t="shared" ref="N1008:N1009" si="159">+L1008/2</f>
        <v>6000</v>
      </c>
      <c r="O1008" s="9">
        <f t="shared" si="156"/>
        <v>4362.22</v>
      </c>
      <c r="P1008" s="9">
        <f t="shared" si="157"/>
        <v>1637.78</v>
      </c>
      <c r="Q1008" s="139">
        <f t="shared" si="158"/>
        <v>0.72703666666666666</v>
      </c>
      <c r="R1008" s="395">
        <f>VLOOKUP(C1008,'[1]ORIGINAL (2)'!$A:$C,3,FALSE)</f>
        <v>230</v>
      </c>
      <c r="S1008" s="24" t="e">
        <f>VLOOKUP(C1008,#REF!,6,FALSE)</f>
        <v>#REF!</v>
      </c>
      <c r="T1008" s="24" t="e">
        <f>VLOOKUP(C1008,#REF!,7,FALSE)</f>
        <v>#REF!</v>
      </c>
      <c r="U1008" s="24" t="e">
        <f>VLOOKUP(C1008,#REF!,12,FALSE)</f>
        <v>#REF!</v>
      </c>
      <c r="V1008" s="24" t="e">
        <f>VLOOKUP(C1008,#REF!,13,FALSE)</f>
        <v>#REF!</v>
      </c>
    </row>
    <row r="1009" spans="1:22" x14ac:dyDescent="0.25">
      <c r="A1009" s="6" t="s">
        <v>1301</v>
      </c>
      <c r="B1009" s="8">
        <v>9789500214094</v>
      </c>
      <c r="C1009" s="6">
        <v>709134</v>
      </c>
      <c r="D1009" s="41">
        <v>240</v>
      </c>
      <c r="E1009" s="7" t="s">
        <v>505</v>
      </c>
      <c r="F1009" s="6" t="s">
        <v>819</v>
      </c>
      <c r="G1009" s="107">
        <v>45200</v>
      </c>
      <c r="H1009" s="108">
        <v>45170</v>
      </c>
      <c r="I1009" s="7">
        <v>5113</v>
      </c>
      <c r="J1009" s="28" t="s">
        <v>1333</v>
      </c>
      <c r="K1009" s="117">
        <v>671.39</v>
      </c>
      <c r="L1009" s="112">
        <v>12000</v>
      </c>
      <c r="M1009" s="112">
        <f>+L1009*0.1</f>
        <v>1200</v>
      </c>
      <c r="N1009" s="9">
        <f t="shared" si="159"/>
        <v>6000</v>
      </c>
      <c r="O1009" s="9">
        <f t="shared" si="156"/>
        <v>4128.6099999999997</v>
      </c>
      <c r="P1009" s="9">
        <f t="shared" si="157"/>
        <v>1871.3899999999999</v>
      </c>
      <c r="Q1009" s="139">
        <f t="shared" si="158"/>
        <v>0.68810166666666661</v>
      </c>
      <c r="R1009" s="395">
        <f>VLOOKUP(C1009,'[1]ORIGINAL (2)'!$A:$C,3,FALSE)</f>
        <v>383</v>
      </c>
      <c r="S1009" s="24" t="e">
        <f>VLOOKUP(C1009,#REF!,6,FALSE)</f>
        <v>#REF!</v>
      </c>
      <c r="T1009" s="24" t="e">
        <f>VLOOKUP(C1009,#REF!,7,FALSE)</f>
        <v>#REF!</v>
      </c>
      <c r="U1009" s="24" t="e">
        <f>VLOOKUP(C1009,#REF!,12,FALSE)</f>
        <v>#REF!</v>
      </c>
      <c r="V1009" s="24" t="e">
        <f>VLOOKUP(C1009,#REF!,13,FALSE)</f>
        <v>#REF!</v>
      </c>
    </row>
    <row r="1010" spans="1:22" x14ac:dyDescent="0.25">
      <c r="A1010" s="132"/>
      <c r="B1010" s="133"/>
      <c r="C1010" s="133"/>
      <c r="D1010" s="154"/>
      <c r="E1010" s="132"/>
      <c r="F1010" s="132"/>
      <c r="G1010" s="132"/>
      <c r="H1010" s="132"/>
      <c r="I1010" s="132"/>
      <c r="J1010" s="134"/>
      <c r="K1010" s="132"/>
      <c r="L1010" s="112">
        <v>12000</v>
      </c>
      <c r="M1010" s="132"/>
      <c r="N1010" s="132"/>
      <c r="O1010" s="132"/>
      <c r="P1010" s="132"/>
      <c r="Q1010" s="147"/>
      <c r="R1010" s="395" t="e">
        <f>VLOOKUP(C1010,'[1]ORIGINAL (2)'!$A:$C,3,FALSE)</f>
        <v>#N/A</v>
      </c>
      <c r="S1010" s="100"/>
      <c r="T1010" s="100"/>
      <c r="U1010" s="100"/>
      <c r="V1010" s="100"/>
    </row>
    <row r="1011" spans="1:22" x14ac:dyDescent="0.25">
      <c r="A1011" s="132"/>
      <c r="B1011" s="133"/>
      <c r="C1011" s="133"/>
      <c r="D1011" s="154"/>
      <c r="E1011" s="132"/>
      <c r="F1011" s="132"/>
      <c r="G1011" s="132"/>
      <c r="H1011" s="132"/>
      <c r="I1011" s="132"/>
      <c r="J1011" s="134"/>
      <c r="K1011" s="132"/>
      <c r="L1011" s="112">
        <v>12000</v>
      </c>
      <c r="M1011" s="132"/>
      <c r="N1011" s="132"/>
      <c r="O1011" s="132"/>
      <c r="P1011" s="132"/>
      <c r="Q1011" s="147"/>
      <c r="R1011" s="395" t="e">
        <f>VLOOKUP(C1011,'[1]ORIGINAL (2)'!$A:$C,3,FALSE)</f>
        <v>#N/A</v>
      </c>
      <c r="S1011" s="100"/>
      <c r="T1011" s="100"/>
      <c r="U1011" s="100"/>
      <c r="V1011" s="100"/>
    </row>
    <row r="1012" spans="1:22" x14ac:dyDescent="0.25">
      <c r="A1012" s="6" t="s">
        <v>2018</v>
      </c>
      <c r="B1012" s="279">
        <v>9789500216159</v>
      </c>
      <c r="C1012" s="6">
        <v>728123</v>
      </c>
      <c r="D1012" s="41">
        <v>176</v>
      </c>
      <c r="E1012" s="8" t="s">
        <v>2019</v>
      </c>
      <c r="F1012" s="6" t="s">
        <v>2020</v>
      </c>
      <c r="G1012" s="107">
        <v>45748</v>
      </c>
      <c r="H1012" s="108">
        <v>45717</v>
      </c>
      <c r="I1012" s="264">
        <v>3557</v>
      </c>
      <c r="J1012" s="28" t="s">
        <v>2136</v>
      </c>
      <c r="K1012" s="292">
        <v>1145.3399999999999</v>
      </c>
      <c r="L1012" s="112">
        <v>12000</v>
      </c>
      <c r="M1012" s="9">
        <f t="shared" ref="M1012:M1014" si="160">+L1012*0.08</f>
        <v>960</v>
      </c>
      <c r="N1012" s="9">
        <f t="shared" ref="N1012:N1016" si="161">+L1012/2</f>
        <v>6000</v>
      </c>
      <c r="O1012" s="9">
        <f t="shared" ref="O1012:O1016" si="162">+N1012-M1012-K1012</f>
        <v>3894.66</v>
      </c>
      <c r="P1012" s="9">
        <f t="shared" ref="P1012:P1016" si="163">+M1012+K1012</f>
        <v>2105.34</v>
      </c>
      <c r="Q1012" s="109">
        <f t="shared" ref="Q1012:Q1016" si="164">+O1012/N1012</f>
        <v>0.64910999999999996</v>
      </c>
      <c r="R1012" s="395">
        <f>VLOOKUP(C1012,'[1]ORIGINAL (2)'!$A:$C,3,FALSE)</f>
        <v>173</v>
      </c>
      <c r="S1012" s="24" t="e">
        <f>VLOOKUP(C1012,#REF!,6,FALSE)</f>
        <v>#REF!</v>
      </c>
      <c r="T1012" s="24" t="e">
        <f>VLOOKUP(C1012,#REF!,7,FALSE)</f>
        <v>#REF!</v>
      </c>
      <c r="U1012" s="24" t="e">
        <f>VLOOKUP(C1012,#REF!,12,FALSE)</f>
        <v>#REF!</v>
      </c>
      <c r="V1012" s="24" t="e">
        <f>VLOOKUP(C1012,#REF!,13,FALSE)</f>
        <v>#REF!</v>
      </c>
    </row>
    <row r="1013" spans="1:22" x14ac:dyDescent="0.25">
      <c r="A1013" s="6" t="s">
        <v>1871</v>
      </c>
      <c r="B1013" s="8">
        <v>9789500215206</v>
      </c>
      <c r="C1013" s="8">
        <v>717947</v>
      </c>
      <c r="D1013" s="41">
        <v>192</v>
      </c>
      <c r="E1013" s="7" t="s">
        <v>1872</v>
      </c>
      <c r="F1013" s="7" t="s">
        <v>1866</v>
      </c>
      <c r="G1013" s="107">
        <v>45474</v>
      </c>
      <c r="H1013" s="108">
        <v>45444</v>
      </c>
      <c r="I1013" s="264">
        <v>3056</v>
      </c>
      <c r="J1013" s="8" t="s">
        <v>1333</v>
      </c>
      <c r="K1013" s="148">
        <v>1676.86</v>
      </c>
      <c r="L1013" s="112">
        <v>12000</v>
      </c>
      <c r="M1013" s="112">
        <f t="shared" si="160"/>
        <v>960</v>
      </c>
      <c r="N1013" s="9">
        <f t="shared" si="161"/>
        <v>6000</v>
      </c>
      <c r="O1013" s="9">
        <f t="shared" si="162"/>
        <v>3363.1400000000003</v>
      </c>
      <c r="P1013" s="9">
        <f t="shared" si="163"/>
        <v>2636.8599999999997</v>
      </c>
      <c r="Q1013" s="139">
        <f t="shared" si="164"/>
        <v>0.56052333333333337</v>
      </c>
      <c r="R1013" s="395">
        <f>VLOOKUP(C1013,'[1]ORIGINAL (2)'!$A:$C,3,FALSE)</f>
        <v>35</v>
      </c>
      <c r="S1013" s="24" t="e">
        <f>VLOOKUP(C1013,#REF!,6,FALSE)</f>
        <v>#REF!</v>
      </c>
      <c r="T1013" s="24" t="e">
        <f>VLOOKUP(C1013,#REF!,7,FALSE)</f>
        <v>#REF!</v>
      </c>
      <c r="U1013" s="24" t="e">
        <f>VLOOKUP(C1013,#REF!,12,FALSE)</f>
        <v>#REF!</v>
      </c>
      <c r="V1013" s="24" t="e">
        <f>VLOOKUP(C1013,#REF!,13,FALSE)</f>
        <v>#REF!</v>
      </c>
    </row>
    <row r="1014" spans="1:22" x14ac:dyDescent="0.25">
      <c r="A1014" s="6" t="s">
        <v>1320</v>
      </c>
      <c r="B1014" s="8">
        <v>9789500214186</v>
      </c>
      <c r="C1014" s="8">
        <v>709893</v>
      </c>
      <c r="D1014" s="41">
        <v>256</v>
      </c>
      <c r="E1014" s="7" t="s">
        <v>846</v>
      </c>
      <c r="F1014" s="6" t="s">
        <v>847</v>
      </c>
      <c r="G1014" s="107">
        <v>45200</v>
      </c>
      <c r="H1014" s="108">
        <v>45717</v>
      </c>
      <c r="I1014" s="293">
        <v>2099</v>
      </c>
      <c r="J1014" s="8" t="s">
        <v>2136</v>
      </c>
      <c r="K1014" s="117">
        <v>1836.57</v>
      </c>
      <c r="L1014" s="112">
        <v>12000</v>
      </c>
      <c r="M1014" s="112">
        <f t="shared" si="160"/>
        <v>960</v>
      </c>
      <c r="N1014" s="9">
        <f t="shared" si="161"/>
        <v>6000</v>
      </c>
      <c r="O1014" s="9">
        <f t="shared" si="162"/>
        <v>3203.4300000000003</v>
      </c>
      <c r="P1014" s="9">
        <f t="shared" si="163"/>
        <v>2796.5699999999997</v>
      </c>
      <c r="Q1014" s="139">
        <f t="shared" si="164"/>
        <v>0.53390500000000007</v>
      </c>
      <c r="R1014" s="395">
        <f>VLOOKUP(C1014,'[1]ORIGINAL (2)'!$A:$C,3,FALSE)</f>
        <v>78</v>
      </c>
      <c r="S1014" s="24" t="e">
        <f>VLOOKUP(C1014,#REF!,6,FALSE)</f>
        <v>#REF!</v>
      </c>
      <c r="T1014" s="24" t="e">
        <f>VLOOKUP(C1014,#REF!,7,FALSE)</f>
        <v>#REF!</v>
      </c>
      <c r="U1014" s="24" t="e">
        <f>VLOOKUP(C1014,#REF!,12,FALSE)</f>
        <v>#REF!</v>
      </c>
      <c r="V1014" s="24" t="e">
        <f>VLOOKUP(C1014,#REF!,13,FALSE)</f>
        <v>#REF!</v>
      </c>
    </row>
    <row r="1015" spans="1:22" x14ac:dyDescent="0.25">
      <c r="A1015" s="6" t="s">
        <v>1328</v>
      </c>
      <c r="B1015" s="8">
        <v>9789500213035</v>
      </c>
      <c r="C1015" s="6">
        <v>698748</v>
      </c>
      <c r="D1015" s="41">
        <v>288</v>
      </c>
      <c r="E1015" s="7" t="s">
        <v>719</v>
      </c>
      <c r="F1015" s="7" t="s">
        <v>720</v>
      </c>
      <c r="G1015" s="107">
        <v>44835</v>
      </c>
      <c r="H1015" s="108">
        <v>44805</v>
      </c>
      <c r="I1015" s="7">
        <v>10020</v>
      </c>
      <c r="J1015" s="28" t="s">
        <v>1762</v>
      </c>
      <c r="K1015" s="9">
        <v>526.57000000000005</v>
      </c>
      <c r="L1015" s="112">
        <v>12000</v>
      </c>
      <c r="M1015" s="112">
        <f>+L1015*0.1</f>
        <v>1200</v>
      </c>
      <c r="N1015" s="9">
        <f t="shared" si="161"/>
        <v>6000</v>
      </c>
      <c r="O1015" s="9">
        <f t="shared" si="162"/>
        <v>4273.43</v>
      </c>
      <c r="P1015" s="9">
        <f t="shared" si="163"/>
        <v>1726.5700000000002</v>
      </c>
      <c r="Q1015" s="139">
        <f t="shared" si="164"/>
        <v>0.71223833333333342</v>
      </c>
      <c r="R1015" s="395">
        <f>VLOOKUP(C1015,'[1]ORIGINAL (2)'!$A:$C,3,FALSE)</f>
        <v>96</v>
      </c>
      <c r="S1015" s="24" t="e">
        <f>VLOOKUP(C1015,#REF!,6,FALSE)</f>
        <v>#REF!</v>
      </c>
      <c r="T1015" s="24" t="e">
        <f>VLOOKUP(C1015,#REF!,7,FALSE)</f>
        <v>#REF!</v>
      </c>
      <c r="U1015" s="24" t="e">
        <f>VLOOKUP(C1015,#REF!,12,FALSE)</f>
        <v>#REF!</v>
      </c>
      <c r="V1015" s="24" t="e">
        <f>VLOOKUP(C1015,#REF!,13,FALSE)</f>
        <v>#REF!</v>
      </c>
    </row>
    <row r="1016" spans="1:22" x14ac:dyDescent="0.25">
      <c r="A1016" s="7" t="s">
        <v>1339</v>
      </c>
      <c r="B1016" s="8">
        <v>9789500212724</v>
      </c>
      <c r="C1016" s="8">
        <v>694753</v>
      </c>
      <c r="D1016" s="25">
        <v>208</v>
      </c>
      <c r="E1016" s="7" t="s">
        <v>692</v>
      </c>
      <c r="F1016" s="7" t="s">
        <v>693</v>
      </c>
      <c r="G1016" s="107">
        <v>44713</v>
      </c>
      <c r="H1016" s="108">
        <v>44986</v>
      </c>
      <c r="I1016" s="7">
        <v>3100</v>
      </c>
      <c r="J1016" s="28" t="s">
        <v>2136</v>
      </c>
      <c r="K1016" s="9">
        <v>823.84</v>
      </c>
      <c r="L1016" s="112">
        <v>12000</v>
      </c>
      <c r="M1016" s="9">
        <f>+L1016*0.08</f>
        <v>960</v>
      </c>
      <c r="N1016" s="9">
        <f t="shared" si="161"/>
        <v>6000</v>
      </c>
      <c r="O1016" s="9">
        <f t="shared" si="162"/>
        <v>4216.16</v>
      </c>
      <c r="P1016" s="9">
        <f t="shared" si="163"/>
        <v>1783.8400000000001</v>
      </c>
      <c r="Q1016" s="139">
        <f t="shared" si="164"/>
        <v>0.70269333333333328</v>
      </c>
      <c r="R1016" s="395">
        <f>VLOOKUP(C1016,'[1]ORIGINAL (2)'!$A:$C,3,FALSE)</f>
        <v>361</v>
      </c>
      <c r="S1016" s="24" t="e">
        <f>VLOOKUP(C1016,#REF!,6,FALSE)</f>
        <v>#REF!</v>
      </c>
      <c r="T1016" s="24" t="e">
        <f>VLOOKUP(C1016,#REF!,7,FALSE)</f>
        <v>#REF!</v>
      </c>
      <c r="U1016" s="24" t="e">
        <f>VLOOKUP(C1016,#REF!,12,FALSE)</f>
        <v>#REF!</v>
      </c>
      <c r="V1016" s="24" t="e">
        <f>VLOOKUP(C1016,#REF!,13,FALSE)</f>
        <v>#REF!</v>
      </c>
    </row>
    <row r="1017" spans="1:22" x14ac:dyDescent="0.25">
      <c r="A1017" s="6" t="s">
        <v>1340</v>
      </c>
      <c r="B1017" s="8">
        <v>9789500213981</v>
      </c>
      <c r="C1017" s="8">
        <v>707945</v>
      </c>
      <c r="D1017" s="41">
        <v>224</v>
      </c>
      <c r="E1017" s="7" t="s">
        <v>799</v>
      </c>
      <c r="F1017" s="6" t="s">
        <v>800</v>
      </c>
      <c r="G1017" s="107">
        <v>45139</v>
      </c>
      <c r="H1017" s="108">
        <v>45108</v>
      </c>
      <c r="I1017" s="7">
        <v>5048</v>
      </c>
      <c r="J1017" s="28" t="s">
        <v>2136</v>
      </c>
      <c r="K1017" s="117">
        <v>612.24</v>
      </c>
      <c r="L1017" s="112">
        <v>12000</v>
      </c>
      <c r="M1017" s="112">
        <f>+L1017*0.08</f>
        <v>960</v>
      </c>
      <c r="N1017" s="9">
        <f t="shared" ref="N1017:N1020" si="165">+L1017/2</f>
        <v>6000</v>
      </c>
      <c r="O1017" s="9">
        <f t="shared" ref="O1017:O1020" si="166">+N1017-M1017-K1017</f>
        <v>4427.76</v>
      </c>
      <c r="P1017" s="9">
        <f t="shared" ref="P1017:P1020" si="167">+M1017+K1017</f>
        <v>1572.24</v>
      </c>
      <c r="Q1017" s="139">
        <f t="shared" ref="Q1017:Q1020" si="168">+O1017/N1017</f>
        <v>0.73796000000000006</v>
      </c>
      <c r="R1017" s="395">
        <f>VLOOKUP(C1017,'[1]ORIGINAL (2)'!$A:$C,3,FALSE)</f>
        <v>85</v>
      </c>
      <c r="S1017" s="24" t="e">
        <f>VLOOKUP(C1017,#REF!,6,FALSE)</f>
        <v>#REF!</v>
      </c>
      <c r="T1017" s="24" t="e">
        <f>VLOOKUP(C1017,#REF!,7,FALSE)</f>
        <v>#REF!</v>
      </c>
      <c r="U1017" s="24" t="e">
        <f>VLOOKUP(C1017,#REF!,12,FALSE)</f>
        <v>#REF!</v>
      </c>
      <c r="V1017" s="24" t="e">
        <f>VLOOKUP(C1017,#REF!,13,FALSE)</f>
        <v>#REF!</v>
      </c>
    </row>
    <row r="1018" spans="1:22" x14ac:dyDescent="0.25">
      <c r="A1018" s="7" t="s">
        <v>1343</v>
      </c>
      <c r="B1018" s="8">
        <v>9789500211277</v>
      </c>
      <c r="C1018" s="8">
        <v>679308</v>
      </c>
      <c r="D1018" s="25">
        <v>320</v>
      </c>
      <c r="E1018" s="7" t="s">
        <v>513</v>
      </c>
      <c r="F1018" s="7" t="s">
        <v>514</v>
      </c>
      <c r="G1018" s="107">
        <v>44166</v>
      </c>
      <c r="H1018" s="108">
        <v>45078</v>
      </c>
      <c r="I1018" s="24">
        <v>3071</v>
      </c>
      <c r="J1018" s="28" t="s">
        <v>1762</v>
      </c>
      <c r="K1018" s="117">
        <v>661.32</v>
      </c>
      <c r="L1018" s="112">
        <v>12000</v>
      </c>
      <c r="M1018" s="112">
        <f>+L1018*0.1</f>
        <v>1200</v>
      </c>
      <c r="N1018" s="9">
        <f t="shared" si="165"/>
        <v>6000</v>
      </c>
      <c r="O1018" s="9">
        <f t="shared" si="166"/>
        <v>4138.68</v>
      </c>
      <c r="P1018" s="9">
        <f t="shared" si="167"/>
        <v>1861.3200000000002</v>
      </c>
      <c r="Q1018" s="139">
        <f t="shared" si="168"/>
        <v>0.68978000000000006</v>
      </c>
      <c r="R1018" s="395">
        <f>VLOOKUP(C1018,'[1]ORIGINAL (2)'!$A:$C,3,FALSE)</f>
        <v>154</v>
      </c>
      <c r="S1018" s="24" t="e">
        <f>VLOOKUP(C1018,#REF!,6,FALSE)</f>
        <v>#REF!</v>
      </c>
      <c r="T1018" s="24" t="e">
        <f>VLOOKUP(C1018,#REF!,7,FALSE)</f>
        <v>#REF!</v>
      </c>
      <c r="U1018" s="24" t="e">
        <f>VLOOKUP(C1018,#REF!,12,FALSE)</f>
        <v>#REF!</v>
      </c>
      <c r="V1018" s="24" t="e">
        <f>VLOOKUP(C1018,#REF!,13,FALSE)</f>
        <v>#REF!</v>
      </c>
    </row>
    <row r="1019" spans="1:22" x14ac:dyDescent="0.25">
      <c r="A1019" s="7" t="s">
        <v>1348</v>
      </c>
      <c r="B1019" s="8">
        <v>9789500212755</v>
      </c>
      <c r="C1019" s="8">
        <v>695680</v>
      </c>
      <c r="D1019" s="25">
        <v>320</v>
      </c>
      <c r="E1019" s="7" t="s">
        <v>696</v>
      </c>
      <c r="F1019" s="7" t="s">
        <v>697</v>
      </c>
      <c r="G1019" s="107">
        <v>44743</v>
      </c>
      <c r="H1019" s="108">
        <v>44713</v>
      </c>
      <c r="I1019" s="7">
        <v>4077</v>
      </c>
      <c r="J1019" s="28" t="s">
        <v>2136</v>
      </c>
      <c r="K1019" s="9">
        <v>274.44</v>
      </c>
      <c r="L1019" s="112">
        <v>12000</v>
      </c>
      <c r="M1019" s="112">
        <f>+L1019*0.08</f>
        <v>960</v>
      </c>
      <c r="N1019" s="9">
        <f t="shared" si="165"/>
        <v>6000</v>
      </c>
      <c r="O1019" s="9">
        <f t="shared" si="166"/>
        <v>4765.5600000000004</v>
      </c>
      <c r="P1019" s="9">
        <f t="shared" si="167"/>
        <v>1234.44</v>
      </c>
      <c r="Q1019" s="139">
        <f t="shared" si="168"/>
        <v>0.79426000000000008</v>
      </c>
      <c r="R1019" s="395">
        <f>VLOOKUP(C1019,'[1]ORIGINAL (2)'!$A:$C,3,FALSE)</f>
        <v>20</v>
      </c>
      <c r="S1019" s="24" t="e">
        <f>VLOOKUP(C1019,#REF!,6,FALSE)</f>
        <v>#REF!</v>
      </c>
      <c r="T1019" s="24" t="e">
        <f>VLOOKUP(C1019,#REF!,7,FALSE)</f>
        <v>#REF!</v>
      </c>
      <c r="U1019" s="24" t="e">
        <f>VLOOKUP(C1019,#REF!,12,FALSE)</f>
        <v>#REF!</v>
      </c>
      <c r="V1019" s="24" t="e">
        <f>VLOOKUP(C1019,#REF!,13,FALSE)</f>
        <v>#REF!</v>
      </c>
    </row>
    <row r="1020" spans="1:22" x14ac:dyDescent="0.25">
      <c r="A1020" s="6" t="s">
        <v>1350</v>
      </c>
      <c r="B1020" s="8">
        <v>9789500212861</v>
      </c>
      <c r="C1020" s="6">
        <v>696628</v>
      </c>
      <c r="D1020" s="25">
        <v>304</v>
      </c>
      <c r="E1020" s="7" t="s">
        <v>703</v>
      </c>
      <c r="F1020" s="7" t="s">
        <v>704</v>
      </c>
      <c r="G1020" s="107">
        <v>44774</v>
      </c>
      <c r="H1020" s="108">
        <v>44958</v>
      </c>
      <c r="I1020" s="7">
        <v>2010</v>
      </c>
      <c r="J1020" s="28" t="s">
        <v>1762</v>
      </c>
      <c r="K1020" s="9">
        <v>753</v>
      </c>
      <c r="L1020" s="112">
        <v>12000</v>
      </c>
      <c r="M1020" s="112">
        <f>+L1020*0.1</f>
        <v>1200</v>
      </c>
      <c r="N1020" s="9">
        <f t="shared" si="165"/>
        <v>6000</v>
      </c>
      <c r="O1020" s="9">
        <f t="shared" si="166"/>
        <v>4047</v>
      </c>
      <c r="P1020" s="9">
        <f t="shared" si="167"/>
        <v>1953</v>
      </c>
      <c r="Q1020" s="139">
        <f t="shared" si="168"/>
        <v>0.67449999999999999</v>
      </c>
      <c r="R1020" s="395">
        <f>VLOOKUP(C1020,'[1]ORIGINAL (2)'!$A:$C,3,FALSE)</f>
        <v>30</v>
      </c>
      <c r="S1020" s="24" t="e">
        <f>VLOOKUP(C1020,#REF!,6,FALSE)</f>
        <v>#REF!</v>
      </c>
      <c r="T1020" s="24" t="e">
        <f>VLOOKUP(C1020,#REF!,7,FALSE)</f>
        <v>#REF!</v>
      </c>
      <c r="U1020" s="24" t="e">
        <f>VLOOKUP(C1020,#REF!,12,FALSE)</f>
        <v>#REF!</v>
      </c>
      <c r="V1020" s="24" t="e">
        <f>VLOOKUP(C1020,#REF!,13,FALSE)</f>
        <v>#REF!</v>
      </c>
    </row>
    <row r="1021" spans="1:22" x14ac:dyDescent="0.25">
      <c r="L1021" s="112">
        <v>12000</v>
      </c>
    </row>
    <row r="1022" spans="1:22" x14ac:dyDescent="0.25">
      <c r="A1022" s="7" t="s">
        <v>1366</v>
      </c>
      <c r="B1022" s="8">
        <v>9789500212328</v>
      </c>
      <c r="C1022" s="8">
        <v>689373</v>
      </c>
      <c r="D1022" s="25">
        <v>256</v>
      </c>
      <c r="E1022" s="9" t="s">
        <v>414</v>
      </c>
      <c r="F1022" s="7" t="s">
        <v>621</v>
      </c>
      <c r="G1022" s="107">
        <v>44531</v>
      </c>
      <c r="H1022" s="108">
        <v>44501</v>
      </c>
      <c r="I1022" s="7">
        <v>4110</v>
      </c>
      <c r="J1022" s="28" t="s">
        <v>1333</v>
      </c>
      <c r="K1022" s="9">
        <v>155.68</v>
      </c>
      <c r="L1022" s="112">
        <v>12000</v>
      </c>
      <c r="M1022" s="112">
        <f t="shared" ref="M1022:M1023" si="169">+L1022*0.1</f>
        <v>1200</v>
      </c>
      <c r="N1022" s="9">
        <f t="shared" ref="N1022:N1023" si="170">+L1022/2</f>
        <v>6000</v>
      </c>
      <c r="O1022" s="9">
        <f t="shared" ref="O1022:O1023" si="171">+N1022-M1022-K1022</f>
        <v>4644.32</v>
      </c>
      <c r="P1022" s="9">
        <f t="shared" ref="P1022:P1023" si="172">+M1022+K1022</f>
        <v>1355.68</v>
      </c>
      <c r="Q1022" s="180">
        <f t="shared" ref="Q1022:Q1023" si="173">+O1022/N1022</f>
        <v>0.77405333333333326</v>
      </c>
      <c r="R1022" s="395">
        <f>VLOOKUP(C1022,'[1]ORIGINAL (2)'!$A:$C,3,FALSE)</f>
        <v>36</v>
      </c>
      <c r="S1022" s="24" t="e">
        <f>VLOOKUP(C1022,#REF!,6,FALSE)</f>
        <v>#REF!</v>
      </c>
      <c r="T1022" s="24" t="e">
        <f>VLOOKUP(C1022,#REF!,7,FALSE)</f>
        <v>#REF!</v>
      </c>
      <c r="U1022" s="24" t="e">
        <f>VLOOKUP(C1022,#REF!,12,FALSE)</f>
        <v>#REF!</v>
      </c>
      <c r="V1022" s="24" t="e">
        <f>VLOOKUP(C1022,#REF!,13,FALSE)</f>
        <v>#REF!</v>
      </c>
    </row>
    <row r="1023" spans="1:22" x14ac:dyDescent="0.25">
      <c r="A1023" s="7" t="s">
        <v>1367</v>
      </c>
      <c r="B1023" s="8">
        <v>9789500212090</v>
      </c>
      <c r="C1023" s="8">
        <v>688420</v>
      </c>
      <c r="D1023" s="25">
        <v>288</v>
      </c>
      <c r="E1023" s="9" t="s">
        <v>414</v>
      </c>
      <c r="F1023" s="7" t="s">
        <v>588</v>
      </c>
      <c r="G1023" s="107">
        <v>44501</v>
      </c>
      <c r="H1023" s="108">
        <v>44470</v>
      </c>
      <c r="I1023" s="7">
        <v>3095</v>
      </c>
      <c r="J1023" s="28" t="s">
        <v>1333</v>
      </c>
      <c r="K1023" s="9">
        <v>169.95</v>
      </c>
      <c r="L1023" s="112">
        <v>12000</v>
      </c>
      <c r="M1023" s="112">
        <f t="shared" si="169"/>
        <v>1200</v>
      </c>
      <c r="N1023" s="9">
        <f t="shared" si="170"/>
        <v>6000</v>
      </c>
      <c r="O1023" s="9">
        <f t="shared" si="171"/>
        <v>4630.05</v>
      </c>
      <c r="P1023" s="9">
        <f t="shared" si="172"/>
        <v>1369.95</v>
      </c>
      <c r="Q1023" s="180">
        <f t="shared" si="173"/>
        <v>0.771675</v>
      </c>
      <c r="R1023" s="395">
        <f>VLOOKUP(C1023,'[1]ORIGINAL (2)'!$A:$C,3,FALSE)</f>
        <v>31</v>
      </c>
      <c r="S1023" s="24" t="e">
        <f>VLOOKUP(C1023,#REF!,6,FALSE)</f>
        <v>#REF!</v>
      </c>
      <c r="T1023" s="24" t="e">
        <f>VLOOKUP(C1023,#REF!,7,FALSE)</f>
        <v>#REF!</v>
      </c>
      <c r="U1023" s="24" t="e">
        <f>VLOOKUP(C1023,#REF!,12,FALSE)</f>
        <v>#REF!</v>
      </c>
      <c r="V1023" s="24" t="e">
        <f>VLOOKUP(C1023,#REF!,13,FALSE)</f>
        <v>#REF!</v>
      </c>
    </row>
    <row r="1024" spans="1:22" x14ac:dyDescent="0.25">
      <c r="A1024" s="6" t="s">
        <v>2055</v>
      </c>
      <c r="B1024" s="279">
        <v>9789500216340</v>
      </c>
      <c r="C1024" s="6">
        <v>730436</v>
      </c>
      <c r="D1024" s="41">
        <v>224</v>
      </c>
      <c r="E1024" s="6" t="s">
        <v>2056</v>
      </c>
      <c r="F1024" s="6" t="s">
        <v>2065</v>
      </c>
      <c r="G1024" s="108">
        <v>45809</v>
      </c>
      <c r="H1024" s="108">
        <v>46023</v>
      </c>
      <c r="I1024" s="264">
        <v>2096</v>
      </c>
      <c r="J1024" s="6" t="s">
        <v>2136</v>
      </c>
      <c r="K1024" s="292">
        <v>1396.54</v>
      </c>
      <c r="L1024" s="112">
        <v>12000</v>
      </c>
      <c r="M1024" s="112">
        <f>+L1024*0.08</f>
        <v>960</v>
      </c>
      <c r="N1024" s="9">
        <f t="shared" ref="N1024" si="174">+L1024/2</f>
        <v>6000</v>
      </c>
      <c r="O1024" s="9">
        <f t="shared" ref="O1024" si="175">+N1024-M1024-K1024</f>
        <v>3643.46</v>
      </c>
      <c r="P1024" s="9">
        <f t="shared" ref="P1024" si="176">+M1024+K1024</f>
        <v>2356.54</v>
      </c>
      <c r="Q1024" s="139">
        <f t="shared" ref="Q1024" si="177">+O1024/N1024</f>
        <v>0.60724333333333336</v>
      </c>
      <c r="R1024" s="395">
        <f>VLOOKUP(C1024,'[1]ORIGINAL (2)'!$A:$C,3,FALSE)</f>
        <v>181</v>
      </c>
      <c r="S1024" s="24" t="e">
        <f>VLOOKUP(C1024,#REF!,6,FALSE)</f>
        <v>#REF!</v>
      </c>
      <c r="T1024" s="24" t="e">
        <f>VLOOKUP(C1024,#REF!,7,FALSE)</f>
        <v>#REF!</v>
      </c>
      <c r="U1024" s="24" t="e">
        <f>VLOOKUP(C1024,#REF!,12,FALSE)</f>
        <v>#REF!</v>
      </c>
      <c r="V1024" s="24" t="e">
        <f>VLOOKUP(C1024,#REF!,13,FALSE)</f>
        <v>#REF!</v>
      </c>
    </row>
    <row r="1025" spans="1:22" x14ac:dyDescent="0.25">
      <c r="L1025" s="112">
        <v>12000</v>
      </c>
    </row>
    <row r="1026" spans="1:22" x14ac:dyDescent="0.25">
      <c r="A1026" s="7" t="s">
        <v>1661</v>
      </c>
      <c r="B1026" s="8">
        <v>9789500212045</v>
      </c>
      <c r="C1026" s="8">
        <v>686377</v>
      </c>
      <c r="D1026" s="25">
        <v>96</v>
      </c>
      <c r="E1026" s="7" t="s">
        <v>576</v>
      </c>
      <c r="F1026" s="7" t="s">
        <v>577</v>
      </c>
      <c r="G1026" s="107">
        <v>44440</v>
      </c>
      <c r="H1026" s="108">
        <v>44409</v>
      </c>
      <c r="I1026" s="7">
        <v>4090</v>
      </c>
      <c r="J1026" s="28" t="s">
        <v>2136</v>
      </c>
      <c r="K1026" s="9">
        <v>157.28</v>
      </c>
      <c r="L1026" s="112">
        <v>12000</v>
      </c>
      <c r="M1026" s="112">
        <f>+L1026*0.1</f>
        <v>1200</v>
      </c>
      <c r="N1026" s="9">
        <f t="shared" ref="N1026:N1028" si="178">+L1026/2</f>
        <v>6000</v>
      </c>
      <c r="O1026" s="9">
        <f t="shared" ref="O1026:O1028" si="179">+N1026-M1026-K1026</f>
        <v>4642.72</v>
      </c>
      <c r="P1026" s="9">
        <f t="shared" ref="P1026:P1028" si="180">+M1026+K1026</f>
        <v>1357.28</v>
      </c>
      <c r="Q1026" s="139">
        <f t="shared" ref="Q1026:Q1028" si="181">+O1026/N1026</f>
        <v>0.77378666666666673</v>
      </c>
      <c r="R1026" s="395">
        <f>VLOOKUP(C1026,'[1]ORIGINAL (2)'!$A:$C,3,FALSE)</f>
        <v>98</v>
      </c>
      <c r="S1026" s="24" t="e">
        <f>VLOOKUP(C1026,#REF!,6,FALSE)</f>
        <v>#REF!</v>
      </c>
      <c r="T1026" s="24" t="e">
        <f>VLOOKUP(C1026,#REF!,7,FALSE)</f>
        <v>#REF!</v>
      </c>
      <c r="U1026" s="24" t="e">
        <f>VLOOKUP(C1026,#REF!,12,FALSE)</f>
        <v>#REF!</v>
      </c>
      <c r="V1026" s="24" t="e">
        <f>VLOOKUP(C1026,#REF!,13,FALSE)</f>
        <v>#REF!</v>
      </c>
    </row>
    <row r="1027" spans="1:22" x14ac:dyDescent="0.25">
      <c r="A1027" s="7" t="s">
        <v>1601</v>
      </c>
      <c r="B1027" s="8">
        <v>9789500212403</v>
      </c>
      <c r="C1027" s="8">
        <v>690836</v>
      </c>
      <c r="D1027" s="25">
        <v>36</v>
      </c>
      <c r="E1027" s="9" t="s">
        <v>650</v>
      </c>
      <c r="F1027" s="7" t="s">
        <v>653</v>
      </c>
      <c r="G1027" s="107">
        <v>44593</v>
      </c>
      <c r="H1027" s="107">
        <v>44593</v>
      </c>
      <c r="I1027" s="7">
        <v>3000</v>
      </c>
      <c r="J1027" s="28" t="s">
        <v>1762</v>
      </c>
      <c r="K1027" s="9">
        <v>379.65</v>
      </c>
      <c r="L1027" s="112">
        <v>12000</v>
      </c>
      <c r="M1027" s="9">
        <f t="shared" ref="M1027" si="182">+L1027*0.1</f>
        <v>1200</v>
      </c>
      <c r="N1027" s="9">
        <f t="shared" si="178"/>
        <v>6000</v>
      </c>
      <c r="O1027" s="9">
        <f t="shared" si="179"/>
        <v>4420.3500000000004</v>
      </c>
      <c r="P1027" s="9">
        <f t="shared" si="180"/>
        <v>1579.65</v>
      </c>
      <c r="Q1027" s="139">
        <f t="shared" si="181"/>
        <v>0.73672500000000007</v>
      </c>
      <c r="R1027" s="395">
        <f>VLOOKUP(C1027,'[1]ORIGINAL (2)'!$A:$C,3,FALSE)</f>
        <v>19</v>
      </c>
      <c r="S1027" s="24" t="e">
        <f>VLOOKUP(C1027,#REF!,6,FALSE)</f>
        <v>#REF!</v>
      </c>
      <c r="T1027" s="24" t="e">
        <f>VLOOKUP(C1027,#REF!,7,FALSE)</f>
        <v>#REF!</v>
      </c>
      <c r="U1027" s="24" t="e">
        <f>VLOOKUP(C1027,#REF!,12,FALSE)</f>
        <v>#REF!</v>
      </c>
      <c r="V1027" s="24" t="e">
        <f>VLOOKUP(C1027,#REF!,13,FALSE)</f>
        <v>#REF!</v>
      </c>
    </row>
    <row r="1028" spans="1:22" x14ac:dyDescent="0.25">
      <c r="A1028" s="7" t="s">
        <v>1585</v>
      </c>
      <c r="B1028" s="8">
        <v>9789500211680</v>
      </c>
      <c r="C1028" s="8">
        <v>683320</v>
      </c>
      <c r="D1028" s="25">
        <v>40</v>
      </c>
      <c r="E1028" s="7" t="s">
        <v>543</v>
      </c>
      <c r="F1028" s="6" t="s">
        <v>544</v>
      </c>
      <c r="G1028" s="107">
        <v>44317</v>
      </c>
      <c r="H1028" s="108">
        <v>44287</v>
      </c>
      <c r="I1028" s="24">
        <v>3046</v>
      </c>
      <c r="J1028" s="28" t="s">
        <v>2136</v>
      </c>
      <c r="K1028" s="117">
        <v>194.72</v>
      </c>
      <c r="L1028" s="112">
        <v>12000</v>
      </c>
      <c r="M1028" s="141">
        <f>+L1028*0.08</f>
        <v>960</v>
      </c>
      <c r="N1028" s="142">
        <f t="shared" si="178"/>
        <v>6000</v>
      </c>
      <c r="O1028" s="142">
        <f t="shared" si="179"/>
        <v>4845.28</v>
      </c>
      <c r="P1028" s="142">
        <f t="shared" si="180"/>
        <v>1154.72</v>
      </c>
      <c r="Q1028" s="139">
        <f t="shared" si="181"/>
        <v>0.80754666666666663</v>
      </c>
      <c r="R1028" s="395">
        <f>VLOOKUP(C1028,'[1]ORIGINAL (2)'!$A:$C,3,FALSE)</f>
        <v>62</v>
      </c>
      <c r="S1028" s="24" t="e">
        <f>VLOOKUP(C1028,#REF!,6,FALSE)</f>
        <v>#REF!</v>
      </c>
      <c r="T1028" s="24" t="e">
        <f>VLOOKUP(C1028,#REF!,7,FALSE)</f>
        <v>#REF!</v>
      </c>
      <c r="U1028" s="24" t="e">
        <f>VLOOKUP(C1028,#REF!,12,FALSE)</f>
        <v>#REF!</v>
      </c>
      <c r="V1028" s="24" t="e">
        <f>VLOOKUP(C1028,#REF!,13,FALSE)</f>
        <v>#REF!</v>
      </c>
    </row>
    <row r="1029" spans="1:22" x14ac:dyDescent="0.25">
      <c r="A1029" s="6" t="s">
        <v>1526</v>
      </c>
      <c r="B1029" s="8">
        <v>9789500212960</v>
      </c>
      <c r="C1029" s="6">
        <v>698774</v>
      </c>
      <c r="D1029" s="41">
        <v>32</v>
      </c>
      <c r="E1029" s="7" t="s">
        <v>723</v>
      </c>
      <c r="F1029" s="7" t="s">
        <v>724</v>
      </c>
      <c r="G1029" s="107">
        <v>44835</v>
      </c>
      <c r="H1029" s="108">
        <v>44805</v>
      </c>
      <c r="I1029" s="7">
        <v>1978</v>
      </c>
      <c r="J1029" s="28" t="s">
        <v>2136</v>
      </c>
      <c r="K1029" s="117">
        <v>621.70000000000005</v>
      </c>
      <c r="L1029" s="112">
        <v>12000</v>
      </c>
      <c r="M1029" s="112">
        <f t="shared" ref="M1029:M1031" si="183">+L1029*0.08</f>
        <v>960</v>
      </c>
      <c r="N1029" s="9">
        <v>1480</v>
      </c>
      <c r="O1029" s="9">
        <v>726</v>
      </c>
      <c r="P1029" s="9">
        <v>754</v>
      </c>
      <c r="Q1029" s="139">
        <v>0.49054054054054053</v>
      </c>
      <c r="R1029" s="395">
        <f>VLOOKUP(C1029,'[1]ORIGINAL (2)'!$A:$C,3,FALSE)</f>
        <v>5</v>
      </c>
      <c r="S1029" s="24" t="e">
        <f>VLOOKUP(C1029,#REF!,6,FALSE)</f>
        <v>#REF!</v>
      </c>
      <c r="T1029" s="24" t="e">
        <f>VLOOKUP(C1029,#REF!,7,FALSE)</f>
        <v>#REF!</v>
      </c>
      <c r="U1029" s="24" t="e">
        <f>VLOOKUP(C1029,#REF!,12,FALSE)</f>
        <v>#REF!</v>
      </c>
      <c r="V1029" s="24" t="e">
        <f>VLOOKUP(C1029,#REF!,13,FALSE)</f>
        <v>#REF!</v>
      </c>
    </row>
    <row r="1030" spans="1:22" x14ac:dyDescent="0.25">
      <c r="A1030" s="6" t="s">
        <v>1527</v>
      </c>
      <c r="B1030" s="8">
        <v>9789500213004</v>
      </c>
      <c r="C1030" s="6">
        <v>698775</v>
      </c>
      <c r="D1030" s="41">
        <v>48</v>
      </c>
      <c r="E1030" s="7" t="s">
        <v>725</v>
      </c>
      <c r="F1030" s="7" t="s">
        <v>726</v>
      </c>
      <c r="G1030" s="107">
        <v>44835</v>
      </c>
      <c r="H1030" s="108">
        <v>44805</v>
      </c>
      <c r="I1030" s="7">
        <v>2055</v>
      </c>
      <c r="J1030" s="28" t="s">
        <v>2136</v>
      </c>
      <c r="K1030" s="117">
        <v>842.26</v>
      </c>
      <c r="L1030" s="112">
        <v>12000</v>
      </c>
      <c r="M1030" s="112">
        <f t="shared" si="183"/>
        <v>960</v>
      </c>
      <c r="N1030" s="9">
        <v>1480</v>
      </c>
      <c r="O1030" s="9">
        <v>726</v>
      </c>
      <c r="P1030" s="9">
        <v>754</v>
      </c>
      <c r="Q1030" s="139">
        <v>0.49054054054054053</v>
      </c>
      <c r="R1030" s="395">
        <f>VLOOKUP(C1030,'[1]ORIGINAL (2)'!$A:$C,3,FALSE)</f>
        <v>10</v>
      </c>
      <c r="S1030" s="24" t="e">
        <f>VLOOKUP(C1030,#REF!,6,FALSE)</f>
        <v>#REF!</v>
      </c>
      <c r="T1030" s="24" t="e">
        <f>VLOOKUP(C1030,#REF!,7,FALSE)</f>
        <v>#REF!</v>
      </c>
      <c r="U1030" s="24" t="e">
        <f>VLOOKUP(C1030,#REF!,12,FALSE)</f>
        <v>#REF!</v>
      </c>
      <c r="V1030" s="24" t="e">
        <f>VLOOKUP(C1030,#REF!,13,FALSE)</f>
        <v>#REF!</v>
      </c>
    </row>
    <row r="1031" spans="1:22" x14ac:dyDescent="0.25">
      <c r="A1031" s="6" t="s">
        <v>1528</v>
      </c>
      <c r="B1031" s="8">
        <v>9789500212915</v>
      </c>
      <c r="C1031" s="6">
        <v>697477</v>
      </c>
      <c r="D1031" s="41">
        <v>48</v>
      </c>
      <c r="E1031" s="7" t="s">
        <v>717</v>
      </c>
      <c r="F1031" s="7" t="s">
        <v>718</v>
      </c>
      <c r="G1031" s="107">
        <v>44805</v>
      </c>
      <c r="H1031" s="108">
        <v>44774</v>
      </c>
      <c r="I1031" s="7">
        <v>2000</v>
      </c>
      <c r="J1031" s="28" t="s">
        <v>2136</v>
      </c>
      <c r="K1031" s="117">
        <v>517.20000000000005</v>
      </c>
      <c r="L1031" s="112">
        <v>12000</v>
      </c>
      <c r="M1031" s="112">
        <f t="shared" si="183"/>
        <v>960</v>
      </c>
      <c r="N1031" s="9">
        <f t="shared" ref="N1031" si="184">+L1031/2</f>
        <v>6000</v>
      </c>
      <c r="O1031" s="9">
        <f t="shared" ref="O1031" si="185">+N1031-M1031-K1031</f>
        <v>4522.8</v>
      </c>
      <c r="P1031" s="9">
        <f t="shared" ref="P1031" si="186">+M1031+K1031</f>
        <v>1477.2</v>
      </c>
      <c r="Q1031" s="139">
        <f t="shared" ref="Q1031" si="187">+O1031/N1031</f>
        <v>0.75380000000000003</v>
      </c>
      <c r="R1031" s="395">
        <f>VLOOKUP(C1031,'[1]ORIGINAL (2)'!$A:$C,3,FALSE)</f>
        <v>9</v>
      </c>
      <c r="S1031" s="24" t="e">
        <f>VLOOKUP(C1031,#REF!,6,FALSE)</f>
        <v>#REF!</v>
      </c>
      <c r="T1031" s="24" t="e">
        <f>VLOOKUP(C1031,#REF!,7,FALSE)</f>
        <v>#REF!</v>
      </c>
      <c r="U1031" s="24" t="e">
        <f>VLOOKUP(C1031,#REF!,12,FALSE)</f>
        <v>#REF!</v>
      </c>
      <c r="V1031" s="24" t="e">
        <f>VLOOKUP(C1031,#REF!,13,FALSE)</f>
        <v>#REF!</v>
      </c>
    </row>
    <row r="1033" spans="1:22" x14ac:dyDescent="0.25">
      <c r="A1033" s="7" t="s">
        <v>1459</v>
      </c>
      <c r="B1033" s="8">
        <v>9789500210959</v>
      </c>
      <c r="C1033" s="8">
        <v>677294</v>
      </c>
      <c r="D1033" s="25">
        <v>176</v>
      </c>
      <c r="E1033" s="7" t="s">
        <v>499</v>
      </c>
      <c r="F1033" s="7" t="s">
        <v>494</v>
      </c>
      <c r="G1033" s="107">
        <v>44075</v>
      </c>
      <c r="H1033" s="108">
        <v>44044</v>
      </c>
      <c r="I1033" s="7">
        <v>3050</v>
      </c>
      <c r="J1033" s="6" t="s">
        <v>1762</v>
      </c>
      <c r="K1033" s="9">
        <v>130.29</v>
      </c>
      <c r="L1033" s="112">
        <v>12000</v>
      </c>
      <c r="M1033" s="9">
        <f>+L1033*0.08</f>
        <v>960</v>
      </c>
      <c r="N1033" s="9">
        <f t="shared" ref="N1033" si="188">+L1033/2</f>
        <v>6000</v>
      </c>
      <c r="O1033" s="9">
        <f t="shared" ref="O1033" si="189">+N1033-M1033-K1033</f>
        <v>4909.71</v>
      </c>
      <c r="P1033" s="9">
        <f t="shared" ref="P1033" si="190">+M1033+K1033</f>
        <v>1090.29</v>
      </c>
      <c r="Q1033" s="139">
        <f t="shared" ref="Q1033" si="191">+O1033/N1033</f>
        <v>0.81828500000000004</v>
      </c>
      <c r="R1033" s="395">
        <f>VLOOKUP(C1033,'[1]ORIGINAL (2)'!$A:$C,3,FALSE)</f>
        <v>37</v>
      </c>
      <c r="S1033" s="24" t="e">
        <f>VLOOKUP(C1033,#REF!,6,FALSE)</f>
        <v>#REF!</v>
      </c>
      <c r="T1033" s="24" t="e">
        <f>VLOOKUP(C1033,#REF!,7,FALSE)</f>
        <v>#REF!</v>
      </c>
      <c r="U1033" s="24" t="e">
        <f>VLOOKUP(C1033,#REF!,12,FALSE)</f>
        <v>#REF!</v>
      </c>
      <c r="V1033" s="24" t="e">
        <f>VLOOKUP(C1033,#REF!,13,FALSE)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4574-A555-44CB-BAE7-02489ECD467B}">
  <sheetPr>
    <tabColor rgb="FFFF0000"/>
  </sheetPr>
  <dimension ref="A1:H34"/>
  <sheetViews>
    <sheetView tabSelected="1" workbookViewId="0">
      <selection activeCell="D19" sqref="D19"/>
    </sheetView>
  </sheetViews>
  <sheetFormatPr baseColWidth="10" defaultRowHeight="15" x14ac:dyDescent="0.25"/>
  <cols>
    <col min="1" max="1" width="12.7109375" bestFit="1" customWidth="1"/>
    <col min="2" max="2" width="6.140625" bestFit="1" customWidth="1"/>
    <col min="3" max="3" width="4.140625" bestFit="1" customWidth="1"/>
    <col min="4" max="4" width="34.5703125" bestFit="1" customWidth="1"/>
    <col min="5" max="5" width="46.28515625" bestFit="1" customWidth="1"/>
    <col min="6" max="6" width="7.42578125" bestFit="1" customWidth="1"/>
    <col min="7" max="7" width="35.140625" bestFit="1" customWidth="1"/>
  </cols>
  <sheetData>
    <row r="1" spans="1:8" x14ac:dyDescent="0.25">
      <c r="A1" s="321" t="s">
        <v>2141</v>
      </c>
      <c r="B1" s="60"/>
      <c r="C1" s="322"/>
      <c r="D1" s="60" t="s">
        <v>2142</v>
      </c>
      <c r="E1" s="54"/>
      <c r="F1" s="64" t="s">
        <v>898</v>
      </c>
    </row>
    <row r="2" spans="1:8" x14ac:dyDescent="0.25">
      <c r="A2" s="324" t="s">
        <v>2143</v>
      </c>
      <c r="B2" s="62"/>
      <c r="C2" s="318"/>
      <c r="D2" s="54" t="s">
        <v>2144</v>
      </c>
      <c r="E2" s="61"/>
      <c r="F2" s="73" t="s">
        <v>905</v>
      </c>
    </row>
    <row r="3" spans="1:8" x14ac:dyDescent="0.25">
      <c r="A3" s="3"/>
      <c r="B3" s="76"/>
      <c r="C3" s="2"/>
      <c r="D3" s="44"/>
      <c r="E3" s="77"/>
      <c r="F3" s="81" t="s">
        <v>2470</v>
      </c>
    </row>
    <row r="4" spans="1:8" x14ac:dyDescent="0.25">
      <c r="A4" s="5" t="s">
        <v>7</v>
      </c>
      <c r="B4" s="396" t="s">
        <v>882</v>
      </c>
      <c r="C4" s="397" t="s">
        <v>925</v>
      </c>
      <c r="D4" s="398" t="s">
        <v>8</v>
      </c>
      <c r="E4" s="399" t="s">
        <v>9</v>
      </c>
      <c r="F4" s="272" t="s">
        <v>922</v>
      </c>
      <c r="G4" s="400" t="s">
        <v>2505</v>
      </c>
      <c r="H4" s="401" t="s">
        <v>2506</v>
      </c>
    </row>
    <row r="5" spans="1:8" x14ac:dyDescent="0.25">
      <c r="A5" s="8">
        <v>9789500213219</v>
      </c>
      <c r="B5" s="8">
        <v>700537</v>
      </c>
      <c r="C5" s="41">
        <v>368</v>
      </c>
      <c r="D5" s="7" t="s">
        <v>740</v>
      </c>
      <c r="E5" s="7" t="s">
        <v>741</v>
      </c>
      <c r="F5" s="9">
        <v>12000</v>
      </c>
      <c r="G5" s="400" t="s">
        <v>2476</v>
      </c>
      <c r="H5" s="401"/>
    </row>
    <row r="6" spans="1:8" x14ac:dyDescent="0.25">
      <c r="A6" s="34">
        <v>9789500211802</v>
      </c>
      <c r="B6" s="8">
        <v>683963</v>
      </c>
      <c r="C6" s="25">
        <v>216</v>
      </c>
      <c r="D6" s="30" t="s">
        <v>551</v>
      </c>
      <c r="E6" s="7" t="s">
        <v>1111</v>
      </c>
      <c r="F6" s="9">
        <v>12000</v>
      </c>
      <c r="G6" s="400" t="s">
        <v>2477</v>
      </c>
      <c r="H6" s="401"/>
    </row>
    <row r="7" spans="1:8" x14ac:dyDescent="0.25">
      <c r="A7" s="37">
        <v>9789500214728</v>
      </c>
      <c r="B7" s="37">
        <v>713083</v>
      </c>
      <c r="C7" s="149">
        <v>176</v>
      </c>
      <c r="D7" s="38" t="s">
        <v>876</v>
      </c>
      <c r="E7" s="38" t="s">
        <v>874</v>
      </c>
      <c r="F7" s="9">
        <v>12000</v>
      </c>
      <c r="G7" s="400" t="s">
        <v>2478</v>
      </c>
      <c r="H7" s="401"/>
    </row>
    <row r="8" spans="1:8" x14ac:dyDescent="0.25">
      <c r="A8" s="8">
        <v>9789500213479</v>
      </c>
      <c r="B8" s="8">
        <v>707247</v>
      </c>
      <c r="C8" s="41">
        <v>544</v>
      </c>
      <c r="D8" s="7" t="s">
        <v>810</v>
      </c>
      <c r="E8" s="7" t="s">
        <v>809</v>
      </c>
      <c r="F8" s="9">
        <v>12000</v>
      </c>
      <c r="G8" s="400" t="s">
        <v>2479</v>
      </c>
      <c r="H8" s="401"/>
    </row>
    <row r="9" spans="1:8" x14ac:dyDescent="0.25">
      <c r="A9" s="8">
        <v>9789500213301</v>
      </c>
      <c r="B9" s="8">
        <v>702717</v>
      </c>
      <c r="C9" s="41">
        <v>176</v>
      </c>
      <c r="D9" s="7" t="s">
        <v>751</v>
      </c>
      <c r="E9" s="7" t="s">
        <v>752</v>
      </c>
      <c r="F9" s="9">
        <v>12000</v>
      </c>
      <c r="G9" s="400" t="s">
        <v>2480</v>
      </c>
      <c r="H9" s="401"/>
    </row>
    <row r="10" spans="1:8" x14ac:dyDescent="0.25">
      <c r="A10" s="8">
        <v>9789500210270</v>
      </c>
      <c r="B10" s="14">
        <v>671437</v>
      </c>
      <c r="C10" s="25">
        <v>192</v>
      </c>
      <c r="D10" s="7" t="s">
        <v>468</v>
      </c>
      <c r="E10" s="7" t="s">
        <v>469</v>
      </c>
      <c r="F10" s="9">
        <v>12000</v>
      </c>
      <c r="G10" s="400" t="s">
        <v>2481</v>
      </c>
      <c r="H10" s="401"/>
    </row>
    <row r="11" spans="1:8" x14ac:dyDescent="0.25">
      <c r="A11" s="8">
        <v>9789500214926</v>
      </c>
      <c r="B11" s="8">
        <v>714588</v>
      </c>
      <c r="C11" s="41">
        <v>320</v>
      </c>
      <c r="D11" s="7" t="s">
        <v>1785</v>
      </c>
      <c r="E11" s="25" t="s">
        <v>1786</v>
      </c>
      <c r="F11" s="9">
        <v>12000</v>
      </c>
      <c r="G11" s="400" t="s">
        <v>2482</v>
      </c>
      <c r="H11" s="401"/>
    </row>
    <row r="12" spans="1:8" x14ac:dyDescent="0.25">
      <c r="A12" s="8">
        <v>9789500214988</v>
      </c>
      <c r="B12" s="8">
        <v>714589</v>
      </c>
      <c r="C12" s="25">
        <v>224</v>
      </c>
      <c r="D12" s="7" t="s">
        <v>580</v>
      </c>
      <c r="E12" s="25" t="s">
        <v>1788</v>
      </c>
      <c r="F12" s="9">
        <v>12000</v>
      </c>
      <c r="G12" s="400" t="s">
        <v>2483</v>
      </c>
      <c r="H12" s="401"/>
    </row>
    <row r="13" spans="1:8" x14ac:dyDescent="0.25">
      <c r="A13" s="8">
        <v>9789500212151</v>
      </c>
      <c r="B13" s="8">
        <v>687542</v>
      </c>
      <c r="C13" s="7">
        <v>392</v>
      </c>
      <c r="D13" s="30" t="s">
        <v>505</v>
      </c>
      <c r="E13" s="7" t="s">
        <v>579</v>
      </c>
      <c r="F13" s="9">
        <v>12000</v>
      </c>
      <c r="G13" s="400" t="s">
        <v>2484</v>
      </c>
      <c r="H13" s="401"/>
    </row>
    <row r="14" spans="1:8" x14ac:dyDescent="0.25">
      <c r="A14" s="8">
        <v>9789500214094</v>
      </c>
      <c r="B14" s="6">
        <v>709134</v>
      </c>
      <c r="C14" s="41">
        <v>240</v>
      </c>
      <c r="D14" s="7" t="s">
        <v>505</v>
      </c>
      <c r="E14" s="6" t="s">
        <v>819</v>
      </c>
      <c r="F14" s="9">
        <v>12000</v>
      </c>
      <c r="G14" s="400" t="s">
        <v>2485</v>
      </c>
      <c r="H14" s="401"/>
    </row>
    <row r="15" spans="1:8" x14ac:dyDescent="0.25">
      <c r="A15" s="279">
        <v>9789500216159</v>
      </c>
      <c r="B15" s="6">
        <v>728123</v>
      </c>
      <c r="C15" s="41">
        <v>176</v>
      </c>
      <c r="D15" s="8" t="s">
        <v>2019</v>
      </c>
      <c r="E15" s="6" t="s">
        <v>2020</v>
      </c>
      <c r="F15" s="9">
        <v>12000</v>
      </c>
      <c r="G15" s="400" t="s">
        <v>2486</v>
      </c>
      <c r="H15" s="401"/>
    </row>
    <row r="16" spans="1:8" x14ac:dyDescent="0.25">
      <c r="A16" s="8">
        <v>9789500215206</v>
      </c>
      <c r="B16" s="8">
        <v>717947</v>
      </c>
      <c r="C16" s="41">
        <v>192</v>
      </c>
      <c r="D16" s="7" t="s">
        <v>1872</v>
      </c>
      <c r="E16" s="7" t="s">
        <v>1866</v>
      </c>
      <c r="F16" s="9">
        <v>12000</v>
      </c>
      <c r="G16" s="400" t="s">
        <v>2487</v>
      </c>
      <c r="H16" s="401"/>
    </row>
    <row r="17" spans="1:8" x14ac:dyDescent="0.25">
      <c r="A17" s="8">
        <v>9789500214186</v>
      </c>
      <c r="B17" s="8">
        <v>709893</v>
      </c>
      <c r="C17" s="41">
        <v>256</v>
      </c>
      <c r="D17" s="7" t="s">
        <v>846</v>
      </c>
      <c r="E17" s="6" t="s">
        <v>847</v>
      </c>
      <c r="F17" s="9">
        <v>12000</v>
      </c>
      <c r="G17" s="400" t="s">
        <v>2488</v>
      </c>
      <c r="H17" s="401"/>
    </row>
    <row r="18" spans="1:8" x14ac:dyDescent="0.25">
      <c r="A18" s="8">
        <v>9789500213035</v>
      </c>
      <c r="B18" s="6">
        <v>698748</v>
      </c>
      <c r="C18" s="41">
        <v>288</v>
      </c>
      <c r="D18" s="7" t="s">
        <v>719</v>
      </c>
      <c r="E18" s="7" t="s">
        <v>720</v>
      </c>
      <c r="F18" s="9">
        <v>12000</v>
      </c>
      <c r="G18" s="400" t="s">
        <v>2489</v>
      </c>
      <c r="H18" s="401"/>
    </row>
    <row r="19" spans="1:8" x14ac:dyDescent="0.25">
      <c r="A19" s="8">
        <v>9789500212724</v>
      </c>
      <c r="B19" s="8">
        <v>694753</v>
      </c>
      <c r="C19" s="25">
        <v>208</v>
      </c>
      <c r="D19" s="7" t="s">
        <v>692</v>
      </c>
      <c r="E19" s="7" t="s">
        <v>693</v>
      </c>
      <c r="F19" s="9">
        <v>12000</v>
      </c>
      <c r="G19" s="400" t="s">
        <v>2490</v>
      </c>
      <c r="H19" s="401"/>
    </row>
    <row r="20" spans="1:8" x14ac:dyDescent="0.25">
      <c r="A20" s="8">
        <v>9789500213981</v>
      </c>
      <c r="B20" s="8">
        <v>707945</v>
      </c>
      <c r="C20" s="41">
        <v>224</v>
      </c>
      <c r="D20" s="7" t="s">
        <v>799</v>
      </c>
      <c r="E20" s="6" t="s">
        <v>800</v>
      </c>
      <c r="F20" s="9">
        <v>12000</v>
      </c>
      <c r="G20" s="400" t="s">
        <v>2491</v>
      </c>
      <c r="H20" s="401"/>
    </row>
    <row r="21" spans="1:8" x14ac:dyDescent="0.25">
      <c r="A21" s="8">
        <v>9789500211277</v>
      </c>
      <c r="B21" s="8">
        <v>679308</v>
      </c>
      <c r="C21" s="25">
        <v>320</v>
      </c>
      <c r="D21" s="7" t="s">
        <v>513</v>
      </c>
      <c r="E21" s="7" t="s">
        <v>514</v>
      </c>
      <c r="F21" s="9">
        <v>12000</v>
      </c>
      <c r="G21" s="400" t="s">
        <v>2492</v>
      </c>
      <c r="H21" s="401"/>
    </row>
    <row r="22" spans="1:8" x14ac:dyDescent="0.25">
      <c r="A22" s="8">
        <v>9789500212755</v>
      </c>
      <c r="B22" s="8">
        <v>695680</v>
      </c>
      <c r="C22" s="25">
        <v>320</v>
      </c>
      <c r="D22" s="7" t="s">
        <v>696</v>
      </c>
      <c r="E22" s="7" t="s">
        <v>697</v>
      </c>
      <c r="F22" s="9">
        <v>12000</v>
      </c>
      <c r="G22" s="400" t="s">
        <v>2493</v>
      </c>
      <c r="H22" s="401"/>
    </row>
    <row r="23" spans="1:8" x14ac:dyDescent="0.25">
      <c r="A23" s="8">
        <v>9789500212861</v>
      </c>
      <c r="B23" s="6">
        <v>696628</v>
      </c>
      <c r="C23" s="25">
        <v>304</v>
      </c>
      <c r="D23" s="7" t="s">
        <v>703</v>
      </c>
      <c r="E23" s="7" t="s">
        <v>704</v>
      </c>
      <c r="F23" s="9">
        <v>12000</v>
      </c>
      <c r="G23" s="400" t="s">
        <v>2494</v>
      </c>
      <c r="H23" s="401"/>
    </row>
    <row r="24" spans="1:8" x14ac:dyDescent="0.25">
      <c r="A24" s="8">
        <v>9789500212328</v>
      </c>
      <c r="B24" s="8">
        <v>689373</v>
      </c>
      <c r="C24" s="25">
        <v>256</v>
      </c>
      <c r="D24" s="9" t="s">
        <v>414</v>
      </c>
      <c r="E24" s="7" t="s">
        <v>621</v>
      </c>
      <c r="F24" s="9">
        <v>12000</v>
      </c>
      <c r="G24" s="400" t="s">
        <v>2495</v>
      </c>
      <c r="H24" s="401"/>
    </row>
    <row r="25" spans="1:8" x14ac:dyDescent="0.25">
      <c r="A25" s="8">
        <v>9789500212090</v>
      </c>
      <c r="B25" s="8">
        <v>688420</v>
      </c>
      <c r="C25" s="25">
        <v>288</v>
      </c>
      <c r="D25" s="9" t="s">
        <v>414</v>
      </c>
      <c r="E25" s="7" t="s">
        <v>588</v>
      </c>
      <c r="F25" s="9">
        <v>12000</v>
      </c>
      <c r="G25" s="400" t="s">
        <v>2496</v>
      </c>
      <c r="H25" s="401"/>
    </row>
    <row r="26" spans="1:8" x14ac:dyDescent="0.25">
      <c r="A26" s="279">
        <v>9789500216340</v>
      </c>
      <c r="B26" s="6">
        <v>730436</v>
      </c>
      <c r="C26" s="41">
        <v>224</v>
      </c>
      <c r="D26" s="6" t="s">
        <v>2056</v>
      </c>
      <c r="E26" s="6" t="s">
        <v>2065</v>
      </c>
      <c r="F26" s="9">
        <v>12000</v>
      </c>
      <c r="G26" s="400" t="s">
        <v>2497</v>
      </c>
      <c r="H26" s="401"/>
    </row>
    <row r="27" spans="1:8" x14ac:dyDescent="0.25">
      <c r="A27" s="8">
        <v>9789500212045</v>
      </c>
      <c r="B27" s="8">
        <v>686377</v>
      </c>
      <c r="C27" s="25">
        <v>96</v>
      </c>
      <c r="D27" s="7" t="s">
        <v>576</v>
      </c>
      <c r="E27" s="7" t="s">
        <v>577</v>
      </c>
      <c r="F27" s="9">
        <v>12000</v>
      </c>
      <c r="G27" s="400" t="s">
        <v>2498</v>
      </c>
      <c r="H27" s="401"/>
    </row>
    <row r="28" spans="1:8" x14ac:dyDescent="0.25">
      <c r="A28" s="8">
        <v>9789500212403</v>
      </c>
      <c r="B28" s="8">
        <v>690836</v>
      </c>
      <c r="C28" s="25">
        <v>36</v>
      </c>
      <c r="D28" s="9" t="s">
        <v>650</v>
      </c>
      <c r="E28" s="7" t="s">
        <v>653</v>
      </c>
      <c r="F28" s="9">
        <v>12000</v>
      </c>
      <c r="G28" s="400" t="s">
        <v>2499</v>
      </c>
      <c r="H28" s="401"/>
    </row>
    <row r="29" spans="1:8" x14ac:dyDescent="0.25">
      <c r="A29" s="8">
        <v>9789500211680</v>
      </c>
      <c r="B29" s="8">
        <v>683320</v>
      </c>
      <c r="C29" s="25">
        <v>40</v>
      </c>
      <c r="D29" s="7" t="s">
        <v>543</v>
      </c>
      <c r="E29" s="6" t="s">
        <v>544</v>
      </c>
      <c r="F29" s="9">
        <v>12000</v>
      </c>
      <c r="G29" s="400" t="s">
        <v>2500</v>
      </c>
      <c r="H29" s="401"/>
    </row>
    <row r="30" spans="1:8" x14ac:dyDescent="0.25">
      <c r="A30" s="8">
        <v>9789500212960</v>
      </c>
      <c r="B30" s="6">
        <v>698774</v>
      </c>
      <c r="C30" s="41">
        <v>32</v>
      </c>
      <c r="D30" s="7" t="s">
        <v>723</v>
      </c>
      <c r="E30" s="7" t="s">
        <v>724</v>
      </c>
      <c r="F30" s="9">
        <v>12000</v>
      </c>
      <c r="G30" s="400" t="s">
        <v>2501</v>
      </c>
      <c r="H30" s="401"/>
    </row>
    <row r="31" spans="1:8" x14ac:dyDescent="0.25">
      <c r="A31" s="8">
        <v>9789500213004</v>
      </c>
      <c r="B31" s="6">
        <v>698775</v>
      </c>
      <c r="C31" s="41">
        <v>48</v>
      </c>
      <c r="D31" s="7" t="s">
        <v>725</v>
      </c>
      <c r="E31" s="7" t="s">
        <v>726</v>
      </c>
      <c r="F31" s="9">
        <v>12000</v>
      </c>
      <c r="G31" s="400" t="s">
        <v>2502</v>
      </c>
      <c r="H31" s="401"/>
    </row>
    <row r="32" spans="1:8" x14ac:dyDescent="0.25">
      <c r="A32" s="8">
        <v>9789500212915</v>
      </c>
      <c r="B32" s="6">
        <v>697477</v>
      </c>
      <c r="C32" s="41">
        <v>48</v>
      </c>
      <c r="D32" s="7" t="s">
        <v>717</v>
      </c>
      <c r="E32" s="7" t="s">
        <v>718</v>
      </c>
      <c r="F32" s="9">
        <v>12000</v>
      </c>
      <c r="G32" s="400" t="s">
        <v>2503</v>
      </c>
      <c r="H32" s="401"/>
    </row>
    <row r="33" spans="1:8" x14ac:dyDescent="0.25">
      <c r="A33" s="8">
        <v>9789500210959</v>
      </c>
      <c r="B33" s="8">
        <v>677294</v>
      </c>
      <c r="C33" s="25">
        <v>176</v>
      </c>
      <c r="D33" s="7" t="s">
        <v>499</v>
      </c>
      <c r="E33" s="7" t="s">
        <v>494</v>
      </c>
      <c r="F33" s="9">
        <v>12000</v>
      </c>
      <c r="G33" s="400" t="s">
        <v>2504</v>
      </c>
      <c r="H33" s="401"/>
    </row>
    <row r="34" spans="1:8" x14ac:dyDescent="0.25">
      <c r="A34" s="238"/>
      <c r="B34" s="76"/>
    </row>
  </sheetData>
  <phoneticPr fontId="31" type="noConversion"/>
  <pageMargins left="0.7" right="0.7" top="0.75" bottom="0.75" header="0.3" footer="0.3"/>
  <pageSetup paperSize="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UT NETA</vt:lpstr>
      <vt:lpstr>Hoja1</vt:lpstr>
      <vt:lpstr>Libro sorpresa</vt:lpstr>
      <vt:lpstr>'UT NETA'!Área_de_impresión</vt:lpstr>
      <vt:lpstr>'UT NETA'!Títulos_a_imprimir</vt:lpstr>
    </vt:vector>
  </TitlesOfParts>
  <Company>Grupo ILHSA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Lopez Barrios</dc:creator>
  <cp:lastModifiedBy>Yamina Seija</cp:lastModifiedBy>
  <cp:lastPrinted>2026-04-28T20:38:38Z</cp:lastPrinted>
  <dcterms:created xsi:type="dcterms:W3CDTF">2017-09-27T17:59:22Z</dcterms:created>
  <dcterms:modified xsi:type="dcterms:W3CDTF">2026-10-16T17:55:43Z</dcterms:modified>
</cp:coreProperties>
</file>