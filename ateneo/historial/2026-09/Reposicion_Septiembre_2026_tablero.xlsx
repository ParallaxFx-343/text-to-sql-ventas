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ro" sheetId="1" state="visible" r:id="rId1"/>
    <sheet name="Acciones" sheetId="2" state="visible" r:id="rId2"/>
    <sheet name="Faltantes" sheetId="3" state="visible" r:id="rId3"/>
    <sheet name="Surtido en cero" sheetId="4" state="visible" r:id="rId4"/>
    <sheet name="Cómo se calculó" sheetId="5" state="visible" r:id="rId5"/>
  </sheets>
  <definedNames>
    <definedName name="_xlnm.Print_Area" localSheetId="0">'Tablero'!$A$1:$AK$35</definedName>
    <definedName name="_xlnm._FilterDatabase" localSheetId="2" hidden="1">'Faltantes'!$A$4:$H$25</definedName>
    <definedName name="_xlnm._FilterDatabase" localSheetId="3" hidden="1">'Surtido en cero'!$A$4:$B$65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"/>
    <numFmt numFmtId="166" formatCode="#,##0;−#,##0"/>
  </numFmts>
  <fonts count="2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u val="single"/>
    </font>
    <font>
      <i val="1"/>
      <color rgb="006B7686"/>
      <sz val="9"/>
    </font>
    <font>
      <b val="1"/>
      <color rgb="00FFFFFF"/>
    </font>
    <font>
      <color rgb="006B7686"/>
      <sz val="9"/>
    </font>
    <font>
      <b val="1"/>
    </font>
    <font>
      <b val="1"/>
      <color rgb="001F4E78"/>
      <sz val="12"/>
    </font>
    <font>
      <color rgb="00A6A6A6"/>
      <sz val="9"/>
    </font>
    <font>
      <b val="1"/>
      <color rgb="006B7686"/>
      <sz val="10"/>
    </font>
    <font>
      <b val="1"/>
      <color rgb="00C8373A"/>
    </font>
    <font>
      <b val="1"/>
      <color rgb="00B8612F"/>
    </font>
    <font>
      <b val="1"/>
      <color rgb="00FFFFFF"/>
      <sz val="20"/>
    </font>
    <font>
      <b val="1"/>
      <color rgb="00BFD3EA"/>
      <sz val="12"/>
    </font>
    <font>
      <b val="1"/>
      <color rgb="00FFFFFF"/>
      <sz val="10"/>
    </font>
    <font>
      <color rgb="00FFFFFF"/>
      <sz val="10"/>
    </font>
    <font>
      <color rgb="00BFD3EA"/>
      <sz val="8"/>
    </font>
    <font>
      <b val="1"/>
      <color rgb="001F4E78"/>
      <sz val="19"/>
    </font>
    <font>
      <i val="1"/>
      <color rgb="006B7686"/>
      <sz val="10"/>
    </font>
    <font>
      <b val="1"/>
      <color rgb="001F4E78"/>
      <sz val="26"/>
    </font>
    <font>
      <b val="1"/>
      <color rgb="001F2A44"/>
      <sz val="12"/>
    </font>
    <font>
      <b val="1"/>
      <color rgb="001F4E78"/>
      <sz val="24"/>
    </font>
    <font>
      <b val="1"/>
      <color rgb="001F4E78"/>
      <sz val="13"/>
    </font>
    <font>
      <b val="1"/>
      <color rgb="00C8373A"/>
      <sz val="24"/>
    </font>
    <font>
      <b val="1"/>
      <color rgb="00C8373A"/>
      <sz val="13"/>
    </font>
    <font>
      <b val="1"/>
      <color rgb="001F2A44"/>
      <sz val="13"/>
    </font>
    <font>
      <b val="1"/>
      <color rgb="001F2A44"/>
      <sz val="9"/>
    </font>
    <font>
      <color rgb="006B7686"/>
      <sz val="8"/>
    </font>
    <font>
      <color rgb="001F4E78"/>
      <sz val="8"/>
      <u val="single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EF1F5"/>
      </patternFill>
    </fill>
    <fill>
      <patternFill patternType="solid">
        <fgColor rgb="00FFFFFF"/>
      </patternFill>
    </fill>
    <fill>
      <patternFill patternType="solid">
        <fgColor rgb="00D3D9E1"/>
      </patternFill>
    </fill>
    <fill>
      <patternFill patternType="solid">
        <fgColor rgb="002E6497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12" fillId="2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left" vertical="bottom" indent="1"/>
    </xf>
    <xf numFmtId="3" fontId="19" fillId="5" borderId="0" applyAlignment="1" pivotButton="0" quotePrefix="0" xfId="0">
      <alignment horizontal="right" vertical="bottom" indent="1"/>
    </xf>
    <xf numFmtId="0" fontId="25" fillId="5" borderId="0" applyAlignment="1" pivotButton="0" quotePrefix="0" xfId="0">
      <alignment horizontal="left" vertical="bottom" indent="1"/>
    </xf>
    <xf numFmtId="0" fontId="13" fillId="2" borderId="0" applyAlignment="1" pivotButton="0" quotePrefix="0" xfId="0">
      <alignment horizontal="center" vertical="top"/>
    </xf>
    <xf numFmtId="0" fontId="0" fillId="6" borderId="0" pivotButton="0" quotePrefix="0" xfId="0"/>
    <xf numFmtId="0" fontId="5" fillId="5" borderId="0" applyAlignment="1" pivotButton="0" quotePrefix="0" xfId="0">
      <alignment horizontal="left" vertical="top" wrapText="1" indent="1"/>
    </xf>
    <xf numFmtId="0" fontId="18" fillId="5" borderId="0" applyAlignment="1" pivotButton="0" quotePrefix="0" xfId="0">
      <alignment horizontal="left" vertical="top" indent="1"/>
    </xf>
    <xf numFmtId="0" fontId="5" fillId="5" borderId="0" applyAlignment="1" pivotButton="0" quotePrefix="0" xfId="0">
      <alignment horizontal="right" vertical="top" indent="1"/>
    </xf>
    <xf numFmtId="0" fontId="0" fillId="5" borderId="0" pivotButton="0" quotePrefix="0" xfId="0"/>
    <xf numFmtId="0" fontId="20" fillId="5" borderId="0" applyAlignment="1" pivotButton="0" quotePrefix="0" xfId="0">
      <alignment horizontal="left" vertical="bottom" indent="1"/>
    </xf>
    <xf numFmtId="0" fontId="14" fillId="7" borderId="0" applyAlignment="1" pivotButton="0" quotePrefix="0" xfId="0">
      <alignment horizontal="center" vertical="center" wrapText="1"/>
    </xf>
    <xf numFmtId="3" fontId="21" fillId="5" borderId="0" applyAlignment="1" pivotButton="0" quotePrefix="0" xfId="0">
      <alignment horizontal="left" vertical="center" indent="1"/>
    </xf>
    <xf numFmtId="3" fontId="23" fillId="5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center" vertical="center" wrapText="1"/>
    </xf>
    <xf numFmtId="9" fontId="22" fillId="5" borderId="0" applyAlignment="1" pivotButton="0" quotePrefix="0" xfId="0">
      <alignment horizontal="center" vertical="center"/>
    </xf>
    <xf numFmtId="9" fontId="2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top" indent="1"/>
    </xf>
    <xf numFmtId="0" fontId="26" fillId="5" borderId="0" applyAlignment="1" pivotButton="0" quotePrefix="0" xfId="0">
      <alignment horizontal="left" vertical="top" wrapText="1" indent="1"/>
    </xf>
    <xf numFmtId="0" fontId="16" fillId="2" borderId="0" applyAlignment="1" pivotButton="0" quotePrefix="0" xfId="0">
      <alignment horizontal="center"/>
    </xf>
    <xf numFmtId="0" fontId="28" fillId="5" borderId="0" applyAlignment="1" pivotButton="0" quotePrefix="0" xfId="0">
      <alignment horizontal="left" vertical="center" inden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0" borderId="0" pivotButton="0" quotePrefix="0" xfId="0"/>
    <xf numFmtId="3" fontId="0" fillId="0" borderId="0" applyAlignment="1" pivotButton="0" quotePrefix="0" xfId="0">
      <alignment horizontal="right"/>
    </xf>
    <xf numFmtId="3" fontId="6" fillId="3" borderId="1" pivotButton="0" quotePrefix="0" xfId="0"/>
    <xf numFmtId="0" fontId="7" fillId="0" borderId="0" pivotButton="0" quotePrefix="0" xfId="0"/>
    <xf numFmtId="0" fontId="4" fillId="2" borderId="0" pivotButton="0" quotePrefix="0" xfId="0"/>
    <xf numFmtId="166" fontId="0" fillId="0" borderId="0" pivotButton="0" quotePrefix="0" xfId="0"/>
    <xf numFmtId="3" fontId="8" fillId="0" borderId="0" pivotButton="0" quotePrefix="0" xfId="0"/>
    <xf numFmtId="3" fontId="3" fillId="0" borderId="0" pivotButton="0" quotePrefix="0" xfId="0"/>
    <xf numFmtId="0" fontId="9" fillId="0" borderId="0" pivotButton="0" quotePrefix="0" xfId="0"/>
    <xf numFmtId="9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0" pivotButton="0" quotePrefix="0" xfId="0"/>
    <xf numFmtId="9" fontId="1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F4E78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D5E2F0"/>
              </a:solidFill>
              <a:ln>
                <a:noFill/>
                <a:prstDash val="solid"/>
              </a:ln>
            </spPr>
          </dPt>
          <val>
            <numRef>
              <f>'Acciones'!$B$26:$C$26</f>
            </numRef>
          </val>
        </ser>
        <firstSliceAng val="0"/>
        <holeSize val="68"/>
      </doughnutChart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C8373A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F5D6D6"/>
              </a:solidFill>
              <a:ln>
                <a:noFill/>
                <a:prstDash val="solid"/>
              </a:ln>
            </spPr>
          </dPt>
          <val>
            <numRef>
              <f>'Acciones'!$B$27:$C$27</f>
            </numRef>
          </val>
        </ser>
        <firstSliceAng val="0"/>
        <holeSize val="68"/>
      </doughnutChart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F4E78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D5E2F0"/>
              </a:solidFill>
              <a:ln>
                <a:noFill/>
                <a:prstDash val="solid"/>
              </a:ln>
            </spPr>
          </dPt>
          <val>
            <numRef>
              <f>'Acciones'!$B$28:$C$28</f>
            </numRef>
          </val>
        </ser>
        <firstSliceAng val="0"/>
        <holeSize val="68"/>
      </doughnutChart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1F4E78"/>
            </a:solidFill>
            <a:ln>
              <a:noFill/>
              <a:prstDash val="solid"/>
            </a:ln>
          </spPr>
          <dLbls>
            <numFmt formatCode="#,##0"/>
            <txPr>
              <a:bodyPr/>
              <a:p>
                <a:pPr>
                  <a:defRPr sz="900" b="1">
                    <a:solidFill>
                      <a:srgbClr val="1F2A44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1F2A44"/>
                  </a:solidFill>
                  <a:latin typeface="Calibri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'Acciones'!$B$5:$B$10</f>
            </numRef>
          </cat>
          <val>
            <numRef>
              <f>'Acciones'!$F$5:$F$10</f>
            </numRef>
          </val>
        </ser>
        <gapWidth val="7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C9CFD8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1F2A44"/>
                </a:solidFill>
                <a:latin typeface="Calibri"/>
              </a:defRPr>
            </a:pPr>
            <a:r>
              <a:t/>
            </a:r>
            <a:endParaRPr sz="900" b="0">
              <a:solidFill>
                <a:srgbClr val="1F2A44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stacked"/>
        <ser>
          <idx val="0"/>
          <order val="0"/>
          <spPr>
            <a:noFill/>
            <a:ln>
              <a:noFill/>
              <a:prstDash val="solid"/>
            </a:ln>
          </spPr>
          <cat>
            <numRef>
              <f>'Acciones'!$G$16:$G$20</f>
            </numRef>
          </cat>
          <val>
            <numRef>
              <f>'Acciones'!$E$16:$E$20</f>
            </numRef>
          </val>
        </ser>
        <ser>
          <idx val="1"/>
          <order val="1"/>
          <spPr>
            <a:ln>
              <a:noFill/>
              <a:prstDash val="solid"/>
            </a:ln>
          </spPr>
          <dPt>
            <idx val="0"/>
            <spPr>
              <a:solidFill>
                <a:srgbClr val="A7B0BD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CDD3DC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C8373A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E8834F"/>
              </a:solidFill>
              <a:ln>
                <a:noFill/>
                <a:prstDash val="solid"/>
              </a:ln>
            </spPr>
          </dPt>
          <dPt>
            <idx val="4"/>
            <spPr>
              <a:solidFill>
                <a:srgbClr val="1F4E78"/>
              </a:solidFill>
              <a:ln>
                <a:noFill/>
                <a:prstDash val="solid"/>
              </a:ln>
            </spPr>
          </dPt>
          <cat>
            <numRef>
              <f>'Acciones'!$G$16:$G$20</f>
            </numRef>
          </cat>
          <val>
            <numRef>
              <f>'Acciones'!$F$16:$F$20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C9CFD8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1F2A44"/>
                </a:solidFill>
                <a:latin typeface="Calibri"/>
              </a:defRPr>
            </a:pPr>
            <a:r>
              <a:t/>
            </a:r>
            <a:endParaRPr sz="900" b="0">
              <a:solidFill>
                <a:srgbClr val="1F2A44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ax val="6300"/>
          <min val="0"/>
        </scaling>
        <delete val="1"/>
        <axPos val="l"/>
        <majorTickMark val="none"/>
        <minorTickMark val="none"/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1F4E78"/>
            </a:solidFill>
            <a:ln>
              <a:noFill/>
              <a:prstDash val="solid"/>
            </a:ln>
          </spPr>
          <dPt>
            <idx val="0"/>
            <spPr>
              <a:solidFill>
                <a:srgbClr val="C8373A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C8373A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E8834F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E8834F"/>
              </a:solidFill>
              <a:ln>
                <a:noFill/>
                <a:prstDash val="solid"/>
              </a:ln>
            </spPr>
          </dPt>
          <dPt>
            <idx val="4"/>
            <spPr>
              <a:solidFill>
                <a:srgbClr val="E8834F"/>
              </a:solidFill>
              <a:ln>
                <a:noFill/>
                <a:prstDash val="solid"/>
              </a:ln>
            </spPr>
          </dPt>
          <dPt>
            <idx val="5"/>
            <spPr>
              <a:solidFill>
                <a:srgbClr val="E8834F"/>
              </a:solidFill>
              <a:ln>
                <a:noFill/>
                <a:prstDash val="solid"/>
              </a:ln>
            </spPr>
          </dPt>
          <dPt>
            <idx val="6"/>
            <spPr>
              <a:solidFill>
                <a:srgbClr val="C8373A"/>
              </a:solidFill>
              <a:ln>
                <a:noFill/>
                <a:prstDash val="solid"/>
              </a:ln>
            </spPr>
          </dPt>
          <dPt>
            <idx val="7"/>
            <spPr>
              <a:solidFill>
                <a:srgbClr val="E8834F"/>
              </a:solidFill>
              <a:ln>
                <a:noFill/>
                <a:prstDash val="solid"/>
              </a:ln>
            </spPr>
          </dPt>
          <dPt>
            <idx val="8"/>
            <spPr>
              <a:solidFill>
                <a:srgbClr val="C8373A"/>
              </a:solidFill>
              <a:ln>
                <a:noFill/>
                <a:prstDash val="solid"/>
              </a:ln>
            </spPr>
          </dPt>
          <dPt>
            <idx val="9"/>
            <spPr>
              <a:solidFill>
                <a:srgbClr val="C8373A"/>
              </a:solidFill>
              <a:ln>
                <a:noFill/>
                <a:prstDash val="solid"/>
              </a:ln>
            </spPr>
          </dPt>
          <dPt>
            <idx val="10"/>
            <spPr>
              <a:solidFill>
                <a:srgbClr val="E8834F"/>
              </a:solidFill>
              <a:ln>
                <a:noFill/>
                <a:prstDash val="solid"/>
              </a:ln>
            </spPr>
          </dPt>
          <dPt>
            <idx val="11"/>
            <spPr>
              <a:solidFill>
                <a:srgbClr val="E8834F"/>
              </a:solidFill>
              <a:ln>
                <a:noFill/>
                <a:prstDash val="solid"/>
              </a:ln>
            </spPr>
          </dPt>
          <dLbls>
            <numFmt formatCode="#,##0"/>
            <txPr>
              <a:bodyPr/>
              <a:p>
                <a:pPr>
                  <a:defRPr sz="900" b="1">
                    <a:solidFill>
                      <a:srgbClr val="1F2A44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1F2A44"/>
                  </a:solidFill>
                  <a:latin typeface="Calibri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'Faltantes'!$C$5:$C$16</f>
            </numRef>
          </cat>
          <val>
            <numRef>
              <f>'Faltantes'!$D$5:$D$16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C9CFD8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1F2A44"/>
                </a:solidFill>
                <a:latin typeface="Calibri"/>
              </a:defRPr>
            </a:pPr>
            <a:r>
              <a:t/>
            </a:r>
            <a:endParaRPr sz="900" b="0">
              <a:solidFill>
                <a:srgbClr val="1F2A44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ax val="460"/>
          <min val="0"/>
        </scaling>
        <delete val="1"/>
        <axPos val="l"/>
        <majorTickMark val="none"/>
        <minorTickMark val="none"/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1F4E78"/>
            </a:solidFill>
            <a:ln>
              <a:noFill/>
              <a:prstDash val="solid"/>
            </a:ln>
          </spPr>
          <dLbls>
            <numFmt formatCode="0"/>
            <txPr>
              <a:bodyPr/>
              <a:p>
                <a:pPr>
                  <a:defRPr sz="900" b="1">
                    <a:solidFill>
                      <a:srgbClr val="1F2A44"/>
                    </a:solidFill>
                    <a:latin typeface="Calibri"/>
                  </a:defRPr>
                </a:pPr>
                <a:r>
                  <a:t/>
                </a:r>
                <a:endParaRPr sz="900" b="1">
                  <a:solidFill>
                    <a:srgbClr val="1F2A44"/>
                  </a:solidFill>
                  <a:latin typeface="Calibri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'Surtido en cero'!$A$5:$A$19</f>
            </numRef>
          </cat>
          <val>
            <numRef>
              <f>'Surtido en cero'!$B$5:$B$19</f>
            </numRef>
          </val>
        </ser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C9CFD8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1F2A44"/>
                </a:solidFill>
                <a:latin typeface="Calibri"/>
              </a:defRPr>
            </a:pPr>
            <a:r>
              <a:t/>
            </a:r>
            <a:endParaRPr sz="900" b="0">
              <a:solidFill>
                <a:srgbClr val="1F2A44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solidFill>
      <a:srgbClr val="FFFFFF"/>
    </a:solidFill>
    <a:ln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0</colOff>
      <row>7</row>
      <rowOff>0</rowOff>
    </from>
    <to>
      <col>7</col>
      <colOff>400050</colOff>
      <row>11</row>
      <rowOff>254000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0</colOff>
      <row>7</row>
      <rowOff>0</rowOff>
    </from>
    <to>
      <col>15</col>
      <colOff>400050</colOff>
      <row>11</row>
      <rowOff>254000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21</col>
      <colOff>0</colOff>
      <row>7</row>
      <rowOff>0</rowOff>
    </from>
    <to>
      <col>23</col>
      <colOff>400050</colOff>
      <row>11</row>
      <rowOff>254000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</col>
      <colOff>60000</colOff>
      <row>16</row>
      <rowOff>60000</rowOff>
    </from>
    <to>
      <col>15</col>
      <colOff>340050</colOff>
      <row>32</row>
      <rowOff>181300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18</col>
      <colOff>40000</colOff>
      <row>16</row>
      <rowOff>40000</rowOff>
    </from>
    <to>
      <col>23</col>
      <colOff>360050</colOff>
      <row>32</row>
      <rowOff>201300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26</col>
      <colOff>50000</colOff>
      <row>4</row>
      <rowOff>50000</rowOff>
    </from>
    <to>
      <col>34</col>
      <colOff>350050</colOff>
      <row>29</row>
      <rowOff>191300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3</row>
      <rowOff>0</rowOff>
    </from>
    <to>
      <col>11</col>
      <colOff>914400</colOff>
      <row>29</row>
      <rowOff>190500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35"/>
  <sheetViews>
    <sheetView showGridLines="0" zoomScale="90" workbookViewId="0">
      <selection activeCell="A1" sqref="A1"/>
    </sheetView>
  </sheetViews>
  <sheetFormatPr baseColWidth="8" defaultRowHeight="15"/>
  <cols>
    <col width="13" customWidth="1" min="1" max="1"/>
    <col width="2.5" customWidth="1" min="2" max="2"/>
    <col width="5.3" customWidth="1" min="3" max="3"/>
    <col width="5.3" customWidth="1" min="4" max="4"/>
    <col width="5.3" customWidth="1" min="5" max="5"/>
    <col width="5.3" customWidth="1" min="6" max="6"/>
    <col width="5.3" customWidth="1" min="7" max="7"/>
    <col width="5.3" customWidth="1" min="8" max="8"/>
    <col width="0.9" customWidth="1" min="9" max="9"/>
    <col width="1.8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0.9" customWidth="1" min="17" max="17"/>
    <col width="1.8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0.9" customWidth="1" min="25" max="25"/>
    <col width="1.8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0.9" customWidth="1" min="36" max="36"/>
    <col width="1.8" customWidth="1" min="37" max="37"/>
  </cols>
  <sheetData>
    <row r="1" ht="8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30" customHeight="1">
      <c r="A2" s="3" t="inlineStr">
        <is>
          <t>SEP</t>
        </is>
      </c>
      <c r="B2" s="2" t="n"/>
      <c r="C2" s="4" t="inlineStr">
        <is>
          <t>Reposición de la cadena · Septiembre 2026</t>
        </is>
      </c>
      <c r="T2" s="5">
        <f>Acciones!F11</f>
        <v/>
      </c>
      <c r="Y2" s="2" t="n"/>
      <c r="Z2" s="2" t="n"/>
      <c r="AA2" s="6" t="inlineStr">
        <is>
          <t>Dónde faltó stock</t>
        </is>
      </c>
      <c r="AJ2" s="2" t="n"/>
      <c r="AK2" s="2" t="n"/>
    </row>
    <row r="3" ht="20" customHeight="1">
      <c r="A3" s="7" t="inlineStr">
        <is>
          <t>2026</t>
        </is>
      </c>
      <c r="B3" s="2" t="n"/>
      <c r="Y3" s="8" t="n"/>
      <c r="Z3" s="2" t="n"/>
      <c r="AA3" s="9" t="inlineStr">
        <is>
          <t>Faltante de depósito por título, top 12. Rojo: hoy en 0 en depósito; naranja: stock bajo.</t>
        </is>
      </c>
      <c r="AJ3" s="8" t="n"/>
      <c r="AK3" s="2" t="n"/>
    </row>
    <row r="4" ht="20" customHeight="1">
      <c r="A4" s="1" t="n"/>
      <c r="B4" s="2" t="n"/>
      <c r="C4" s="10" t="inlineStr">
        <is>
          <t>Del 11 al 23/09/2026 · stock según el SII del día de cada acción</t>
        </is>
      </c>
      <c r="S4" s="11" t="inlineStr">
        <is>
          <t>unidades cargadas · 6 acciones · 247 títulos</t>
        </is>
      </c>
      <c r="Y4" s="8" t="n"/>
      <c r="Z4" s="2" t="n"/>
      <c r="AJ4" s="8" t="n"/>
      <c r="AK4" s="2" t="n"/>
    </row>
    <row r="5" ht="4" customHeight="1">
      <c r="A5" s="1" t="n"/>
      <c r="B5" s="2" t="n"/>
      <c r="C5" s="2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8" t="n"/>
      <c r="AK5" s="2" t="n"/>
    </row>
    <row r="6" ht="10" customHeight="1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8" t="n"/>
      <c r="AK6" s="2" t="n"/>
    </row>
    <row r="7" ht="24" customHeight="1">
      <c r="A7" s="1" t="n"/>
      <c r="B7" s="2" t="n"/>
      <c r="C7" s="13" t="inlineStr">
        <is>
          <t>Reposición 21 al 25</t>
        </is>
      </c>
      <c r="I7" s="2" t="n"/>
      <c r="J7" s="2" t="n"/>
      <c r="K7" s="13" t="inlineStr">
        <is>
          <t>Faltante de depósito</t>
        </is>
      </c>
      <c r="Q7" s="2" t="n"/>
      <c r="R7" s="2" t="n"/>
      <c r="S7" s="13" t="inlineStr">
        <is>
          <t>Locales alcanzados</t>
        </is>
      </c>
      <c r="Y7" s="2" t="n"/>
      <c r="Z7" s="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8" t="n"/>
      <c r="AK7" s="2" t="n"/>
    </row>
    <row r="8" ht="20" customHeight="1">
      <c r="A8" s="14" t="inlineStr">
        <is>
          <t>TABLERO</t>
        </is>
      </c>
      <c r="B8" s="2" t="n"/>
      <c r="C8" s="15">
        <f>Acciones!D20</f>
        <v/>
      </c>
      <c r="F8" s="12" t="n"/>
      <c r="G8" s="12" t="n"/>
      <c r="H8" s="12" t="n"/>
      <c r="I8" s="8" t="n"/>
      <c r="J8" s="2" t="n"/>
      <c r="K8" s="16">
        <f>Faltantes!D26</f>
        <v/>
      </c>
      <c r="N8" s="12" t="n"/>
      <c r="O8" s="12" t="n"/>
      <c r="P8" s="12" t="n"/>
      <c r="Q8" s="8" t="n"/>
      <c r="R8" s="2" t="n"/>
      <c r="S8" s="15" t="n">
        <v>61</v>
      </c>
      <c r="V8" s="12" t="n"/>
      <c r="W8" s="12" t="n"/>
      <c r="X8" s="12" t="n"/>
      <c r="Y8" s="8" t="n"/>
      <c r="Z8" s="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8" t="n"/>
      <c r="AK8" s="2" t="n"/>
    </row>
    <row r="9" ht="20" customHeight="1">
      <c r="A9" s="1" t="n"/>
      <c r="B9" s="2" t="n"/>
      <c r="F9" s="12" t="n"/>
      <c r="G9" s="12" t="n"/>
      <c r="H9" s="12" t="n"/>
      <c r="I9" s="8" t="n"/>
      <c r="J9" s="2" t="n"/>
      <c r="N9" s="12" t="n"/>
      <c r="O9" s="12" t="n"/>
      <c r="P9" s="12" t="n"/>
      <c r="Q9" s="8" t="n"/>
      <c r="R9" s="2" t="n"/>
      <c r="V9" s="12" t="n"/>
      <c r="W9" s="12" t="n"/>
      <c r="X9" s="12" t="n"/>
      <c r="Y9" s="8" t="n"/>
      <c r="Z9" s="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8" t="n"/>
      <c r="AK9" s="2" t="n"/>
    </row>
    <row r="10" ht="20" customHeight="1">
      <c r="A10" s="17" t="inlineStr">
        <is>
          <t>ACCIONES</t>
        </is>
      </c>
      <c r="B10" s="2" t="n"/>
      <c r="F10" s="18">
        <f>Acciones!B26</f>
        <v/>
      </c>
      <c r="I10" s="8" t="n"/>
      <c r="J10" s="2" t="n"/>
      <c r="N10" s="19">
        <f>Acciones!B27</f>
        <v/>
      </c>
      <c r="Q10" s="8" t="n"/>
      <c r="R10" s="2" t="n"/>
      <c r="V10" s="18">
        <f>Acciones!B28</f>
        <v/>
      </c>
      <c r="Y10" s="8" t="n"/>
      <c r="Z10" s="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8" t="n"/>
      <c r="AK10" s="2" t="n"/>
    </row>
    <row r="11" ht="20" customHeight="1">
      <c r="A11" s="1" t="n"/>
      <c r="B11" s="2" t="n"/>
      <c r="C11" s="9" t="inlineStr">
        <is>
          <t>cargadas de 6.201 vendidas</t>
        </is>
      </c>
      <c r="F11" s="12" t="n"/>
      <c r="G11" s="12" t="n"/>
      <c r="H11" s="12" t="n"/>
      <c r="I11" s="8" t="n"/>
      <c r="J11" s="2" t="n"/>
      <c r="K11" s="9" t="inlineStr">
        <is>
          <t>unidades pedidas sin stock; 5 títulos concentran el grueso</t>
        </is>
      </c>
      <c r="N11" s="12" t="n"/>
      <c r="O11" s="12" t="n"/>
      <c r="P11" s="12" t="n"/>
      <c r="Q11" s="8" t="n"/>
      <c r="R11" s="2" t="n"/>
      <c r="S11" s="9" t="inlineStr">
        <is>
          <t>de 62 activos, más Canales Alternativos</t>
        </is>
      </c>
      <c r="V11" s="12" t="n"/>
      <c r="W11" s="12" t="n"/>
      <c r="X11" s="12" t="n"/>
      <c r="Y11" s="8" t="n"/>
      <c r="Z11" s="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8" t="n"/>
      <c r="AK11" s="2" t="n"/>
    </row>
    <row r="12" ht="20" customHeight="1">
      <c r="A12" s="17" t="inlineStr">
        <is>
          <t>FALTANTES</t>
        </is>
      </c>
      <c r="B12" s="2" t="n"/>
      <c r="F12" s="12" t="n"/>
      <c r="G12" s="12" t="n"/>
      <c r="H12" s="12" t="n"/>
      <c r="I12" s="8" t="n"/>
      <c r="J12" s="2" t="n"/>
      <c r="N12" s="12" t="n"/>
      <c r="O12" s="12" t="n"/>
      <c r="P12" s="12" t="n"/>
      <c r="Q12" s="8" t="n"/>
      <c r="R12" s="2" t="n"/>
      <c r="V12" s="12" t="n"/>
      <c r="W12" s="12" t="n"/>
      <c r="X12" s="12" t="n"/>
      <c r="Y12" s="8" t="n"/>
      <c r="Z12" s="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8" t="n"/>
      <c r="AK12" s="2" t="n"/>
    </row>
    <row r="13" ht="4" customHeight="1">
      <c r="A13" s="1" t="n"/>
      <c r="B13" s="2" t="n"/>
      <c r="C13" s="2" t="n"/>
      <c r="D13" s="8" t="n"/>
      <c r="E13" s="8" t="n"/>
      <c r="F13" s="8" t="n"/>
      <c r="G13" s="8" t="n"/>
      <c r="H13" s="8" t="n"/>
      <c r="I13" s="8" t="n"/>
      <c r="J13" s="2" t="n"/>
      <c r="K13" s="2" t="n"/>
      <c r="L13" s="8" t="n"/>
      <c r="M13" s="8" t="n"/>
      <c r="N13" s="8" t="n"/>
      <c r="O13" s="8" t="n"/>
      <c r="P13" s="8" t="n"/>
      <c r="Q13" s="8" t="n"/>
      <c r="R13" s="2" t="n"/>
      <c r="S13" s="2" t="n"/>
      <c r="T13" s="8" t="n"/>
      <c r="U13" s="8" t="n"/>
      <c r="V13" s="8" t="n"/>
      <c r="W13" s="8" t="n"/>
      <c r="X13" s="8" t="n"/>
      <c r="Y13" s="8" t="n"/>
      <c r="Z13" s="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8" t="n"/>
      <c r="AK13" s="2" t="n"/>
    </row>
    <row r="14" ht="10" customHeight="1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8" t="n"/>
      <c r="AK14" s="2" t="n"/>
    </row>
    <row r="15" ht="24" customHeight="1">
      <c r="A15" s="1" t="n"/>
      <c r="B15" s="2" t="n"/>
      <c r="C15" s="6" t="inlineStr">
        <is>
          <t>Unidades cargadas por acción</t>
        </is>
      </c>
      <c r="Q15" s="2" t="n"/>
      <c r="R15" s="2" t="n"/>
      <c r="S15" s="6" t="inlineStr">
        <is>
          <t>Reposición 21 al 25</t>
        </is>
      </c>
      <c r="Y15" s="2" t="n"/>
      <c r="Z15" s="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8" t="n"/>
      <c r="AK15" s="2" t="n"/>
    </row>
    <row r="16" ht="16" customHeight="1">
      <c r="A16" s="17" t="inlineStr">
        <is>
          <t>LOCALES</t>
        </is>
      </c>
      <c r="B16" s="2" t="n"/>
      <c r="C16" s="20" t="inlineStr">
        <is>
          <t>En orden cronológico, del 11 al 23 de septiembre</t>
        </is>
      </c>
      <c r="Q16" s="8" t="n"/>
      <c r="R16" s="2" t="n"/>
      <c r="S16" s="20" t="inlineStr">
        <is>
          <t>De lo vendido a lo cargado</t>
        </is>
      </c>
      <c r="Y16" s="8" t="n"/>
      <c r="Z16" s="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8" t="n"/>
      <c r="AK16" s="2" t="n"/>
    </row>
    <row r="17" ht="19" customHeight="1">
      <c r="A17" s="1" t="n"/>
      <c r="B17" s="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  <c r="R17" s="2" t="n"/>
      <c r="S17" s="12" t="n"/>
      <c r="T17" s="12" t="n"/>
      <c r="U17" s="12" t="n"/>
      <c r="V17" s="12" t="n"/>
      <c r="W17" s="12" t="n"/>
      <c r="X17" s="12" t="n"/>
      <c r="Y17" s="8" t="n"/>
      <c r="Z17" s="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8" t="n"/>
      <c r="AK17" s="2" t="n"/>
    </row>
    <row r="18" ht="19" customHeight="1">
      <c r="A18" s="17" t="inlineStr">
        <is>
          <t>MÉTODO</t>
        </is>
      </c>
      <c r="B18" s="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  <c r="R18" s="2" t="n"/>
      <c r="S18" s="12" t="n"/>
      <c r="T18" s="12" t="n"/>
      <c r="U18" s="12" t="n"/>
      <c r="V18" s="12" t="n"/>
      <c r="W18" s="12" t="n"/>
      <c r="X18" s="12" t="n"/>
      <c r="Y18" s="8" t="n"/>
      <c r="Z18" s="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8" t="n"/>
      <c r="AK18" s="2" t="n"/>
    </row>
    <row r="19" ht="19" customHeight="1">
      <c r="A19" s="1" t="n"/>
      <c r="B19" s="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  <c r="R19" s="2" t="n"/>
      <c r="S19" s="12" t="n"/>
      <c r="T19" s="12" t="n"/>
      <c r="U19" s="12" t="n"/>
      <c r="V19" s="12" t="n"/>
      <c r="W19" s="12" t="n"/>
      <c r="X19" s="12" t="n"/>
      <c r="Y19" s="8" t="n"/>
      <c r="Z19" s="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8" t="n"/>
      <c r="AK19" s="2" t="n"/>
    </row>
    <row r="20" ht="19" customHeight="1">
      <c r="A20" s="1" t="n"/>
      <c r="B20" s="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  <c r="R20" s="2" t="n"/>
      <c r="S20" s="12" t="n"/>
      <c r="T20" s="12" t="n"/>
      <c r="U20" s="12" t="n"/>
      <c r="V20" s="12" t="n"/>
      <c r="W20" s="12" t="n"/>
      <c r="X20" s="12" t="n"/>
      <c r="Y20" s="8" t="n"/>
      <c r="Z20" s="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8" t="n"/>
      <c r="AK20" s="2" t="n"/>
    </row>
    <row r="21" ht="19" customHeight="1">
      <c r="A21" s="1" t="n"/>
      <c r="B21" s="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  <c r="R21" s="2" t="n"/>
      <c r="S21" s="12" t="n"/>
      <c r="T21" s="12" t="n"/>
      <c r="U21" s="12" t="n"/>
      <c r="V21" s="12" t="n"/>
      <c r="W21" s="12" t="n"/>
      <c r="X21" s="12" t="n"/>
      <c r="Y21" s="8" t="n"/>
      <c r="Z21" s="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8" t="n"/>
      <c r="AK21" s="2" t="n"/>
    </row>
    <row r="22" ht="19" customHeight="1">
      <c r="A22" s="1" t="n"/>
      <c r="B22" s="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  <c r="R22" s="2" t="n"/>
      <c r="S22" s="12" t="n"/>
      <c r="T22" s="12" t="n"/>
      <c r="U22" s="12" t="n"/>
      <c r="V22" s="12" t="n"/>
      <c r="W22" s="12" t="n"/>
      <c r="X22" s="12" t="n"/>
      <c r="Y22" s="8" t="n"/>
      <c r="Z22" s="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8" t="n"/>
      <c r="AK22" s="2" t="n"/>
    </row>
    <row r="23" ht="19" customHeight="1">
      <c r="A23" s="1" t="n"/>
      <c r="B23" s="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  <c r="R23" s="2" t="n"/>
      <c r="S23" s="12" t="n"/>
      <c r="T23" s="12" t="n"/>
      <c r="U23" s="12" t="n"/>
      <c r="V23" s="12" t="n"/>
      <c r="W23" s="12" t="n"/>
      <c r="X23" s="12" t="n"/>
      <c r="Y23" s="8" t="n"/>
      <c r="Z23" s="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8" t="n"/>
      <c r="AK23" s="2" t="n"/>
    </row>
    <row r="24" ht="19" customHeight="1">
      <c r="A24" s="1" t="n"/>
      <c r="B24" s="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  <c r="R24" s="2" t="n"/>
      <c r="S24" s="12" t="n"/>
      <c r="T24" s="12" t="n"/>
      <c r="U24" s="12" t="n"/>
      <c r="V24" s="12" t="n"/>
      <c r="W24" s="12" t="n"/>
      <c r="X24" s="12" t="n"/>
      <c r="Y24" s="8" t="n"/>
      <c r="Z24" s="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8" t="n"/>
      <c r="AK24" s="2" t="n"/>
    </row>
    <row r="25" ht="19" customHeight="1">
      <c r="A25" s="1" t="n"/>
      <c r="B25" s="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  <c r="R25" s="2" t="n"/>
      <c r="S25" s="12" t="n"/>
      <c r="T25" s="12" t="n"/>
      <c r="U25" s="12" t="n"/>
      <c r="V25" s="12" t="n"/>
      <c r="W25" s="12" t="n"/>
      <c r="X25" s="12" t="n"/>
      <c r="Y25" s="8" t="n"/>
      <c r="Z25" s="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8" t="n"/>
      <c r="AK25" s="2" t="n"/>
    </row>
    <row r="26" ht="19" customHeight="1">
      <c r="A26" s="1" t="n"/>
      <c r="B26" s="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  <c r="R26" s="2" t="n"/>
      <c r="S26" s="12" t="n"/>
      <c r="T26" s="12" t="n"/>
      <c r="U26" s="12" t="n"/>
      <c r="V26" s="12" t="n"/>
      <c r="W26" s="12" t="n"/>
      <c r="X26" s="12" t="n"/>
      <c r="Y26" s="8" t="n"/>
      <c r="Z26" s="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8" t="n"/>
      <c r="AK26" s="2" t="n"/>
    </row>
    <row r="27" ht="19" customHeight="1">
      <c r="A27" s="1" t="n"/>
      <c r="B27" s="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  <c r="R27" s="2" t="n"/>
      <c r="S27" s="12" t="n"/>
      <c r="T27" s="12" t="n"/>
      <c r="U27" s="12" t="n"/>
      <c r="V27" s="12" t="n"/>
      <c r="W27" s="12" t="n"/>
      <c r="X27" s="12" t="n"/>
      <c r="Y27" s="8" t="n"/>
      <c r="Z27" s="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8" t="n"/>
      <c r="AK27" s="2" t="n"/>
    </row>
    <row r="28" ht="19" customHeight="1">
      <c r="A28" s="1" t="n"/>
      <c r="B28" s="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  <c r="R28" s="2" t="n"/>
      <c r="S28" s="12" t="n"/>
      <c r="T28" s="12" t="n"/>
      <c r="U28" s="12" t="n"/>
      <c r="V28" s="12" t="n"/>
      <c r="W28" s="12" t="n"/>
      <c r="X28" s="12" t="n"/>
      <c r="Y28" s="8" t="n"/>
      <c r="Z28" s="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8" t="n"/>
      <c r="AK28" s="2" t="n"/>
    </row>
    <row r="29" ht="19" customHeight="1">
      <c r="A29" s="1" t="n"/>
      <c r="B29" s="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  <c r="R29" s="2" t="n"/>
      <c r="S29" s="12" t="n"/>
      <c r="T29" s="12" t="n"/>
      <c r="U29" s="12" t="n"/>
      <c r="V29" s="12" t="n"/>
      <c r="W29" s="12" t="n"/>
      <c r="X29" s="12" t="n"/>
      <c r="Y29" s="8" t="n"/>
      <c r="Z29" s="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8" t="n"/>
      <c r="AK29" s="2" t="n"/>
    </row>
    <row r="30" ht="19" customHeight="1">
      <c r="A30" s="1" t="n"/>
      <c r="B30" s="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  <c r="R30" s="2" t="n"/>
      <c r="S30" s="12" t="n"/>
      <c r="T30" s="12" t="n"/>
      <c r="U30" s="12" t="n"/>
      <c r="V30" s="12" t="n"/>
      <c r="W30" s="12" t="n"/>
      <c r="X30" s="12" t="n"/>
      <c r="Y30" s="8" t="n"/>
      <c r="Z30" s="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8" t="n"/>
      <c r="AK30" s="2" t="n"/>
    </row>
    <row r="31" ht="19" customHeight="1">
      <c r="A31" s="1" t="n"/>
      <c r="B31" s="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  <c r="R31" s="2" t="n"/>
      <c r="S31" s="12" t="n"/>
      <c r="T31" s="12" t="n"/>
      <c r="U31" s="12" t="n"/>
      <c r="V31" s="12" t="n"/>
      <c r="W31" s="12" t="n"/>
      <c r="X31" s="12" t="n"/>
      <c r="Y31" s="8" t="n"/>
      <c r="Z31" s="2" t="n"/>
      <c r="AA31" s="21">
        <f>TEXT(Faltantes!D28,"0%")&amp;" del faltante está en los primeros 5 títulos, y los cinco siguen hoy con 2 disponibles o menos."</f>
        <v/>
      </c>
      <c r="AJ31" s="8" t="n"/>
      <c r="AK31" s="2" t="n"/>
    </row>
    <row r="32" ht="19" customHeight="1">
      <c r="A32" s="1" t="n"/>
      <c r="B32" s="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  <c r="R32" s="2" t="n"/>
      <c r="S32" s="12" t="n"/>
      <c r="T32" s="12" t="n"/>
      <c r="U32" s="12" t="n"/>
      <c r="V32" s="12" t="n"/>
      <c r="W32" s="12" t="n"/>
      <c r="X32" s="12" t="n"/>
      <c r="Y32" s="8" t="n"/>
      <c r="Z32" s="2" t="n"/>
      <c r="AJ32" s="8" t="n"/>
      <c r="AK32" s="2" t="n"/>
    </row>
    <row r="33" ht="19" customHeight="1">
      <c r="A33" s="22" t="inlineStr">
        <is>
          <t>SII 22/09</t>
        </is>
      </c>
      <c r="B33" s="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  <c r="R33" s="2" t="n"/>
      <c r="S33" s="12" t="n"/>
      <c r="T33" s="12" t="n"/>
      <c r="U33" s="12" t="n"/>
      <c r="V33" s="12" t="n"/>
      <c r="W33" s="12" t="n"/>
      <c r="X33" s="12" t="n"/>
      <c r="Y33" s="8" t="n"/>
      <c r="Z33" s="2" t="n"/>
      <c r="AA33" s="23" t="inlineStr">
        <is>
          <t>Detalle completo en la hoja Faltantes</t>
        </is>
      </c>
      <c r="AJ33" s="8" t="n"/>
      <c r="AK33" s="2" t="n"/>
    </row>
    <row r="34" ht="4" customHeight="1">
      <c r="A34" s="1" t="n"/>
      <c r="B34" s="2" t="n"/>
      <c r="C34" s="2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2" t="n"/>
      <c r="S34" s="2" t="n"/>
      <c r="T34" s="8" t="n"/>
      <c r="U34" s="8" t="n"/>
      <c r="V34" s="8" t="n"/>
      <c r="W34" s="8" t="n"/>
      <c r="X34" s="8" t="n"/>
      <c r="Y34" s="8" t="n"/>
      <c r="Z34" s="2" t="n"/>
      <c r="AA34" s="2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2" t="n"/>
    </row>
    <row r="35" ht="12" customHeight="1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</row>
  </sheetData>
  <mergeCells count="24">
    <mergeCell ref="S8:U10"/>
    <mergeCell ref="V10:X10"/>
    <mergeCell ref="AA31:AI32"/>
    <mergeCell ref="S7:X7"/>
    <mergeCell ref="AA33:AI33"/>
    <mergeCell ref="T2:X3"/>
    <mergeCell ref="C15:P15"/>
    <mergeCell ref="C2:S3"/>
    <mergeCell ref="C8:E10"/>
    <mergeCell ref="K8:M10"/>
    <mergeCell ref="N10:P10"/>
    <mergeCell ref="S15:X15"/>
    <mergeCell ref="S11:U12"/>
    <mergeCell ref="C16:P16"/>
    <mergeCell ref="C7:H7"/>
    <mergeCell ref="K7:P7"/>
    <mergeCell ref="AA2:AI2"/>
    <mergeCell ref="K11:M12"/>
    <mergeCell ref="S4:X4"/>
    <mergeCell ref="C4:R4"/>
    <mergeCell ref="S16:X16"/>
    <mergeCell ref="F10:H10"/>
    <mergeCell ref="C11:E12"/>
    <mergeCell ref="AA3:AI4"/>
  </mergeCells>
  <hyperlinks>
    <hyperlink ref="A10" location="'Acciones'!A1" display="ACCIONES"/>
    <hyperlink ref="A12" location="'Faltantes'!A1" display="FALTANTES"/>
    <hyperlink ref="A16" location="'Surtido en cero'!A1" display="LOCALES"/>
    <hyperlink ref="A18" location="'Cómo se calculó'!A1" display="MÉTODO"/>
    <hyperlink ref="AA33" location="'Faltantes'!A1" display="Detalle completo en la hoja Faltantes"/>
  </hyperlinks>
  <pageMargins left="0.2" right="0.2" top="0.2" bottom="0.2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6" customWidth="1" min="3" max="3"/>
    <col width="10" customWidth="1" min="4" max="4"/>
    <col width="11" customWidth="1" min="5" max="5"/>
    <col width="15" customWidth="1" min="6" max="6"/>
    <col width="15" customWidth="1" min="7" max="7"/>
  </cols>
  <sheetData>
    <row r="1">
      <c r="A1" s="24" t="inlineStr">
        <is>
          <t>Acciones de reposición · Septiembre 2026</t>
        </is>
      </c>
      <c r="G1" s="25" t="inlineStr">
        <is>
          <t>← Volver al tablero</t>
        </is>
      </c>
    </row>
    <row r="2">
      <c r="A2" s="26" t="inlineStr">
        <is>
          <t>Unidades según los PAEC y CSV entregados. Faltante: por título, lo pedido menos el disponible del SII del día.</t>
        </is>
      </c>
    </row>
    <row r="4">
      <c r="A4" s="27" t="inlineStr">
        <is>
          <t>Fecha</t>
        </is>
      </c>
      <c r="B4" s="27" t="inlineStr">
        <is>
          <t>Acción</t>
        </is>
      </c>
      <c r="C4" s="27" t="inlineStr">
        <is>
          <t>Regla</t>
        </is>
      </c>
      <c r="D4" s="27" t="inlineStr">
        <is>
          <t>Títulos</t>
        </is>
      </c>
      <c r="E4" s="27" t="inlineStr">
        <is>
          <t>Locales</t>
        </is>
      </c>
      <c r="F4" s="27" t="inlineStr">
        <is>
          <t>Unidades cargadas</t>
        </is>
      </c>
      <c r="G4" s="27" t="inlineStr">
        <is>
          <t>Sin stock en depósito</t>
        </is>
      </c>
    </row>
    <row r="5">
      <c r="A5" s="28" t="n">
        <v>46276</v>
      </c>
      <c r="B5" t="inlineStr">
        <is>
          <t>Promo 2x1 $28.500</t>
        </is>
      </c>
      <c r="C5" s="29" t="inlineStr">
        <is>
          <t>Completar a 8 · 20 Splendid · 3 en cinco locales chicos</t>
        </is>
      </c>
      <c r="D5" s="30" t="n">
        <v>11</v>
      </c>
      <c r="E5" s="30" t="n">
        <v>33</v>
      </c>
      <c r="F5" s="30" t="n">
        <v>255</v>
      </c>
      <c r="G5" s="30" t="n">
        <v>293</v>
      </c>
    </row>
    <row r="6">
      <c r="A6" s="28" t="n">
        <v>46280</v>
      </c>
      <c r="B6" t="inlineStr">
        <is>
          <t>Día de la Madre</t>
        </is>
      </c>
      <c r="C6" s="29" t="inlineStr">
        <is>
          <t>Completar a 10 y 5 · Splendid a 30 y 20 · redondeo a 10</t>
        </is>
      </c>
      <c r="D6" s="30" t="n">
        <v>38</v>
      </c>
      <c r="E6" s="30" t="n">
        <v>61</v>
      </c>
      <c r="F6" s="30" t="n">
        <v>5101</v>
      </c>
      <c r="G6" s="30" t="n">
        <v>128</v>
      </c>
    </row>
    <row r="7">
      <c r="A7" s="28" t="n">
        <v>46282</v>
      </c>
      <c r="B7" t="inlineStr">
        <is>
          <t>Agenda + autores de octubre</t>
        </is>
      </c>
      <c r="C7" s="29" t="inlineStr">
        <is>
          <t>Agenda a 10 y 40 en los Ateneo · autores a 10</t>
        </is>
      </c>
      <c r="D7" s="30" t="n">
        <v>12</v>
      </c>
      <c r="E7" s="30" t="n">
        <v>61</v>
      </c>
      <c r="F7" s="30" t="n">
        <v>2819</v>
      </c>
      <c r="G7" s="30" t="n">
        <v>0</v>
      </c>
    </row>
    <row r="8">
      <c r="A8" s="28" t="n">
        <v>46282</v>
      </c>
      <c r="B8" t="inlineStr">
        <is>
          <t>Canales · ranking</t>
        </is>
      </c>
      <c r="C8" s="29" t="inlineStr">
        <is>
          <t>Pedido del ranking 1/8 al 17/9</t>
        </is>
      </c>
      <c r="D8" s="30" t="n">
        <v>56</v>
      </c>
      <c r="E8" s="30" t="inlineStr">
        <is>
          <t>Canales</t>
        </is>
      </c>
      <c r="F8" s="30" t="n">
        <v>243</v>
      </c>
      <c r="G8" s="30" t="n">
        <v>7</v>
      </c>
    </row>
    <row r="9">
      <c r="A9" s="28" t="n">
        <v>46286</v>
      </c>
      <c r="B9" t="inlineStr">
        <is>
          <t>Reposición 21 al 25</t>
        </is>
      </c>
      <c r="C9" s="29" t="inlineStr">
        <is>
          <t>Lo vendido · sin cobertura &gt; 3 · solo lo servible</t>
        </is>
      </c>
      <c r="D9" s="30" t="n">
        <v>170</v>
      </c>
      <c r="E9" s="30" t="n">
        <v>20</v>
      </c>
      <c r="F9" s="30" t="n">
        <v>4004</v>
      </c>
      <c r="G9" s="30" t="n">
        <v>1569</v>
      </c>
    </row>
    <row r="10">
      <c r="A10" s="28" t="n">
        <v>46288</v>
      </c>
      <c r="B10" t="inlineStr">
        <is>
          <t>Canales · refuerzo</t>
        </is>
      </c>
      <c r="C10" s="29" t="inlineStr">
        <is>
          <t>Lista cerrada · solo lo servible</t>
        </is>
      </c>
      <c r="D10" s="30" t="n">
        <v>43</v>
      </c>
      <c r="E10" s="30" t="inlineStr">
        <is>
          <t>Canales</t>
        </is>
      </c>
      <c r="F10" s="30" t="n">
        <v>101</v>
      </c>
      <c r="G10" s="30" t="n">
        <v>19</v>
      </c>
    </row>
    <row r="11">
      <c r="A11" s="31" t="n"/>
      <c r="B11" s="31" t="inlineStr">
        <is>
          <t>TOTAL</t>
        </is>
      </c>
      <c r="C11" s="31" t="n"/>
      <c r="D11" s="31" t="n"/>
      <c r="E11" s="31" t="n"/>
      <c r="F11" s="31">
        <f>SUM(F5:F10)</f>
        <v/>
      </c>
      <c r="G11" s="31">
        <f>SUM(G5:G10)</f>
        <v/>
      </c>
    </row>
    <row r="14">
      <c r="A14" s="32" t="inlineStr">
        <is>
          <t>Reposición 21 al 25: de lo vendido a lo cargado</t>
        </is>
      </c>
    </row>
    <row r="15">
      <c r="A15" s="27" t="inlineStr">
        <is>
          <t>Paso</t>
        </is>
      </c>
      <c r="B15" s="27" t="inlineStr">
        <is>
          <t>Etiqueta</t>
        </is>
      </c>
      <c r="C15" s="27" t="inlineStr">
        <is>
          <t>Detalle</t>
        </is>
      </c>
      <c r="D15" s="27" t="inlineStr">
        <is>
          <t>Unidades</t>
        </is>
      </c>
      <c r="E15" s="27" t="inlineStr">
        <is>
          <t>Base (aux.)</t>
        </is>
      </c>
      <c r="F15" s="27" t="inlineStr">
        <is>
          <t>Barra (aux.)</t>
        </is>
      </c>
      <c r="G15" s="33" t="inlineStr">
        <is>
          <t>Etiqueta gráfico</t>
        </is>
      </c>
    </row>
    <row r="16">
      <c r="A16" t="inlineStr">
        <is>
          <t>Vendido en el período</t>
        </is>
      </c>
      <c r="B16" t="inlineStr">
        <is>
          <t>Vendido</t>
        </is>
      </c>
      <c r="C16" t="inlineStr">
        <is>
          <t>Pedido original, 20 locales</t>
        </is>
      </c>
      <c r="D16" s="34" t="n">
        <v>6201</v>
      </c>
      <c r="E16" s="35" t="n">
        <v>0</v>
      </c>
      <c r="F16" s="35">
        <f>D16</f>
        <v/>
      </c>
      <c r="G16" s="29" t="inlineStr">
        <is>
          <t>Vendido   6.201</t>
        </is>
      </c>
    </row>
    <row r="17">
      <c r="A17" t="inlineStr">
        <is>
          <t>Cobertura mayor a 3</t>
        </is>
      </c>
      <c r="B17" t="inlineStr">
        <is>
          <t>Cobertura &gt; 3</t>
        </is>
      </c>
      <c r="C17" t="inlineStr">
        <is>
          <t>Más de mes y medio de stock</t>
        </is>
      </c>
      <c r="D17" s="34" t="n">
        <v>-520</v>
      </c>
      <c r="E17" s="35">
        <f>F16+D17</f>
        <v/>
      </c>
      <c r="F17" s="35">
        <f>-D17</f>
        <v/>
      </c>
      <c r="G17" s="29" t="inlineStr">
        <is>
          <t>Cobertura &gt; 3   −520</t>
        </is>
      </c>
    </row>
    <row r="18">
      <c r="A18" t="inlineStr">
        <is>
          <t>Sin stock en depósito</t>
        </is>
      </c>
      <c r="B18" t="inlineStr">
        <is>
          <t>Sin stock</t>
        </is>
      </c>
      <c r="C18" t="inlineStr">
        <is>
          <t>3 títulos</t>
        </is>
      </c>
      <c r="D18" s="34" t="n">
        <v>-781</v>
      </c>
      <c r="E18" s="35">
        <f>E17+D18</f>
        <v/>
      </c>
      <c r="F18" s="35">
        <f>-D18</f>
        <v/>
      </c>
      <c r="G18" s="29" t="inlineStr">
        <is>
          <t>Sin stock   −781</t>
        </is>
      </c>
    </row>
    <row r="19">
      <c r="A19" t="inlineStr">
        <is>
          <t>Stock insuficiente</t>
        </is>
      </c>
      <c r="B19" t="inlineStr">
        <is>
          <t>Insuficiente</t>
        </is>
      </c>
      <c r="C19" t="inlineStr">
        <is>
          <t>9 títulos</t>
        </is>
      </c>
      <c r="D19" s="34" t="n">
        <v>-896</v>
      </c>
      <c r="E19" s="35">
        <f>E18+D19</f>
        <v/>
      </c>
      <c r="F19" s="35">
        <f>-D19</f>
        <v/>
      </c>
      <c r="G19" s="29" t="inlineStr">
        <is>
          <t>Insuficiente   −896</t>
        </is>
      </c>
    </row>
    <row r="20">
      <c r="A20" t="inlineStr">
        <is>
          <t>Cargado</t>
        </is>
      </c>
      <c r="B20" t="inlineStr">
        <is>
          <t>Cargado</t>
        </is>
      </c>
      <c r="C20" t="inlineStr">
        <is>
          <t>170 títulos</t>
        </is>
      </c>
      <c r="D20" s="34" t="n">
        <v>4004</v>
      </c>
      <c r="E20" s="35" t="n">
        <v>0</v>
      </c>
      <c r="F20" s="35">
        <f>D20</f>
        <v/>
      </c>
      <c r="G20" s="29" t="inlineStr">
        <is>
          <t>Cargado   4.004</t>
        </is>
      </c>
    </row>
    <row r="21">
      <c r="A21" s="26" t="inlineStr">
        <is>
          <t>Control: vendido menos los tres cortes</t>
        </is>
      </c>
      <c r="D21" s="36">
        <f>D16+D17+D18+D19</f>
        <v/>
      </c>
      <c r="E21" s="26">
        <f>IF(D21=D20,"cuadra","NO CUADRA")</f>
        <v/>
      </c>
    </row>
    <row r="24">
      <c r="A24" s="37" t="inlineStr">
        <is>
          <t>Auxiliar de las donas del tablero</t>
        </is>
      </c>
    </row>
    <row r="25">
      <c r="A25" s="27" t="inlineStr">
        <is>
          <t>Indicador</t>
        </is>
      </c>
      <c r="B25" s="27" t="inlineStr">
        <is>
          <t>Porcentaje</t>
        </is>
      </c>
      <c r="C25" s="27" t="inlineStr">
        <is>
          <t>Resto</t>
        </is>
      </c>
    </row>
    <row r="26">
      <c r="A26" t="inlineStr">
        <is>
          <t>Reposición 21-25: cargado / vendido</t>
        </is>
      </c>
      <c r="B26" s="38">
        <f>D20/D16</f>
        <v/>
      </c>
      <c r="C26" s="38">
        <f>1-B26</f>
        <v/>
      </c>
    </row>
    <row r="27">
      <c r="A27" t="inlineStr">
        <is>
          <t>Faltante: peso de los 5 primeros títulos</t>
        </is>
      </c>
      <c r="B27" s="38">
        <f>Faltantes!D28</f>
        <v/>
      </c>
      <c r="C27" s="38">
        <f>1-B27</f>
        <v/>
      </c>
    </row>
    <row r="28">
      <c r="A28" t="inlineStr">
        <is>
          <t>Locales alcanzados / activos</t>
        </is>
      </c>
      <c r="B28" s="38">
        <f>61/62</f>
        <v/>
      </c>
      <c r="C28" s="38">
        <f>1-B28</f>
        <v/>
      </c>
    </row>
  </sheetData>
  <hyperlinks>
    <hyperlink ref="G1" location="'Tablero'!A1" display="← Volver al tablero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22" customWidth="1" min="3" max="3"/>
    <col width="10" customWidth="1" min="4" max="4"/>
    <col width="13" customWidth="1" min="5" max="5"/>
    <col width="13" customWidth="1" min="6" max="6"/>
    <col width="12" customWidth="1" min="7" max="7"/>
    <col width="40" customWidth="1" min="8" max="8"/>
  </cols>
  <sheetData>
    <row r="1">
      <c r="A1" s="24" t="inlineStr">
        <is>
          <t>Dónde faltó stock</t>
        </is>
      </c>
      <c r="G1" s="25" t="inlineStr">
        <is>
          <t>← Volver al tablero</t>
        </is>
      </c>
    </row>
    <row r="2">
      <c r="A2" s="26" t="inlineStr">
        <is>
          <t>Unidades pedidas en septiembre que el depósito no llegó a cubrir. Disponible y cadena según SII del 22/09/2026.</t>
        </is>
      </c>
    </row>
    <row r="4">
      <c r="A4" s="27" t="inlineStr">
        <is>
          <t>ISBN</t>
        </is>
      </c>
      <c r="B4" s="27" t="inlineStr">
        <is>
          <t>Título</t>
        </is>
      </c>
      <c r="C4" s="27" t="inlineStr">
        <is>
          <t>Nombre corto</t>
        </is>
      </c>
      <c r="D4" s="27" t="inlineStr">
        <is>
          <t>Faltante</t>
        </is>
      </c>
      <c r="E4" s="27" t="inlineStr">
        <is>
          <t>Disp. depósito hoy</t>
        </is>
      </c>
      <c r="F4" s="27" t="inlineStr">
        <is>
          <t>En la cadena hoy</t>
        </is>
      </c>
      <c r="G4" s="27" t="inlineStr">
        <is>
          <t>Estado hoy</t>
        </is>
      </c>
      <c r="H4" s="27" t="inlineStr">
        <is>
          <t>Acciones</t>
        </is>
      </c>
    </row>
    <row r="5">
      <c r="A5" s="39" t="n">
        <v>9789500218047</v>
      </c>
      <c r="B5" t="inlineStr">
        <is>
          <t>PRINCIPITO, EL</t>
        </is>
      </c>
      <c r="C5" t="inlineStr">
        <is>
          <t>El Principito</t>
        </is>
      </c>
      <c r="D5" s="40" t="n">
        <v>399</v>
      </c>
      <c r="E5" s="40" t="n">
        <v>0</v>
      </c>
      <c r="F5" s="40" t="n">
        <v>1821</v>
      </c>
      <c r="G5" s="41" t="inlineStr">
        <is>
          <t>Sin stock</t>
        </is>
      </c>
      <c r="H5" t="inlineStr">
        <is>
          <t>Reposición 21-25</t>
        </is>
      </c>
    </row>
    <row r="6">
      <c r="A6" s="39" t="n">
        <v>9789500217057</v>
      </c>
      <c r="B6" t="inlineStr">
        <is>
          <t>GATITO, ¿POR QUE ESTAS ENOJADO?</t>
        </is>
      </c>
      <c r="C6" t="inlineStr">
        <is>
          <t>Gatito, ¿por qué…?</t>
        </is>
      </c>
      <c r="D6" s="40" t="n">
        <v>314</v>
      </c>
      <c r="E6" s="40" t="n">
        <v>0</v>
      </c>
      <c r="F6" s="40" t="n">
        <v>495</v>
      </c>
      <c r="G6" s="41" t="inlineStr">
        <is>
          <t>Sin stock</t>
        </is>
      </c>
      <c r="H6" t="inlineStr">
        <is>
          <t>Reposición 21-25</t>
        </is>
      </c>
    </row>
    <row r="7">
      <c r="A7" s="39" t="n">
        <v>9789500208536</v>
      </c>
      <c r="B7" t="inlineStr">
        <is>
          <t>SAGA DE LOS ROMANOV, LA</t>
        </is>
      </c>
      <c r="C7" t="inlineStr">
        <is>
          <t>Saga Romanov</t>
        </is>
      </c>
      <c r="D7" s="40" t="n">
        <v>314</v>
      </c>
      <c r="E7" s="40" t="n">
        <v>2</v>
      </c>
      <c r="F7" s="40" t="n">
        <v>156</v>
      </c>
      <c r="G7" s="42" t="inlineStr">
        <is>
          <t>Stock bajo</t>
        </is>
      </c>
      <c r="H7" t="inlineStr">
        <is>
          <t>Promo 2x1 · Reposición 21-25</t>
        </is>
      </c>
    </row>
    <row r="8">
      <c r="A8" s="39" t="n">
        <v>9789500217033</v>
      </c>
      <c r="B8" t="inlineStr">
        <is>
          <t>STICKERS MAGICOS: GRANJA</t>
        </is>
      </c>
      <c r="C8" t="inlineStr">
        <is>
          <t>Stickers Granja</t>
        </is>
      </c>
      <c r="D8" s="40" t="n">
        <v>282</v>
      </c>
      <c r="E8" s="40" t="n">
        <v>2</v>
      </c>
      <c r="F8" s="40" t="n">
        <v>377</v>
      </c>
      <c r="G8" s="42" t="inlineStr">
        <is>
          <t>Stock bajo</t>
        </is>
      </c>
      <c r="H8" t="inlineStr">
        <is>
          <t>Canales 17/09 · Reposición 21-25 · Canales 23/09</t>
        </is>
      </c>
    </row>
    <row r="9">
      <c r="A9" s="39" t="n">
        <v>9789500217026</v>
      </c>
      <c r="B9" t="inlineStr">
        <is>
          <t>STICKERS MAGICOS DINOSAURIOS</t>
        </is>
      </c>
      <c r="C9" t="inlineStr">
        <is>
          <t>Stickers Dinosaurios</t>
        </is>
      </c>
      <c r="D9" s="40" t="n">
        <v>226</v>
      </c>
      <c r="E9" s="40" t="n">
        <v>2</v>
      </c>
      <c r="F9" s="40" t="n">
        <v>711</v>
      </c>
      <c r="G9" s="42" t="inlineStr">
        <is>
          <t>Stock bajo</t>
        </is>
      </c>
      <c r="H9" t="inlineStr">
        <is>
          <t>Reposición 21-25 · Canales 23/09</t>
        </is>
      </c>
    </row>
    <row r="10">
      <c r="A10" s="39" t="n">
        <v>9789500217613</v>
      </c>
      <c r="B10" t="inlineStr">
        <is>
          <t>BANDERAS DEL MUNDO</t>
        </is>
      </c>
      <c r="C10" t="inlineStr">
        <is>
          <t>Banderas del mundo</t>
        </is>
      </c>
      <c r="D10" s="40" t="n">
        <v>91</v>
      </c>
      <c r="E10" s="40" t="n">
        <v>7</v>
      </c>
      <c r="F10" s="40" t="n">
        <v>134</v>
      </c>
      <c r="G10" s="42" t="inlineStr">
        <is>
          <t>Stock bajo</t>
        </is>
      </c>
      <c r="H10" t="inlineStr">
        <is>
          <t>Reposición 21-25</t>
        </is>
      </c>
    </row>
    <row r="11">
      <c r="A11" s="39" t="n">
        <v>9789500217859</v>
      </c>
      <c r="B11" t="inlineStr">
        <is>
          <t>VENDER ES PODER</t>
        </is>
      </c>
      <c r="C11" t="inlineStr">
        <is>
          <t>Vender es poder</t>
        </is>
      </c>
      <c r="D11" s="40" t="n">
        <v>82</v>
      </c>
      <c r="E11" s="40" t="n">
        <v>0</v>
      </c>
      <c r="F11" s="40" t="n">
        <v>1384</v>
      </c>
      <c r="G11" s="41" t="inlineStr">
        <is>
          <t>Sin stock</t>
        </is>
      </c>
      <c r="H11" t="inlineStr">
        <is>
          <t>Reposición 21-25</t>
        </is>
      </c>
    </row>
    <row r="12">
      <c r="A12" s="39" t="n">
        <v>9789500210669</v>
      </c>
      <c r="B12" t="inlineStr">
        <is>
          <t>FIN DEL AUTOODIO, EL</t>
        </is>
      </c>
      <c r="C12" t="inlineStr">
        <is>
          <t>Fin del autoodio</t>
        </is>
      </c>
      <c r="D12" s="40" t="n">
        <v>75</v>
      </c>
      <c r="E12" s="40" t="n">
        <v>2</v>
      </c>
      <c r="F12" s="40" t="n">
        <v>230</v>
      </c>
      <c r="G12" s="42" t="inlineStr">
        <is>
          <t>Stock bajo</t>
        </is>
      </c>
      <c r="H12" t="inlineStr">
        <is>
          <t>Día de la Madre · Canales 23/09</t>
        </is>
      </c>
    </row>
    <row r="13">
      <c r="A13" s="39" t="n">
        <v>9789500211086</v>
      </c>
      <c r="B13" t="inlineStr">
        <is>
          <t>HEDY</t>
        </is>
      </c>
      <c r="C13" t="inlineStr">
        <is>
          <t>Hedy</t>
        </is>
      </c>
      <c r="D13" s="40" t="n">
        <v>54</v>
      </c>
      <c r="E13" s="40" t="n">
        <v>0</v>
      </c>
      <c r="F13" s="40" t="n">
        <v>240</v>
      </c>
      <c r="G13" s="41" t="inlineStr">
        <is>
          <t>Sin stock</t>
        </is>
      </c>
      <c r="H13" t="inlineStr">
        <is>
          <t>Día de la Madre</t>
        </is>
      </c>
    </row>
    <row r="14">
      <c r="A14" s="39" t="n">
        <v>9789500215350</v>
      </c>
      <c r="B14" t="inlineStr">
        <is>
          <t>APRENDO A LEER LAS LETRAS</t>
        </is>
      </c>
      <c r="C14" t="inlineStr">
        <is>
          <t>Aprendo a leer: letras</t>
        </is>
      </c>
      <c r="D14" s="40" t="n">
        <v>53</v>
      </c>
      <c r="E14" s="40" t="n">
        <v>0</v>
      </c>
      <c r="F14" s="40" t="n">
        <v>157</v>
      </c>
      <c r="G14" s="41" t="inlineStr">
        <is>
          <t>Sin stock</t>
        </is>
      </c>
      <c r="H14" t="inlineStr">
        <is>
          <t>Reposición 21-25</t>
        </is>
      </c>
    </row>
    <row r="15">
      <c r="A15" s="39" t="n">
        <v>9789500216814</v>
      </c>
      <c r="B15" t="inlineStr">
        <is>
          <t>AMIGOS DE LA GRANJA</t>
        </is>
      </c>
      <c r="C15" t="inlineStr">
        <is>
          <t>Amigos de la granja</t>
        </is>
      </c>
      <c r="D15" s="40" t="n">
        <v>45</v>
      </c>
      <c r="E15" s="40" t="n">
        <v>87</v>
      </c>
      <c r="F15" s="40" t="n">
        <v>553</v>
      </c>
      <c r="G15" s="42" t="inlineStr">
        <is>
          <t>Stock bajo</t>
        </is>
      </c>
      <c r="H15" t="inlineStr">
        <is>
          <t>Reposición 21-25</t>
        </is>
      </c>
    </row>
    <row r="16">
      <c r="A16" s="39" t="n">
        <v>9789500215367</v>
      </c>
      <c r="B16" t="inlineStr">
        <is>
          <t>APRENDO A LEER LAS SILABAS</t>
        </is>
      </c>
      <c r="C16" t="inlineStr">
        <is>
          <t>Aprendo a leer: sílabas</t>
        </is>
      </c>
      <c r="D16" s="40" t="n">
        <v>45</v>
      </c>
      <c r="E16" s="40" t="n">
        <v>10</v>
      </c>
      <c r="F16" s="40" t="n">
        <v>86</v>
      </c>
      <c r="G16" s="42" t="inlineStr">
        <is>
          <t>Stock bajo</t>
        </is>
      </c>
      <c r="H16" t="inlineStr">
        <is>
          <t>Reposición 21-25</t>
        </is>
      </c>
    </row>
    <row r="17">
      <c r="A17" s="39" t="n">
        <v>9788466244893</v>
      </c>
      <c r="B17" t="inlineStr">
        <is>
          <t>TAROT: CARTAS DE ADIVINACION, SABIDURIA Y AUTODESCUBRIMIENTO</t>
        </is>
      </c>
      <c r="C17" t="inlineStr">
        <is>
          <t>Tarot: Cartas De Adivinacion, Sabiduria Y Autodescubrimiento</t>
        </is>
      </c>
      <c r="D17" s="40" t="n">
        <v>12</v>
      </c>
      <c r="E17" s="40" t="n">
        <v>1</v>
      </c>
      <c r="F17" s="40" t="n">
        <v>39</v>
      </c>
      <c r="G17" s="42" t="inlineStr">
        <is>
          <t>Stock bajo</t>
        </is>
      </c>
      <c r="H17" t="inlineStr">
        <is>
          <t>Reposición 21-25</t>
        </is>
      </c>
    </row>
    <row r="18">
      <c r="A18" s="39" t="n">
        <v>9789500216388</v>
      </c>
      <c r="B18" t="inlineStr">
        <is>
          <t>METAMORFOSIS, LA</t>
        </is>
      </c>
      <c r="C18" t="inlineStr">
        <is>
          <t>Metamorfosis, La</t>
        </is>
      </c>
      <c r="D18" s="40" t="n">
        <v>9</v>
      </c>
      <c r="E18" s="40" t="n">
        <v>3</v>
      </c>
      <c r="F18" s="40" t="n">
        <v>181</v>
      </c>
      <c r="G18" s="42" t="inlineStr">
        <is>
          <t>Stock bajo</t>
        </is>
      </c>
      <c r="H18" t="inlineStr">
        <is>
          <t>Reposición 21-25</t>
        </is>
      </c>
    </row>
    <row r="19">
      <c r="A19" s="39" t="n">
        <v>9789500209854</v>
      </c>
      <c r="B19" t="inlineStr">
        <is>
          <t>MEDICOS NAZIS</t>
        </is>
      </c>
      <c r="C19" t="inlineStr">
        <is>
          <t>Medicos Nazis</t>
        </is>
      </c>
      <c r="D19" s="40" t="n">
        <v>3</v>
      </c>
      <c r="E19" s="40" t="n">
        <v>0</v>
      </c>
      <c r="F19" s="40" t="n">
        <v>96</v>
      </c>
      <c r="G19" s="41" t="inlineStr">
        <is>
          <t>Sin stock</t>
        </is>
      </c>
      <c r="H19" t="inlineStr">
        <is>
          <t>Canales 23/09</t>
        </is>
      </c>
    </row>
    <row r="20">
      <c r="A20" s="39" t="n">
        <v>9789506033521</v>
      </c>
      <c r="B20" t="inlineStr">
        <is>
          <t>COMPARTO CUENTOS PRINCESAS</t>
        </is>
      </c>
      <c r="C20" t="inlineStr">
        <is>
          <t>Comparto Cuentos Princesas</t>
        </is>
      </c>
      <c r="D20" s="40" t="n">
        <v>2</v>
      </c>
      <c r="E20" s="40" t="n">
        <v>0</v>
      </c>
      <c r="F20" s="40" t="n">
        <v>2</v>
      </c>
      <c r="G20" s="41" t="inlineStr">
        <is>
          <t>Sin stock</t>
        </is>
      </c>
      <c r="H20" t="inlineStr">
        <is>
          <t>Canales 23/09</t>
        </is>
      </c>
    </row>
    <row r="21">
      <c r="A21" s="39" t="n">
        <v>9789506033514</v>
      </c>
      <c r="B21" t="inlineStr">
        <is>
          <t>COMPARTO CUENTOS MASCOTAS</t>
        </is>
      </c>
      <c r="C21" t="inlineStr">
        <is>
          <t>Comparto Cuentos Mascotas</t>
        </is>
      </c>
      <c r="D21" s="40" t="n">
        <v>2</v>
      </c>
      <c r="E21" s="40" t="n">
        <v>0</v>
      </c>
      <c r="F21" s="40" t="n">
        <v>2</v>
      </c>
      <c r="G21" s="41" t="inlineStr">
        <is>
          <t>Sin stock</t>
        </is>
      </c>
      <c r="H21" t="inlineStr">
        <is>
          <t>Canales 23/09</t>
        </is>
      </c>
    </row>
    <row r="22">
      <c r="A22" s="39" t="n">
        <v>9789500298742</v>
      </c>
      <c r="B22" t="inlineStr">
        <is>
          <t>CHARLES Y LA PRINCESA</t>
        </is>
      </c>
      <c r="C22" t="inlineStr">
        <is>
          <t>Charles Y La Princesa</t>
        </is>
      </c>
      <c r="D22" s="40" t="n">
        <v>2</v>
      </c>
      <c r="E22" s="40" t="n">
        <v>0</v>
      </c>
      <c r="F22" s="40" t="n">
        <v>2</v>
      </c>
      <c r="G22" s="41" t="inlineStr">
        <is>
          <t>Sin stock</t>
        </is>
      </c>
      <c r="H22" t="inlineStr">
        <is>
          <t>Canales 17/09</t>
        </is>
      </c>
    </row>
    <row r="23">
      <c r="A23" s="39" t="n">
        <v>9789500298735</v>
      </c>
      <c r="B23" t="inlineStr">
        <is>
          <t>CHARLES EN LA ESCUELA DE DRAGONES</t>
        </is>
      </c>
      <c r="C23" t="inlineStr">
        <is>
          <t>Charles En La Escuela De Dragones</t>
        </is>
      </c>
      <c r="D23" s="40" t="n">
        <v>2</v>
      </c>
      <c r="E23" s="40" t="n">
        <v>0</v>
      </c>
      <c r="F23" s="40" t="n">
        <v>5</v>
      </c>
      <c r="G23" s="41" t="inlineStr">
        <is>
          <t>Sin stock</t>
        </is>
      </c>
      <c r="H23" t="inlineStr">
        <is>
          <t>Canales 17/09</t>
        </is>
      </c>
    </row>
    <row r="24">
      <c r="A24" s="39" t="n">
        <v>9789500209823</v>
      </c>
      <c r="B24" t="inlineStr">
        <is>
          <t>AVENTURAS DE SHERLOCK HOLMES, LAS</t>
        </is>
      </c>
      <c r="C24" t="inlineStr">
        <is>
          <t>Aventuras De Sherlock Holmes, Las</t>
        </is>
      </c>
      <c r="D24" s="40" t="n">
        <v>2</v>
      </c>
      <c r="E24" s="40" t="n">
        <v>0</v>
      </c>
      <c r="F24" s="40" t="n">
        <v>53</v>
      </c>
      <c r="G24" s="41" t="inlineStr">
        <is>
          <t>Sin stock</t>
        </is>
      </c>
      <c r="H24" t="inlineStr">
        <is>
          <t>Canales 23/09</t>
        </is>
      </c>
    </row>
    <row r="25">
      <c r="A25" s="39" t="n">
        <v>2903307290564</v>
      </c>
      <c r="B25" t="inlineStr">
        <is>
          <t>EDITORIAL EL ATENEO - BOLSA SANTI SPERANZA</t>
        </is>
      </c>
      <c r="C25" t="inlineStr">
        <is>
          <t>Editorial El Ateneo - Bolsa Santi Speranza</t>
        </is>
      </c>
      <c r="D25" s="40" t="n">
        <v>2</v>
      </c>
      <c r="E25" s="40" t="n">
        <v>1</v>
      </c>
      <c r="F25" s="40" t="n">
        <v>1269</v>
      </c>
      <c r="G25" s="42" t="inlineStr">
        <is>
          <t>Stock bajo</t>
        </is>
      </c>
      <c r="H25" t="inlineStr">
        <is>
          <t>Reposición 21-25</t>
        </is>
      </c>
    </row>
    <row r="26">
      <c r="A26" s="31" t="n"/>
      <c r="B26" s="31" t="inlineStr">
        <is>
          <t>TOTAL</t>
        </is>
      </c>
      <c r="C26" s="31" t="n"/>
      <c r="D26" s="31">
        <f>SUM(D5:D25)</f>
        <v/>
      </c>
      <c r="E26" s="31" t="n"/>
      <c r="F26" s="31" t="n"/>
      <c r="G26" s="31" t="n"/>
      <c r="H26" s="31" t="n"/>
    </row>
    <row r="28">
      <c r="B28" s="43" t="inlineStr">
        <is>
          <t>Los 5 títulos de más faltante explican</t>
        </is>
      </c>
      <c r="D28" s="44">
        <f>SUM(D5:D9)/D26</f>
        <v/>
      </c>
    </row>
  </sheetData>
  <autoFilter ref="A4:H25"/>
  <hyperlinks>
    <hyperlink ref="G1" location="'Tablero'!A1" display="← Volver al tablero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4" customWidth="1" min="3" max="3"/>
    <col width="22" customWidth="1" min="4" max="4"/>
    <col width="13" customWidth="1" min="12" max="12"/>
  </cols>
  <sheetData>
    <row r="1">
      <c r="A1" s="24" t="inlineStr">
        <is>
          <t>Surtido general en cero, por local</t>
        </is>
      </c>
      <c r="D1" s="25" t="inlineStr">
        <is>
          <t>← Volver al tablero</t>
        </is>
      </c>
    </row>
    <row r="2" ht="48" customHeight="1">
      <c r="A2" s="45" t="inlineStr">
        <is>
          <t>De los 503 títulos que tiene al menos la mitad de la cadena y con 20 o más disponibles en depósito, cuántos están en 0 en cada local (SII del 22/09/2026). Los locales chicos trabajan con surtido reducido.</t>
        </is>
      </c>
    </row>
    <row r="4">
      <c r="A4" s="27" t="inlineStr">
        <is>
          <t>Local</t>
        </is>
      </c>
      <c r="B4" s="27" t="inlineStr">
        <is>
          <t>Títulos en 0</t>
        </is>
      </c>
    </row>
    <row r="5">
      <c r="A5" t="inlineStr">
        <is>
          <t>MAR DEL PLATA LOS GALLEGOS</t>
        </is>
      </c>
      <c r="B5" t="n">
        <v>125</v>
      </c>
    </row>
    <row r="6">
      <c r="A6" t="inlineStr">
        <is>
          <t>AEROPARQUE</t>
        </is>
      </c>
      <c r="B6" t="n">
        <v>67</v>
      </c>
    </row>
    <row r="7">
      <c r="A7" t="inlineStr">
        <is>
          <t>MAR DEL PLATA PASEO ALDREY</t>
        </is>
      </c>
      <c r="B7" t="n">
        <v>67</v>
      </c>
    </row>
    <row r="8">
      <c r="A8" t="inlineStr">
        <is>
          <t>TRELEW</t>
        </is>
      </c>
      <c r="B8" t="n">
        <v>66</v>
      </c>
    </row>
    <row r="9">
      <c r="A9" t="inlineStr">
        <is>
          <t>TUCUMAN PORTAL</t>
        </is>
      </c>
      <c r="B9" t="n">
        <v>60</v>
      </c>
    </row>
    <row r="10">
      <c r="A10" t="inlineStr">
        <is>
          <t>PARANA</t>
        </is>
      </c>
      <c r="B10" t="n">
        <v>48</v>
      </c>
    </row>
    <row r="11">
      <c r="A11" t="inlineStr">
        <is>
          <t>TORTUGAS OPEN MALL</t>
        </is>
      </c>
      <c r="B11" t="n">
        <v>40</v>
      </c>
    </row>
    <row r="12">
      <c r="A12" t="inlineStr">
        <is>
          <t>ALTO COMAHUE</t>
        </is>
      </c>
      <c r="B12" t="n">
        <v>39</v>
      </c>
    </row>
    <row r="13">
      <c r="A13" t="inlineStr">
        <is>
          <t>SANTA FE Ribera Shopping</t>
        </is>
      </c>
      <c r="B13" t="n">
        <v>33</v>
      </c>
    </row>
    <row r="14">
      <c r="A14" t="inlineStr">
        <is>
          <t>ATENEO TUCUMAN</t>
        </is>
      </c>
      <c r="B14" t="n">
        <v>32</v>
      </c>
    </row>
    <row r="15">
      <c r="A15" t="inlineStr">
        <is>
          <t>PALMAS DEL PILAR</t>
        </is>
      </c>
      <c r="B15" t="n">
        <v>32</v>
      </c>
    </row>
    <row r="16">
      <c r="A16" t="inlineStr">
        <is>
          <t>PATIO BULLRICH</t>
        </is>
      </c>
      <c r="B16" t="n">
        <v>28</v>
      </c>
    </row>
    <row r="17">
      <c r="A17" t="inlineStr">
        <is>
          <t>ALTO PALERMO</t>
        </is>
      </c>
      <c r="B17" t="n">
        <v>23</v>
      </c>
    </row>
    <row r="18">
      <c r="A18" t="inlineStr">
        <is>
          <t>MENDOZA SHOPPING</t>
        </is>
      </c>
      <c r="B18" t="n">
        <v>22</v>
      </c>
    </row>
    <row r="19">
      <c r="A19" t="inlineStr">
        <is>
          <t>BORGES</t>
        </is>
      </c>
      <c r="B19" t="n">
        <v>20</v>
      </c>
    </row>
    <row r="20">
      <c r="A20" t="inlineStr">
        <is>
          <t>EZEIZA</t>
        </is>
      </c>
      <c r="B20" t="n">
        <v>20</v>
      </c>
    </row>
    <row r="21">
      <c r="A21" t="inlineStr">
        <is>
          <t>BAHIA BLANCA SHOPPING</t>
        </is>
      </c>
      <c r="B21" t="n">
        <v>17</v>
      </c>
    </row>
    <row r="22">
      <c r="A22" t="inlineStr">
        <is>
          <t>CABALLITO</t>
        </is>
      </c>
      <c r="B22" t="n">
        <v>16</v>
      </c>
    </row>
    <row r="23">
      <c r="A23" t="inlineStr">
        <is>
          <t>PASEO ALCORTA</t>
        </is>
      </c>
      <c r="B23" t="n">
        <v>15</v>
      </c>
    </row>
    <row r="24">
      <c r="A24" t="inlineStr">
        <is>
          <t>SAN JUSTO</t>
        </is>
      </c>
      <c r="B24" t="n">
        <v>15</v>
      </c>
    </row>
    <row r="25">
      <c r="A25" t="inlineStr">
        <is>
          <t>UNICENTER</t>
        </is>
      </c>
      <c r="B25" t="n">
        <v>13</v>
      </c>
    </row>
    <row r="26">
      <c r="A26" t="inlineStr">
        <is>
          <t>MENDOZA PALMARES</t>
        </is>
      </c>
      <c r="B26" t="n">
        <v>13</v>
      </c>
    </row>
    <row r="27">
      <c r="A27" t="inlineStr">
        <is>
          <t>PALERMO PORTAL</t>
        </is>
      </c>
      <c r="B27" t="n">
        <v>13</v>
      </c>
    </row>
    <row r="28">
      <c r="A28" t="inlineStr">
        <is>
          <t>DOT BAIRES SHOPPING</t>
        </is>
      </c>
      <c r="B28" t="n">
        <v>12</v>
      </c>
    </row>
    <row r="29">
      <c r="A29" t="inlineStr">
        <is>
          <t>PLAZA OESTE</t>
        </is>
      </c>
      <c r="B29" t="n">
        <v>12</v>
      </c>
    </row>
    <row r="30">
      <c r="A30" t="inlineStr">
        <is>
          <t>AVELLANEDA</t>
        </is>
      </c>
      <c r="B30" t="n">
        <v>12</v>
      </c>
    </row>
    <row r="31">
      <c r="A31" t="inlineStr">
        <is>
          <t>NEUQUEN PORTAL PATAGONIA</t>
        </is>
      </c>
      <c r="B31" t="n">
        <v>9</v>
      </c>
    </row>
    <row r="32">
      <c r="A32" t="inlineStr">
        <is>
          <t>SAN LUIS</t>
        </is>
      </c>
      <c r="B32" t="n">
        <v>9</v>
      </c>
    </row>
    <row r="33">
      <c r="A33" t="inlineStr">
        <is>
          <t>RIO CUARTO</t>
        </is>
      </c>
      <c r="B33" t="n">
        <v>9</v>
      </c>
    </row>
    <row r="34">
      <c r="A34" t="inlineStr">
        <is>
          <t>ATENEO GRAND SPLENDID</t>
        </is>
      </c>
      <c r="B34" t="n">
        <v>8</v>
      </c>
    </row>
    <row r="35">
      <c r="A35" t="inlineStr">
        <is>
          <t>FLORES</t>
        </is>
      </c>
      <c r="B35" t="n">
        <v>7</v>
      </c>
    </row>
    <row r="36">
      <c r="A36" t="inlineStr">
        <is>
          <t>SAN MIGUEL</t>
        </is>
      </c>
      <c r="B36" t="n">
        <v>7</v>
      </c>
    </row>
    <row r="37">
      <c r="A37" t="inlineStr">
        <is>
          <t>CORRIENTES SHOPPING</t>
        </is>
      </c>
      <c r="B37" t="n">
        <v>7</v>
      </c>
    </row>
    <row r="38">
      <c r="A38" t="inlineStr">
        <is>
          <t>ATENEO FLORIDA 632</t>
        </is>
      </c>
      <c r="B38" t="n">
        <v>6</v>
      </c>
    </row>
    <row r="39">
      <c r="A39" t="inlineStr">
        <is>
          <t>RESISTENCIA</t>
        </is>
      </c>
      <c r="B39" t="n">
        <v>6</v>
      </c>
    </row>
    <row r="40">
      <c r="A40" t="inlineStr">
        <is>
          <t>ROSARIO PORTAL</t>
        </is>
      </c>
      <c r="B40" t="n">
        <v>5</v>
      </c>
    </row>
    <row r="41">
      <c r="A41" t="inlineStr">
        <is>
          <t>CALLE 12</t>
        </is>
      </c>
      <c r="B41" t="n">
        <v>5</v>
      </c>
    </row>
    <row r="42">
      <c r="A42" t="inlineStr">
        <is>
          <t>JUJUY</t>
        </is>
      </c>
      <c r="B42" t="n">
        <v>5</v>
      </c>
    </row>
    <row r="43">
      <c r="A43" t="inlineStr">
        <is>
          <t>ABASTO</t>
        </is>
      </c>
      <c r="B43" t="n">
        <v>5</v>
      </c>
    </row>
    <row r="44">
      <c r="A44" t="inlineStr">
        <is>
          <t>ATENEO JURAMENTO</t>
        </is>
      </c>
      <c r="B44" t="n">
        <v>5</v>
      </c>
    </row>
    <row r="45">
      <c r="A45" t="inlineStr">
        <is>
          <t>ATENEO ROSARIO</t>
        </is>
      </c>
      <c r="B45" t="n">
        <v>4</v>
      </c>
    </row>
    <row r="46">
      <c r="A46" t="inlineStr">
        <is>
          <t>ALTO NOA SHOPPING - SALTA</t>
        </is>
      </c>
      <c r="B46" t="n">
        <v>4</v>
      </c>
    </row>
    <row r="47">
      <c r="A47" t="inlineStr">
        <is>
          <t>MAR DEL PLATA M. BENDU</t>
        </is>
      </c>
      <c r="B47" t="n">
        <v>4</v>
      </c>
    </row>
    <row r="48">
      <c r="A48" t="inlineStr">
        <is>
          <t>BARILOCHE</t>
        </is>
      </c>
      <c r="B48" t="n">
        <v>4</v>
      </c>
    </row>
    <row r="49">
      <c r="A49" t="inlineStr">
        <is>
          <t>LA PLATA</t>
        </is>
      </c>
      <c r="B49" t="n">
        <v>4</v>
      </c>
    </row>
    <row r="50">
      <c r="A50" t="inlineStr">
        <is>
          <t>SOLAR DE LA ABADIA</t>
        </is>
      </c>
      <c r="B50" t="n">
        <v>4</v>
      </c>
    </row>
    <row r="51">
      <c r="A51" t="inlineStr">
        <is>
          <t>USHUAIA</t>
        </is>
      </c>
      <c r="B51" t="n">
        <v>4</v>
      </c>
    </row>
    <row r="52">
      <c r="A52" t="inlineStr">
        <is>
          <t>VILLA URQUIZA</t>
        </is>
      </c>
      <c r="B52" t="n">
        <v>4</v>
      </c>
    </row>
    <row r="53">
      <c r="A53" t="inlineStr">
        <is>
          <t>SALTA CENTRO</t>
        </is>
      </c>
      <c r="B53" t="n">
        <v>4</v>
      </c>
    </row>
    <row r="54">
      <c r="A54" t="inlineStr">
        <is>
          <t>NUEVO CENTRO SHOPPING</t>
        </is>
      </c>
      <c r="B54" t="n">
        <v>4</v>
      </c>
    </row>
    <row r="55">
      <c r="A55" t="inlineStr">
        <is>
          <t>ATENEO LA PLATA</t>
        </is>
      </c>
      <c r="B55" t="n">
        <v>3</v>
      </c>
    </row>
    <row r="56">
      <c r="A56" t="inlineStr">
        <is>
          <t>VILLA CRESPO</t>
        </is>
      </c>
      <c r="B56" t="n">
        <v>3</v>
      </c>
    </row>
    <row r="57">
      <c r="A57" t="inlineStr">
        <is>
          <t>ATENEO CORDOBA CENTRO</t>
        </is>
      </c>
      <c r="B57" t="n">
        <v>2</v>
      </c>
    </row>
    <row r="58">
      <c r="A58" t="inlineStr">
        <is>
          <t>REMEROS (NORDELTA)</t>
        </is>
      </c>
      <c r="B58" t="n">
        <v>2</v>
      </c>
    </row>
    <row r="59">
      <c r="A59" t="inlineStr">
        <is>
          <t>LOMAS DE ZAMORA</t>
        </is>
      </c>
      <c r="B59" t="n">
        <v>2</v>
      </c>
    </row>
    <row r="60">
      <c r="A60" t="inlineStr">
        <is>
          <t>PATIO OLMOS</t>
        </is>
      </c>
      <c r="B60" t="n">
        <v>1</v>
      </c>
    </row>
    <row r="61">
      <c r="A61" t="inlineStr">
        <is>
          <t>MENDOZA CENTRO</t>
        </is>
      </c>
      <c r="B61" t="n">
        <v>1</v>
      </c>
    </row>
    <row r="62">
      <c r="A62" t="inlineStr">
        <is>
          <t>COMODORO RIVADAVIA</t>
        </is>
      </c>
      <c r="B62" t="n">
        <v>0</v>
      </c>
    </row>
    <row r="63">
      <c r="A63" t="inlineStr">
        <is>
          <t>ALTO ROSARIO</t>
        </is>
      </c>
      <c r="B63" t="n">
        <v>0</v>
      </c>
    </row>
    <row r="64">
      <c r="A64" t="inlineStr">
        <is>
          <t>ATENEO FLORIDA 340</t>
        </is>
      </c>
      <c r="B64" t="n">
        <v>0</v>
      </c>
    </row>
    <row r="65">
      <c r="A65" t="inlineStr">
        <is>
          <t>QUILMES CENTRO</t>
        </is>
      </c>
      <c r="B65" t="n">
        <v>0</v>
      </c>
    </row>
    <row r="67">
      <c r="A67" s="43" t="inlineStr">
        <is>
          <t>Mediana de la cadena</t>
        </is>
      </c>
      <c r="B67" s="43">
        <f>MEDIAN(B5:B65)</f>
        <v/>
      </c>
    </row>
    <row r="68">
      <c r="A68" s="43" t="inlineStr">
        <is>
          <t>Locales en cero</t>
        </is>
      </c>
      <c r="B68" s="43">
        <f>COUNTIF(B5:B65,0)</f>
        <v/>
      </c>
    </row>
  </sheetData>
  <autoFilter ref="A4:B65"/>
  <mergeCells count="1">
    <mergeCell ref="A2:C2"/>
  </mergeCells>
  <hyperlinks>
    <hyperlink ref="D1" location="'Tablero'!A1" display="← Volver al tablero"/>
  </hyperlink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20" customWidth="1" min="3" max="3"/>
  </cols>
  <sheetData>
    <row r="1">
      <c r="A1" s="24" t="inlineStr">
        <is>
          <t>Cómo se calculó</t>
        </is>
      </c>
      <c r="C1" s="25" t="inlineStr">
        <is>
          <t>← Volver al tablero</t>
        </is>
      </c>
    </row>
    <row r="3" ht="32" customHeight="1">
      <c r="A3" s="43" t="inlineStr">
        <is>
          <t>Cargado</t>
        </is>
      </c>
      <c r="B3" s="46" t="inlineStr">
        <is>
          <t>Suma de los CSV y PAEC entregados. En Día de la Madre y en Agenda + autores, el PAEC coincide con la suma por local.</t>
        </is>
      </c>
    </row>
    <row r="4" ht="32" customHeight="1">
      <c r="A4" s="43" t="inlineStr">
        <is>
          <t>Faltante</t>
        </is>
      </c>
      <c r="B4" s="46" t="inlineStr">
        <is>
          <t>Por título, lo pedido menos el disponible del SII del día de la acción. Incluye unidades que igual se cargaron (Día de la Madre y Canales del 17/09).</t>
        </is>
      </c>
    </row>
    <row r="5" ht="32" customHeight="1">
      <c r="A5" s="43" t="inlineStr">
        <is>
          <t>SII</t>
        </is>
      </c>
      <c r="B5" s="46" t="inlineStr">
        <is>
          <t>Se excluye la fila de totales del pie. El depósito cuadra contra ella: 638.186 u. físicas y 634.202 disponibles al 22/09.</t>
        </is>
      </c>
    </row>
    <row r="6" ht="32" customHeight="1">
      <c r="A6" s="43" t="inlineStr">
        <is>
          <t>Devoto</t>
        </is>
      </c>
      <c r="B6" s="46" t="inlineStr">
        <is>
          <t>No figura: sin stock ni actividad al cierre, excluido por decisión en todas las acciones.</t>
        </is>
      </c>
    </row>
    <row r="7" ht="32" customHeight="1">
      <c r="A7" s="43" t="inlineStr">
        <is>
          <t>Surtido en cero</t>
        </is>
      </c>
      <c r="B7" s="46" t="inlineStr">
        <is>
          <t>Títulos presentes en al menos 30 de los 61 locales activos y con 20 o más disponibles en depósito.</t>
        </is>
      </c>
    </row>
    <row r="8" ht="32" customHeight="1">
      <c r="A8" s="43" t="inlineStr">
        <is>
          <t>Fijos</t>
        </is>
      </c>
      <c r="B8" s="46" t="inlineStr">
        <is>
          <t>Locales alcanzados (61) y títulos distintos (247) salen de cruzar los archivos: van como valor, no como fórmula.</t>
        </is>
      </c>
    </row>
  </sheetData>
  <hyperlinks>
    <hyperlink ref="C1" location="'Tablero'!A1" display="← Volver al tablero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2026-09-23T18:09:30Z</dcterms:created>
  <dcterms:modified xsi:type="dcterms:W3CDTF">2026-09-23T18:09:30Z</dcterms:modified>
</cp:coreProperties>
</file>