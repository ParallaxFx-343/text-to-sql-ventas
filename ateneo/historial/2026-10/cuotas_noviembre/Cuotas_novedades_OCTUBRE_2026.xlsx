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CUOTAS" sheetId="1" state="visible" r:id="rId1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4">
    <numFmt numFmtId="164" formatCode="0;[Red]0"/>
    <numFmt numFmtId="165" formatCode="#,##0.00_ ;[Red]\-#,##0.00\ "/>
    <numFmt numFmtId="166" formatCode="_-&quot;$&quot;\ * #,##0.00_-;\-&quot;$&quot;\ * #,##0.00_-;_-&quot;$&quot;\ * &quot;-&quot;??_-;_-@_-"/>
    <numFmt numFmtId="167" formatCode="dd/mm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1"/>
    </font>
    <font>
      <name val="Aptos"/>
      <family val="2"/>
      <b val="1"/>
      <color theme="1"/>
      <sz val="11"/>
    </font>
    <font>
      <name val="Calibri"/>
      <family val="2"/>
      <b val="1"/>
      <color theme="1"/>
      <sz val="9"/>
      <scheme val="minor"/>
    </font>
    <font>
      <name val="Aptos"/>
      <family val="2"/>
      <b val="1"/>
      <i val="1"/>
      <sz val="11"/>
    </font>
    <font>
      <name val="Calibri"/>
      <family val="2"/>
      <b val="1"/>
      <sz val="11"/>
    </font>
    <font>
      <name val="Calibri"/>
      <family val="2"/>
      <b val="1"/>
      <sz val="9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70C0"/>
      <sz val="10"/>
      <scheme val="minor"/>
    </font>
    <font>
      <name val="Aptos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599993896298104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5" fontId="7" fillId="3" borderId="5" applyAlignment="1" pivotButton="0" quotePrefix="0" xfId="0">
      <alignment horizontal="left" vertical="center"/>
    </xf>
    <xf numFmtId="165" fontId="0" fillId="0" borderId="5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165" fontId="7" fillId="0" borderId="6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1" fontId="7" fillId="0" borderId="9" applyAlignment="1" pivotButton="0" quotePrefix="0" xfId="0">
      <alignment horizontal="center" vertical="center"/>
    </xf>
    <xf numFmtId="0" fontId="9" fillId="0" borderId="4" applyAlignment="1" pivotButton="0" quotePrefix="0" xfId="0">
      <alignment horizontal="right" vertical="center"/>
    </xf>
    <xf numFmtId="0" fontId="9" fillId="0" borderId="5" applyAlignment="1" pivotButton="0" quotePrefix="0" xfId="0">
      <alignment horizontal="right" vertical="center"/>
    </xf>
    <xf numFmtId="0" fontId="9" fillId="0" borderId="11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1" fontId="7" fillId="0" borderId="13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9" fillId="0" borderId="0" pivotButton="0" quotePrefix="0" xfId="0"/>
    <xf numFmtId="1" fontId="7" fillId="0" borderId="7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0" pivotButton="0" quotePrefix="0" xfId="0"/>
    <xf numFmtId="165" fontId="2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/>
    </xf>
    <xf numFmtId="1" fontId="5" fillId="4" borderId="12" applyAlignment="1" pivotButton="0" quotePrefix="0" xfId="0">
      <alignment horizontal="center"/>
    </xf>
    <xf numFmtId="0" fontId="15" fillId="0" borderId="0" applyAlignment="1" pivotButton="0" quotePrefix="0" xfId="0">
      <alignment horizontal="right"/>
    </xf>
    <xf numFmtId="0" fontId="4" fillId="5" borderId="3" pivotButton="0" quotePrefix="0" xfId="0"/>
    <xf numFmtId="0" fontId="13" fillId="6" borderId="7" applyAlignment="1" pivotButton="0" quotePrefix="0" xfId="0">
      <alignment horizontal="center" vertical="center" wrapText="1"/>
    </xf>
    <xf numFmtId="166" fontId="9" fillId="6" borderId="13" applyAlignment="1" pivotButton="0" quotePrefix="0" xfId="1">
      <alignment horizontal="center" vertical="center"/>
    </xf>
    <xf numFmtId="1" fontId="5" fillId="6" borderId="12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4" fillId="7" borderId="3" pivotButton="0" quotePrefix="0" xfId="0"/>
    <xf numFmtId="166" fontId="9" fillId="8" borderId="13" applyAlignment="1" pivotButton="0" quotePrefix="0" xfId="1">
      <alignment horizontal="center" vertical="center"/>
    </xf>
    <xf numFmtId="1" fontId="16" fillId="0" borderId="0" pivotButton="0" quotePrefix="0" xfId="0"/>
    <xf numFmtId="1" fontId="0" fillId="0" borderId="0" pivotButton="0" quotePrefix="0" xfId="0"/>
    <xf numFmtId="1" fontId="10" fillId="0" borderId="0" applyAlignment="1" pivotButton="0" quotePrefix="0" xfId="0">
      <alignment horizontal="center" vertical="center" wrapText="1"/>
    </xf>
    <xf numFmtId="0" fontId="13" fillId="8" borderId="14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" fontId="14" fillId="0" borderId="1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/>
    </xf>
    <xf numFmtId="14" fontId="11" fillId="0" borderId="1" applyAlignment="1" pivotButton="0" quotePrefix="0" xfId="0">
      <alignment horizontal="center"/>
    </xf>
    <xf numFmtId="0" fontId="4" fillId="7" borderId="2" pivotButton="0" quotePrefix="0" xfId="0"/>
    <xf numFmtId="0" fontId="4" fillId="5" borderId="15" pivotButton="0" quotePrefix="0" xfId="0"/>
    <xf numFmtId="0" fontId="13" fillId="8" borderId="7" applyAlignment="1" pivotButton="0" quotePrefix="0" xfId="0">
      <alignment horizontal="center" vertical="center" wrapText="1"/>
    </xf>
    <xf numFmtId="14" fontId="11" fillId="2" borderId="1" applyAlignment="1" pivotButton="0" quotePrefix="0" xfId="0">
      <alignment horizontal="center"/>
    </xf>
    <xf numFmtId="0" fontId="13" fillId="9" borderId="7" applyAlignment="1" pivotButton="0" quotePrefix="0" xfId="0">
      <alignment horizontal="center" vertical="center" wrapText="1"/>
    </xf>
    <xf numFmtId="166" fontId="9" fillId="9" borderId="13" applyAlignment="1" pivotButton="0" quotePrefix="0" xfId="1">
      <alignment horizontal="center" vertical="center"/>
    </xf>
    <xf numFmtId="1" fontId="7" fillId="10" borderId="13" applyAlignment="1" pivotButton="0" quotePrefix="0" xfId="0">
      <alignment horizontal="center" vertical="center"/>
    </xf>
    <xf numFmtId="1" fontId="7" fillId="10" borderId="9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 wrapText="1"/>
    </xf>
    <xf numFmtId="0" fontId="13" fillId="6" borderId="14" applyAlignment="1" pivotButton="0" quotePrefix="0" xfId="0">
      <alignment horizontal="center" vertical="center" wrapText="1"/>
    </xf>
    <xf numFmtId="0" fontId="4" fillId="7" borderId="16" pivotButton="0" quotePrefix="0" xfId="0"/>
    <xf numFmtId="0" fontId="18" fillId="8" borderId="12" applyAlignment="1" pivotButton="0" quotePrefix="0" xfId="0">
      <alignment horizontal="center" vertical="center" wrapText="1"/>
    </xf>
    <xf numFmtId="1" fontId="11" fillId="7" borderId="12" applyAlignment="1" pivotButton="0" quotePrefix="0" xfId="0">
      <alignment horizontal="center" vertical="center" wrapText="1"/>
    </xf>
    <xf numFmtId="1" fontId="11" fillId="7" borderId="17" applyAlignment="1" pivotButton="0" quotePrefix="0" xfId="0">
      <alignment horizontal="center" vertical="center" wrapText="1"/>
    </xf>
    <xf numFmtId="0" fontId="5" fillId="7" borderId="8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1" fontId="18" fillId="11" borderId="1" applyAlignment="1" pivotButton="0" quotePrefix="0" xfId="2">
      <alignment horizontal="left"/>
    </xf>
    <xf numFmtId="166" fontId="9" fillId="8" borderId="13" applyAlignment="1" pivotButton="0" quotePrefix="0" xfId="1">
      <alignment horizontal="center" vertical="center"/>
    </xf>
    <xf numFmtId="166" fontId="9" fillId="6" borderId="13" applyAlignment="1" pivotButton="0" quotePrefix="0" xfId="1">
      <alignment horizontal="center" vertical="center"/>
    </xf>
    <xf numFmtId="166" fontId="9" fillId="9" borderId="13" applyAlignment="1" pivotButton="0" quotePrefix="0" xfId="1">
      <alignment horizontal="center" vertical="center"/>
    </xf>
    <xf numFmtId="167" fontId="11" fillId="0" borderId="1" applyAlignment="1" pivotButton="0" quotePrefix="0" xfId="0">
      <alignment horizontal="center"/>
    </xf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41"/>
  <sheetViews>
    <sheetView tabSelected="1" zoomScale="80" zoomScaleNormal="80" workbookViewId="0">
      <selection activeCell="N3" sqref="N3"/>
    </sheetView>
  </sheetViews>
  <sheetFormatPr baseColWidth="10" defaultColWidth="11.5703125" defaultRowHeight="15"/>
  <cols>
    <col width="3.5703125" customWidth="1" min="1" max="1"/>
    <col width="27.85546875" customWidth="1" min="2" max="2"/>
    <col width="18.42578125" customWidth="1" min="3" max="12"/>
    <col width="20.7109375" bestFit="1" customWidth="1" min="13" max="13"/>
    <col width="18.42578125" customWidth="1" min="14" max="16"/>
    <col width="18.7109375" bestFit="1" customWidth="1" min="17" max="18"/>
    <col width="18.7109375" customWidth="1" min="19" max="29"/>
    <col width="18.7109375" bestFit="1" customWidth="1" min="30" max="30"/>
  </cols>
  <sheetData>
    <row r="1" ht="18" customHeight="1" thickBot="1">
      <c r="C1" s="48" t="inlineStr">
        <is>
          <t>NOVEDADES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58" t="n"/>
      <c r="O1" s="32" t="inlineStr">
        <is>
          <t>REIMPRESIONES</t>
        </is>
      </c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49" t="n"/>
    </row>
    <row r="2" ht="80.25" customFormat="1" customHeight="1" s="27" thickBot="1">
      <c r="B2" s="31" t="inlineStr">
        <is>
          <t>Título</t>
        </is>
      </c>
      <c r="C2" s="50" t="inlineStr">
        <is>
          <t>BRIGID</t>
        </is>
      </c>
      <c r="D2" s="43" t="inlineStr">
        <is>
          <t>AVENTURERAS</t>
        </is>
      </c>
      <c r="E2" s="43" t="inlineStr">
        <is>
          <t>LA ESCLAVA DE QURTUBA</t>
        </is>
      </c>
      <c r="F2" s="50" t="inlineStr">
        <is>
          <t>CADA NIÑO, UN MUNDO</t>
        </is>
      </c>
      <c r="G2" s="43" t="inlineStr">
        <is>
          <t>ALICIA EN EL PAIS DE LAS MARAVILLAS (ED. COMENTADA)</t>
        </is>
      </c>
      <c r="H2" s="43" t="inlineStr">
        <is>
          <t>UN CUENTO DE NAVIDAD - A CHRISTMAS CAROL (ED. TAPA DURA, BILINGÜE)</t>
        </is>
      </c>
      <c r="I2" s="43" t="inlineStr">
        <is>
          <t>EL KYBALION</t>
        </is>
      </c>
      <c r="J2" s="43" t="inlineStr">
        <is>
          <t>SOBRE RUEDAS. AL RESCATE</t>
        </is>
      </c>
      <c r="K2" s="43" t="inlineStr">
        <is>
          <t>SOBRE RUEDAS. EN LA GRANJA</t>
        </is>
      </c>
      <c r="L2" s="43" t="n"/>
      <c r="M2" s="56" t="n"/>
      <c r="N2" s="59" t="n"/>
      <c r="O2" s="57" t="n"/>
      <c r="P2" s="33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</row>
    <row r="3" ht="15.75" customHeight="1" thickBot="1">
      <c r="B3" s="20" t="inlineStr">
        <is>
          <t>ISBN</t>
        </is>
      </c>
      <c r="C3" s="60" t="n">
        <v>9789500218535</v>
      </c>
      <c r="D3" s="60" t="n">
        <v>9789500218610</v>
      </c>
      <c r="E3" s="60" t="n">
        <v>9789500218641</v>
      </c>
      <c r="F3" s="60" t="n">
        <v>9789500218627</v>
      </c>
      <c r="G3" s="60" t="n">
        <v>9789500218634</v>
      </c>
      <c r="H3" s="60" t="n">
        <v>9789500218504</v>
      </c>
      <c r="I3" s="60" t="n">
        <v>9789500218566</v>
      </c>
      <c r="J3" s="60" t="n">
        <v>9789500217699</v>
      </c>
      <c r="K3" s="60" t="n">
        <v>9789500217705</v>
      </c>
      <c r="L3" s="60" t="n"/>
      <c r="M3" s="60" t="n"/>
      <c r="N3" s="61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</row>
    <row r="4">
      <c r="B4" s="20" t="inlineStr">
        <is>
          <t>$</t>
        </is>
      </c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6" t="n"/>
      <c r="P4" s="66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67" t="n"/>
      <c r="AD4" s="67" t="n"/>
    </row>
    <row r="5" ht="15.75" customFormat="1" customHeight="1" s="1" thickBot="1">
      <c r="B5" s="20" t="inlineStr">
        <is>
          <t>Id</t>
        </is>
      </c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3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</row>
    <row r="6">
      <c r="B6" s="10" t="inlineStr">
        <is>
          <t>EGISTI, CLAUDIO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>
      <c r="B7" s="11" t="inlineStr">
        <is>
          <t>FUCITO  generales</t>
        </is>
      </c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</row>
    <row r="8">
      <c r="B8" s="11" t="inlineStr">
        <is>
          <t>FUCITO  Cúspide</t>
        </is>
      </c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</row>
    <row r="9">
      <c r="B9" s="11" t="inlineStr">
        <is>
          <t>FUCITO  Queleer</t>
        </is>
      </c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</row>
    <row r="10">
      <c r="B10" s="11" t="inlineStr">
        <is>
          <t>FUCITO  Santa Fe</t>
        </is>
      </c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</row>
    <row r="11">
      <c r="B11" s="12" t="inlineStr">
        <is>
          <t>HOUNDAKJIAN, PABLO</t>
        </is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</row>
    <row r="12">
      <c r="B12" s="12" t="inlineStr">
        <is>
          <t>MARTIRENA, EZEQUIEL</t>
        </is>
      </c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</row>
    <row r="13">
      <c r="B13" s="12" t="inlineStr">
        <is>
          <t>NAVARRO, GONZALO</t>
        </is>
      </c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</row>
    <row r="14">
      <c r="B14" s="12" t="inlineStr">
        <is>
          <t>RODRIGUEZ, GONZALO</t>
        </is>
      </c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</row>
    <row r="15">
      <c r="B15" s="12" t="inlineStr">
        <is>
          <t>SÁLICE, MARCELO</t>
        </is>
      </c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 ht="15.75" customFormat="1" customHeight="1" s="2" thickBot="1">
      <c r="B16" s="14" t="inlineStr">
        <is>
          <t>BOSSO, DANIELA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</row>
    <row r="17" ht="15.75" customFormat="1" customHeight="1" s="3" thickBot="1">
      <c r="B17" s="28" t="inlineStr">
        <is>
          <t>TOTAL PEDIDO</t>
        </is>
      </c>
      <c r="C17" s="35">
        <f>SUM(C6:C16)</f>
        <v/>
      </c>
      <c r="D17" s="35">
        <f>SUM(D6:D16)</f>
        <v/>
      </c>
      <c r="E17" s="35">
        <f>SUM(E6:E16)</f>
        <v/>
      </c>
      <c r="F17" s="35">
        <f>SUM(F6:F16)</f>
        <v/>
      </c>
      <c r="G17" s="35">
        <f>SUM(G6:G16)</f>
        <v/>
      </c>
      <c r="H17" s="35">
        <f>SUM(H6:H16)</f>
        <v/>
      </c>
      <c r="I17" s="35">
        <f>SUM(I6:I16)</f>
        <v/>
      </c>
      <c r="J17" s="35">
        <f>SUM(J6:J16)</f>
        <v/>
      </c>
      <c r="K17" s="35">
        <f>SUM(K6:K16)</f>
        <v/>
      </c>
      <c r="L17" s="35">
        <f>SUM(L6:L16)</f>
        <v/>
      </c>
      <c r="M17" s="35">
        <f>SUM(M6:M16)</f>
        <v/>
      </c>
      <c r="N17" s="35">
        <f>SUM(N6:N16)</f>
        <v/>
      </c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</row>
    <row r="18" customFormat="1" s="5">
      <c r="A18" s="27" t="n"/>
      <c r="B18" s="4" t="inlineStr">
        <is>
          <t>Resto</t>
        </is>
      </c>
      <c r="C18" s="9">
        <f>+C17-C23</f>
        <v/>
      </c>
      <c r="D18" s="9">
        <f>+D17-D23</f>
        <v/>
      </c>
      <c r="E18" s="9">
        <f>+E17-E23</f>
        <v/>
      </c>
      <c r="F18" s="9">
        <f>+F17-F23</f>
        <v/>
      </c>
      <c r="G18" s="9">
        <f>+G17-G23</f>
        <v/>
      </c>
      <c r="H18" s="9">
        <f>+H17-H23</f>
        <v/>
      </c>
      <c r="I18" s="9">
        <f>+I17-I23</f>
        <v/>
      </c>
      <c r="J18" s="9">
        <f>+J17-J23</f>
        <v/>
      </c>
      <c r="K18" s="9">
        <f>+K17-K23</f>
        <v/>
      </c>
      <c r="L18" s="9">
        <f>+L17-L23</f>
        <v/>
      </c>
      <c r="M18" s="9">
        <f>+M17-M23</f>
        <v/>
      </c>
      <c r="N18" s="9">
        <f>+N17-N23</f>
        <v/>
      </c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 ht="11.25" customFormat="1" customHeight="1" s="5">
      <c r="B19" s="4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</row>
    <row r="20" customFormat="1" s="27">
      <c r="B20" s="15" t="inlineStr">
        <is>
          <t>TIRADA</t>
        </is>
      </c>
      <c r="C20" s="45" t="n">
        <v>3500</v>
      </c>
      <c r="D20" s="44" t="n">
        <v>3000</v>
      </c>
      <c r="E20" s="44" t="n">
        <v>4000</v>
      </c>
      <c r="F20" s="44" t="n">
        <v>3000</v>
      </c>
      <c r="G20" s="44" t="n">
        <v>4000</v>
      </c>
      <c r="H20" s="44" t="n">
        <v>4000</v>
      </c>
      <c r="I20" s="44" t="n">
        <v>4500</v>
      </c>
      <c r="J20" s="44" t="n">
        <v>4000</v>
      </c>
      <c r="K20" s="44" t="n">
        <v>4000</v>
      </c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5" customFormat="1" customHeight="1" s="23">
      <c r="A21" s="6" t="n"/>
      <c r="B21" s="15" t="inlineStr">
        <is>
          <t>Cronograma</t>
        </is>
      </c>
      <c r="C21" s="68" t="inlineStr">
        <is>
          <t>16/10 o 19/10</t>
        </is>
      </c>
      <c r="D21" s="68" t="n">
        <v>46321</v>
      </c>
      <c r="E21" s="68" t="n">
        <v>46321</v>
      </c>
      <c r="F21" s="68" t="n">
        <v>46315</v>
      </c>
      <c r="G21" s="68" t="n">
        <v>46318</v>
      </c>
      <c r="H21" s="68" t="n">
        <v>46318</v>
      </c>
      <c r="I21" s="68" t="n">
        <v>46310</v>
      </c>
      <c r="J21" s="68" t="n">
        <v>46318</v>
      </c>
      <c r="K21" s="68" t="n">
        <v>46318</v>
      </c>
      <c r="L21" s="47" t="n"/>
      <c r="M21" s="47" t="n"/>
      <c r="N21" s="47" t="n"/>
      <c r="O21" s="68" t="n"/>
      <c r="P21" s="68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</row>
    <row r="22" ht="15" customFormat="1" customHeight="1" s="2" thickBot="1">
      <c r="B22" s="15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 ht="15.75" customFormat="1" customHeight="1" s="6" thickBot="1">
      <c r="B23" s="29" t="inlineStr">
        <is>
          <t>ML 45%</t>
        </is>
      </c>
      <c r="C23" s="30">
        <f>+C20*0.45</f>
        <v/>
      </c>
      <c r="D23" s="30">
        <f>+D20*0.45</f>
        <v/>
      </c>
      <c r="E23" s="30">
        <f>+E20*0.45</f>
        <v/>
      </c>
      <c r="F23" s="30">
        <f>+F20*0.45</f>
        <v/>
      </c>
      <c r="G23" s="30">
        <f>+G20*0.45</f>
        <v/>
      </c>
      <c r="H23" s="30">
        <f>+H20*0.45</f>
        <v/>
      </c>
      <c r="I23" s="30">
        <f>+I20*0.45</f>
        <v/>
      </c>
      <c r="J23" s="30">
        <f>+J20*0.45</f>
        <v/>
      </c>
      <c r="K23" s="30">
        <f>+K20*0.45</f>
        <v/>
      </c>
      <c r="L23" s="30">
        <f>+L20*0.45</f>
        <v/>
      </c>
      <c r="M23" s="30">
        <f>+M20*0.45</f>
        <v/>
      </c>
      <c r="N23" s="30">
        <f>+N20*0.45</f>
        <v/>
      </c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</row>
    <row r="24" ht="15.75" customHeight="1" thickBot="1"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</row>
    <row r="25">
      <c r="B25" s="17" t="inlineStr">
        <is>
          <t>CADENA 30%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</row>
    <row r="26">
      <c r="B26" s="18" t="inlineStr">
        <is>
          <t>MKT 5%</t>
        </is>
      </c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</row>
    <row r="27" ht="15.75" customFormat="1" customHeight="1" s="2" thickBot="1">
      <c r="B27" s="19" t="inlineStr">
        <is>
          <t>Depo 20%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</row>
    <row r="30" customFormat="1" s="36">
      <c r="B30" s="37" t="n"/>
      <c r="E30" s="40" t="n"/>
    </row>
    <row r="31" customFormat="1" s="36">
      <c r="E31" s="40" t="n"/>
    </row>
    <row r="32">
      <c r="E32" s="41" t="n"/>
    </row>
    <row r="33">
      <c r="E33" s="41" t="n"/>
    </row>
    <row r="34">
      <c r="E34" s="41" t="n"/>
    </row>
    <row r="35">
      <c r="E35" s="41" t="n"/>
    </row>
    <row r="36">
      <c r="E36" s="41" t="n"/>
    </row>
    <row r="37">
      <c r="E37" s="41" t="n"/>
    </row>
    <row r="38">
      <c r="E38" s="41" t="n"/>
    </row>
    <row r="39">
      <c r="E39" s="41" t="n"/>
    </row>
    <row r="40">
      <c r="E40" s="41" t="n"/>
    </row>
    <row r="41">
      <c r="E41" s="41" t="n"/>
    </row>
  </sheetData>
  <pageMargins left="0.3149606299212598" right="0.3149606299212598" top="0.1574803149606299" bottom="0.1574803149606299" header="0.3149606299212598" footer="0.3149606299212598"/>
  <pageSetup orientation="landscape" paperSize="9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Benjumeda</dc:creator>
  <dcterms:created xsi:type="dcterms:W3CDTF">2021-04-16T14:18:33Z</dcterms:created>
  <dcterms:modified xsi:type="dcterms:W3CDTF">2026-10-19T19:53:30Z</dcterms:modified>
  <cp:lastModifiedBy>Franco Palladino</cp:lastModifiedBy>
  <cp:lastPrinted>2024-04-03T12:46:53Z</cp:lastPrinted>
</cp:coreProperties>
</file>